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uan\GitHubProjects\hierarchical_classificaton\"/>
    </mc:Choice>
  </mc:AlternateContent>
  <xr:revisionPtr revIDLastSave="0" documentId="13_ncr:1_{75085283-95BA-4044-A244-5222285CA95B}" xr6:coauthVersionLast="47" xr6:coauthVersionMax="47" xr10:uidLastSave="{00000000-0000-0000-0000-000000000000}"/>
  <bookViews>
    <workbookView xWindow="-108" yWindow="-108" windowWidth="23256" windowHeight="12456" tabRatio="896" xr2:uid="{00000000-000D-0000-FFFF-FFFF00000000}"/>
  </bookViews>
  <sheets>
    <sheet name="Monitoring" sheetId="16" r:id="rId1"/>
    <sheet name="Taxonomy_UniqueValues" sheetId="102" r:id="rId2"/>
    <sheet name="ClassificationClasses" sheetId="103" r:id="rId3"/>
    <sheet name="Video_List" sheetId="101" r:id="rId4"/>
    <sheet name="OperationInfo" sheetId="55" r:id="rId5"/>
  </sheets>
  <externalReferences>
    <externalReference r:id="rId6"/>
  </externalReferences>
  <definedNames>
    <definedName name="_xlnm._FilterDatabase" localSheetId="0" hidden="1">Monitoring!$A$1:$AE$432</definedName>
    <definedName name="_xlnm._FilterDatabase" localSheetId="1" hidden="1">Taxonomy_UniqueValues!$A$1:$L$196</definedName>
    <definedName name="_xlnm._FilterDatabase" localSheetId="3" hidden="1">Video_List!$A$1:$J$488</definedName>
    <definedName name="_xlnm.Extract" localSheetId="1">Taxonomy_UniqueValues!$A$1:$I$1</definedName>
    <definedName name="_xlnm.Print_Area" localSheetId="0">Monitoring!$A$1:$X$398</definedName>
    <definedName name="_xlnm.Print_Titles" localSheetId="0">Monitoring!$1:$1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03" l="1"/>
  <c r="J4" i="103"/>
  <c r="J5" i="103"/>
  <c r="J6" i="103"/>
  <c r="J7" i="103"/>
  <c r="J8" i="103"/>
  <c r="J9" i="103"/>
  <c r="J10" i="103"/>
  <c r="J11" i="103"/>
  <c r="J12" i="103"/>
  <c r="J13" i="103"/>
  <c r="J14" i="103"/>
  <c r="J15" i="103"/>
  <c r="J16" i="103"/>
  <c r="J17" i="103"/>
  <c r="J18" i="103"/>
  <c r="J19" i="103"/>
  <c r="J20" i="103"/>
  <c r="J21" i="103"/>
  <c r="J22" i="103"/>
  <c r="J23" i="103"/>
  <c r="J24" i="103"/>
  <c r="J25" i="103"/>
  <c r="J26" i="103"/>
  <c r="J27" i="103"/>
  <c r="J28" i="103"/>
  <c r="J29" i="103"/>
  <c r="J30" i="103"/>
  <c r="J31" i="103"/>
  <c r="J32" i="103"/>
  <c r="J33" i="103"/>
  <c r="J34" i="103"/>
  <c r="J35" i="103"/>
  <c r="J36" i="103"/>
  <c r="J37" i="103"/>
  <c r="J38" i="103"/>
  <c r="J39" i="103"/>
  <c r="J40" i="103"/>
  <c r="J41" i="103"/>
  <c r="J42" i="103"/>
  <c r="J43" i="103"/>
  <c r="J44" i="103"/>
  <c r="J45" i="103"/>
  <c r="J46" i="103"/>
  <c r="J47" i="103"/>
  <c r="J48" i="103"/>
  <c r="J49" i="103"/>
  <c r="J50" i="103"/>
  <c r="J51" i="103"/>
  <c r="J52" i="103"/>
  <c r="J53" i="103"/>
  <c r="J54" i="103"/>
  <c r="J55" i="103"/>
  <c r="J56" i="103"/>
  <c r="J57" i="103"/>
  <c r="J58" i="103"/>
  <c r="J59" i="103"/>
  <c r="J60" i="103"/>
  <c r="J61" i="103"/>
  <c r="J62" i="103"/>
  <c r="J63" i="103"/>
  <c r="J64" i="103"/>
  <c r="J65" i="103"/>
  <c r="J66" i="103"/>
  <c r="J67" i="103"/>
  <c r="J68" i="103"/>
  <c r="J69" i="103"/>
  <c r="J70" i="103"/>
  <c r="J2" i="103"/>
  <c r="V345" i="16"/>
  <c r="U345" i="16" s="1"/>
  <c r="T345" i="16" s="1"/>
  <c r="U338" i="16"/>
  <c r="T338" i="16" s="1"/>
  <c r="T348" i="16"/>
  <c r="T347" i="16"/>
  <c r="T339" i="16"/>
  <c r="T337" i="16"/>
  <c r="T335" i="16"/>
  <c r="T328" i="16"/>
  <c r="U323" i="16"/>
  <c r="T323" i="16" s="1"/>
  <c r="U317" i="16"/>
  <c r="U307" i="16"/>
  <c r="T307" i="16" s="1"/>
  <c r="U306" i="16"/>
  <c r="T306" i="16" s="1"/>
  <c r="U299" i="16"/>
  <c r="T299" i="16" s="1"/>
  <c r="U284" i="16"/>
  <c r="U274" i="16"/>
  <c r="T274" i="16" s="1"/>
  <c r="T317" i="16"/>
  <c r="T284" i="16"/>
  <c r="T257" i="16"/>
  <c r="U46" i="16"/>
  <c r="T46" i="16" s="1"/>
  <c r="V244" i="16"/>
  <c r="U244" i="16" s="1"/>
  <c r="T244" i="16" s="1"/>
  <c r="V167" i="16"/>
  <c r="U167" i="16" s="1"/>
  <c r="T167" i="16" s="1"/>
  <c r="V142" i="16"/>
  <c r="U142" i="16" s="1"/>
  <c r="T142" i="16" s="1"/>
  <c r="V75" i="16"/>
  <c r="U75" i="16" s="1"/>
  <c r="T75" i="16" s="1"/>
  <c r="J197" i="102" a="1"/>
  <c r="J197" i="102" s="1"/>
  <c r="J196" i="102" a="1"/>
  <c r="J196" i="102" s="1"/>
  <c r="J195" i="102" a="1"/>
  <c r="J195" i="102" s="1"/>
  <c r="J194" i="102" a="1"/>
  <c r="J194" i="102" s="1"/>
  <c r="J193" i="102" a="1"/>
  <c r="J193" i="102" s="1"/>
  <c r="J192" i="102" a="1"/>
  <c r="J192" i="102" s="1"/>
  <c r="J191" i="102" a="1"/>
  <c r="J191" i="102" s="1"/>
  <c r="J190" i="102" a="1"/>
  <c r="J190" i="102" s="1"/>
  <c r="J189" i="102" a="1"/>
  <c r="J189" i="102" s="1"/>
  <c r="J188" i="102" a="1"/>
  <c r="J188" i="102" s="1"/>
  <c r="J187" i="102" a="1"/>
  <c r="J187" i="102" s="1"/>
  <c r="J186" i="102" a="1"/>
  <c r="J186" i="102" s="1"/>
  <c r="J185" i="102" a="1"/>
  <c r="J185" i="102" s="1"/>
  <c r="J184" i="102" a="1"/>
  <c r="J184" i="102" s="1"/>
  <c r="J183" i="102" a="1"/>
  <c r="J183" i="102" s="1"/>
  <c r="J182" i="102" a="1"/>
  <c r="J182" i="102" s="1"/>
  <c r="J181" i="102" a="1"/>
  <c r="J181" i="102" s="1"/>
  <c r="J157" i="102" a="1"/>
  <c r="J157" i="102" s="1"/>
  <c r="J120" i="102" a="1"/>
  <c r="J120" i="102" s="1"/>
  <c r="J119" i="102" a="1"/>
  <c r="J119" i="102" s="1"/>
  <c r="J118" i="102" a="1"/>
  <c r="J118" i="102" s="1"/>
  <c r="J34" i="102" a="1"/>
  <c r="J34" i="102" s="1"/>
  <c r="J33" i="102" a="1"/>
  <c r="J33" i="102" s="1"/>
  <c r="K197" i="102"/>
  <c r="K196" i="102"/>
  <c r="K195" i="102"/>
  <c r="K194" i="102"/>
  <c r="K193" i="102"/>
  <c r="K192" i="102"/>
  <c r="K191" i="102"/>
  <c r="K190" i="102"/>
  <c r="K189" i="102"/>
  <c r="K188" i="102"/>
  <c r="K187" i="102"/>
  <c r="K186" i="102"/>
  <c r="K185" i="102"/>
  <c r="K184" i="102"/>
  <c r="K183" i="102"/>
  <c r="K182" i="102"/>
  <c r="K181" i="102"/>
  <c r="D180" i="102"/>
  <c r="K180" i="102" s="1"/>
  <c r="D179" i="102"/>
  <c r="J179" i="102" s="1" a="1"/>
  <c r="J179" i="102" s="1"/>
  <c r="D178" i="102"/>
  <c r="K178" i="102" s="1"/>
  <c r="D177" i="102"/>
  <c r="J177" i="102" s="1" a="1"/>
  <c r="J177" i="102" s="1"/>
  <c r="D176" i="102"/>
  <c r="J176" i="102" s="1" a="1"/>
  <c r="J176" i="102" s="1"/>
  <c r="D175" i="102"/>
  <c r="J175" i="102" s="1" a="1"/>
  <c r="J175" i="102" s="1"/>
  <c r="D174" i="102"/>
  <c r="J174" i="102" s="1" a="1"/>
  <c r="J174" i="102" s="1"/>
  <c r="D173" i="102"/>
  <c r="J173" i="102" s="1" a="1"/>
  <c r="J173" i="102" s="1"/>
  <c r="D172" i="102"/>
  <c r="J172" i="102" s="1" a="1"/>
  <c r="J172" i="102" s="1"/>
  <c r="D171" i="102"/>
  <c r="J171" i="102" s="1" a="1"/>
  <c r="J171" i="102" s="1"/>
  <c r="D170" i="102"/>
  <c r="K170" i="102" s="1"/>
  <c r="D169" i="102"/>
  <c r="J169" i="102" s="1" a="1"/>
  <c r="J169" i="102" s="1"/>
  <c r="D168" i="102"/>
  <c r="J168" i="102" s="1" a="1"/>
  <c r="J168" i="102" s="1"/>
  <c r="D167" i="102"/>
  <c r="J167" i="102" s="1" a="1"/>
  <c r="J167" i="102" s="1"/>
  <c r="D166" i="102"/>
  <c r="J166" i="102" s="1" a="1"/>
  <c r="J166" i="102" s="1"/>
  <c r="D165" i="102"/>
  <c r="J165" i="102" s="1" a="1"/>
  <c r="J165" i="102" s="1"/>
  <c r="D164" i="102"/>
  <c r="J164" i="102" s="1" a="1"/>
  <c r="J164" i="102" s="1"/>
  <c r="D163" i="102"/>
  <c r="J163" i="102" s="1" a="1"/>
  <c r="J163" i="102" s="1"/>
  <c r="D162" i="102"/>
  <c r="K162" i="102" s="1"/>
  <c r="D161" i="102"/>
  <c r="J161" i="102" s="1" a="1"/>
  <c r="J161" i="102" s="1"/>
  <c r="D160" i="102"/>
  <c r="J160" i="102" s="1" a="1"/>
  <c r="J160" i="102" s="1"/>
  <c r="D159" i="102"/>
  <c r="J159" i="102" s="1" a="1"/>
  <c r="J159" i="102" s="1"/>
  <c r="D158" i="102"/>
  <c r="J158" i="102" s="1" a="1"/>
  <c r="J158" i="102" s="1"/>
  <c r="K157" i="102"/>
  <c r="D156" i="102"/>
  <c r="K156" i="102" s="1"/>
  <c r="D155" i="102"/>
  <c r="J155" i="102" s="1" a="1"/>
  <c r="J155" i="102" s="1"/>
  <c r="D154" i="102"/>
  <c r="J154" i="102" s="1" a="1"/>
  <c r="J154" i="102" s="1"/>
  <c r="D153" i="102"/>
  <c r="K153" i="102" s="1"/>
  <c r="D152" i="102"/>
  <c r="K152" i="102" s="1"/>
  <c r="D151" i="102"/>
  <c r="J151" i="102" s="1" a="1"/>
  <c r="J151" i="102" s="1"/>
  <c r="D150" i="102"/>
  <c r="J150" i="102" s="1" a="1"/>
  <c r="J150" i="102" s="1"/>
  <c r="D149" i="102"/>
  <c r="K149" i="102" s="1"/>
  <c r="D148" i="102"/>
  <c r="K148" i="102" s="1"/>
  <c r="D147" i="102"/>
  <c r="J147" i="102" s="1" a="1"/>
  <c r="J147" i="102" s="1"/>
  <c r="D146" i="102"/>
  <c r="J146" i="102" s="1" a="1"/>
  <c r="J146" i="102" s="1"/>
  <c r="D145" i="102"/>
  <c r="K145" i="102" s="1"/>
  <c r="D144" i="102"/>
  <c r="K144" i="102" s="1"/>
  <c r="D143" i="102"/>
  <c r="D142" i="102"/>
  <c r="J142" i="102" s="1" a="1"/>
  <c r="J142" i="102" s="1"/>
  <c r="D141" i="102"/>
  <c r="K141" i="102" s="1"/>
  <c r="D140" i="102"/>
  <c r="K140" i="102" s="1"/>
  <c r="D139" i="102"/>
  <c r="J139" i="102" s="1" a="1"/>
  <c r="J139" i="102" s="1"/>
  <c r="D138" i="102"/>
  <c r="J138" i="102" s="1" a="1"/>
  <c r="J138" i="102" s="1"/>
  <c r="D137" i="102"/>
  <c r="K137" i="102" s="1"/>
  <c r="D136" i="102"/>
  <c r="K136" i="102" s="1"/>
  <c r="D135" i="102"/>
  <c r="J135" i="102" s="1" a="1"/>
  <c r="J135" i="102" s="1"/>
  <c r="D134" i="102"/>
  <c r="J134" i="102" s="1" a="1"/>
  <c r="J134" i="102" s="1"/>
  <c r="D133" i="102"/>
  <c r="K133" i="102" s="1"/>
  <c r="D132" i="102"/>
  <c r="K132" i="102" s="1"/>
  <c r="D131" i="102"/>
  <c r="J131" i="102" s="1" a="1"/>
  <c r="J131" i="102" s="1"/>
  <c r="D130" i="102"/>
  <c r="J130" i="102" s="1" a="1"/>
  <c r="J130" i="102" s="1"/>
  <c r="D129" i="102"/>
  <c r="K129" i="102" s="1"/>
  <c r="D128" i="102"/>
  <c r="K128" i="102" s="1"/>
  <c r="D127" i="102"/>
  <c r="J127" i="102" s="1" a="1"/>
  <c r="J127" i="102" s="1"/>
  <c r="D126" i="102"/>
  <c r="J126" i="102" s="1" a="1"/>
  <c r="J126" i="102" s="1"/>
  <c r="D125" i="102"/>
  <c r="K125" i="102" s="1"/>
  <c r="D124" i="102"/>
  <c r="K124" i="102" s="1"/>
  <c r="D123" i="102"/>
  <c r="J123" i="102" s="1" a="1"/>
  <c r="J123" i="102" s="1"/>
  <c r="D122" i="102"/>
  <c r="J122" i="102" s="1" a="1"/>
  <c r="J122" i="102" s="1"/>
  <c r="D121" i="102"/>
  <c r="K121" i="102" s="1"/>
  <c r="K120" i="102"/>
  <c r="K119" i="102"/>
  <c r="K118" i="102"/>
  <c r="D117" i="102"/>
  <c r="K117" i="102" s="1"/>
  <c r="D116" i="102"/>
  <c r="K116" i="102" s="1"/>
  <c r="D115" i="102"/>
  <c r="J115" i="102" s="1" a="1"/>
  <c r="J115" i="102" s="1"/>
  <c r="D114" i="102"/>
  <c r="K114" i="102" s="1"/>
  <c r="D113" i="102"/>
  <c r="K113" i="102" s="1"/>
  <c r="D112" i="102"/>
  <c r="J112" i="102" s="1" a="1"/>
  <c r="J112" i="102" s="1"/>
  <c r="D111" i="102"/>
  <c r="J111" i="102" s="1" a="1"/>
  <c r="J111" i="102" s="1"/>
  <c r="D110" i="102"/>
  <c r="K110" i="102" s="1"/>
  <c r="D109" i="102"/>
  <c r="K109" i="102" s="1"/>
  <c r="D108" i="102"/>
  <c r="K108" i="102" s="1"/>
  <c r="D107" i="102"/>
  <c r="J107" i="102" s="1" a="1"/>
  <c r="J107" i="102" s="1"/>
  <c r="D106" i="102"/>
  <c r="J106" i="102" s="1" a="1"/>
  <c r="J106" i="102" s="1"/>
  <c r="D105" i="102"/>
  <c r="K105" i="102" s="1"/>
  <c r="D104" i="102"/>
  <c r="K104" i="102" s="1"/>
  <c r="D103" i="102"/>
  <c r="J103" i="102" s="1" a="1"/>
  <c r="J103" i="102" s="1"/>
  <c r="D102" i="102"/>
  <c r="J102" i="102" s="1" a="1"/>
  <c r="J102" i="102" s="1"/>
  <c r="D101" i="102"/>
  <c r="K101" i="102" s="1"/>
  <c r="D100" i="102"/>
  <c r="K100" i="102" s="1"/>
  <c r="D99" i="102"/>
  <c r="J99" i="102" s="1" a="1"/>
  <c r="J99" i="102" s="1"/>
  <c r="D98" i="102"/>
  <c r="J98" i="102" s="1" a="1"/>
  <c r="J98" i="102" s="1"/>
  <c r="D97" i="102"/>
  <c r="K97" i="102" s="1"/>
  <c r="D96" i="102"/>
  <c r="K96" i="102" s="1"/>
  <c r="D95" i="102"/>
  <c r="J95" i="102" s="1" a="1"/>
  <c r="J95" i="102" s="1"/>
  <c r="D94" i="102"/>
  <c r="J94" i="102" s="1" a="1"/>
  <c r="J94" i="102" s="1"/>
  <c r="D93" i="102"/>
  <c r="K93" i="102" s="1"/>
  <c r="D92" i="102"/>
  <c r="K92" i="102" s="1"/>
  <c r="D91" i="102"/>
  <c r="J91" i="102" s="1" a="1"/>
  <c r="J91" i="102" s="1"/>
  <c r="D90" i="102"/>
  <c r="J90" i="102" s="1" a="1"/>
  <c r="J90" i="102" s="1"/>
  <c r="D89" i="102"/>
  <c r="K89" i="102" s="1"/>
  <c r="D88" i="102"/>
  <c r="K88" i="102" s="1"/>
  <c r="D87" i="102"/>
  <c r="J87" i="102" s="1" a="1"/>
  <c r="J87" i="102" s="1"/>
  <c r="D86" i="102"/>
  <c r="J86" i="102" s="1" a="1"/>
  <c r="J86" i="102" s="1"/>
  <c r="D85" i="102"/>
  <c r="K85" i="102" s="1"/>
  <c r="D84" i="102"/>
  <c r="K84" i="102" s="1"/>
  <c r="D83" i="102"/>
  <c r="J83" i="102" s="1" a="1"/>
  <c r="J83" i="102" s="1"/>
  <c r="D82" i="102"/>
  <c r="J82" i="102" s="1" a="1"/>
  <c r="J82" i="102" s="1"/>
  <c r="D81" i="102"/>
  <c r="K81" i="102" s="1"/>
  <c r="D80" i="102"/>
  <c r="K80" i="102" s="1"/>
  <c r="D79" i="102"/>
  <c r="J79" i="102" s="1" a="1"/>
  <c r="J79" i="102" s="1"/>
  <c r="D78" i="102"/>
  <c r="J78" i="102" s="1" a="1"/>
  <c r="J78" i="102" s="1"/>
  <c r="D77" i="102"/>
  <c r="K77" i="102" s="1"/>
  <c r="D76" i="102"/>
  <c r="K76" i="102" s="1"/>
  <c r="D75" i="102"/>
  <c r="J75" i="102" s="1" a="1"/>
  <c r="J75" i="102" s="1"/>
  <c r="D74" i="102"/>
  <c r="J74" i="102" s="1" a="1"/>
  <c r="J74" i="102" s="1"/>
  <c r="D73" i="102"/>
  <c r="J73" i="102" s="1" a="1"/>
  <c r="J73" i="102" s="1"/>
  <c r="D72" i="102"/>
  <c r="J72" i="102" s="1" a="1"/>
  <c r="J72" i="102" s="1"/>
  <c r="D71" i="102"/>
  <c r="J71" i="102" s="1" a="1"/>
  <c r="J71" i="102" s="1"/>
  <c r="D70" i="102"/>
  <c r="K70" i="102" s="1"/>
  <c r="D69" i="102"/>
  <c r="K69" i="102" s="1"/>
  <c r="D68" i="102"/>
  <c r="J68" i="102" s="1" a="1"/>
  <c r="J68" i="102" s="1"/>
  <c r="D67" i="102"/>
  <c r="J67" i="102" s="1" a="1"/>
  <c r="J67" i="102" s="1"/>
  <c r="D66" i="102"/>
  <c r="K66" i="102" s="1"/>
  <c r="D65" i="102"/>
  <c r="J65" i="102" s="1" a="1"/>
  <c r="J65" i="102" s="1"/>
  <c r="D64" i="102"/>
  <c r="J64" i="102" s="1" a="1"/>
  <c r="J64" i="102" s="1"/>
  <c r="D63" i="102"/>
  <c r="J63" i="102" s="1" a="1"/>
  <c r="J63" i="102" s="1"/>
  <c r="D62" i="102"/>
  <c r="K62" i="102" s="1"/>
  <c r="D61" i="102"/>
  <c r="J61" i="102" s="1" a="1"/>
  <c r="J61" i="102" s="1"/>
  <c r="D60" i="102"/>
  <c r="J60" i="102" s="1" a="1"/>
  <c r="J60" i="102" s="1"/>
  <c r="D59" i="102"/>
  <c r="J59" i="102" s="1" a="1"/>
  <c r="J59" i="102" s="1"/>
  <c r="D58" i="102"/>
  <c r="K58" i="102" s="1"/>
  <c r="D57" i="102"/>
  <c r="J57" i="102" s="1" a="1"/>
  <c r="J57" i="102" s="1"/>
  <c r="D56" i="102"/>
  <c r="K56" i="102" s="1"/>
  <c r="D55" i="102"/>
  <c r="J55" i="102" s="1" a="1"/>
  <c r="J55" i="102" s="1"/>
  <c r="D54" i="102"/>
  <c r="K54" i="102" s="1"/>
  <c r="D53" i="102"/>
  <c r="J53" i="102" s="1" a="1"/>
  <c r="J53" i="102" s="1"/>
  <c r="D52" i="102"/>
  <c r="J52" i="102" s="1" a="1"/>
  <c r="J52" i="102" s="1"/>
  <c r="D51" i="102"/>
  <c r="J51" i="102" s="1" a="1"/>
  <c r="J51" i="102" s="1"/>
  <c r="D50" i="102"/>
  <c r="K50" i="102" s="1"/>
  <c r="D49" i="102"/>
  <c r="J49" i="102" s="1" a="1"/>
  <c r="J49" i="102" s="1"/>
  <c r="D48" i="102"/>
  <c r="J48" i="102" s="1" a="1"/>
  <c r="J48" i="102" s="1"/>
  <c r="D47" i="102"/>
  <c r="J47" i="102" s="1" a="1"/>
  <c r="J47" i="102" s="1"/>
  <c r="D46" i="102"/>
  <c r="K46" i="102" s="1"/>
  <c r="D45" i="102"/>
  <c r="J45" i="102" s="1" a="1"/>
  <c r="J45" i="102" s="1"/>
  <c r="D44" i="102"/>
  <c r="J44" i="102" s="1" a="1"/>
  <c r="J44" i="102" s="1"/>
  <c r="D43" i="102"/>
  <c r="K43" i="102" s="1"/>
  <c r="D42" i="102"/>
  <c r="K42" i="102" s="1"/>
  <c r="D41" i="102"/>
  <c r="J41" i="102" s="1" a="1"/>
  <c r="J41" i="102" s="1"/>
  <c r="D40" i="102"/>
  <c r="J40" i="102" s="1" a="1"/>
  <c r="J40" i="102" s="1"/>
  <c r="D39" i="102"/>
  <c r="K39" i="102" s="1"/>
  <c r="D38" i="102"/>
  <c r="K38" i="102" s="1"/>
  <c r="D37" i="102"/>
  <c r="K37" i="102" s="1"/>
  <c r="D36" i="102"/>
  <c r="J36" i="102" s="1" a="1"/>
  <c r="J36" i="102" s="1"/>
  <c r="D35" i="102"/>
  <c r="J35" i="102" s="1" a="1"/>
  <c r="J35" i="102" s="1"/>
  <c r="K34" i="102"/>
  <c r="K33" i="102"/>
  <c r="D32" i="102"/>
  <c r="K32" i="102" s="1"/>
  <c r="D31" i="102"/>
  <c r="J31" i="102" s="1" a="1"/>
  <c r="J31" i="102" s="1"/>
  <c r="D30" i="102"/>
  <c r="J30" i="102" s="1" a="1"/>
  <c r="J30" i="102" s="1"/>
  <c r="D29" i="102"/>
  <c r="K29" i="102" s="1"/>
  <c r="D28" i="102"/>
  <c r="K28" i="102" s="1"/>
  <c r="D27" i="102"/>
  <c r="J27" i="102" s="1" a="1"/>
  <c r="J27" i="102" s="1"/>
  <c r="D26" i="102"/>
  <c r="J26" i="102" s="1" a="1"/>
  <c r="J26" i="102" s="1"/>
  <c r="D25" i="102"/>
  <c r="K25" i="102" s="1"/>
  <c r="D24" i="102"/>
  <c r="K24" i="102" s="1"/>
  <c r="D23" i="102"/>
  <c r="J23" i="102" s="1" a="1"/>
  <c r="J23" i="102" s="1"/>
  <c r="D22" i="102"/>
  <c r="J22" i="102" s="1" a="1"/>
  <c r="J22" i="102" s="1"/>
  <c r="D21" i="102"/>
  <c r="J21" i="102" s="1" a="1"/>
  <c r="J21" i="102" s="1"/>
  <c r="D20" i="102"/>
  <c r="K20" i="102" s="1"/>
  <c r="D19" i="102"/>
  <c r="J19" i="102" s="1" a="1"/>
  <c r="J19" i="102" s="1"/>
  <c r="D18" i="102"/>
  <c r="J18" i="102" s="1" a="1"/>
  <c r="J18" i="102" s="1"/>
  <c r="D17" i="102"/>
  <c r="K17" i="102" s="1"/>
  <c r="D16" i="102"/>
  <c r="K16" i="102" s="1"/>
  <c r="D15" i="102"/>
  <c r="J15" i="102" s="1" a="1"/>
  <c r="J15" i="102" s="1"/>
  <c r="D14" i="102"/>
  <c r="J14" i="102" s="1" a="1"/>
  <c r="J14" i="102" s="1"/>
  <c r="D13" i="102"/>
  <c r="K13" i="102" s="1"/>
  <c r="D12" i="102"/>
  <c r="K12" i="102" s="1"/>
  <c r="D11" i="102"/>
  <c r="J11" i="102" s="1" a="1"/>
  <c r="J11" i="102" s="1"/>
  <c r="D10" i="102"/>
  <c r="J10" i="102" s="1" a="1"/>
  <c r="J10" i="102" s="1"/>
  <c r="D9" i="102"/>
  <c r="J9" i="102" s="1" a="1"/>
  <c r="J9" i="102" s="1"/>
  <c r="D8" i="102"/>
  <c r="K8" i="102" s="1"/>
  <c r="D7" i="102"/>
  <c r="J7" i="102" s="1" a="1"/>
  <c r="J7" i="102" s="1"/>
  <c r="D6" i="102"/>
  <c r="J6" i="102" s="1" a="1"/>
  <c r="J6" i="102" s="1"/>
  <c r="D5" i="102"/>
  <c r="K5" i="102" s="1"/>
  <c r="D4" i="102"/>
  <c r="K4" i="102" s="1"/>
  <c r="D3" i="102"/>
  <c r="J3" i="102" s="1" a="1"/>
  <c r="J3" i="102" s="1"/>
  <c r="D2" i="102"/>
  <c r="J2" i="102" s="1" a="1"/>
  <c r="J2" i="102" s="1"/>
  <c r="F489" i="101"/>
  <c r="I489" i="101"/>
  <c r="A489" i="101"/>
  <c r="C489" i="101" s="1"/>
  <c r="B489" i="101"/>
  <c r="F488" i="101"/>
  <c r="I488" i="101" s="1"/>
  <c r="F3" i="101"/>
  <c r="F4" i="101"/>
  <c r="A4" i="101" s="1"/>
  <c r="F5" i="101"/>
  <c r="B5" i="101" s="1"/>
  <c r="F6" i="101"/>
  <c r="I6" i="101" s="1"/>
  <c r="F7" i="101"/>
  <c r="F8" i="101"/>
  <c r="F9" i="101"/>
  <c r="F10" i="101"/>
  <c r="I10" i="101" s="1"/>
  <c r="F11" i="101"/>
  <c r="F12" i="101"/>
  <c r="A12" i="101" s="1"/>
  <c r="F13" i="101"/>
  <c r="F14" i="101"/>
  <c r="I14" i="101" s="1"/>
  <c r="F15" i="101"/>
  <c r="F16" i="101"/>
  <c r="A16" i="101" s="1"/>
  <c r="F17" i="101"/>
  <c r="F18" i="101"/>
  <c r="I18" i="101" s="1"/>
  <c r="F19" i="101"/>
  <c r="F20" i="101"/>
  <c r="A20" i="101" s="1"/>
  <c r="F21" i="101"/>
  <c r="B21" i="101" s="1"/>
  <c r="F22" i="101"/>
  <c r="I22" i="101" s="1"/>
  <c r="F23" i="101"/>
  <c r="F24" i="101"/>
  <c r="F25" i="101"/>
  <c r="F26" i="101"/>
  <c r="F27" i="101"/>
  <c r="F28" i="101"/>
  <c r="A28" i="101" s="1"/>
  <c r="F29" i="101"/>
  <c r="B29" i="101" s="1"/>
  <c r="F30" i="101"/>
  <c r="I30" i="101" s="1"/>
  <c r="F31" i="101"/>
  <c r="F32" i="101"/>
  <c r="A32" i="101" s="1"/>
  <c r="F33" i="101"/>
  <c r="F34" i="101"/>
  <c r="I34" i="101" s="1"/>
  <c r="F35" i="101"/>
  <c r="F36" i="101"/>
  <c r="A36" i="101" s="1"/>
  <c r="F37" i="101"/>
  <c r="B37" i="101" s="1"/>
  <c r="F38" i="101"/>
  <c r="I38" i="101" s="1"/>
  <c r="F39" i="101"/>
  <c r="F40" i="101"/>
  <c r="F41" i="101"/>
  <c r="F42" i="101"/>
  <c r="I42" i="101" s="1"/>
  <c r="F43" i="101"/>
  <c r="F44" i="101"/>
  <c r="A44" i="101" s="1"/>
  <c r="F45" i="101"/>
  <c r="B45" i="101" s="1"/>
  <c r="F46" i="101"/>
  <c r="I46" i="101" s="1"/>
  <c r="F47" i="101"/>
  <c r="F48" i="101"/>
  <c r="A48" i="101" s="1"/>
  <c r="F49" i="101"/>
  <c r="F50" i="101"/>
  <c r="I50" i="101" s="1"/>
  <c r="F51" i="101"/>
  <c r="F52" i="101"/>
  <c r="A52" i="101" s="1"/>
  <c r="F53" i="101"/>
  <c r="B53" i="101" s="1"/>
  <c r="F54" i="101"/>
  <c r="I54" i="101" s="1"/>
  <c r="F55" i="101"/>
  <c r="F56" i="101"/>
  <c r="F57" i="101"/>
  <c r="F58" i="101"/>
  <c r="I58" i="101" s="1"/>
  <c r="F59" i="101"/>
  <c r="F60" i="101"/>
  <c r="A60" i="101" s="1"/>
  <c r="F61" i="101"/>
  <c r="F62" i="101"/>
  <c r="I62" i="101" s="1"/>
  <c r="F63" i="101"/>
  <c r="F64" i="101"/>
  <c r="A64" i="101" s="1"/>
  <c r="F65" i="101"/>
  <c r="F66" i="101"/>
  <c r="I66" i="101" s="1"/>
  <c r="F67" i="101"/>
  <c r="F68" i="101"/>
  <c r="A68" i="101" s="1"/>
  <c r="F69" i="101"/>
  <c r="F70" i="101"/>
  <c r="I70" i="101" s="1"/>
  <c r="F71" i="101"/>
  <c r="F72" i="101"/>
  <c r="F73" i="101"/>
  <c r="B73" i="101" s="1"/>
  <c r="F74" i="101"/>
  <c r="I74" i="101" s="1"/>
  <c r="F75" i="101"/>
  <c r="F76" i="101"/>
  <c r="B77" i="101"/>
  <c r="F77" i="101"/>
  <c r="F78" i="101"/>
  <c r="I78" i="101" s="1"/>
  <c r="F79" i="101"/>
  <c r="F80" i="101"/>
  <c r="A80" i="101" s="1"/>
  <c r="F81" i="101"/>
  <c r="F82" i="101"/>
  <c r="A82" i="101" s="1"/>
  <c r="F83" i="101"/>
  <c r="F84" i="101"/>
  <c r="F85" i="101"/>
  <c r="B85" i="101" s="1"/>
  <c r="F86" i="101"/>
  <c r="I86" i="101" s="1"/>
  <c r="F87" i="101"/>
  <c r="I87" i="101" s="1"/>
  <c r="F88" i="101"/>
  <c r="F89" i="101"/>
  <c r="F90" i="101"/>
  <c r="B90" i="101" s="1"/>
  <c r="F91" i="101"/>
  <c r="B92" i="101"/>
  <c r="F92" i="101"/>
  <c r="A92" i="101" s="1"/>
  <c r="F93" i="101"/>
  <c r="F94" i="101"/>
  <c r="B94" i="101" s="1"/>
  <c r="F95" i="101"/>
  <c r="F96" i="101"/>
  <c r="F97" i="101"/>
  <c r="F98" i="101"/>
  <c r="B98" i="101" s="1"/>
  <c r="F99" i="101"/>
  <c r="F100" i="101"/>
  <c r="A100" i="101" s="1"/>
  <c r="F101" i="101"/>
  <c r="B102" i="101"/>
  <c r="F102" i="101"/>
  <c r="A102" i="101" s="1"/>
  <c r="F103" i="101"/>
  <c r="I103" i="101" s="1"/>
  <c r="F104" i="101"/>
  <c r="F105" i="101"/>
  <c r="F106" i="101"/>
  <c r="B106" i="101" s="1"/>
  <c r="F107" i="101"/>
  <c r="B108" i="101"/>
  <c r="F108" i="101"/>
  <c r="A108" i="101" s="1"/>
  <c r="F109" i="101"/>
  <c r="F110" i="101"/>
  <c r="B110" i="101" s="1"/>
  <c r="F111" i="101"/>
  <c r="F112" i="101"/>
  <c r="A112" i="101" s="1"/>
  <c r="F113" i="101"/>
  <c r="F114" i="101"/>
  <c r="F115" i="101"/>
  <c r="F116" i="101"/>
  <c r="F117" i="101"/>
  <c r="F118" i="101"/>
  <c r="B118" i="101" s="1"/>
  <c r="F119" i="101"/>
  <c r="I119" i="101" s="1"/>
  <c r="B120" i="101"/>
  <c r="F120" i="101"/>
  <c r="A120" i="101" s="1"/>
  <c r="F121" i="101"/>
  <c r="B122" i="101"/>
  <c r="F122" i="101"/>
  <c r="F123" i="101"/>
  <c r="F124" i="101"/>
  <c r="A124" i="101" s="1"/>
  <c r="D124" i="101" s="1"/>
  <c r="J124" i="101" s="1"/>
  <c r="F125" i="101"/>
  <c r="A125" i="101" s="1"/>
  <c r="D125" i="101" s="1"/>
  <c r="J125" i="101" s="1"/>
  <c r="F126" i="101"/>
  <c r="B126" i="101" s="1"/>
  <c r="F127" i="101"/>
  <c r="B127" i="101" s="1"/>
  <c r="F128" i="101"/>
  <c r="A128" i="101" s="1"/>
  <c r="D128" i="101" s="1"/>
  <c r="J128" i="101" s="1"/>
  <c r="A129" i="101"/>
  <c r="D129" i="101" s="1"/>
  <c r="J129" i="101" s="1"/>
  <c r="F129" i="101"/>
  <c r="F130" i="101"/>
  <c r="B130" i="101" s="1"/>
  <c r="F131" i="101"/>
  <c r="B131" i="101" s="1"/>
  <c r="A132" i="101"/>
  <c r="D132" i="101" s="1"/>
  <c r="J132" i="101" s="1"/>
  <c r="F132" i="101"/>
  <c r="F133" i="101"/>
  <c r="A133" i="101" s="1"/>
  <c r="D133" i="101" s="1"/>
  <c r="J133" i="101" s="1"/>
  <c r="F134" i="101"/>
  <c r="B134" i="101" s="1"/>
  <c r="F135" i="101"/>
  <c r="B135" i="101" s="1"/>
  <c r="F136" i="101"/>
  <c r="A136" i="101" s="1"/>
  <c r="D136" i="101" s="1"/>
  <c r="J136" i="101" s="1"/>
  <c r="F137" i="101"/>
  <c r="A137" i="101" s="1"/>
  <c r="D137" i="101" s="1"/>
  <c r="J137" i="101" s="1"/>
  <c r="F138" i="101"/>
  <c r="B138" i="101" s="1"/>
  <c r="F139" i="101"/>
  <c r="B139" i="101" s="1"/>
  <c r="F140" i="101"/>
  <c r="A140" i="101" s="1"/>
  <c r="D140" i="101" s="1"/>
  <c r="J140" i="101" s="1"/>
  <c r="F141" i="101"/>
  <c r="A141" i="101" s="1"/>
  <c r="D141" i="101" s="1"/>
  <c r="J141" i="101" s="1"/>
  <c r="F142" i="101"/>
  <c r="B142" i="101" s="1"/>
  <c r="F143" i="101"/>
  <c r="B143" i="101" s="1"/>
  <c r="F144" i="101"/>
  <c r="A144" i="101" s="1"/>
  <c r="D144" i="101" s="1"/>
  <c r="J144" i="101" s="1"/>
  <c r="A145" i="101"/>
  <c r="D145" i="101" s="1"/>
  <c r="J145" i="101" s="1"/>
  <c r="F145" i="101"/>
  <c r="F146" i="101"/>
  <c r="B146" i="101" s="1"/>
  <c r="F147" i="101"/>
  <c r="B147" i="101" s="1"/>
  <c r="A148" i="101"/>
  <c r="D148" i="101" s="1"/>
  <c r="J148" i="101" s="1"/>
  <c r="F148" i="101"/>
  <c r="A149" i="101"/>
  <c r="D149" i="101"/>
  <c r="J149" i="101" s="1"/>
  <c r="F149" i="101"/>
  <c r="F150" i="101"/>
  <c r="B150" i="101" s="1"/>
  <c r="F151" i="101"/>
  <c r="B151" i="101" s="1"/>
  <c r="A152" i="101"/>
  <c r="D152" i="101" s="1"/>
  <c r="J152" i="101" s="1"/>
  <c r="F152" i="101"/>
  <c r="F153" i="101"/>
  <c r="A153" i="101" s="1"/>
  <c r="D153" i="101" s="1"/>
  <c r="J153" i="101" s="1"/>
  <c r="F154" i="101"/>
  <c r="B154" i="101" s="1"/>
  <c r="F155" i="101"/>
  <c r="B155" i="101" s="1"/>
  <c r="F156" i="101"/>
  <c r="A156" i="101" s="1"/>
  <c r="D156" i="101" s="1"/>
  <c r="J156" i="101" s="1"/>
  <c r="F157" i="101"/>
  <c r="A157" i="101" s="1"/>
  <c r="D157" i="101" s="1"/>
  <c r="J157" i="101" s="1"/>
  <c r="F158" i="101"/>
  <c r="B158" i="101" s="1"/>
  <c r="B159" i="101"/>
  <c r="F159" i="101"/>
  <c r="I159" i="101" s="1"/>
  <c r="F160" i="101"/>
  <c r="F161" i="101"/>
  <c r="A161" i="101" s="1"/>
  <c r="F162" i="101"/>
  <c r="B162" i="101" s="1"/>
  <c r="F163" i="101"/>
  <c r="F164" i="101"/>
  <c r="I164" i="101" s="1"/>
  <c r="F165" i="101"/>
  <c r="A165" i="101" s="1"/>
  <c r="F166" i="101"/>
  <c r="F167" i="101"/>
  <c r="I167" i="101" s="1"/>
  <c r="A168" i="101"/>
  <c r="B168" i="101"/>
  <c r="F168" i="101"/>
  <c r="I168" i="101" s="1"/>
  <c r="F169" i="101"/>
  <c r="A169" i="101" s="1"/>
  <c r="F170" i="101"/>
  <c r="B170" i="101" s="1"/>
  <c r="F171" i="101"/>
  <c r="F172" i="101"/>
  <c r="I172" i="101" s="1"/>
  <c r="F173" i="101"/>
  <c r="A173" i="101" s="1"/>
  <c r="B174" i="101"/>
  <c r="F174" i="101"/>
  <c r="F175" i="101"/>
  <c r="B176" i="101"/>
  <c r="F176" i="101"/>
  <c r="I176" i="101" s="1"/>
  <c r="F177" i="101"/>
  <c r="A177" i="101" s="1"/>
  <c r="F178" i="101"/>
  <c r="B178" i="101" s="1"/>
  <c r="F179" i="101"/>
  <c r="F180" i="101"/>
  <c r="I180" i="101" s="1"/>
  <c r="F181" i="101"/>
  <c r="B182" i="101"/>
  <c r="F182" i="101"/>
  <c r="F183" i="101"/>
  <c r="F184" i="101"/>
  <c r="F185" i="101"/>
  <c r="F186" i="101"/>
  <c r="B186" i="101" s="1"/>
  <c r="F187" i="101"/>
  <c r="F188" i="101"/>
  <c r="F189" i="101"/>
  <c r="A189" i="101" s="1"/>
  <c r="D189" i="101" s="1"/>
  <c r="J189" i="101" s="1"/>
  <c r="F190" i="101"/>
  <c r="F191" i="101"/>
  <c r="F192" i="101"/>
  <c r="A193" i="101"/>
  <c r="D193" i="101" s="1"/>
  <c r="J193" i="101" s="1"/>
  <c r="F193" i="101"/>
  <c r="F194" i="101"/>
  <c r="F195" i="101"/>
  <c r="A196" i="101"/>
  <c r="F196" i="101"/>
  <c r="I196" i="101" s="1"/>
  <c r="F197" i="101"/>
  <c r="F198" i="101"/>
  <c r="F199" i="101"/>
  <c r="F200" i="101"/>
  <c r="I200" i="101" s="1"/>
  <c r="F201" i="101"/>
  <c r="A201" i="101" s="1"/>
  <c r="D201" i="101" s="1"/>
  <c r="J201" i="101" s="1"/>
  <c r="F202" i="101"/>
  <c r="F203" i="101"/>
  <c r="F204" i="101"/>
  <c r="I204" i="101" s="1"/>
  <c r="F205" i="101"/>
  <c r="F206" i="101"/>
  <c r="B206" i="101" s="1"/>
  <c r="A207" i="101"/>
  <c r="B207" i="101"/>
  <c r="F207" i="101"/>
  <c r="I207" i="101" s="1"/>
  <c r="F208" i="101"/>
  <c r="B208" i="101" s="1"/>
  <c r="F209" i="101"/>
  <c r="B210" i="101"/>
  <c r="F210" i="101"/>
  <c r="F211" i="101"/>
  <c r="I211" i="101" s="1"/>
  <c r="F212" i="101"/>
  <c r="B212" i="101" s="1"/>
  <c r="F213" i="101"/>
  <c r="F214" i="101"/>
  <c r="I214" i="101" s="1"/>
  <c r="B215" i="101"/>
  <c r="F215" i="101"/>
  <c r="F216" i="101"/>
  <c r="F217" i="101"/>
  <c r="B217" i="101" s="1"/>
  <c r="B218" i="101"/>
  <c r="F218" i="101"/>
  <c r="F219" i="101"/>
  <c r="F220" i="101"/>
  <c r="A220" i="101" s="1"/>
  <c r="D220" i="101" s="1"/>
  <c r="J220" i="101" s="1"/>
  <c r="F221" i="101"/>
  <c r="F222" i="101"/>
  <c r="F223" i="101"/>
  <c r="I223" i="101" s="1"/>
  <c r="F224" i="101"/>
  <c r="A224" i="101" s="1"/>
  <c r="D224" i="101" s="1"/>
  <c r="J224" i="101" s="1"/>
  <c r="F225" i="101"/>
  <c r="F226" i="101"/>
  <c r="F227" i="101"/>
  <c r="I227" i="101" s="1"/>
  <c r="F228" i="101"/>
  <c r="A228" i="101" s="1"/>
  <c r="D228" i="101" s="1"/>
  <c r="J228" i="101" s="1"/>
  <c r="F229" i="101"/>
  <c r="F230" i="101"/>
  <c r="F231" i="101"/>
  <c r="A231" i="101" s="1"/>
  <c r="F232" i="101"/>
  <c r="F233" i="101"/>
  <c r="F234" i="101"/>
  <c r="F235" i="101"/>
  <c r="I235" i="101" s="1"/>
  <c r="F236" i="101"/>
  <c r="A236" i="101" s="1"/>
  <c r="D236" i="101" s="1"/>
  <c r="J236" i="101" s="1"/>
  <c r="F237" i="101"/>
  <c r="F238" i="101"/>
  <c r="I238" i="101" s="1"/>
  <c r="F239" i="101"/>
  <c r="I239" i="101" s="1"/>
  <c r="F240" i="101"/>
  <c r="F241" i="101"/>
  <c r="B241" i="101" s="1"/>
  <c r="F242" i="101"/>
  <c r="I242" i="101" s="1"/>
  <c r="F243" i="101"/>
  <c r="I243" i="101" s="1"/>
  <c r="F244" i="101"/>
  <c r="F245" i="101"/>
  <c r="B245" i="101" s="1"/>
  <c r="A246" i="101"/>
  <c r="F246" i="101"/>
  <c r="I246" i="101" s="1"/>
  <c r="F247" i="101"/>
  <c r="I247" i="101" s="1"/>
  <c r="F248" i="101"/>
  <c r="F249" i="101"/>
  <c r="B249" i="101" s="1"/>
  <c r="F250" i="101"/>
  <c r="I250" i="101" s="1"/>
  <c r="B251" i="101"/>
  <c r="F251" i="101"/>
  <c r="F252" i="101"/>
  <c r="A252" i="101" s="1"/>
  <c r="D252" i="101" s="1"/>
  <c r="J252" i="101" s="1"/>
  <c r="F253" i="101"/>
  <c r="B253" i="101" s="1"/>
  <c r="F254" i="101"/>
  <c r="B254" i="101" s="1"/>
  <c r="F255" i="101"/>
  <c r="F256" i="101"/>
  <c r="F257" i="101"/>
  <c r="B257" i="101" s="1"/>
  <c r="F258" i="101"/>
  <c r="F259" i="101"/>
  <c r="B259" i="101" s="1"/>
  <c r="F260" i="101"/>
  <c r="F261" i="101"/>
  <c r="F262" i="101"/>
  <c r="I262" i="101" s="1"/>
  <c r="B263" i="101"/>
  <c r="F263" i="101"/>
  <c r="I263" i="101" s="1"/>
  <c r="F264" i="101"/>
  <c r="A264" i="101" s="1"/>
  <c r="D264" i="101" s="1"/>
  <c r="J264" i="101" s="1"/>
  <c r="F265" i="101"/>
  <c r="B265" i="101" s="1"/>
  <c r="F266" i="101"/>
  <c r="B266" i="101" s="1"/>
  <c r="F267" i="101"/>
  <c r="B267" i="101" s="1"/>
  <c r="F268" i="101"/>
  <c r="F269" i="101"/>
  <c r="B269" i="101" s="1"/>
  <c r="F270" i="101"/>
  <c r="I270" i="101" s="1"/>
  <c r="F271" i="101"/>
  <c r="I271" i="101" s="1"/>
  <c r="F272" i="101"/>
  <c r="A272" i="101" s="1"/>
  <c r="F273" i="101"/>
  <c r="B273" i="101" s="1"/>
  <c r="F274" i="101"/>
  <c r="F275" i="101"/>
  <c r="B275" i="101" s="1"/>
  <c r="F276" i="101"/>
  <c r="F277" i="101"/>
  <c r="A277" i="101" s="1"/>
  <c r="D277" i="101" s="1"/>
  <c r="J277" i="101" s="1"/>
  <c r="F278" i="101"/>
  <c r="A278" i="101" s="1"/>
  <c r="D278" i="101" s="1"/>
  <c r="J278" i="101" s="1"/>
  <c r="F279" i="101"/>
  <c r="F280" i="101"/>
  <c r="B280" i="101" s="1"/>
  <c r="F281" i="101"/>
  <c r="F282" i="101"/>
  <c r="F283" i="101"/>
  <c r="F284" i="101"/>
  <c r="B284" i="101" s="1"/>
  <c r="F285" i="101"/>
  <c r="A285" i="101" s="1"/>
  <c r="D285" i="101" s="1"/>
  <c r="J285" i="101" s="1"/>
  <c r="F286" i="101"/>
  <c r="F287" i="101"/>
  <c r="B287" i="101" s="1"/>
  <c r="F288" i="101"/>
  <c r="B288" i="101" s="1"/>
  <c r="F289" i="101"/>
  <c r="F290" i="101"/>
  <c r="A290" i="101" s="1"/>
  <c r="D290" i="101" s="1"/>
  <c r="J290" i="101" s="1"/>
  <c r="F291" i="101"/>
  <c r="F292" i="101"/>
  <c r="F293" i="101"/>
  <c r="A293" i="101" s="1"/>
  <c r="D293" i="101" s="1"/>
  <c r="J293" i="101" s="1"/>
  <c r="F294" i="101"/>
  <c r="A294" i="101" s="1"/>
  <c r="D294" i="101" s="1"/>
  <c r="J294" i="101" s="1"/>
  <c r="F295" i="101"/>
  <c r="F296" i="101"/>
  <c r="F297" i="101"/>
  <c r="A297" i="101" s="1"/>
  <c r="D297" i="101" s="1"/>
  <c r="J297" i="101" s="1"/>
  <c r="F298" i="101"/>
  <c r="F299" i="101"/>
  <c r="A299" i="101" s="1"/>
  <c r="F300" i="101"/>
  <c r="B300" i="101" s="1"/>
  <c r="F301" i="101"/>
  <c r="A301" i="101" s="1"/>
  <c r="D301" i="101" s="1"/>
  <c r="J301" i="101" s="1"/>
  <c r="F302" i="101"/>
  <c r="F303" i="101"/>
  <c r="B303" i="101" s="1"/>
  <c r="F304" i="101"/>
  <c r="B304" i="101" s="1"/>
  <c r="F305" i="101"/>
  <c r="F306" i="101"/>
  <c r="A306" i="101" s="1"/>
  <c r="D306" i="101" s="1"/>
  <c r="J306" i="101" s="1"/>
  <c r="F307" i="101"/>
  <c r="A307" i="101" s="1"/>
  <c r="F308" i="101"/>
  <c r="F309" i="101"/>
  <c r="A309" i="101" s="1"/>
  <c r="D309" i="101" s="1"/>
  <c r="J309" i="101" s="1"/>
  <c r="F310" i="101"/>
  <c r="F311" i="101"/>
  <c r="F312" i="101"/>
  <c r="A313" i="101"/>
  <c r="D313" i="101" s="1"/>
  <c r="J313" i="101" s="1"/>
  <c r="F313" i="101"/>
  <c r="F314" i="101"/>
  <c r="F315" i="101"/>
  <c r="A315" i="101" s="1"/>
  <c r="B316" i="101"/>
  <c r="F316" i="101"/>
  <c r="F317" i="101"/>
  <c r="F318" i="101"/>
  <c r="A318" i="101" s="1"/>
  <c r="D318" i="101" s="1"/>
  <c r="J318" i="101" s="1"/>
  <c r="F319" i="101"/>
  <c r="A319" i="101" s="1"/>
  <c r="F320" i="101"/>
  <c r="F321" i="101"/>
  <c r="A321" i="101" s="1"/>
  <c r="D321" i="101" s="1"/>
  <c r="J321" i="101" s="1"/>
  <c r="F322" i="101"/>
  <c r="A322" i="101" s="1"/>
  <c r="D322" i="101" s="1"/>
  <c r="J322" i="101" s="1"/>
  <c r="F323" i="101"/>
  <c r="F324" i="101"/>
  <c r="B324" i="101" s="1"/>
  <c r="F325" i="101"/>
  <c r="A325" i="101" s="1"/>
  <c r="D325" i="101" s="1"/>
  <c r="J325" i="101" s="1"/>
  <c r="F326" i="101"/>
  <c r="F327" i="101"/>
  <c r="A327" i="101" s="1"/>
  <c r="D327" i="101" s="1"/>
  <c r="J327" i="101" s="1"/>
  <c r="F328" i="101"/>
  <c r="B328" i="101" s="1"/>
  <c r="F329" i="101"/>
  <c r="F330" i="101"/>
  <c r="A330" i="101" s="1"/>
  <c r="D330" i="101" s="1"/>
  <c r="J330" i="101" s="1"/>
  <c r="A331" i="101"/>
  <c r="F331" i="101"/>
  <c r="F332" i="101"/>
  <c r="B332" i="101" s="1"/>
  <c r="F333" i="101"/>
  <c r="A334" i="101"/>
  <c r="D334" i="101" s="1"/>
  <c r="J334" i="101" s="1"/>
  <c r="F334" i="101"/>
  <c r="F335" i="101"/>
  <c r="A335" i="101" s="1"/>
  <c r="F336" i="101"/>
  <c r="A337" i="101"/>
  <c r="D337" i="101" s="1"/>
  <c r="J337" i="101" s="1"/>
  <c r="F337" i="101"/>
  <c r="F338" i="101"/>
  <c r="A338" i="101" s="1"/>
  <c r="D338" i="101" s="1"/>
  <c r="J338" i="101" s="1"/>
  <c r="F339" i="101"/>
  <c r="B340" i="101"/>
  <c r="F340" i="101"/>
  <c r="F341" i="101"/>
  <c r="A341" i="101" s="1"/>
  <c r="D341" i="101" s="1"/>
  <c r="J341" i="101" s="1"/>
  <c r="F342" i="101"/>
  <c r="F343" i="101"/>
  <c r="A343" i="101" s="1"/>
  <c r="D343" i="101" s="1"/>
  <c r="J343" i="101" s="1"/>
  <c r="F344" i="101"/>
  <c r="B344" i="101" s="1"/>
  <c r="F345" i="101"/>
  <c r="A346" i="101"/>
  <c r="D346" i="101" s="1"/>
  <c r="J346" i="101" s="1"/>
  <c r="F346" i="101"/>
  <c r="F347" i="101"/>
  <c r="A347" i="101" s="1"/>
  <c r="F348" i="101"/>
  <c r="B348" i="101" s="1"/>
  <c r="F349" i="101"/>
  <c r="F350" i="101"/>
  <c r="A350" i="101" s="1"/>
  <c r="D350" i="101" s="1"/>
  <c r="J350" i="101" s="1"/>
  <c r="F351" i="101"/>
  <c r="A351" i="101" s="1"/>
  <c r="F352" i="101"/>
  <c r="F353" i="101"/>
  <c r="A353" i="101" s="1"/>
  <c r="D353" i="101" s="1"/>
  <c r="J353" i="101" s="1"/>
  <c r="F354" i="101"/>
  <c r="A354" i="101" s="1"/>
  <c r="D354" i="101" s="1"/>
  <c r="J354" i="101" s="1"/>
  <c r="F355" i="101"/>
  <c r="F356" i="101"/>
  <c r="B356" i="101" s="1"/>
  <c r="A357" i="101"/>
  <c r="D357" i="101" s="1"/>
  <c r="J357" i="101" s="1"/>
  <c r="F357" i="101"/>
  <c r="F358" i="101"/>
  <c r="F359" i="101"/>
  <c r="F360" i="101"/>
  <c r="F361" i="101"/>
  <c r="F362" i="101"/>
  <c r="B362" i="101" s="1"/>
  <c r="F363" i="101"/>
  <c r="F364" i="101"/>
  <c r="B364" i="101" s="1"/>
  <c r="F365" i="101"/>
  <c r="F366" i="101"/>
  <c r="F367" i="101"/>
  <c r="F368" i="101"/>
  <c r="F369" i="101"/>
  <c r="F370" i="101"/>
  <c r="B370" i="101" s="1"/>
  <c r="F371" i="101"/>
  <c r="F372" i="101"/>
  <c r="B372" i="101" s="1"/>
  <c r="F373" i="101"/>
  <c r="F374" i="101"/>
  <c r="F375" i="101"/>
  <c r="F376" i="101"/>
  <c r="F377" i="101"/>
  <c r="B378" i="101"/>
  <c r="F378" i="101"/>
  <c r="F379" i="101"/>
  <c r="F380" i="101"/>
  <c r="B380" i="101" s="1"/>
  <c r="F381" i="101"/>
  <c r="F382" i="101"/>
  <c r="F383" i="101"/>
  <c r="F384" i="101"/>
  <c r="F385" i="101"/>
  <c r="B386" i="101"/>
  <c r="F386" i="101"/>
  <c r="F387" i="101"/>
  <c r="F388" i="101"/>
  <c r="B388" i="101" s="1"/>
  <c r="F389" i="101"/>
  <c r="F390" i="101"/>
  <c r="F391" i="101"/>
  <c r="F392" i="101"/>
  <c r="F393" i="101"/>
  <c r="F394" i="101"/>
  <c r="B394" i="101" s="1"/>
  <c r="F395" i="101"/>
  <c r="F396" i="101"/>
  <c r="B396" i="101" s="1"/>
  <c r="F397" i="101"/>
  <c r="F398" i="101"/>
  <c r="F399" i="101"/>
  <c r="F400" i="101"/>
  <c r="F401" i="101"/>
  <c r="F402" i="101"/>
  <c r="B402" i="101" s="1"/>
  <c r="F403" i="101"/>
  <c r="F404" i="101"/>
  <c r="B404" i="101" s="1"/>
  <c r="F405" i="101"/>
  <c r="F406" i="101"/>
  <c r="F407" i="101"/>
  <c r="F408" i="101"/>
  <c r="F409" i="101"/>
  <c r="B410" i="101"/>
  <c r="F410" i="101"/>
  <c r="F411" i="101"/>
  <c r="F412" i="101"/>
  <c r="B412" i="101" s="1"/>
  <c r="F413" i="101"/>
  <c r="F414" i="101"/>
  <c r="F415" i="101"/>
  <c r="F416" i="101"/>
  <c r="F417" i="101"/>
  <c r="B418" i="101"/>
  <c r="F418" i="101"/>
  <c r="F419" i="101"/>
  <c r="F420" i="101"/>
  <c r="B420" i="101" s="1"/>
  <c r="F421" i="101"/>
  <c r="F422" i="101"/>
  <c r="F423" i="101"/>
  <c r="F424" i="101"/>
  <c r="F425" i="101"/>
  <c r="F426" i="101"/>
  <c r="B426" i="101" s="1"/>
  <c r="F427" i="101"/>
  <c r="F428" i="101"/>
  <c r="B428" i="101" s="1"/>
  <c r="F429" i="101"/>
  <c r="F430" i="101"/>
  <c r="F431" i="101"/>
  <c r="F432" i="101"/>
  <c r="F433" i="101"/>
  <c r="F434" i="101"/>
  <c r="B434" i="101" s="1"/>
  <c r="F435" i="101"/>
  <c r="F436" i="101"/>
  <c r="B436" i="101" s="1"/>
  <c r="F437" i="101"/>
  <c r="F438" i="101"/>
  <c r="F439" i="101"/>
  <c r="F440" i="101"/>
  <c r="F441" i="101"/>
  <c r="B442" i="101"/>
  <c r="F442" i="101"/>
  <c r="F443" i="101"/>
  <c r="F444" i="101"/>
  <c r="B444" i="101" s="1"/>
  <c r="F445" i="101"/>
  <c r="F446" i="101"/>
  <c r="F447" i="101"/>
  <c r="F448" i="101"/>
  <c r="F449" i="101"/>
  <c r="F450" i="101"/>
  <c r="B450" i="101" s="1"/>
  <c r="F451" i="101"/>
  <c r="F452" i="101"/>
  <c r="B452" i="101" s="1"/>
  <c r="F453" i="101"/>
  <c r="F454" i="101"/>
  <c r="B454" i="101" s="1"/>
  <c r="F455" i="101"/>
  <c r="F456" i="101"/>
  <c r="B456" i="101" s="1"/>
  <c r="F457" i="101"/>
  <c r="F458" i="101"/>
  <c r="B458" i="101" s="1"/>
  <c r="F459" i="101"/>
  <c r="F460" i="101"/>
  <c r="F461" i="101"/>
  <c r="A461" i="101" s="1"/>
  <c r="F462" i="101"/>
  <c r="F463" i="101"/>
  <c r="F464" i="101"/>
  <c r="F465" i="101"/>
  <c r="F466" i="101"/>
  <c r="B466" i="101" s="1"/>
  <c r="F467" i="101"/>
  <c r="B468" i="101"/>
  <c r="F468" i="101"/>
  <c r="F469" i="101"/>
  <c r="F470" i="101"/>
  <c r="B470" i="101" s="1"/>
  <c r="F471" i="101"/>
  <c r="F472" i="101"/>
  <c r="B472" i="101" s="1"/>
  <c r="F473" i="101"/>
  <c r="F474" i="101"/>
  <c r="B474" i="101" s="1"/>
  <c r="F475" i="101"/>
  <c r="F476" i="101"/>
  <c r="F477" i="101"/>
  <c r="A477" i="101" s="1"/>
  <c r="F478" i="101"/>
  <c r="F479" i="101"/>
  <c r="F480" i="101"/>
  <c r="F481" i="101"/>
  <c r="F482" i="101"/>
  <c r="B482" i="101" s="1"/>
  <c r="F483" i="101"/>
  <c r="B484" i="101"/>
  <c r="F484" i="101"/>
  <c r="F485" i="101"/>
  <c r="F486" i="101"/>
  <c r="B486" i="101" s="1"/>
  <c r="F487" i="101"/>
  <c r="S337" i="16" l="1"/>
  <c r="K139" i="102"/>
  <c r="K131" i="102"/>
  <c r="K168" i="102"/>
  <c r="K151" i="102"/>
  <c r="K158" i="102"/>
  <c r="K41" i="102"/>
  <c r="K48" i="102"/>
  <c r="K103" i="102"/>
  <c r="K166" i="102"/>
  <c r="K53" i="102"/>
  <c r="K123" i="102"/>
  <c r="K147" i="102"/>
  <c r="K174" i="102"/>
  <c r="K135" i="102"/>
  <c r="K155" i="102"/>
  <c r="K60" i="102"/>
  <c r="K112" i="102"/>
  <c r="R337" i="16"/>
  <c r="Q337" i="16" s="1"/>
  <c r="P337" i="16" s="1"/>
  <c r="J12" i="102" a="1"/>
  <c r="J12" i="102" s="1"/>
  <c r="J32" i="102" a="1"/>
  <c r="J32" i="102" s="1"/>
  <c r="J56" i="102" a="1"/>
  <c r="J56" i="102" s="1"/>
  <c r="J76" i="102" a="1"/>
  <c r="J76" i="102" s="1"/>
  <c r="J96" i="102" a="1"/>
  <c r="J96" i="102" s="1"/>
  <c r="J116" i="102" a="1"/>
  <c r="J116" i="102" s="1"/>
  <c r="J124" i="102" a="1"/>
  <c r="J124" i="102" s="1"/>
  <c r="J140" i="102" a="1"/>
  <c r="J140" i="102" s="1"/>
  <c r="S348" i="16"/>
  <c r="R348" i="16" s="1"/>
  <c r="Q348" i="16" s="1"/>
  <c r="P348" i="16" s="1"/>
  <c r="S306" i="16"/>
  <c r="R306" i="16" s="1"/>
  <c r="Q306" i="16" s="1"/>
  <c r="P306" i="16" s="1"/>
  <c r="S328" i="16"/>
  <c r="R328" i="16" s="1"/>
  <c r="Q328" i="16" s="1"/>
  <c r="P328" i="16" s="1"/>
  <c r="S347" i="16"/>
  <c r="R347" i="16" s="1"/>
  <c r="Q347" i="16" s="1"/>
  <c r="P347" i="16" s="1"/>
  <c r="K65" i="102"/>
  <c r="K72" i="102"/>
  <c r="K23" i="102"/>
  <c r="K47" i="102"/>
  <c r="K49" i="102"/>
  <c r="K52" i="102"/>
  <c r="K87" i="102"/>
  <c r="K127" i="102"/>
  <c r="K143" i="102"/>
  <c r="K160" i="102"/>
  <c r="K176" i="102"/>
  <c r="J16" i="102" a="1"/>
  <c r="J16" i="102" s="1"/>
  <c r="J80" i="102" a="1"/>
  <c r="J80" i="102" s="1"/>
  <c r="J104" i="102" a="1"/>
  <c r="J104" i="102" s="1"/>
  <c r="J128" i="102" a="1"/>
  <c r="J128" i="102" s="1"/>
  <c r="J144" i="102" a="1"/>
  <c r="J144" i="102" s="1"/>
  <c r="K7" i="102"/>
  <c r="K61" i="102"/>
  <c r="K64" i="102"/>
  <c r="K73" i="102"/>
  <c r="J24" i="102" a="1"/>
  <c r="J24" i="102" s="1"/>
  <c r="J88" i="102" a="1"/>
  <c r="J88" i="102" s="1"/>
  <c r="J108" i="102" a="1"/>
  <c r="J108" i="102" s="1"/>
  <c r="J132" i="102" a="1"/>
  <c r="J132" i="102" s="1"/>
  <c r="J148" i="102" a="1"/>
  <c r="J148" i="102" s="1"/>
  <c r="J8" i="102" a="1"/>
  <c r="J8" i="102" s="1"/>
  <c r="J28" i="102" a="1"/>
  <c r="J28" i="102" s="1"/>
  <c r="J92" i="102" a="1"/>
  <c r="J92" i="102" s="1"/>
  <c r="J136" i="102" a="1"/>
  <c r="J136" i="102" s="1"/>
  <c r="J152" i="102" a="1"/>
  <c r="J152" i="102" s="1"/>
  <c r="S244" i="16"/>
  <c r="R244" i="16" s="1"/>
  <c r="Q244" i="16" s="1"/>
  <c r="P244" i="16" s="1"/>
  <c r="S299" i="16"/>
  <c r="R299" i="16" s="1"/>
  <c r="Q299" i="16" s="1"/>
  <c r="P299" i="16" s="1"/>
  <c r="K11" i="102"/>
  <c r="K27" i="102"/>
  <c r="K45" i="102"/>
  <c r="K57" i="102"/>
  <c r="K68" i="102"/>
  <c r="K75" i="102"/>
  <c r="K91" i="102"/>
  <c r="K107" i="102"/>
  <c r="K164" i="102"/>
  <c r="K172" i="102"/>
  <c r="J5" i="102" a="1"/>
  <c r="J5" i="102" s="1"/>
  <c r="J13" i="102" a="1"/>
  <c r="J13" i="102" s="1"/>
  <c r="J17" i="102" a="1"/>
  <c r="J17" i="102" s="1"/>
  <c r="J25" i="102" a="1"/>
  <c r="J25" i="102" s="1"/>
  <c r="J29" i="102" a="1"/>
  <c r="J29" i="102" s="1"/>
  <c r="J37" i="102" a="1"/>
  <c r="J37" i="102" s="1"/>
  <c r="J69" i="102" a="1"/>
  <c r="J69" i="102" s="1"/>
  <c r="J77" i="102" a="1"/>
  <c r="J77" i="102" s="1"/>
  <c r="J81" i="102" a="1"/>
  <c r="J81" i="102" s="1"/>
  <c r="J85" i="102" a="1"/>
  <c r="J85" i="102" s="1"/>
  <c r="J89" i="102" a="1"/>
  <c r="J89" i="102" s="1"/>
  <c r="J93" i="102" a="1"/>
  <c r="J93" i="102" s="1"/>
  <c r="J97" i="102" a="1"/>
  <c r="J97" i="102" s="1"/>
  <c r="J101" i="102" a="1"/>
  <c r="J101" i="102" s="1"/>
  <c r="J105" i="102" a="1"/>
  <c r="J105" i="102" s="1"/>
  <c r="J109" i="102" a="1"/>
  <c r="J109" i="102" s="1"/>
  <c r="J113" i="102" a="1"/>
  <c r="J113" i="102" s="1"/>
  <c r="J117" i="102" a="1"/>
  <c r="J117" i="102" s="1"/>
  <c r="J121" i="102" a="1"/>
  <c r="J121" i="102" s="1"/>
  <c r="J125" i="102" a="1"/>
  <c r="J125" i="102" s="1"/>
  <c r="J129" i="102" a="1"/>
  <c r="J129" i="102" s="1"/>
  <c r="J133" i="102" a="1"/>
  <c r="J133" i="102" s="1"/>
  <c r="J137" i="102" a="1"/>
  <c r="J137" i="102" s="1"/>
  <c r="J141" i="102" a="1"/>
  <c r="J141" i="102" s="1"/>
  <c r="J145" i="102" a="1"/>
  <c r="J145" i="102" s="1"/>
  <c r="J149" i="102" a="1"/>
  <c r="J149" i="102" s="1"/>
  <c r="J153" i="102" a="1"/>
  <c r="J153" i="102" s="1"/>
  <c r="J162" i="102" a="1"/>
  <c r="J162" i="102" s="1"/>
  <c r="J170" i="102" a="1"/>
  <c r="J170" i="102" s="1"/>
  <c r="J178" i="102" a="1"/>
  <c r="J178" i="102" s="1"/>
  <c r="S75" i="16"/>
  <c r="R75" i="16" s="1"/>
  <c r="Q75" i="16" s="1"/>
  <c r="P75" i="16" s="1"/>
  <c r="S317" i="16"/>
  <c r="R317" i="16" s="1"/>
  <c r="Q317" i="16" s="1"/>
  <c r="P317" i="16" s="1"/>
  <c r="S274" i="16"/>
  <c r="R274" i="16" s="1"/>
  <c r="Q274" i="16" s="1"/>
  <c r="P274" i="16" s="1"/>
  <c r="S307" i="16"/>
  <c r="R307" i="16" s="1"/>
  <c r="Q307" i="16" s="1"/>
  <c r="P307" i="16" s="1"/>
  <c r="J4" i="102" a="1"/>
  <c r="J4" i="102" s="1"/>
  <c r="J20" i="102" a="1"/>
  <c r="J20" i="102" s="1"/>
  <c r="J84" i="102" a="1"/>
  <c r="J84" i="102" s="1"/>
  <c r="J100" i="102" a="1"/>
  <c r="J100" i="102" s="1"/>
  <c r="K15" i="102"/>
  <c r="K31" i="102"/>
  <c r="K79" i="102"/>
  <c r="K95" i="102"/>
  <c r="J38" i="102" a="1"/>
  <c r="J38" i="102" s="1"/>
  <c r="J42" i="102" a="1"/>
  <c r="J42" i="102" s="1"/>
  <c r="J46" i="102" a="1"/>
  <c r="J46" i="102" s="1"/>
  <c r="J50" i="102" a="1"/>
  <c r="J50" i="102" s="1"/>
  <c r="J54" i="102" a="1"/>
  <c r="J54" i="102" s="1"/>
  <c r="J58" i="102" a="1"/>
  <c r="J58" i="102" s="1"/>
  <c r="J62" i="102" a="1"/>
  <c r="J62" i="102" s="1"/>
  <c r="J66" i="102" a="1"/>
  <c r="J66" i="102" s="1"/>
  <c r="J70" i="102" a="1"/>
  <c r="J70" i="102" s="1"/>
  <c r="J110" i="102" a="1"/>
  <c r="J110" i="102" s="1"/>
  <c r="J114" i="102" a="1"/>
  <c r="J114" i="102" s="1"/>
  <c r="S142" i="16"/>
  <c r="R142" i="16" s="1"/>
  <c r="Q142" i="16" s="1"/>
  <c r="P142" i="16" s="1"/>
  <c r="S257" i="16"/>
  <c r="R257" i="16" s="1"/>
  <c r="Q257" i="16" s="1"/>
  <c r="P257" i="16" s="1"/>
  <c r="S335" i="16"/>
  <c r="R335" i="16" s="1"/>
  <c r="Q335" i="16" s="1"/>
  <c r="P335" i="16" s="1"/>
  <c r="S338" i="16"/>
  <c r="R338" i="16" s="1"/>
  <c r="Q338" i="16" s="1"/>
  <c r="P338" i="16" s="1"/>
  <c r="K3" i="102"/>
  <c r="K19" i="102"/>
  <c r="K63" i="102"/>
  <c r="K67" i="102"/>
  <c r="K83" i="102"/>
  <c r="K99" i="102"/>
  <c r="J39" i="102" a="1"/>
  <c r="J39" i="102" s="1"/>
  <c r="J43" i="102" a="1"/>
  <c r="J43" i="102" s="1"/>
  <c r="J143" i="102" a="1"/>
  <c r="J143" i="102" s="1"/>
  <c r="J180" i="102" a="1"/>
  <c r="J180" i="102" s="1"/>
  <c r="S167" i="16"/>
  <c r="R167" i="16" s="1"/>
  <c r="Q167" i="16" s="1"/>
  <c r="P167" i="16" s="1"/>
  <c r="S284" i="16"/>
  <c r="R284" i="16" s="1"/>
  <c r="Q284" i="16" s="1"/>
  <c r="P284" i="16" s="1"/>
  <c r="S323" i="16"/>
  <c r="R323" i="16" s="1"/>
  <c r="Q323" i="16" s="1"/>
  <c r="P323" i="16" s="1"/>
  <c r="S339" i="16"/>
  <c r="R339" i="16" s="1"/>
  <c r="Q339" i="16" s="1"/>
  <c r="P339" i="16" s="1"/>
  <c r="S345" i="16"/>
  <c r="R345" i="16" s="1"/>
  <c r="Q345" i="16" s="1"/>
  <c r="P345" i="16" s="1"/>
  <c r="J156" i="102" a="1"/>
  <c r="J156" i="102" s="1"/>
  <c r="K82" i="102"/>
  <c r="K98" i="102"/>
  <c r="K2" i="102"/>
  <c r="K6" i="102"/>
  <c r="K9" i="102"/>
  <c r="K10" i="102"/>
  <c r="K14" i="102"/>
  <c r="K18" i="102"/>
  <c r="K21" i="102"/>
  <c r="K22" i="102"/>
  <c r="K26" i="102"/>
  <c r="K30" i="102"/>
  <c r="K35" i="102"/>
  <c r="K36" i="102"/>
  <c r="K40" i="102"/>
  <c r="K44" i="102"/>
  <c r="K55" i="102"/>
  <c r="K71" i="102"/>
  <c r="K86" i="102"/>
  <c r="K102" i="102"/>
  <c r="K51" i="102"/>
  <c r="K59" i="102"/>
  <c r="K74" i="102"/>
  <c r="K90" i="102"/>
  <c r="K106" i="102"/>
  <c r="K78" i="102"/>
  <c r="K94" i="102"/>
  <c r="K115" i="102"/>
  <c r="K126" i="102"/>
  <c r="K134" i="102"/>
  <c r="K142" i="102"/>
  <c r="K146" i="102"/>
  <c r="K150" i="102"/>
  <c r="K159" i="102"/>
  <c r="K167" i="102"/>
  <c r="K111" i="102"/>
  <c r="K122" i="102"/>
  <c r="K130" i="102"/>
  <c r="K138" i="102"/>
  <c r="K161" i="102"/>
  <c r="K169" i="102"/>
  <c r="K163" i="102"/>
  <c r="K173" i="102"/>
  <c r="K165" i="102"/>
  <c r="K177" i="102"/>
  <c r="K154" i="102"/>
  <c r="K171" i="102"/>
  <c r="K175" i="102"/>
  <c r="K179" i="102"/>
  <c r="D489" i="101"/>
  <c r="J489" i="101" s="1"/>
  <c r="B211" i="101"/>
  <c r="I64" i="101"/>
  <c r="A256" i="101"/>
  <c r="D256" i="101" s="1"/>
  <c r="J256" i="101" s="1"/>
  <c r="D235" i="16" s="1"/>
  <c r="B238" i="101"/>
  <c r="A223" i="101"/>
  <c r="A271" i="101"/>
  <c r="B242" i="101"/>
  <c r="A238" i="101"/>
  <c r="A211" i="101"/>
  <c r="B180" i="101"/>
  <c r="B172" i="101"/>
  <c r="B164" i="101"/>
  <c r="B100" i="101"/>
  <c r="A287" i="101"/>
  <c r="C287" i="101" s="1"/>
  <c r="B246" i="101"/>
  <c r="A242" i="101"/>
  <c r="B203" i="101"/>
  <c r="A203" i="101"/>
  <c r="I160" i="101"/>
  <c r="B160" i="101"/>
  <c r="A96" i="101"/>
  <c r="I96" i="101"/>
  <c r="B96" i="101"/>
  <c r="I183" i="101"/>
  <c r="A183" i="101"/>
  <c r="B183" i="101"/>
  <c r="I179" i="101"/>
  <c r="A179" i="101"/>
  <c r="B179" i="101"/>
  <c r="I171" i="101"/>
  <c r="A171" i="101"/>
  <c r="B171" i="101"/>
  <c r="I163" i="101"/>
  <c r="B163" i="101"/>
  <c r="A116" i="101"/>
  <c r="B116" i="101"/>
  <c r="D295" i="16"/>
  <c r="D255" i="16"/>
  <c r="G312" i="16"/>
  <c r="I175" i="101"/>
  <c r="A175" i="101"/>
  <c r="B175" i="101"/>
  <c r="B61" i="101"/>
  <c r="I26" i="101"/>
  <c r="D271" i="16"/>
  <c r="I192" i="101"/>
  <c r="A192" i="101"/>
  <c r="D123" i="16"/>
  <c r="D131" i="16"/>
  <c r="D135" i="16"/>
  <c r="D207" i="16"/>
  <c r="A104" i="101"/>
  <c r="B104" i="101"/>
  <c r="A88" i="101"/>
  <c r="B88" i="101"/>
  <c r="I48" i="101"/>
  <c r="D306" i="16"/>
  <c r="D302" i="16"/>
  <c r="D290" i="16"/>
  <c r="D286" i="16"/>
  <c r="D282" i="16"/>
  <c r="D278" i="16"/>
  <c r="D274" i="16"/>
  <c r="D254" i="16"/>
  <c r="D242" i="16"/>
  <c r="D230" i="16"/>
  <c r="D214" i="16"/>
  <c r="D130" i="16"/>
  <c r="D122" i="16"/>
  <c r="D118" i="16"/>
  <c r="G285" i="16"/>
  <c r="G144" i="16"/>
  <c r="A303" i="101"/>
  <c r="C303" i="101" s="1"/>
  <c r="B262" i="101"/>
  <c r="G113" i="16"/>
  <c r="G117" i="16"/>
  <c r="G121" i="16"/>
  <c r="G141" i="16"/>
  <c r="G145" i="16"/>
  <c r="G149" i="16"/>
  <c r="G118" i="16"/>
  <c r="G122" i="16"/>
  <c r="G130" i="16"/>
  <c r="G142" i="16"/>
  <c r="G214" i="16"/>
  <c r="G230" i="16"/>
  <c r="G254" i="16"/>
  <c r="G274" i="16"/>
  <c r="G278" i="16"/>
  <c r="G282" i="16"/>
  <c r="G286" i="16"/>
  <c r="G290" i="16"/>
  <c r="G298" i="16"/>
  <c r="G302" i="16"/>
  <c r="G306" i="16"/>
  <c r="G123" i="16"/>
  <c r="G131" i="16"/>
  <c r="G207" i="16"/>
  <c r="G255" i="16"/>
  <c r="G265" i="16"/>
  <c r="G271" i="16"/>
  <c r="G297" i="16"/>
  <c r="G140" i="16"/>
  <c r="G148" i="16"/>
  <c r="G180" i="16"/>
  <c r="G299" i="16"/>
  <c r="G143" i="16"/>
  <c r="G188" i="16"/>
  <c r="G268" i="16"/>
  <c r="G289" i="16"/>
  <c r="G300" i="16"/>
  <c r="G305" i="16"/>
  <c r="G316" i="16"/>
  <c r="B247" i="101"/>
  <c r="A243" i="101"/>
  <c r="B239" i="101"/>
  <c r="B235" i="101"/>
  <c r="A227" i="101"/>
  <c r="B214" i="101"/>
  <c r="B204" i="101"/>
  <c r="A200" i="101"/>
  <c r="B167" i="101"/>
  <c r="B112" i="101"/>
  <c r="I32" i="101"/>
  <c r="D305" i="16"/>
  <c r="D297" i="16"/>
  <c r="D289" i="16"/>
  <c r="D285" i="16"/>
  <c r="D265" i="16"/>
  <c r="D149" i="16"/>
  <c r="D145" i="16"/>
  <c r="D141" i="16"/>
  <c r="D121" i="16"/>
  <c r="D117" i="16"/>
  <c r="D113" i="16"/>
  <c r="G136" i="16"/>
  <c r="A262" i="101"/>
  <c r="A235" i="101"/>
  <c r="A214" i="101"/>
  <c r="A204" i="101"/>
  <c r="A167" i="101"/>
  <c r="I80" i="101"/>
  <c r="I16" i="101"/>
  <c r="D316" i="16"/>
  <c r="D312" i="16"/>
  <c r="D304" i="16"/>
  <c r="D300" i="16"/>
  <c r="D296" i="16"/>
  <c r="D268" i="16"/>
  <c r="D188" i="16"/>
  <c r="D180" i="16"/>
  <c r="D148" i="16"/>
  <c r="D144" i="16"/>
  <c r="D140" i="16"/>
  <c r="D136" i="16"/>
  <c r="G296" i="16"/>
  <c r="B488" i="101"/>
  <c r="A488" i="101"/>
  <c r="D351" i="101"/>
  <c r="J351" i="101" s="1"/>
  <c r="G311" i="16" s="1"/>
  <c r="D335" i="101"/>
  <c r="J335" i="101" s="1"/>
  <c r="D298" i="16" s="1"/>
  <c r="D319" i="101"/>
  <c r="J319" i="101" s="1"/>
  <c r="D307" i="101"/>
  <c r="J307" i="101" s="1"/>
  <c r="D273" i="16" s="1"/>
  <c r="B485" i="101"/>
  <c r="I485" i="101"/>
  <c r="A483" i="101"/>
  <c r="D483" i="101" s="1"/>
  <c r="J483" i="101" s="1"/>
  <c r="I483" i="101"/>
  <c r="B481" i="101"/>
  <c r="I481" i="101"/>
  <c r="A478" i="101"/>
  <c r="D478" i="101" s="1"/>
  <c r="J478" i="101" s="1"/>
  <c r="G424" i="16" s="1"/>
  <c r="I478" i="101"/>
  <c r="A476" i="101"/>
  <c r="I476" i="101"/>
  <c r="B469" i="101"/>
  <c r="C469" i="101" s="1"/>
  <c r="I469" i="101"/>
  <c r="A467" i="101"/>
  <c r="D467" i="101" s="1"/>
  <c r="J467" i="101" s="1"/>
  <c r="I467" i="101"/>
  <c r="B465" i="101"/>
  <c r="I465" i="101"/>
  <c r="A462" i="101"/>
  <c r="I462" i="101"/>
  <c r="A460" i="101"/>
  <c r="I460" i="101"/>
  <c r="B453" i="101"/>
  <c r="I453" i="101"/>
  <c r="A451" i="101"/>
  <c r="D451" i="101" s="1"/>
  <c r="J451" i="101" s="1"/>
  <c r="I451" i="101"/>
  <c r="B449" i="101"/>
  <c r="I449" i="101"/>
  <c r="A446" i="101"/>
  <c r="C446" i="101" s="1"/>
  <c r="I446" i="101"/>
  <c r="B441" i="101"/>
  <c r="I441" i="101"/>
  <c r="A438" i="101"/>
  <c r="I438" i="101"/>
  <c r="B433" i="101"/>
  <c r="I433" i="101"/>
  <c r="A430" i="101"/>
  <c r="C430" i="101" s="1"/>
  <c r="I430" i="101"/>
  <c r="B425" i="101"/>
  <c r="I425" i="101"/>
  <c r="A422" i="101"/>
  <c r="I422" i="101"/>
  <c r="B417" i="101"/>
  <c r="I417" i="101"/>
  <c r="A414" i="101"/>
  <c r="D414" i="101" s="1"/>
  <c r="J414" i="101" s="1"/>
  <c r="D366" i="16" s="1"/>
  <c r="I414" i="101"/>
  <c r="B409" i="101"/>
  <c r="I409" i="101"/>
  <c r="A406" i="101"/>
  <c r="D406" i="101" s="1"/>
  <c r="J406" i="101" s="1"/>
  <c r="I406" i="101"/>
  <c r="B401" i="101"/>
  <c r="I401" i="101"/>
  <c r="A398" i="101"/>
  <c r="C398" i="101" s="1"/>
  <c r="I398" i="101"/>
  <c r="B393" i="101"/>
  <c r="I393" i="101"/>
  <c r="A390" i="101"/>
  <c r="D390" i="101" s="1"/>
  <c r="J390" i="101" s="1"/>
  <c r="I390" i="101"/>
  <c r="B385" i="101"/>
  <c r="I385" i="101"/>
  <c r="A382" i="101"/>
  <c r="I382" i="101"/>
  <c r="B377" i="101"/>
  <c r="I377" i="101"/>
  <c r="A374" i="101"/>
  <c r="C374" i="101" s="1"/>
  <c r="I374" i="101"/>
  <c r="B369" i="101"/>
  <c r="I369" i="101"/>
  <c r="A366" i="101"/>
  <c r="C366" i="101" s="1"/>
  <c r="I366" i="101"/>
  <c r="B361" i="101"/>
  <c r="I361" i="101"/>
  <c r="B358" i="101"/>
  <c r="I358" i="101"/>
  <c r="B355" i="101"/>
  <c r="I355" i="101"/>
  <c r="A352" i="101"/>
  <c r="I352" i="101"/>
  <c r="B345" i="101"/>
  <c r="I345" i="101"/>
  <c r="B342" i="101"/>
  <c r="I342" i="101"/>
  <c r="B339" i="101"/>
  <c r="I339" i="101"/>
  <c r="A336" i="101"/>
  <c r="I336" i="101"/>
  <c r="B329" i="101"/>
  <c r="I329" i="101"/>
  <c r="B326" i="101"/>
  <c r="I326" i="101"/>
  <c r="B323" i="101"/>
  <c r="I323" i="101"/>
  <c r="A320" i="101"/>
  <c r="I320" i="101"/>
  <c r="B314" i="101"/>
  <c r="I314" i="101"/>
  <c r="A314" i="101"/>
  <c r="D314" i="101" s="1"/>
  <c r="J314" i="101" s="1"/>
  <c r="G272" i="16" s="1"/>
  <c r="A312" i="101"/>
  <c r="I312" i="101"/>
  <c r="B310" i="101"/>
  <c r="I310" i="101"/>
  <c r="B302" i="101"/>
  <c r="I302" i="101"/>
  <c r="D299" i="101"/>
  <c r="J299" i="101" s="1"/>
  <c r="B291" i="101"/>
  <c r="I291" i="101"/>
  <c r="B283" i="101"/>
  <c r="I283" i="101"/>
  <c r="B281" i="101"/>
  <c r="I281" i="101"/>
  <c r="B279" i="101"/>
  <c r="I279" i="101"/>
  <c r="A279" i="101"/>
  <c r="I274" i="101"/>
  <c r="A274" i="101"/>
  <c r="D262" i="101"/>
  <c r="J262" i="101" s="1"/>
  <c r="G240" i="16" s="1"/>
  <c r="I258" i="101"/>
  <c r="A258" i="101"/>
  <c r="B244" i="101"/>
  <c r="I244" i="101"/>
  <c r="A244" i="101"/>
  <c r="D244" i="101" s="1"/>
  <c r="J244" i="101" s="1"/>
  <c r="D222" i="16" s="1"/>
  <c r="I234" i="101"/>
  <c r="B234" i="101"/>
  <c r="B232" i="101"/>
  <c r="I232" i="101"/>
  <c r="I230" i="101"/>
  <c r="A230" i="101"/>
  <c r="B230" i="101"/>
  <c r="A225" i="101"/>
  <c r="D225" i="101" s="1"/>
  <c r="J225" i="101" s="1"/>
  <c r="I225" i="101"/>
  <c r="B225" i="101"/>
  <c r="A221" i="101"/>
  <c r="D221" i="101" s="1"/>
  <c r="J221" i="101" s="1"/>
  <c r="I221" i="101"/>
  <c r="B221" i="101"/>
  <c r="C221" i="101" s="1"/>
  <c r="A219" i="101"/>
  <c r="I219" i="101"/>
  <c r="B219" i="101"/>
  <c r="B209" i="101"/>
  <c r="I209" i="101"/>
  <c r="A209" i="101"/>
  <c r="B205" i="101"/>
  <c r="I205" i="101"/>
  <c r="A205" i="101"/>
  <c r="D205" i="101" s="1"/>
  <c r="J205" i="101" s="1"/>
  <c r="A198" i="101"/>
  <c r="I198" i="101"/>
  <c r="B198" i="101"/>
  <c r="I187" i="101"/>
  <c r="A187" i="101"/>
  <c r="A487" i="101"/>
  <c r="D487" i="101" s="1"/>
  <c r="J487" i="101" s="1"/>
  <c r="I487" i="101"/>
  <c r="A485" i="101"/>
  <c r="A482" i="101"/>
  <c r="I482" i="101"/>
  <c r="A480" i="101"/>
  <c r="I480" i="101"/>
  <c r="B478" i="101"/>
  <c r="B476" i="101"/>
  <c r="A471" i="101"/>
  <c r="D471" i="101" s="1"/>
  <c r="J471" i="101" s="1"/>
  <c r="I471" i="101"/>
  <c r="A469" i="101"/>
  <c r="A466" i="101"/>
  <c r="I466" i="101"/>
  <c r="A464" i="101"/>
  <c r="I464" i="101"/>
  <c r="B462" i="101"/>
  <c r="B460" i="101"/>
  <c r="A455" i="101"/>
  <c r="D455" i="101" s="1"/>
  <c r="J455" i="101" s="1"/>
  <c r="D405" i="16" s="1"/>
  <c r="I455" i="101"/>
  <c r="A453" i="101"/>
  <c r="C453" i="101" s="1"/>
  <c r="A450" i="101"/>
  <c r="I450" i="101"/>
  <c r="A448" i="101"/>
  <c r="I448" i="101"/>
  <c r="B446" i="101"/>
  <c r="A443" i="101"/>
  <c r="I443" i="101"/>
  <c r="A440" i="101"/>
  <c r="I440" i="101"/>
  <c r="B438" i="101"/>
  <c r="A435" i="101"/>
  <c r="I435" i="101"/>
  <c r="A432" i="101"/>
  <c r="I432" i="101"/>
  <c r="B430" i="101"/>
  <c r="A427" i="101"/>
  <c r="I427" i="101"/>
  <c r="A424" i="101"/>
  <c r="I424" i="101"/>
  <c r="B422" i="101"/>
  <c r="A419" i="101"/>
  <c r="I419" i="101"/>
  <c r="A416" i="101"/>
  <c r="I416" i="101"/>
  <c r="B414" i="101"/>
  <c r="A411" i="101"/>
  <c r="I411" i="101"/>
  <c r="A408" i="101"/>
  <c r="I408" i="101"/>
  <c r="B406" i="101"/>
  <c r="A403" i="101"/>
  <c r="I403" i="101"/>
  <c r="A400" i="101"/>
  <c r="I400" i="101"/>
  <c r="B398" i="101"/>
  <c r="A395" i="101"/>
  <c r="I395" i="101"/>
  <c r="A392" i="101"/>
  <c r="I392" i="101"/>
  <c r="B390" i="101"/>
  <c r="A387" i="101"/>
  <c r="I387" i="101"/>
  <c r="A384" i="101"/>
  <c r="I384" i="101"/>
  <c r="B382" i="101"/>
  <c r="A379" i="101"/>
  <c r="I379" i="101"/>
  <c r="A376" i="101"/>
  <c r="I376" i="101"/>
  <c r="B374" i="101"/>
  <c r="A371" i="101"/>
  <c r="I371" i="101"/>
  <c r="A368" i="101"/>
  <c r="I368" i="101"/>
  <c r="B366" i="101"/>
  <c r="A363" i="101"/>
  <c r="I363" i="101"/>
  <c r="A360" i="101"/>
  <c r="I360" i="101"/>
  <c r="A356" i="101"/>
  <c r="I356" i="101"/>
  <c r="B349" i="101"/>
  <c r="I349" i="101"/>
  <c r="B346" i="101"/>
  <c r="I346" i="101"/>
  <c r="A345" i="101"/>
  <c r="D345" i="101" s="1"/>
  <c r="J345" i="101" s="1"/>
  <c r="B343" i="101"/>
  <c r="I343" i="101"/>
  <c r="A340" i="101"/>
  <c r="I340" i="101"/>
  <c r="B333" i="101"/>
  <c r="I333" i="101"/>
  <c r="B330" i="101"/>
  <c r="I330" i="101"/>
  <c r="A329" i="101"/>
  <c r="D329" i="101" s="1"/>
  <c r="J329" i="101" s="1"/>
  <c r="G293" i="16" s="1"/>
  <c r="B327" i="101"/>
  <c r="C327" i="101" s="1"/>
  <c r="I327" i="101"/>
  <c r="A324" i="101"/>
  <c r="I324" i="101"/>
  <c r="B317" i="101"/>
  <c r="I317" i="101"/>
  <c r="B312" i="101"/>
  <c r="A308" i="101"/>
  <c r="I308" i="101"/>
  <c r="B308" i="101"/>
  <c r="B305" i="101"/>
  <c r="I305" i="101"/>
  <c r="A305" i="101"/>
  <c r="D305" i="101" s="1"/>
  <c r="J305" i="101" s="1"/>
  <c r="D270" i="16" s="1"/>
  <c r="A302" i="101"/>
  <c r="D302" i="101" s="1"/>
  <c r="J302" i="101" s="1"/>
  <c r="B298" i="101"/>
  <c r="I298" i="101"/>
  <c r="A298" i="101"/>
  <c r="D298" i="101" s="1"/>
  <c r="J298" i="101" s="1"/>
  <c r="D266" i="16" s="1"/>
  <c r="A296" i="101"/>
  <c r="I296" i="101"/>
  <c r="B294" i="101"/>
  <c r="I294" i="101"/>
  <c r="B286" i="101"/>
  <c r="I286" i="101"/>
  <c r="A283" i="101"/>
  <c r="A281" i="101"/>
  <c r="D281" i="101" s="1"/>
  <c r="J281" i="101" s="1"/>
  <c r="I275" i="101"/>
  <c r="A275" i="101"/>
  <c r="B270" i="101"/>
  <c r="B268" i="101"/>
  <c r="I268" i="101"/>
  <c r="A268" i="101"/>
  <c r="A265" i="101"/>
  <c r="D265" i="101" s="1"/>
  <c r="J265" i="101" s="1"/>
  <c r="G242" i="16" s="1"/>
  <c r="I265" i="101"/>
  <c r="A263" i="101"/>
  <c r="A261" i="101"/>
  <c r="D261" i="101" s="1"/>
  <c r="J261" i="101" s="1"/>
  <c r="G239" i="16" s="1"/>
  <c r="I261" i="101"/>
  <c r="I259" i="101"/>
  <c r="A259" i="101"/>
  <c r="I255" i="101"/>
  <c r="B255" i="101"/>
  <c r="A253" i="101"/>
  <c r="D253" i="101" s="1"/>
  <c r="J253" i="101" s="1"/>
  <c r="I253" i="101"/>
  <c r="B250" i="101"/>
  <c r="A247" i="101"/>
  <c r="D247" i="101" s="1"/>
  <c r="J247" i="101" s="1"/>
  <c r="A245" i="101"/>
  <c r="I245" i="101"/>
  <c r="B240" i="101"/>
  <c r="I240" i="101"/>
  <c r="A240" i="101"/>
  <c r="A239" i="101"/>
  <c r="A237" i="101"/>
  <c r="D237" i="101" s="1"/>
  <c r="J237" i="101" s="1"/>
  <c r="I237" i="101"/>
  <c r="A234" i="101"/>
  <c r="D234" i="101" s="1"/>
  <c r="J234" i="101" s="1"/>
  <c r="D213" i="16" s="1"/>
  <c r="A232" i="101"/>
  <c r="D232" i="101" s="1"/>
  <c r="J232" i="101" s="1"/>
  <c r="D211" i="16" s="1"/>
  <c r="A229" i="101"/>
  <c r="I229" i="101"/>
  <c r="B229" i="101"/>
  <c r="I218" i="101"/>
  <c r="A218" i="101"/>
  <c r="I212" i="101"/>
  <c r="A212" i="101"/>
  <c r="D212" i="101" s="1"/>
  <c r="J212" i="101" s="1"/>
  <c r="G198" i="16" s="1"/>
  <c r="I208" i="101"/>
  <c r="A208" i="101"/>
  <c r="B187" i="101"/>
  <c r="C187" i="101" s="1"/>
  <c r="D177" i="101"/>
  <c r="J177" i="101" s="1"/>
  <c r="D173" i="101"/>
  <c r="J173" i="101" s="1"/>
  <c r="G167" i="16" s="1"/>
  <c r="D169" i="101"/>
  <c r="J169" i="101" s="1"/>
  <c r="G164" i="16" s="1"/>
  <c r="D165" i="101"/>
  <c r="J165" i="101" s="1"/>
  <c r="G160" i="16" s="1"/>
  <c r="A486" i="101"/>
  <c r="C486" i="101" s="1"/>
  <c r="I486" i="101"/>
  <c r="A484" i="101"/>
  <c r="I484" i="101"/>
  <c r="B480" i="101"/>
  <c r="B477" i="101"/>
  <c r="I477" i="101"/>
  <c r="A475" i="101"/>
  <c r="D475" i="101" s="1"/>
  <c r="J475" i="101" s="1"/>
  <c r="G421" i="16" s="1"/>
  <c r="I475" i="101"/>
  <c r="B473" i="101"/>
  <c r="I473" i="101"/>
  <c r="A470" i="101"/>
  <c r="C470" i="101" s="1"/>
  <c r="I470" i="101"/>
  <c r="A468" i="101"/>
  <c r="I468" i="101"/>
  <c r="B464" i="101"/>
  <c r="B461" i="101"/>
  <c r="C461" i="101" s="1"/>
  <c r="I461" i="101"/>
  <c r="A459" i="101"/>
  <c r="D459" i="101" s="1"/>
  <c r="J459" i="101" s="1"/>
  <c r="G408" i="16" s="1"/>
  <c r="I459" i="101"/>
  <c r="B457" i="101"/>
  <c r="I457" i="101"/>
  <c r="A454" i="101"/>
  <c r="C454" i="101" s="1"/>
  <c r="I454" i="101"/>
  <c r="A452" i="101"/>
  <c r="C452" i="101" s="1"/>
  <c r="I452" i="101"/>
  <c r="B448" i="101"/>
  <c r="B445" i="101"/>
  <c r="I445" i="101"/>
  <c r="A442" i="101"/>
  <c r="I442" i="101"/>
  <c r="B440" i="101"/>
  <c r="B437" i="101"/>
  <c r="I437" i="101"/>
  <c r="A434" i="101"/>
  <c r="I434" i="101"/>
  <c r="B432" i="101"/>
  <c r="C432" i="101" s="1"/>
  <c r="B429" i="101"/>
  <c r="I429" i="101"/>
  <c r="A426" i="101"/>
  <c r="D426" i="101" s="1"/>
  <c r="J426" i="101" s="1"/>
  <c r="I426" i="101"/>
  <c r="B424" i="101"/>
  <c r="B421" i="101"/>
  <c r="I421" i="101"/>
  <c r="A418" i="101"/>
  <c r="D418" i="101" s="1"/>
  <c r="J418" i="101" s="1"/>
  <c r="I418" i="101"/>
  <c r="B416" i="101"/>
  <c r="B413" i="101"/>
  <c r="I413" i="101"/>
  <c r="A410" i="101"/>
  <c r="I410" i="101"/>
  <c r="B408" i="101"/>
  <c r="B405" i="101"/>
  <c r="I405" i="101"/>
  <c r="A402" i="101"/>
  <c r="I402" i="101"/>
  <c r="B400" i="101"/>
  <c r="C400" i="101" s="1"/>
  <c r="B397" i="101"/>
  <c r="I397" i="101"/>
  <c r="A394" i="101"/>
  <c r="D394" i="101" s="1"/>
  <c r="J394" i="101" s="1"/>
  <c r="I394" i="101"/>
  <c r="B392" i="101"/>
  <c r="B389" i="101"/>
  <c r="I389" i="101"/>
  <c r="A386" i="101"/>
  <c r="I386" i="101"/>
  <c r="B384" i="101"/>
  <c r="B381" i="101"/>
  <c r="I381" i="101"/>
  <c r="A378" i="101"/>
  <c r="I378" i="101"/>
  <c r="B376" i="101"/>
  <c r="B373" i="101"/>
  <c r="I373" i="101"/>
  <c r="A370" i="101"/>
  <c r="I370" i="101"/>
  <c r="B368" i="101"/>
  <c r="C368" i="101" s="1"/>
  <c r="B365" i="101"/>
  <c r="I365" i="101"/>
  <c r="A362" i="101"/>
  <c r="C362" i="101" s="1"/>
  <c r="I362" i="101"/>
  <c r="B360" i="101"/>
  <c r="A358" i="101"/>
  <c r="D358" i="101" s="1"/>
  <c r="J358" i="101" s="1"/>
  <c r="G315" i="16" s="1"/>
  <c r="A355" i="101"/>
  <c r="B353" i="101"/>
  <c r="C353" i="101" s="1"/>
  <c r="I353" i="101"/>
  <c r="B352" i="101"/>
  <c r="B350" i="101"/>
  <c r="I350" i="101"/>
  <c r="A349" i="101"/>
  <c r="D349" i="101" s="1"/>
  <c r="J349" i="101" s="1"/>
  <c r="B347" i="101"/>
  <c r="C347" i="101" s="1"/>
  <c r="I347" i="101"/>
  <c r="A344" i="101"/>
  <c r="I344" i="101"/>
  <c r="A342" i="101"/>
  <c r="D342" i="101" s="1"/>
  <c r="J342" i="101" s="1"/>
  <c r="A339" i="101"/>
  <c r="B337" i="101"/>
  <c r="C337" i="101" s="1"/>
  <c r="I337" i="101"/>
  <c r="B336" i="101"/>
  <c r="B334" i="101"/>
  <c r="I334" i="101"/>
  <c r="A333" i="101"/>
  <c r="D333" i="101" s="1"/>
  <c r="J333" i="101" s="1"/>
  <c r="B331" i="101"/>
  <c r="C331" i="101" s="1"/>
  <c r="I331" i="101"/>
  <c r="A328" i="101"/>
  <c r="I328" i="101"/>
  <c r="A326" i="101"/>
  <c r="D326" i="101" s="1"/>
  <c r="J326" i="101" s="1"/>
  <c r="G291" i="16" s="1"/>
  <c r="A323" i="101"/>
  <c r="B321" i="101"/>
  <c r="C321" i="101" s="1"/>
  <c r="I321" i="101"/>
  <c r="B320" i="101"/>
  <c r="B318" i="101"/>
  <c r="I318" i="101"/>
  <c r="A317" i="101"/>
  <c r="D317" i="101" s="1"/>
  <c r="J317" i="101" s="1"/>
  <c r="G281" i="16" s="1"/>
  <c r="B315" i="101"/>
  <c r="I315" i="101"/>
  <c r="B313" i="101"/>
  <c r="C313" i="101" s="1"/>
  <c r="I313" i="101"/>
  <c r="B311" i="101"/>
  <c r="I311" i="101"/>
  <c r="A311" i="101"/>
  <c r="A310" i="101"/>
  <c r="D310" i="101" s="1"/>
  <c r="J310" i="101" s="1"/>
  <c r="D275" i="16" s="1"/>
  <c r="A304" i="101"/>
  <c r="I304" i="101"/>
  <c r="D303" i="101"/>
  <c r="J303" i="101" s="1"/>
  <c r="B301" i="101"/>
  <c r="C301" i="101" s="1"/>
  <c r="I301" i="101"/>
  <c r="B296" i="101"/>
  <c r="A292" i="101"/>
  <c r="I292" i="101"/>
  <c r="B292" i="101"/>
  <c r="A291" i="101"/>
  <c r="B289" i="101"/>
  <c r="I289" i="101"/>
  <c r="A289" i="101"/>
  <c r="D289" i="101" s="1"/>
  <c r="J289" i="101" s="1"/>
  <c r="A286" i="101"/>
  <c r="D286" i="101" s="1"/>
  <c r="J286" i="101" s="1"/>
  <c r="B282" i="101"/>
  <c r="C282" i="101" s="1"/>
  <c r="I282" i="101"/>
  <c r="A282" i="101"/>
  <c r="D282" i="101" s="1"/>
  <c r="J282" i="101" s="1"/>
  <c r="D259" i="16" s="1"/>
  <c r="A280" i="101"/>
  <c r="I280" i="101"/>
  <c r="B278" i="101"/>
  <c r="I278" i="101"/>
  <c r="B274" i="101"/>
  <c r="B271" i="101"/>
  <c r="A270" i="101"/>
  <c r="I266" i="101"/>
  <c r="A266" i="101"/>
  <c r="B261" i="101"/>
  <c r="C261" i="101" s="1"/>
  <c r="B258" i="101"/>
  <c r="A255" i="101"/>
  <c r="A251" i="101"/>
  <c r="D251" i="101" s="1"/>
  <c r="J251" i="101" s="1"/>
  <c r="I251" i="101"/>
  <c r="A250" i="101"/>
  <c r="B248" i="101"/>
  <c r="I248" i="101"/>
  <c r="A248" i="101"/>
  <c r="D248" i="101" s="1"/>
  <c r="J248" i="101" s="1"/>
  <c r="D227" i="16" s="1"/>
  <c r="B243" i="101"/>
  <c r="B237" i="101"/>
  <c r="C237" i="101" s="1"/>
  <c r="A233" i="101"/>
  <c r="D233" i="101" s="1"/>
  <c r="J233" i="101" s="1"/>
  <c r="G212" i="16" s="1"/>
  <c r="I233" i="101"/>
  <c r="B233" i="101"/>
  <c r="I231" i="101"/>
  <c r="B231" i="101"/>
  <c r="C231" i="101" s="1"/>
  <c r="A202" i="101"/>
  <c r="D202" i="101" s="1"/>
  <c r="J202" i="101" s="1"/>
  <c r="D189" i="16" s="1"/>
  <c r="I202" i="101"/>
  <c r="B202" i="101"/>
  <c r="B197" i="101"/>
  <c r="I197" i="101"/>
  <c r="I195" i="101"/>
  <c r="A195" i="101"/>
  <c r="B195" i="101"/>
  <c r="C195" i="101" s="1"/>
  <c r="I191" i="101"/>
  <c r="A191" i="101"/>
  <c r="B191" i="101"/>
  <c r="I184" i="101"/>
  <c r="B184" i="101"/>
  <c r="C184" i="101" s="1"/>
  <c r="A184" i="101"/>
  <c r="A479" i="101"/>
  <c r="D479" i="101" s="1"/>
  <c r="J479" i="101" s="1"/>
  <c r="I479" i="101"/>
  <c r="A474" i="101"/>
  <c r="I474" i="101"/>
  <c r="A472" i="101"/>
  <c r="I472" i="101"/>
  <c r="A463" i="101"/>
  <c r="D463" i="101" s="1"/>
  <c r="J463" i="101" s="1"/>
  <c r="G411" i="16" s="1"/>
  <c r="I463" i="101"/>
  <c r="A458" i="101"/>
  <c r="I458" i="101"/>
  <c r="A456" i="101"/>
  <c r="I456" i="101"/>
  <c r="A447" i="101"/>
  <c r="D447" i="101" s="1"/>
  <c r="J447" i="101" s="1"/>
  <c r="I447" i="101"/>
  <c r="A444" i="101"/>
  <c r="C444" i="101" s="1"/>
  <c r="I444" i="101"/>
  <c r="A439" i="101"/>
  <c r="I439" i="101"/>
  <c r="A436" i="101"/>
  <c r="D436" i="101" s="1"/>
  <c r="J436" i="101" s="1"/>
  <c r="G388" i="16" s="1"/>
  <c r="I436" i="101"/>
  <c r="A431" i="101"/>
  <c r="I431" i="101"/>
  <c r="A428" i="101"/>
  <c r="I428" i="101"/>
  <c r="A423" i="101"/>
  <c r="I423" i="101"/>
  <c r="A420" i="101"/>
  <c r="C420" i="101" s="1"/>
  <c r="I420" i="101"/>
  <c r="A415" i="101"/>
  <c r="I415" i="101"/>
  <c r="A412" i="101"/>
  <c r="C412" i="101" s="1"/>
  <c r="I412" i="101"/>
  <c r="A407" i="101"/>
  <c r="I407" i="101"/>
  <c r="A404" i="101"/>
  <c r="D404" i="101" s="1"/>
  <c r="J404" i="101" s="1"/>
  <c r="G357" i="16" s="1"/>
  <c r="I404" i="101"/>
  <c r="A399" i="101"/>
  <c r="I399" i="101"/>
  <c r="A396" i="101"/>
  <c r="I396" i="101"/>
  <c r="A391" i="101"/>
  <c r="I391" i="101"/>
  <c r="A388" i="101"/>
  <c r="C388" i="101" s="1"/>
  <c r="I388" i="101"/>
  <c r="A383" i="101"/>
  <c r="I383" i="101"/>
  <c r="A380" i="101"/>
  <c r="C380" i="101" s="1"/>
  <c r="I380" i="101"/>
  <c r="A375" i="101"/>
  <c r="I375" i="101"/>
  <c r="A372" i="101"/>
  <c r="D372" i="101" s="1"/>
  <c r="J372" i="101" s="1"/>
  <c r="D328" i="16" s="1"/>
  <c r="I372" i="101"/>
  <c r="A367" i="101"/>
  <c r="I367" i="101"/>
  <c r="A364" i="101"/>
  <c r="I364" i="101"/>
  <c r="A359" i="101"/>
  <c r="I359" i="101"/>
  <c r="B357" i="101"/>
  <c r="C357" i="101" s="1"/>
  <c r="I357" i="101"/>
  <c r="B354" i="101"/>
  <c r="I354" i="101"/>
  <c r="B351" i="101"/>
  <c r="C351" i="101" s="1"/>
  <c r="I351" i="101"/>
  <c r="A348" i="101"/>
  <c r="I348" i="101"/>
  <c r="D347" i="101"/>
  <c r="J347" i="101" s="1"/>
  <c r="C343" i="101"/>
  <c r="B341" i="101"/>
  <c r="C341" i="101" s="1"/>
  <c r="I341" i="101"/>
  <c r="B338" i="101"/>
  <c r="I338" i="101"/>
  <c r="B335" i="101"/>
  <c r="C335" i="101" s="1"/>
  <c r="I335" i="101"/>
  <c r="A332" i="101"/>
  <c r="I332" i="101"/>
  <c r="D331" i="101"/>
  <c r="J331" i="101" s="1"/>
  <c r="B325" i="101"/>
  <c r="C325" i="101" s="1"/>
  <c r="I325" i="101"/>
  <c r="B322" i="101"/>
  <c r="I322" i="101"/>
  <c r="B319" i="101"/>
  <c r="C319" i="101" s="1"/>
  <c r="I319" i="101"/>
  <c r="C315" i="101"/>
  <c r="D315" i="101"/>
  <c r="J315" i="101" s="1"/>
  <c r="B307" i="101"/>
  <c r="C307" i="101" s="1"/>
  <c r="I307" i="101"/>
  <c r="B299" i="101"/>
  <c r="C299" i="101" s="1"/>
  <c r="I299" i="101"/>
  <c r="B297" i="101"/>
  <c r="C297" i="101" s="1"/>
  <c r="I297" i="101"/>
  <c r="B295" i="101"/>
  <c r="I295" i="101"/>
  <c r="A295" i="101"/>
  <c r="A288" i="101"/>
  <c r="I288" i="101"/>
  <c r="D287" i="101"/>
  <c r="J287" i="101" s="1"/>
  <c r="B285" i="101"/>
  <c r="C285" i="101" s="1"/>
  <c r="I285" i="101"/>
  <c r="B276" i="101"/>
  <c r="I276" i="101"/>
  <c r="A276" i="101"/>
  <c r="A273" i="101"/>
  <c r="D273" i="101" s="1"/>
  <c r="J273" i="101" s="1"/>
  <c r="I273" i="101"/>
  <c r="D272" i="101"/>
  <c r="J272" i="101" s="1"/>
  <c r="G249" i="16" s="1"/>
  <c r="C271" i="101"/>
  <c r="D271" i="101"/>
  <c r="J271" i="101" s="1"/>
  <c r="G248" i="16" s="1"/>
  <c r="A269" i="101"/>
  <c r="D269" i="101" s="1"/>
  <c r="J269" i="101" s="1"/>
  <c r="I269" i="101"/>
  <c r="A267" i="101"/>
  <c r="I267" i="101"/>
  <c r="B260" i="101"/>
  <c r="I260" i="101"/>
  <c r="A260" i="101"/>
  <c r="A257" i="101"/>
  <c r="D257" i="101" s="1"/>
  <c r="J257" i="101" s="1"/>
  <c r="G236" i="16" s="1"/>
  <c r="I257" i="101"/>
  <c r="I254" i="101"/>
  <c r="A254" i="101"/>
  <c r="C254" i="101" s="1"/>
  <c r="A241" i="101"/>
  <c r="D241" i="101" s="1"/>
  <c r="J241" i="101" s="1"/>
  <c r="G219" i="16" s="1"/>
  <c r="I241" i="101"/>
  <c r="B236" i="101"/>
  <c r="C236" i="101" s="1"/>
  <c r="I236" i="101"/>
  <c r="B228" i="101"/>
  <c r="C228" i="101" s="1"/>
  <c r="I228" i="101"/>
  <c r="I226" i="101"/>
  <c r="A226" i="101"/>
  <c r="B226" i="101"/>
  <c r="I222" i="101"/>
  <c r="A222" i="101"/>
  <c r="D222" i="101" s="1"/>
  <c r="J222" i="101" s="1"/>
  <c r="B222" i="101"/>
  <c r="I215" i="101"/>
  <c r="A215" i="101"/>
  <c r="B201" i="101"/>
  <c r="I201" i="101"/>
  <c r="I199" i="101"/>
  <c r="A199" i="101"/>
  <c r="B199" i="101"/>
  <c r="A197" i="101"/>
  <c r="D197" i="101" s="1"/>
  <c r="J197" i="101" s="1"/>
  <c r="G185" i="16" s="1"/>
  <c r="A194" i="101"/>
  <c r="D194" i="101" s="1"/>
  <c r="J194" i="101" s="1"/>
  <c r="G181" i="16" s="1"/>
  <c r="I194" i="101"/>
  <c r="B194" i="101"/>
  <c r="A190" i="101"/>
  <c r="D190" i="101" s="1"/>
  <c r="J190" i="101" s="1"/>
  <c r="G176" i="16" s="1"/>
  <c r="I190" i="101"/>
  <c r="B190" i="101"/>
  <c r="I188" i="101"/>
  <c r="A188" i="101"/>
  <c r="B188" i="101"/>
  <c r="D161" i="101"/>
  <c r="J161" i="101" s="1"/>
  <c r="G155" i="16" s="1"/>
  <c r="B216" i="101"/>
  <c r="I216" i="101"/>
  <c r="B213" i="101"/>
  <c r="I213" i="101"/>
  <c r="A210" i="101"/>
  <c r="D210" i="101" s="1"/>
  <c r="J210" i="101" s="1"/>
  <c r="G196" i="16" s="1"/>
  <c r="I210" i="101"/>
  <c r="A206" i="101"/>
  <c r="D206" i="101" s="1"/>
  <c r="J206" i="101" s="1"/>
  <c r="I206" i="101"/>
  <c r="B185" i="101"/>
  <c r="I185" i="101"/>
  <c r="A182" i="101"/>
  <c r="I182" i="101"/>
  <c r="B181" i="101"/>
  <c r="I181" i="101"/>
  <c r="A180" i="101"/>
  <c r="C180" i="101" s="1"/>
  <c r="A178" i="101"/>
  <c r="D178" i="101" s="1"/>
  <c r="J178" i="101" s="1"/>
  <c r="D172" i="16" s="1"/>
  <c r="I178" i="101"/>
  <c r="A176" i="101"/>
  <c r="C176" i="101" s="1"/>
  <c r="A174" i="101"/>
  <c r="D174" i="101" s="1"/>
  <c r="J174" i="101" s="1"/>
  <c r="D168" i="16" s="1"/>
  <c r="I174" i="101"/>
  <c r="A172" i="101"/>
  <c r="C172" i="101" s="1"/>
  <c r="A170" i="101"/>
  <c r="D170" i="101" s="1"/>
  <c r="J170" i="101" s="1"/>
  <c r="G165" i="16" s="1"/>
  <c r="I170" i="101"/>
  <c r="A166" i="101"/>
  <c r="D166" i="101" s="1"/>
  <c r="J166" i="101" s="1"/>
  <c r="D161" i="16" s="1"/>
  <c r="I166" i="101"/>
  <c r="B123" i="101"/>
  <c r="A123" i="101"/>
  <c r="B121" i="101"/>
  <c r="I121" i="101"/>
  <c r="A114" i="101"/>
  <c r="C114" i="101" s="1"/>
  <c r="I114" i="101"/>
  <c r="B107" i="101"/>
  <c r="A107" i="101"/>
  <c r="B105" i="101"/>
  <c r="I105" i="101"/>
  <c r="B91" i="101"/>
  <c r="I91" i="101"/>
  <c r="A91" i="101"/>
  <c r="B89" i="101"/>
  <c r="I89" i="101"/>
  <c r="B83" i="101"/>
  <c r="I83" i="101"/>
  <c r="A43" i="101"/>
  <c r="I43" i="101"/>
  <c r="I203" i="101"/>
  <c r="I155" i="101"/>
  <c r="I139" i="101"/>
  <c r="I123" i="101"/>
  <c r="I107" i="101"/>
  <c r="A316" i="101"/>
  <c r="I316" i="101"/>
  <c r="B309" i="101"/>
  <c r="C309" i="101" s="1"/>
  <c r="I309" i="101"/>
  <c r="B306" i="101"/>
  <c r="I306" i="101"/>
  <c r="A300" i="101"/>
  <c r="I300" i="101"/>
  <c r="B293" i="101"/>
  <c r="C293" i="101" s="1"/>
  <c r="I293" i="101"/>
  <c r="B290" i="101"/>
  <c r="I290" i="101"/>
  <c r="A284" i="101"/>
  <c r="I284" i="101"/>
  <c r="B277" i="101"/>
  <c r="C277" i="101" s="1"/>
  <c r="I277" i="101"/>
  <c r="B272" i="101"/>
  <c r="C272" i="101" s="1"/>
  <c r="I272" i="101"/>
  <c r="B264" i="101"/>
  <c r="C264" i="101" s="1"/>
  <c r="I264" i="101"/>
  <c r="B256" i="101"/>
  <c r="C256" i="101" s="1"/>
  <c r="I256" i="101"/>
  <c r="B252" i="101"/>
  <c r="I252" i="101"/>
  <c r="A249" i="101"/>
  <c r="D249" i="101" s="1"/>
  <c r="J249" i="101" s="1"/>
  <c r="G227" i="16" s="1"/>
  <c r="I249" i="101"/>
  <c r="B227" i="101"/>
  <c r="B224" i="101"/>
  <c r="C224" i="101" s="1"/>
  <c r="I224" i="101"/>
  <c r="B223" i="101"/>
  <c r="B220" i="101"/>
  <c r="I220" i="101"/>
  <c r="A217" i="101"/>
  <c r="D217" i="101" s="1"/>
  <c r="J217" i="101" s="1"/>
  <c r="G204" i="16" s="1"/>
  <c r="I217" i="101"/>
  <c r="A216" i="101"/>
  <c r="D216" i="101" s="1"/>
  <c r="J216" i="101" s="1"/>
  <c r="A213" i="101"/>
  <c r="D213" i="101" s="1"/>
  <c r="J213" i="101" s="1"/>
  <c r="D199" i="16" s="1"/>
  <c r="B200" i="101"/>
  <c r="C200" i="101" s="1"/>
  <c r="B196" i="101"/>
  <c r="C196" i="101" s="1"/>
  <c r="B193" i="101"/>
  <c r="C193" i="101" s="1"/>
  <c r="I193" i="101"/>
  <c r="B192" i="101"/>
  <c r="C192" i="101" s="1"/>
  <c r="B189" i="101"/>
  <c r="I189" i="101"/>
  <c r="A186" i="101"/>
  <c r="D186" i="101" s="1"/>
  <c r="J186" i="101" s="1"/>
  <c r="D193" i="16" s="1"/>
  <c r="I186" i="101"/>
  <c r="A185" i="101"/>
  <c r="D185" i="101" s="1"/>
  <c r="J185" i="101" s="1"/>
  <c r="A181" i="101"/>
  <c r="D181" i="101" s="1"/>
  <c r="J181" i="101" s="1"/>
  <c r="A164" i="101"/>
  <c r="D164" i="101" s="1"/>
  <c r="J164" i="101" s="1"/>
  <c r="A163" i="101"/>
  <c r="A160" i="101"/>
  <c r="D160" i="101" s="1"/>
  <c r="J160" i="101" s="1"/>
  <c r="A159" i="101"/>
  <c r="I156" i="101"/>
  <c r="B156" i="101"/>
  <c r="I152" i="101"/>
  <c r="B152" i="101"/>
  <c r="I148" i="101"/>
  <c r="B148" i="101"/>
  <c r="C148" i="101" s="1"/>
  <c r="I144" i="101"/>
  <c r="B144" i="101"/>
  <c r="I140" i="101"/>
  <c r="B140" i="101"/>
  <c r="I136" i="101"/>
  <c r="B136" i="101"/>
  <c r="I132" i="101"/>
  <c r="B132" i="101"/>
  <c r="C132" i="101" s="1"/>
  <c r="I128" i="101"/>
  <c r="B128" i="101"/>
  <c r="I124" i="101"/>
  <c r="B124" i="101"/>
  <c r="A118" i="101"/>
  <c r="D118" i="101" s="1"/>
  <c r="J118" i="101" s="1"/>
  <c r="D109" i="16" s="1"/>
  <c r="I118" i="101"/>
  <c r="B114" i="101"/>
  <c r="B111" i="101"/>
  <c r="A111" i="101"/>
  <c r="B109" i="101"/>
  <c r="I109" i="101"/>
  <c r="B95" i="101"/>
  <c r="I95" i="101"/>
  <c r="A95" i="101"/>
  <c r="B93" i="101"/>
  <c r="I93" i="101"/>
  <c r="A56" i="101"/>
  <c r="D56" i="101" s="1"/>
  <c r="J56" i="101" s="1"/>
  <c r="I56" i="101"/>
  <c r="A49" i="101"/>
  <c r="D49" i="101" s="1"/>
  <c r="J49" i="101" s="1"/>
  <c r="G44" i="16" s="1"/>
  <c r="I49" i="101"/>
  <c r="B49" i="101"/>
  <c r="A24" i="101"/>
  <c r="I24" i="101"/>
  <c r="A17" i="101"/>
  <c r="C17" i="101" s="1"/>
  <c r="I17" i="101"/>
  <c r="B17" i="101"/>
  <c r="I151" i="101"/>
  <c r="I135" i="101"/>
  <c r="B166" i="101"/>
  <c r="C166" i="101" s="1"/>
  <c r="A162" i="101"/>
  <c r="I162" i="101"/>
  <c r="B161" i="101"/>
  <c r="C161" i="101" s="1"/>
  <c r="I161" i="101"/>
  <c r="A158" i="101"/>
  <c r="I158" i="101"/>
  <c r="B157" i="101"/>
  <c r="C157" i="101" s="1"/>
  <c r="I157" i="101"/>
  <c r="A155" i="101"/>
  <c r="B153" i="101"/>
  <c r="C153" i="101" s="1"/>
  <c r="I153" i="101"/>
  <c r="A151" i="101"/>
  <c r="B149" i="101"/>
  <c r="C149" i="101" s="1"/>
  <c r="I149" i="101"/>
  <c r="A147" i="101"/>
  <c r="B145" i="101"/>
  <c r="C145" i="101" s="1"/>
  <c r="I145" i="101"/>
  <c r="A143" i="101"/>
  <c r="B141" i="101"/>
  <c r="C141" i="101" s="1"/>
  <c r="I141" i="101"/>
  <c r="A139" i="101"/>
  <c r="B137" i="101"/>
  <c r="C137" i="101" s="1"/>
  <c r="I137" i="101"/>
  <c r="A135" i="101"/>
  <c r="B133" i="101"/>
  <c r="C133" i="101" s="1"/>
  <c r="I133" i="101"/>
  <c r="A131" i="101"/>
  <c r="B129" i="101"/>
  <c r="C129" i="101" s="1"/>
  <c r="I129" i="101"/>
  <c r="A127" i="101"/>
  <c r="B125" i="101"/>
  <c r="C125" i="101" s="1"/>
  <c r="I125" i="101"/>
  <c r="A122" i="101"/>
  <c r="C122" i="101" s="1"/>
  <c r="I122" i="101"/>
  <c r="B115" i="101"/>
  <c r="A115" i="101"/>
  <c r="B113" i="101"/>
  <c r="I113" i="101"/>
  <c r="A106" i="101"/>
  <c r="I106" i="101"/>
  <c r="B99" i="101"/>
  <c r="I99" i="101"/>
  <c r="A99" i="101"/>
  <c r="B97" i="101"/>
  <c r="I97" i="101"/>
  <c r="A79" i="101"/>
  <c r="D79" i="101" s="1"/>
  <c r="J79" i="101" s="1"/>
  <c r="D68" i="16" s="1"/>
  <c r="I79" i="101"/>
  <c r="A76" i="101"/>
  <c r="I76" i="101"/>
  <c r="A69" i="101"/>
  <c r="I69" i="101"/>
  <c r="A59" i="101"/>
  <c r="I59" i="101"/>
  <c r="A27" i="101"/>
  <c r="D27" i="101" s="1"/>
  <c r="J27" i="101" s="1"/>
  <c r="I27" i="101"/>
  <c r="A8" i="101"/>
  <c r="I8" i="101"/>
  <c r="I147" i="101"/>
  <c r="I131" i="101"/>
  <c r="I115" i="101"/>
  <c r="C186" i="101"/>
  <c r="B177" i="101"/>
  <c r="C177" i="101" s="1"/>
  <c r="I177" i="101"/>
  <c r="B173" i="101"/>
  <c r="C173" i="101" s="1"/>
  <c r="I173" i="101"/>
  <c r="B169" i="101"/>
  <c r="C169" i="101" s="1"/>
  <c r="I169" i="101"/>
  <c r="B165" i="101"/>
  <c r="C165" i="101" s="1"/>
  <c r="I165" i="101"/>
  <c r="A154" i="101"/>
  <c r="I154" i="101"/>
  <c r="A150" i="101"/>
  <c r="I150" i="101"/>
  <c r="A146" i="101"/>
  <c r="I146" i="101"/>
  <c r="A142" i="101"/>
  <c r="I142" i="101"/>
  <c r="A138" i="101"/>
  <c r="I138" i="101"/>
  <c r="A134" i="101"/>
  <c r="I134" i="101"/>
  <c r="A130" i="101"/>
  <c r="I130" i="101"/>
  <c r="A126" i="101"/>
  <c r="I126" i="101"/>
  <c r="B119" i="101"/>
  <c r="A119" i="101"/>
  <c r="B117" i="101"/>
  <c r="I117" i="101"/>
  <c r="A110" i="101"/>
  <c r="C110" i="101" s="1"/>
  <c r="I110" i="101"/>
  <c r="B103" i="101"/>
  <c r="A103" i="101"/>
  <c r="B101" i="101"/>
  <c r="I101" i="101"/>
  <c r="A84" i="101"/>
  <c r="I84" i="101"/>
  <c r="A81" i="101"/>
  <c r="I81" i="101"/>
  <c r="B81" i="101"/>
  <c r="A75" i="101"/>
  <c r="D75" i="101" s="1"/>
  <c r="J75" i="101" s="1"/>
  <c r="I75" i="101"/>
  <c r="A72" i="101"/>
  <c r="I72" i="101"/>
  <c r="B69" i="101"/>
  <c r="C69" i="101" s="1"/>
  <c r="A65" i="101"/>
  <c r="D65" i="101" s="1"/>
  <c r="J65" i="101" s="1"/>
  <c r="I65" i="101"/>
  <c r="B65" i="101"/>
  <c r="A40" i="101"/>
  <c r="D40" i="101" s="1"/>
  <c r="J40" i="101" s="1"/>
  <c r="I40" i="101"/>
  <c r="A33" i="101"/>
  <c r="I33" i="101"/>
  <c r="B33" i="101"/>
  <c r="C33" i="101" s="1"/>
  <c r="A11" i="101"/>
  <c r="D11" i="101" s="1"/>
  <c r="J11" i="101" s="1"/>
  <c r="D9" i="16" s="1"/>
  <c r="I11" i="101"/>
  <c r="I303" i="101"/>
  <c r="I287" i="101"/>
  <c r="I143" i="101"/>
  <c r="I127" i="101"/>
  <c r="I111" i="101"/>
  <c r="A85" i="101"/>
  <c r="C85" i="101" s="1"/>
  <c r="I85" i="101"/>
  <c r="B82" i="101"/>
  <c r="I82" i="101"/>
  <c r="A77" i="101"/>
  <c r="C77" i="101" s="1"/>
  <c r="I77" i="101"/>
  <c r="A71" i="101"/>
  <c r="I71" i="101"/>
  <c r="A61" i="101"/>
  <c r="C61" i="101" s="1"/>
  <c r="I61" i="101"/>
  <c r="A55" i="101"/>
  <c r="I55" i="101"/>
  <c r="A45" i="101"/>
  <c r="C45" i="101" s="1"/>
  <c r="I45" i="101"/>
  <c r="A39" i="101"/>
  <c r="I39" i="101"/>
  <c r="A29" i="101"/>
  <c r="C29" i="101" s="1"/>
  <c r="I29" i="101"/>
  <c r="A23" i="101"/>
  <c r="I23" i="101"/>
  <c r="A13" i="101"/>
  <c r="I13" i="101"/>
  <c r="A7" i="101"/>
  <c r="I7" i="101"/>
  <c r="I102" i="101"/>
  <c r="I92" i="101"/>
  <c r="I60" i="101"/>
  <c r="I44" i="101"/>
  <c r="I28" i="101"/>
  <c r="I12" i="101"/>
  <c r="A98" i="101"/>
  <c r="I98" i="101"/>
  <c r="A94" i="101"/>
  <c r="D94" i="101" s="1"/>
  <c r="J94" i="101" s="1"/>
  <c r="I94" i="101"/>
  <c r="A90" i="101"/>
  <c r="I90" i="101"/>
  <c r="A73" i="101"/>
  <c r="D73" i="101" s="1"/>
  <c r="J73" i="101" s="1"/>
  <c r="I73" i="101"/>
  <c r="A67" i="101"/>
  <c r="I67" i="101"/>
  <c r="A57" i="101"/>
  <c r="D57" i="101" s="1"/>
  <c r="J57" i="101" s="1"/>
  <c r="I57" i="101"/>
  <c r="A51" i="101"/>
  <c r="I51" i="101"/>
  <c r="A41" i="101"/>
  <c r="D41" i="101" s="1"/>
  <c r="J41" i="101" s="1"/>
  <c r="I41" i="101"/>
  <c r="A35" i="101"/>
  <c r="I35" i="101"/>
  <c r="A25" i="101"/>
  <c r="D25" i="101" s="1"/>
  <c r="J25" i="101" s="1"/>
  <c r="I25" i="101"/>
  <c r="A19" i="101"/>
  <c r="I19" i="101"/>
  <c r="B13" i="101"/>
  <c r="A9" i="101"/>
  <c r="I9" i="101"/>
  <c r="A3" i="101"/>
  <c r="I3" i="101"/>
  <c r="I88" i="101"/>
  <c r="A63" i="101"/>
  <c r="I63" i="101"/>
  <c r="B57" i="101"/>
  <c r="A53" i="101"/>
  <c r="C53" i="101" s="1"/>
  <c r="I53" i="101"/>
  <c r="A47" i="101"/>
  <c r="I47" i="101"/>
  <c r="B41" i="101"/>
  <c r="A37" i="101"/>
  <c r="I37" i="101"/>
  <c r="A31" i="101"/>
  <c r="I31" i="101"/>
  <c r="B25" i="101"/>
  <c r="A21" i="101"/>
  <c r="C21" i="101" s="1"/>
  <c r="I21" i="101"/>
  <c r="A15" i="101"/>
  <c r="I15" i="101"/>
  <c r="B9" i="101"/>
  <c r="A5" i="101"/>
  <c r="C5" i="101" s="1"/>
  <c r="I5" i="101"/>
  <c r="I120" i="101"/>
  <c r="I116" i="101"/>
  <c r="I112" i="101"/>
  <c r="I108" i="101"/>
  <c r="I104" i="101"/>
  <c r="I100" i="101"/>
  <c r="I68" i="101"/>
  <c r="I52" i="101"/>
  <c r="I36" i="101"/>
  <c r="I20" i="101"/>
  <c r="I4" i="101"/>
  <c r="D430" i="101"/>
  <c r="J430" i="101" s="1"/>
  <c r="C406" i="101"/>
  <c r="D398" i="101"/>
  <c r="J398" i="101" s="1"/>
  <c r="D352" i="16" s="1"/>
  <c r="C390" i="101"/>
  <c r="D366" i="101"/>
  <c r="J366" i="101" s="1"/>
  <c r="G322" i="16" s="1"/>
  <c r="C476" i="101"/>
  <c r="D476" i="101"/>
  <c r="J476" i="101" s="1"/>
  <c r="G422" i="16" s="1"/>
  <c r="A473" i="101"/>
  <c r="D462" i="101"/>
  <c r="J462" i="101" s="1"/>
  <c r="D411" i="16" s="1"/>
  <c r="C460" i="101"/>
  <c r="D460" i="101"/>
  <c r="J460" i="101" s="1"/>
  <c r="A457" i="101"/>
  <c r="D443" i="101"/>
  <c r="J443" i="101" s="1"/>
  <c r="D395" i="16" s="1"/>
  <c r="C440" i="101"/>
  <c r="D440" i="101"/>
  <c r="J440" i="101" s="1"/>
  <c r="G392" i="16" s="1"/>
  <c r="D435" i="101"/>
  <c r="J435" i="101" s="1"/>
  <c r="D387" i="16" s="1"/>
  <c r="D432" i="101"/>
  <c r="J432" i="101" s="1"/>
  <c r="D427" i="101"/>
  <c r="J427" i="101" s="1"/>
  <c r="D378" i="16" s="1"/>
  <c r="C424" i="101"/>
  <c r="D424" i="101"/>
  <c r="J424" i="101" s="1"/>
  <c r="D373" i="16" s="1"/>
  <c r="D419" i="101"/>
  <c r="J419" i="101" s="1"/>
  <c r="C416" i="101"/>
  <c r="D416" i="101"/>
  <c r="J416" i="101" s="1"/>
  <c r="D367" i="16" s="1"/>
  <c r="D411" i="101"/>
  <c r="J411" i="101" s="1"/>
  <c r="D364" i="16" s="1"/>
  <c r="C408" i="101"/>
  <c r="D408" i="101"/>
  <c r="J408" i="101" s="1"/>
  <c r="D403" i="101"/>
  <c r="J403" i="101" s="1"/>
  <c r="G356" i="16" s="1"/>
  <c r="D400" i="101"/>
  <c r="J400" i="101" s="1"/>
  <c r="D395" i="101"/>
  <c r="J395" i="101" s="1"/>
  <c r="D350" i="16" s="1"/>
  <c r="C392" i="101"/>
  <c r="D392" i="101"/>
  <c r="J392" i="101" s="1"/>
  <c r="D387" i="101"/>
  <c r="J387" i="101" s="1"/>
  <c r="C384" i="101"/>
  <c r="D384" i="101"/>
  <c r="J384" i="101" s="1"/>
  <c r="D379" i="101"/>
  <c r="J379" i="101" s="1"/>
  <c r="G335" i="16" s="1"/>
  <c r="C376" i="101"/>
  <c r="D376" i="101"/>
  <c r="J376" i="101" s="1"/>
  <c r="D371" i="101"/>
  <c r="J371" i="101" s="1"/>
  <c r="D327" i="16" s="1"/>
  <c r="D368" i="101"/>
  <c r="J368" i="101" s="1"/>
  <c r="G324" i="16" s="1"/>
  <c r="D363" i="101"/>
  <c r="J363" i="101" s="1"/>
  <c r="C360" i="101"/>
  <c r="D360" i="101"/>
  <c r="J360" i="101" s="1"/>
  <c r="G318" i="16" s="1"/>
  <c r="C480" i="101"/>
  <c r="D480" i="101"/>
  <c r="J480" i="101" s="1"/>
  <c r="D426" i="16" s="1"/>
  <c r="C477" i="101"/>
  <c r="D477" i="101"/>
  <c r="J477" i="101" s="1"/>
  <c r="C464" i="101"/>
  <c r="D464" i="101"/>
  <c r="J464" i="101" s="1"/>
  <c r="D412" i="16" s="1"/>
  <c r="C448" i="101"/>
  <c r="D448" i="101"/>
  <c r="J448" i="101" s="1"/>
  <c r="D438" i="101"/>
  <c r="J438" i="101" s="1"/>
  <c r="G390" i="16" s="1"/>
  <c r="C438" i="101"/>
  <c r="C414" i="101"/>
  <c r="D382" i="101"/>
  <c r="J382" i="101" s="1"/>
  <c r="D336" i="16" s="1"/>
  <c r="C382" i="101"/>
  <c r="C485" i="101"/>
  <c r="D485" i="101"/>
  <c r="J485" i="101" s="1"/>
  <c r="C472" i="101"/>
  <c r="D472" i="101"/>
  <c r="J472" i="101" s="1"/>
  <c r="D469" i="101"/>
  <c r="J469" i="101" s="1"/>
  <c r="C456" i="101"/>
  <c r="D456" i="101"/>
  <c r="J456" i="101" s="1"/>
  <c r="D406" i="16" s="1"/>
  <c r="C442" i="101"/>
  <c r="D442" i="101"/>
  <c r="J442" i="101" s="1"/>
  <c r="D394" i="16" s="1"/>
  <c r="C434" i="101"/>
  <c r="D434" i="101"/>
  <c r="J434" i="101" s="1"/>
  <c r="C426" i="101"/>
  <c r="C418" i="101"/>
  <c r="C410" i="101"/>
  <c r="D410" i="101"/>
  <c r="J410" i="101" s="1"/>
  <c r="G363" i="16" s="1"/>
  <c r="C402" i="101"/>
  <c r="D402" i="101"/>
  <c r="J402" i="101" s="1"/>
  <c r="D355" i="16" s="1"/>
  <c r="C394" i="101"/>
  <c r="C386" i="101"/>
  <c r="D386" i="101"/>
  <c r="J386" i="101" s="1"/>
  <c r="C378" i="101"/>
  <c r="D378" i="101"/>
  <c r="J378" i="101" s="1"/>
  <c r="D334" i="16" s="1"/>
  <c r="D370" i="101"/>
  <c r="J370" i="101" s="1"/>
  <c r="G326" i="16" s="1"/>
  <c r="C370" i="101"/>
  <c r="D362" i="101"/>
  <c r="J362" i="101" s="1"/>
  <c r="D320" i="16" s="1"/>
  <c r="D461" i="101"/>
  <c r="J461" i="101" s="1"/>
  <c r="D410" i="16" s="1"/>
  <c r="D446" i="101"/>
  <c r="J446" i="101" s="1"/>
  <c r="D422" i="101"/>
  <c r="J422" i="101" s="1"/>
  <c r="C422" i="101"/>
  <c r="D374" i="101"/>
  <c r="J374" i="101" s="1"/>
  <c r="C484" i="101"/>
  <c r="D484" i="101"/>
  <c r="J484" i="101" s="1"/>
  <c r="A481" i="101"/>
  <c r="C468" i="101"/>
  <c r="D468" i="101"/>
  <c r="J468" i="101" s="1"/>
  <c r="A465" i="101"/>
  <c r="D454" i="101"/>
  <c r="J454" i="101" s="1"/>
  <c r="G404" i="16" s="1"/>
  <c r="D452" i="101"/>
  <c r="J452" i="101" s="1"/>
  <c r="A449" i="101"/>
  <c r="D439" i="101"/>
  <c r="J439" i="101" s="1"/>
  <c r="D391" i="16" s="1"/>
  <c r="C436" i="101"/>
  <c r="D431" i="101"/>
  <c r="J431" i="101" s="1"/>
  <c r="C428" i="101"/>
  <c r="D428" i="101"/>
  <c r="J428" i="101" s="1"/>
  <c r="D423" i="101"/>
  <c r="J423" i="101" s="1"/>
  <c r="G372" i="16" s="1"/>
  <c r="D420" i="101"/>
  <c r="J420" i="101" s="1"/>
  <c r="D415" i="101"/>
  <c r="J415" i="101" s="1"/>
  <c r="G366" i="16" s="1"/>
  <c r="D407" i="101"/>
  <c r="J407" i="101" s="1"/>
  <c r="G360" i="16" s="1"/>
  <c r="C404" i="101"/>
  <c r="D399" i="101"/>
  <c r="J399" i="101" s="1"/>
  <c r="G352" i="16" s="1"/>
  <c r="C396" i="101"/>
  <c r="D396" i="101"/>
  <c r="J396" i="101" s="1"/>
  <c r="G350" i="16" s="1"/>
  <c r="D391" i="101"/>
  <c r="J391" i="101" s="1"/>
  <c r="D346" i="16" s="1"/>
  <c r="D388" i="101"/>
  <c r="J388" i="101" s="1"/>
  <c r="D343" i="16" s="1"/>
  <c r="D383" i="101"/>
  <c r="J383" i="101" s="1"/>
  <c r="D375" i="101"/>
  <c r="J375" i="101" s="1"/>
  <c r="C372" i="101"/>
  <c r="D367" i="101"/>
  <c r="J367" i="101" s="1"/>
  <c r="D323" i="16" s="1"/>
  <c r="C364" i="101"/>
  <c r="D364" i="101"/>
  <c r="J364" i="101" s="1"/>
  <c r="G319" i="16" s="1"/>
  <c r="D359" i="101"/>
  <c r="J359" i="101" s="1"/>
  <c r="A417" i="101"/>
  <c r="A413" i="101"/>
  <c r="A409" i="101"/>
  <c r="A405" i="101"/>
  <c r="A369" i="101"/>
  <c r="A361" i="101"/>
  <c r="C239" i="101"/>
  <c r="D239" i="101"/>
  <c r="J239" i="101" s="1"/>
  <c r="G217" i="16" s="1"/>
  <c r="C234" i="101"/>
  <c r="D218" i="101"/>
  <c r="J218" i="101" s="1"/>
  <c r="C218" i="101"/>
  <c r="D192" i="101"/>
  <c r="J192" i="101" s="1"/>
  <c r="D179" i="16" s="1"/>
  <c r="D187" i="101"/>
  <c r="J187" i="101" s="1"/>
  <c r="D171" i="101"/>
  <c r="J171" i="101" s="1"/>
  <c r="G166" i="16" s="1"/>
  <c r="C171" i="101"/>
  <c r="D76" i="101"/>
  <c r="J76" i="101" s="1"/>
  <c r="D65" i="16" s="1"/>
  <c r="B66" i="101"/>
  <c r="A66" i="101"/>
  <c r="D60" i="101"/>
  <c r="J60" i="101" s="1"/>
  <c r="D54" i="16" s="1"/>
  <c r="B50" i="101"/>
  <c r="A50" i="101"/>
  <c r="D44" i="101"/>
  <c r="J44" i="101" s="1"/>
  <c r="B34" i="101"/>
  <c r="A34" i="101"/>
  <c r="D28" i="101"/>
  <c r="J28" i="101" s="1"/>
  <c r="B18" i="101"/>
  <c r="A18" i="101"/>
  <c r="B487" i="101"/>
  <c r="B483" i="101"/>
  <c r="C483" i="101" s="1"/>
  <c r="B479" i="101"/>
  <c r="C479" i="101" s="1"/>
  <c r="B475" i="101"/>
  <c r="B471" i="101"/>
  <c r="C471" i="101" s="1"/>
  <c r="B467" i="101"/>
  <c r="C467" i="101" s="1"/>
  <c r="B463" i="101"/>
  <c r="C463" i="101" s="1"/>
  <c r="B459" i="101"/>
  <c r="C459" i="101" s="1"/>
  <c r="B455" i="101"/>
  <c r="C455" i="101" s="1"/>
  <c r="B451" i="101"/>
  <c r="C451" i="101" s="1"/>
  <c r="B447" i="101"/>
  <c r="C447" i="101" s="1"/>
  <c r="B443" i="101"/>
  <c r="C443" i="101" s="1"/>
  <c r="B439" i="101"/>
  <c r="C439" i="101" s="1"/>
  <c r="B435" i="101"/>
  <c r="C435" i="101" s="1"/>
  <c r="B431" i="101"/>
  <c r="C431" i="101" s="1"/>
  <c r="B427" i="101"/>
  <c r="C427" i="101" s="1"/>
  <c r="B423" i="101"/>
  <c r="C423" i="101" s="1"/>
  <c r="B419" i="101"/>
  <c r="C419" i="101" s="1"/>
  <c r="B415" i="101"/>
  <c r="C415" i="101" s="1"/>
  <c r="B411" i="101"/>
  <c r="C411" i="101" s="1"/>
  <c r="B407" i="101"/>
  <c r="C407" i="101" s="1"/>
  <c r="B403" i="101"/>
  <c r="C403" i="101" s="1"/>
  <c r="B399" i="101"/>
  <c r="C399" i="101" s="1"/>
  <c r="B395" i="101"/>
  <c r="C395" i="101" s="1"/>
  <c r="B391" i="101"/>
  <c r="C391" i="101" s="1"/>
  <c r="B387" i="101"/>
  <c r="C387" i="101" s="1"/>
  <c r="B383" i="101"/>
  <c r="C383" i="101" s="1"/>
  <c r="B379" i="101"/>
  <c r="C379" i="101" s="1"/>
  <c r="B375" i="101"/>
  <c r="C375" i="101" s="1"/>
  <c r="B371" i="101"/>
  <c r="C371" i="101" s="1"/>
  <c r="B367" i="101"/>
  <c r="C367" i="101" s="1"/>
  <c r="B363" i="101"/>
  <c r="C363" i="101" s="1"/>
  <c r="B359" i="101"/>
  <c r="C359" i="101" s="1"/>
  <c r="C252" i="101"/>
  <c r="C251" i="101"/>
  <c r="D246" i="101"/>
  <c r="J246" i="101" s="1"/>
  <c r="C246" i="101"/>
  <c r="C235" i="101"/>
  <c r="D235" i="101"/>
  <c r="J235" i="101" s="1"/>
  <c r="G213" i="16" s="1"/>
  <c r="D230" i="101"/>
  <c r="J230" i="101" s="1"/>
  <c r="C230" i="101"/>
  <c r="C220" i="101"/>
  <c r="C219" i="101"/>
  <c r="D219" i="101"/>
  <c r="J219" i="101" s="1"/>
  <c r="D214" i="101"/>
  <c r="J214" i="101" s="1"/>
  <c r="D200" i="16" s="1"/>
  <c r="C214" i="101"/>
  <c r="C205" i="101"/>
  <c r="C204" i="101"/>
  <c r="D204" i="101"/>
  <c r="J204" i="101" s="1"/>
  <c r="D199" i="101"/>
  <c r="J199" i="101" s="1"/>
  <c r="G186" i="16" s="1"/>
  <c r="C199" i="101"/>
  <c r="C189" i="101"/>
  <c r="D188" i="101"/>
  <c r="J188" i="101" s="1"/>
  <c r="D183" i="101"/>
  <c r="J183" i="101" s="1"/>
  <c r="D175" i="16" s="1"/>
  <c r="C183" i="101"/>
  <c r="D167" i="101"/>
  <c r="J167" i="101" s="1"/>
  <c r="C167" i="101"/>
  <c r="A437" i="101"/>
  <c r="A433" i="101"/>
  <c r="A429" i="101"/>
  <c r="A425" i="101"/>
  <c r="A397" i="101"/>
  <c r="A393" i="101"/>
  <c r="A373" i="101"/>
  <c r="C255" i="101"/>
  <c r="D255" i="101"/>
  <c r="J255" i="101" s="1"/>
  <c r="D233" i="16" s="1"/>
  <c r="D250" i="101"/>
  <c r="J250" i="101" s="1"/>
  <c r="G228" i="16" s="1"/>
  <c r="C250" i="101"/>
  <c r="C208" i="101"/>
  <c r="D208" i="101"/>
  <c r="J208" i="101" s="1"/>
  <c r="D12" i="101"/>
  <c r="J12" i="101" s="1"/>
  <c r="G9" i="16" s="1"/>
  <c r="C358" i="101"/>
  <c r="C354" i="101"/>
  <c r="C350" i="101"/>
  <c r="C346" i="101"/>
  <c r="C342" i="101"/>
  <c r="C338" i="101"/>
  <c r="C334" i="101"/>
  <c r="C330" i="101"/>
  <c r="C326" i="101"/>
  <c r="C322" i="101"/>
  <c r="C318" i="101"/>
  <c r="C314" i="101"/>
  <c r="C310" i="101"/>
  <c r="C306" i="101"/>
  <c r="C302" i="101"/>
  <c r="C298" i="101"/>
  <c r="C294" i="101"/>
  <c r="C290" i="101"/>
  <c r="C286" i="101"/>
  <c r="C278" i="101"/>
  <c r="C248" i="101"/>
  <c r="C247" i="101"/>
  <c r="D242" i="101"/>
  <c r="J242" i="101" s="1"/>
  <c r="G220" i="16" s="1"/>
  <c r="C242" i="101"/>
  <c r="C232" i="101"/>
  <c r="D231" i="101"/>
  <c r="J231" i="101" s="1"/>
  <c r="D226" i="101"/>
  <c r="J226" i="101" s="1"/>
  <c r="C216" i="101"/>
  <c r="C215" i="101"/>
  <c r="D215" i="101"/>
  <c r="J215" i="101" s="1"/>
  <c r="D211" i="101"/>
  <c r="J211" i="101" s="1"/>
  <c r="G197" i="16" s="1"/>
  <c r="C211" i="101"/>
  <c r="C201" i="101"/>
  <c r="D200" i="101"/>
  <c r="J200" i="101" s="1"/>
  <c r="G187" i="16" s="1"/>
  <c r="D195" i="101"/>
  <c r="J195" i="101" s="1"/>
  <c r="C185" i="101"/>
  <c r="D184" i="101"/>
  <c r="J184" i="101" s="1"/>
  <c r="D176" i="16" s="1"/>
  <c r="D179" i="101"/>
  <c r="J179" i="101" s="1"/>
  <c r="C179" i="101"/>
  <c r="C168" i="101"/>
  <c r="D168" i="101"/>
  <c r="J168" i="101" s="1"/>
  <c r="A445" i="101"/>
  <c r="A441" i="101"/>
  <c r="A421" i="101"/>
  <c r="A401" i="101"/>
  <c r="A389" i="101"/>
  <c r="A385" i="101"/>
  <c r="A381" i="101"/>
  <c r="A377" i="101"/>
  <c r="A365" i="101"/>
  <c r="C223" i="101"/>
  <c r="D223" i="101"/>
  <c r="J223" i="101" s="1"/>
  <c r="D203" i="101"/>
  <c r="J203" i="101" s="1"/>
  <c r="D190" i="16" s="1"/>
  <c r="C203" i="101"/>
  <c r="D254" i="101"/>
  <c r="J254" i="101" s="1"/>
  <c r="D232" i="16" s="1"/>
  <c r="C244" i="101"/>
  <c r="C243" i="101"/>
  <c r="D243" i="101"/>
  <c r="J243" i="101" s="1"/>
  <c r="D238" i="101"/>
  <c r="J238" i="101" s="1"/>
  <c r="G216" i="16" s="1"/>
  <c r="C238" i="101"/>
  <c r="C227" i="101"/>
  <c r="D227" i="101"/>
  <c r="J227" i="101" s="1"/>
  <c r="D206" i="16" s="1"/>
  <c r="C213" i="101"/>
  <c r="C212" i="101"/>
  <c r="D207" i="101"/>
  <c r="J207" i="101" s="1"/>
  <c r="C207" i="101"/>
  <c r="C197" i="101"/>
  <c r="D196" i="101"/>
  <c r="J196" i="101" s="1"/>
  <c r="D184" i="16" s="1"/>
  <c r="D191" i="101"/>
  <c r="J191" i="101" s="1"/>
  <c r="G193" i="16" s="1"/>
  <c r="C191" i="101"/>
  <c r="C181" i="101"/>
  <c r="D180" i="101"/>
  <c r="J180" i="101" s="1"/>
  <c r="G172" i="16" s="1"/>
  <c r="D175" i="101"/>
  <c r="J175" i="101" s="1"/>
  <c r="G169" i="16" s="1"/>
  <c r="C175" i="101"/>
  <c r="A86" i="101"/>
  <c r="B86" i="101"/>
  <c r="C120" i="101"/>
  <c r="D120" i="101"/>
  <c r="J120" i="101" s="1"/>
  <c r="G109" i="16" s="1"/>
  <c r="C116" i="101"/>
  <c r="D116" i="101"/>
  <c r="J116" i="101" s="1"/>
  <c r="C112" i="101"/>
  <c r="D112" i="101"/>
  <c r="J112" i="101" s="1"/>
  <c r="G102" i="16" s="1"/>
  <c r="C108" i="101"/>
  <c r="D108" i="101"/>
  <c r="J108" i="101" s="1"/>
  <c r="D97" i="16" s="1"/>
  <c r="C104" i="101"/>
  <c r="D104" i="101"/>
  <c r="J104" i="101" s="1"/>
  <c r="D94" i="16" s="1"/>
  <c r="C100" i="101"/>
  <c r="D100" i="101"/>
  <c r="J100" i="101" s="1"/>
  <c r="C96" i="101"/>
  <c r="D96" i="101"/>
  <c r="J96" i="101" s="1"/>
  <c r="G86" i="16" s="1"/>
  <c r="C92" i="101"/>
  <c r="D92" i="101"/>
  <c r="J92" i="101" s="1"/>
  <c r="C88" i="101"/>
  <c r="D88" i="101"/>
  <c r="J88" i="101" s="1"/>
  <c r="D78" i="16" s="1"/>
  <c r="D85" i="101"/>
  <c r="J85" i="101" s="1"/>
  <c r="B78" i="101"/>
  <c r="A78" i="101"/>
  <c r="D72" i="101"/>
  <c r="J72" i="101" s="1"/>
  <c r="D60" i="16" s="1"/>
  <c r="B62" i="101"/>
  <c r="A62" i="101"/>
  <c r="B46" i="101"/>
  <c r="A46" i="101"/>
  <c r="B30" i="101"/>
  <c r="A30" i="101"/>
  <c r="D24" i="101"/>
  <c r="J24" i="101" s="1"/>
  <c r="B14" i="101"/>
  <c r="A14" i="101"/>
  <c r="D8" i="101"/>
  <c r="J8" i="101" s="1"/>
  <c r="C156" i="101"/>
  <c r="C152" i="101"/>
  <c r="C144" i="101"/>
  <c r="C140" i="101"/>
  <c r="C136" i="101"/>
  <c r="C128" i="101"/>
  <c r="C124" i="101"/>
  <c r="C118" i="101"/>
  <c r="C106" i="101"/>
  <c r="C102" i="101"/>
  <c r="C98" i="101"/>
  <c r="C90" i="101"/>
  <c r="B74" i="101"/>
  <c r="A74" i="101"/>
  <c r="D68" i="101"/>
  <c r="J68" i="101" s="1"/>
  <c r="B58" i="101"/>
  <c r="A58" i="101"/>
  <c r="D52" i="101"/>
  <c r="J52" i="101" s="1"/>
  <c r="B42" i="101"/>
  <c r="A42" i="101"/>
  <c r="D36" i="101"/>
  <c r="J36" i="101" s="1"/>
  <c r="B26" i="101"/>
  <c r="A26" i="101"/>
  <c r="D20" i="101"/>
  <c r="J20" i="101" s="1"/>
  <c r="D18" i="16" s="1"/>
  <c r="B10" i="101"/>
  <c r="A10" i="101"/>
  <c r="D4" i="101"/>
  <c r="J4" i="101" s="1"/>
  <c r="G2" i="16" s="1"/>
  <c r="A121" i="101"/>
  <c r="A117" i="101"/>
  <c r="D114" i="101"/>
  <c r="J114" i="101" s="1"/>
  <c r="A113" i="101"/>
  <c r="A109" i="101"/>
  <c r="D106" i="101"/>
  <c r="J106" i="101" s="1"/>
  <c r="D96" i="16" s="1"/>
  <c r="A105" i="101"/>
  <c r="D102" i="101"/>
  <c r="J102" i="101" s="1"/>
  <c r="G92" i="16" s="1"/>
  <c r="A101" i="101"/>
  <c r="D98" i="101"/>
  <c r="J98" i="101" s="1"/>
  <c r="G88" i="16" s="1"/>
  <c r="A97" i="101"/>
  <c r="A93" i="101"/>
  <c r="D90" i="101"/>
  <c r="J90" i="101" s="1"/>
  <c r="G80" i="16" s="1"/>
  <c r="A89" i="101"/>
  <c r="A87" i="101"/>
  <c r="B87" i="101"/>
  <c r="D84" i="101"/>
  <c r="J84" i="101" s="1"/>
  <c r="C82" i="101"/>
  <c r="D82" i="101"/>
  <c r="J82" i="101" s="1"/>
  <c r="D80" i="101"/>
  <c r="J80" i="101" s="1"/>
  <c r="B70" i="101"/>
  <c r="A70" i="101"/>
  <c r="D64" i="101"/>
  <c r="J64" i="101" s="1"/>
  <c r="B54" i="101"/>
  <c r="A54" i="101"/>
  <c r="D48" i="101"/>
  <c r="J48" i="101" s="1"/>
  <c r="D43" i="16" s="1"/>
  <c r="B38" i="101"/>
  <c r="A38" i="101"/>
  <c r="D32" i="101"/>
  <c r="J32" i="101" s="1"/>
  <c r="G26" i="16" s="1"/>
  <c r="B22" i="101"/>
  <c r="A22" i="101"/>
  <c r="D16" i="101"/>
  <c r="J16" i="101" s="1"/>
  <c r="D14" i="16" s="1"/>
  <c r="B6" i="101"/>
  <c r="A6" i="101"/>
  <c r="A83" i="101"/>
  <c r="D69" i="101"/>
  <c r="J69" i="101" s="1"/>
  <c r="C65" i="101"/>
  <c r="D53" i="101"/>
  <c r="J53" i="101" s="1"/>
  <c r="C49" i="101"/>
  <c r="C37" i="101"/>
  <c r="D37" i="101"/>
  <c r="J37" i="101" s="1"/>
  <c r="D32" i="16" s="1"/>
  <c r="D33" i="101"/>
  <c r="J33" i="101" s="1"/>
  <c r="D27" i="16" s="1"/>
  <c r="C25" i="101"/>
  <c r="D21" i="101"/>
  <c r="J21" i="101" s="1"/>
  <c r="G18" i="16" s="1"/>
  <c r="D17" i="101"/>
  <c r="J17" i="101" s="1"/>
  <c r="C9" i="101"/>
  <c r="D9" i="101"/>
  <c r="J9" i="101" s="1"/>
  <c r="D71" i="101"/>
  <c r="J71" i="101" s="1"/>
  <c r="D59" i="16" s="1"/>
  <c r="D67" i="101"/>
  <c r="J67" i="101" s="1"/>
  <c r="D63" i="101"/>
  <c r="J63" i="101" s="1"/>
  <c r="D56" i="16" s="1"/>
  <c r="D59" i="101"/>
  <c r="J59" i="101" s="1"/>
  <c r="D55" i="101"/>
  <c r="J55" i="101" s="1"/>
  <c r="G49" i="16" s="1"/>
  <c r="D51" i="101"/>
  <c r="J51" i="101" s="1"/>
  <c r="D47" i="16" s="1"/>
  <c r="D47" i="101"/>
  <c r="J47" i="101" s="1"/>
  <c r="G42" i="16" s="1"/>
  <c r="D43" i="101"/>
  <c r="J43" i="101" s="1"/>
  <c r="G38" i="16" s="1"/>
  <c r="D39" i="101"/>
  <c r="J39" i="101" s="1"/>
  <c r="G34" i="16" s="1"/>
  <c r="D35" i="101"/>
  <c r="J35" i="101" s="1"/>
  <c r="D31" i="101"/>
  <c r="J31" i="101" s="1"/>
  <c r="D23" i="101"/>
  <c r="J23" i="101" s="1"/>
  <c r="D19" i="101"/>
  <c r="J19" i="101" s="1"/>
  <c r="G17" i="16" s="1"/>
  <c r="D15" i="101"/>
  <c r="J15" i="101" s="1"/>
  <c r="D7" i="101"/>
  <c r="J7" i="101" s="1"/>
  <c r="D3" i="101"/>
  <c r="J3" i="101" s="1"/>
  <c r="B84" i="101"/>
  <c r="C84" i="101" s="1"/>
  <c r="B80" i="101"/>
  <c r="C80" i="101" s="1"/>
  <c r="B76" i="101"/>
  <c r="C76" i="101" s="1"/>
  <c r="B72" i="101"/>
  <c r="C72" i="101" s="1"/>
  <c r="B68" i="101"/>
  <c r="C68" i="101" s="1"/>
  <c r="B64" i="101"/>
  <c r="C64" i="101" s="1"/>
  <c r="B60" i="101"/>
  <c r="C60" i="101" s="1"/>
  <c r="B56" i="101"/>
  <c r="B52" i="101"/>
  <c r="C52" i="101" s="1"/>
  <c r="B48" i="101"/>
  <c r="C48" i="101" s="1"/>
  <c r="B44" i="101"/>
  <c r="C44" i="101" s="1"/>
  <c r="B40" i="101"/>
  <c r="B36" i="101"/>
  <c r="C36" i="101" s="1"/>
  <c r="B32" i="101"/>
  <c r="C32" i="101" s="1"/>
  <c r="B28" i="101"/>
  <c r="C28" i="101" s="1"/>
  <c r="B24" i="101"/>
  <c r="C24" i="101" s="1"/>
  <c r="B20" i="101"/>
  <c r="C20" i="101" s="1"/>
  <c r="B16" i="101"/>
  <c r="C16" i="101" s="1"/>
  <c r="B12" i="101"/>
  <c r="C12" i="101" s="1"/>
  <c r="B8" i="101"/>
  <c r="C8" i="101" s="1"/>
  <c r="B4" i="101"/>
  <c r="C4" i="101" s="1"/>
  <c r="B79" i="101"/>
  <c r="B75" i="101"/>
  <c r="B71" i="101"/>
  <c r="C71" i="101" s="1"/>
  <c r="B67" i="101"/>
  <c r="C67" i="101" s="1"/>
  <c r="B63" i="101"/>
  <c r="C63" i="101" s="1"/>
  <c r="B59" i="101"/>
  <c r="C59" i="101" s="1"/>
  <c r="B55" i="101"/>
  <c r="C55" i="101" s="1"/>
  <c r="B51" i="101"/>
  <c r="C51" i="101" s="1"/>
  <c r="B47" i="101"/>
  <c r="C47" i="101" s="1"/>
  <c r="B43" i="101"/>
  <c r="B39" i="101"/>
  <c r="C39" i="101" s="1"/>
  <c r="B35" i="101"/>
  <c r="C35" i="101" s="1"/>
  <c r="B31" i="101"/>
  <c r="B27" i="101"/>
  <c r="B23" i="101"/>
  <c r="C23" i="101" s="1"/>
  <c r="B19" i="101"/>
  <c r="C19" i="101" s="1"/>
  <c r="B15" i="101"/>
  <c r="B11" i="101"/>
  <c r="B7" i="101"/>
  <c r="C7" i="101" s="1"/>
  <c r="B3" i="101"/>
  <c r="C3" i="101" s="1"/>
  <c r="D176" i="101" l="1"/>
  <c r="J176" i="101" s="1"/>
  <c r="D380" i="101"/>
  <c r="J380" i="101" s="1"/>
  <c r="G334" i="16" s="1"/>
  <c r="D412" i="101"/>
  <c r="J412" i="101" s="1"/>
  <c r="D444" i="101"/>
  <c r="J444" i="101" s="1"/>
  <c r="D396" i="16" s="1"/>
  <c r="D486" i="101"/>
  <c r="J486" i="101" s="1"/>
  <c r="D453" i="101"/>
  <c r="J453" i="101" s="1"/>
  <c r="D403" i="16" s="1"/>
  <c r="G275" i="16"/>
  <c r="G235" i="16"/>
  <c r="C262" i="101"/>
  <c r="C13" i="101"/>
  <c r="C11" i="101"/>
  <c r="C27" i="101"/>
  <c r="C41" i="101"/>
  <c r="C57" i="101"/>
  <c r="C73" i="101"/>
  <c r="D110" i="101"/>
  <c r="J110" i="101" s="1"/>
  <c r="G99" i="16" s="1"/>
  <c r="C164" i="101"/>
  <c r="C222" i="101"/>
  <c r="D172" i="101"/>
  <c r="J172" i="101" s="1"/>
  <c r="D167" i="16" s="1"/>
  <c r="C15" i="101"/>
  <c r="C79" i="101"/>
  <c r="C487" i="101"/>
  <c r="C178" i="101"/>
  <c r="C188" i="101"/>
  <c r="C226" i="101"/>
  <c r="C305" i="101"/>
  <c r="C225" i="101"/>
  <c r="C253" i="101"/>
  <c r="C488" i="101"/>
  <c r="G50" i="16"/>
  <c r="D50" i="16"/>
  <c r="D22" i="16"/>
  <c r="G22" i="16"/>
  <c r="G36" i="16"/>
  <c r="D36" i="16"/>
  <c r="G51" i="16"/>
  <c r="D51" i="16"/>
  <c r="G61" i="16"/>
  <c r="D61" i="16"/>
  <c r="G84" i="16"/>
  <c r="D84" i="16"/>
  <c r="G35" i="16"/>
  <c r="D35" i="16"/>
  <c r="G63" i="16"/>
  <c r="G64" i="16"/>
  <c r="D63" i="16"/>
  <c r="D64" i="16"/>
  <c r="G229" i="16"/>
  <c r="D229" i="16"/>
  <c r="G349" i="16"/>
  <c r="D349" i="16"/>
  <c r="G377" i="16"/>
  <c r="G375" i="16"/>
  <c r="G376" i="16"/>
  <c r="D377" i="16"/>
  <c r="D375" i="16"/>
  <c r="D376" i="16"/>
  <c r="D226" i="16"/>
  <c r="G226" i="16"/>
  <c r="G31" i="16"/>
  <c r="D31" i="16"/>
  <c r="G21" i="16"/>
  <c r="D21" i="16"/>
  <c r="D82" i="16"/>
  <c r="G82" i="16"/>
  <c r="D90" i="16"/>
  <c r="G90" i="16"/>
  <c r="D107" i="16"/>
  <c r="G107" i="16"/>
  <c r="G205" i="16"/>
  <c r="D205" i="16"/>
  <c r="D331" i="16"/>
  <c r="G331" i="16"/>
  <c r="G383" i="16"/>
  <c r="G384" i="16"/>
  <c r="D384" i="16"/>
  <c r="D383" i="16"/>
  <c r="D279" i="16"/>
  <c r="G279" i="16"/>
  <c r="G382" i="16"/>
  <c r="D382" i="16"/>
  <c r="D369" i="16"/>
  <c r="G369" i="16"/>
  <c r="D386" i="16"/>
  <c r="G386" i="16"/>
  <c r="G399" i="16"/>
  <c r="D399" i="16"/>
  <c r="D423" i="16"/>
  <c r="G423" i="16"/>
  <c r="G345" i="16"/>
  <c r="D345" i="16"/>
  <c r="D359" i="16"/>
  <c r="G359" i="16"/>
  <c r="C265" i="101"/>
  <c r="G247" i="16"/>
  <c r="D247" i="16"/>
  <c r="G425" i="16"/>
  <c r="D425" i="16"/>
  <c r="D303" i="16"/>
  <c r="G303" i="16"/>
  <c r="D215" i="16"/>
  <c r="G215" i="16"/>
  <c r="D93" i="16"/>
  <c r="G93" i="16"/>
  <c r="G60" i="16"/>
  <c r="G189" i="16"/>
  <c r="G355" i="16"/>
  <c r="D92" i="16"/>
  <c r="D204" i="16"/>
  <c r="D220" i="16"/>
  <c r="D236" i="16"/>
  <c r="D408" i="16"/>
  <c r="G168" i="16"/>
  <c r="G343" i="16"/>
  <c r="D46" i="16"/>
  <c r="D165" i="16"/>
  <c r="D197" i="16"/>
  <c r="D357" i="16"/>
  <c r="D421" i="16"/>
  <c r="D49" i="16"/>
  <c r="G410" i="16"/>
  <c r="G346" i="16"/>
  <c r="G373" i="16"/>
  <c r="G68" i="16"/>
  <c r="G32" i="16"/>
  <c r="G78" i="16"/>
  <c r="G14" i="16"/>
  <c r="G65" i="16"/>
  <c r="D166" i="16"/>
  <c r="D422" i="16"/>
  <c r="G184" i="16"/>
  <c r="D363" i="16"/>
  <c r="G25" i="16"/>
  <c r="D25" i="16"/>
  <c r="D75" i="16"/>
  <c r="G75" i="16"/>
  <c r="D209" i="16"/>
  <c r="G209" i="16"/>
  <c r="D402" i="16"/>
  <c r="G402" i="16"/>
  <c r="D330" i="16"/>
  <c r="G330" i="16"/>
  <c r="C40" i="101"/>
  <c r="C56" i="101"/>
  <c r="G29" i="16"/>
  <c r="D29" i="16"/>
  <c r="D5" i="101"/>
  <c r="J5" i="101" s="1"/>
  <c r="D13" i="101"/>
  <c r="J13" i="101" s="1"/>
  <c r="D29" i="101"/>
  <c r="J29" i="101" s="1"/>
  <c r="D45" i="101"/>
  <c r="J45" i="101" s="1"/>
  <c r="D61" i="101"/>
  <c r="J61" i="101" s="1"/>
  <c r="D77" i="101"/>
  <c r="J77" i="101" s="1"/>
  <c r="G73" i="16"/>
  <c r="D74" i="16"/>
  <c r="G74" i="16"/>
  <c r="G104" i="16"/>
  <c r="G105" i="16"/>
  <c r="D122" i="101"/>
  <c r="J122" i="101" s="1"/>
  <c r="D6" i="16"/>
  <c r="G6" i="16"/>
  <c r="D210" i="16"/>
  <c r="G210" i="16"/>
  <c r="D162" i="16"/>
  <c r="G162" i="16"/>
  <c r="G225" i="16"/>
  <c r="D225" i="16"/>
  <c r="G224" i="16"/>
  <c r="G340" i="16"/>
  <c r="G342" i="16"/>
  <c r="D347" i="16"/>
  <c r="D348" i="16"/>
  <c r="C43" i="101"/>
  <c r="C75" i="101"/>
  <c r="G5" i="16"/>
  <c r="D5" i="16"/>
  <c r="G20" i="16"/>
  <c r="D20" i="16"/>
  <c r="C94" i="101"/>
  <c r="G163" i="16"/>
  <c r="D163" i="16"/>
  <c r="G183" i="16"/>
  <c r="G182" i="16"/>
  <c r="D183" i="16"/>
  <c r="C475" i="101"/>
  <c r="D318" i="16"/>
  <c r="D317" i="16"/>
  <c r="D470" i="101"/>
  <c r="J470" i="101" s="1"/>
  <c r="D339" i="16"/>
  <c r="G336" i="16"/>
  <c r="C170" i="101"/>
  <c r="D159" i="16"/>
  <c r="G159" i="16"/>
  <c r="C194" i="101"/>
  <c r="D250" i="16"/>
  <c r="G250" i="16"/>
  <c r="C233" i="101"/>
  <c r="G310" i="16"/>
  <c r="G309" i="16"/>
  <c r="D417" i="16"/>
  <c r="G417" i="16"/>
  <c r="G414" i="16"/>
  <c r="D414" i="16"/>
  <c r="G211" i="16"/>
  <c r="D80" i="16"/>
  <c r="D160" i="16"/>
  <c r="D192" i="16"/>
  <c r="D224" i="16"/>
  <c r="D240" i="16"/>
  <c r="D272" i="16"/>
  <c r="D324" i="16"/>
  <c r="D356" i="16"/>
  <c r="D388" i="16"/>
  <c r="G391" i="16"/>
  <c r="D169" i="16"/>
  <c r="D201" i="16"/>
  <c r="D309" i="16"/>
  <c r="G394" i="16"/>
  <c r="G327" i="16"/>
  <c r="G175" i="16"/>
  <c r="G192" i="16"/>
  <c r="G364" i="16"/>
  <c r="G201" i="16"/>
  <c r="G59" i="16"/>
  <c r="G206" i="16"/>
  <c r="G328" i="16"/>
  <c r="D86" i="16"/>
  <c r="D182" i="16"/>
  <c r="D310" i="16"/>
  <c r="D219" i="16"/>
  <c r="G367" i="16"/>
  <c r="D239" i="16"/>
  <c r="D38" i="16"/>
  <c r="G398" i="16"/>
  <c r="D398" i="16"/>
  <c r="D370" i="16"/>
  <c r="G370" i="16"/>
  <c r="C31" i="101"/>
  <c r="G53" i="16"/>
  <c r="D53" i="16"/>
  <c r="D7" i="16"/>
  <c r="G7" i="16"/>
  <c r="G15" i="16"/>
  <c r="D15" i="16"/>
  <c r="G57" i="16"/>
  <c r="D57" i="16"/>
  <c r="G54" i="16"/>
  <c r="G56" i="16"/>
  <c r="D71" i="16"/>
  <c r="G71" i="16"/>
  <c r="G47" i="16"/>
  <c r="D48" i="16"/>
  <c r="C160" i="101"/>
  <c r="D194" i="16"/>
  <c r="G194" i="16"/>
  <c r="G233" i="16"/>
  <c r="D234" i="16"/>
  <c r="G234" i="16"/>
  <c r="D191" i="16"/>
  <c r="G191" i="16"/>
  <c r="D39" i="16"/>
  <c r="G39" i="16"/>
  <c r="D178" i="16"/>
  <c r="G178" i="16"/>
  <c r="D338" i="16"/>
  <c r="G338" i="16"/>
  <c r="D337" i="16"/>
  <c r="G337" i="16"/>
  <c r="G379" i="16"/>
  <c r="D379" i="16"/>
  <c r="D418" i="16"/>
  <c r="G418" i="16"/>
  <c r="D321" i="16"/>
  <c r="G321" i="16"/>
  <c r="G332" i="16"/>
  <c r="D332" i="16"/>
  <c r="G361" i="16"/>
  <c r="D361" i="16"/>
  <c r="G409" i="16"/>
  <c r="D409" i="16"/>
  <c r="G381" i="16"/>
  <c r="D381" i="16"/>
  <c r="C174" i="101"/>
  <c r="D173" i="16"/>
  <c r="G173" i="16"/>
  <c r="G203" i="16"/>
  <c r="D203" i="16"/>
  <c r="C190" i="101"/>
  <c r="G307" i="16"/>
  <c r="D307" i="16"/>
  <c r="C289" i="101"/>
  <c r="D171" i="16"/>
  <c r="G171" i="16"/>
  <c r="G231" i="16"/>
  <c r="D231" i="16"/>
  <c r="D258" i="16"/>
  <c r="G258" i="16"/>
  <c r="G232" i="16"/>
  <c r="G317" i="16"/>
  <c r="G387" i="16"/>
  <c r="D26" i="16"/>
  <c r="D164" i="16"/>
  <c r="D196" i="16"/>
  <c r="D212" i="16"/>
  <c r="D228" i="16"/>
  <c r="D360" i="16"/>
  <c r="D392" i="16"/>
  <c r="D424" i="16"/>
  <c r="G259" i="16"/>
  <c r="D73" i="16"/>
  <c r="D105" i="16"/>
  <c r="D181" i="16"/>
  <c r="D293" i="16"/>
  <c r="D17" i="16"/>
  <c r="G378" i="16"/>
  <c r="D44" i="16"/>
  <c r="G405" i="16"/>
  <c r="G341" i="16"/>
  <c r="G412" i="16"/>
  <c r="G348" i="16"/>
  <c r="G179" i="16"/>
  <c r="G43" i="16"/>
  <c r="G190" i="16"/>
  <c r="G161" i="16"/>
  <c r="G97" i="16"/>
  <c r="G395" i="16"/>
  <c r="D102" i="16"/>
  <c r="D198" i="16"/>
  <c r="D326" i="16"/>
  <c r="D390" i="16"/>
  <c r="D291" i="16"/>
  <c r="D187" i="16"/>
  <c r="D155" i="16"/>
  <c r="D335" i="16"/>
  <c r="G13" i="16"/>
  <c r="D13" i="16"/>
  <c r="G221" i="16"/>
  <c r="D221" i="16"/>
  <c r="G200" i="16"/>
  <c r="D202" i="16"/>
  <c r="G202" i="16"/>
  <c r="D170" i="16"/>
  <c r="G170" i="16"/>
  <c r="D415" i="16"/>
  <c r="G415" i="16"/>
  <c r="D353" i="16"/>
  <c r="G353" i="16"/>
  <c r="G153" i="16"/>
  <c r="G152" i="16"/>
  <c r="D154" i="16"/>
  <c r="G154" i="16"/>
  <c r="D401" i="16"/>
  <c r="G401" i="16"/>
  <c r="D283" i="16"/>
  <c r="G283" i="16"/>
  <c r="G339" i="16"/>
  <c r="G403" i="16"/>
  <c r="D42" i="16"/>
  <c r="D88" i="16"/>
  <c r="D104" i="16"/>
  <c r="D152" i="16"/>
  <c r="D216" i="16"/>
  <c r="D372" i="16"/>
  <c r="D404" i="16"/>
  <c r="G323" i="16"/>
  <c r="D30" i="16"/>
  <c r="D153" i="16"/>
  <c r="D185" i="16"/>
  <c r="D217" i="16"/>
  <c r="D249" i="16"/>
  <c r="D281" i="16"/>
  <c r="D341" i="16"/>
  <c r="G426" i="16"/>
  <c r="G199" i="16"/>
  <c r="G320" i="16"/>
  <c r="G27" i="16"/>
  <c r="G270" i="16"/>
  <c r="G222" i="16"/>
  <c r="G94" i="16"/>
  <c r="G30" i="16"/>
  <c r="D34" i="16"/>
  <c r="D342" i="16"/>
  <c r="D311" i="16"/>
  <c r="D488" i="101"/>
  <c r="J488" i="101" s="1"/>
  <c r="C126" i="101"/>
  <c r="D126" i="101"/>
  <c r="J126" i="101" s="1"/>
  <c r="C134" i="101"/>
  <c r="D134" i="101"/>
  <c r="J134" i="101" s="1"/>
  <c r="C142" i="101"/>
  <c r="D142" i="101"/>
  <c r="J142" i="101" s="1"/>
  <c r="C150" i="101"/>
  <c r="D150" i="101"/>
  <c r="J150" i="101" s="1"/>
  <c r="D115" i="101"/>
  <c r="J115" i="101" s="1"/>
  <c r="C115" i="101"/>
  <c r="D135" i="101"/>
  <c r="J135" i="101" s="1"/>
  <c r="C135" i="101"/>
  <c r="D151" i="101"/>
  <c r="J151" i="101" s="1"/>
  <c r="C151" i="101"/>
  <c r="D163" i="101"/>
  <c r="J163" i="101" s="1"/>
  <c r="C163" i="101"/>
  <c r="D123" i="101"/>
  <c r="J123" i="101" s="1"/>
  <c r="C123" i="101"/>
  <c r="C260" i="101"/>
  <c r="D260" i="101"/>
  <c r="J260" i="101" s="1"/>
  <c r="C288" i="101"/>
  <c r="D288" i="101"/>
  <c r="J288" i="101" s="1"/>
  <c r="C304" i="101"/>
  <c r="D304" i="101"/>
  <c r="J304" i="101" s="1"/>
  <c r="C217" i="101"/>
  <c r="C317" i="101"/>
  <c r="C356" i="101"/>
  <c r="D356" i="101"/>
  <c r="J356" i="101" s="1"/>
  <c r="C466" i="101"/>
  <c r="D466" i="101"/>
  <c r="J466" i="101" s="1"/>
  <c r="G413" i="16" s="1"/>
  <c r="C241" i="101"/>
  <c r="D258" i="101"/>
  <c r="J258" i="101" s="1"/>
  <c r="C258" i="101"/>
  <c r="C320" i="101"/>
  <c r="D320" i="101"/>
  <c r="J320" i="101" s="1"/>
  <c r="C462" i="101"/>
  <c r="D119" i="101"/>
  <c r="J119" i="101" s="1"/>
  <c r="C119" i="101"/>
  <c r="D99" i="101"/>
  <c r="J99" i="101" s="1"/>
  <c r="C99" i="101"/>
  <c r="D131" i="101"/>
  <c r="J131" i="101" s="1"/>
  <c r="C131" i="101"/>
  <c r="D147" i="101"/>
  <c r="J147" i="101" s="1"/>
  <c r="C147" i="101"/>
  <c r="C284" i="101"/>
  <c r="D284" i="101"/>
  <c r="J284" i="101" s="1"/>
  <c r="C316" i="101"/>
  <c r="D316" i="101"/>
  <c r="J316" i="101" s="1"/>
  <c r="D91" i="101"/>
  <c r="J91" i="101" s="1"/>
  <c r="C91" i="101"/>
  <c r="D182" i="101"/>
  <c r="J182" i="101" s="1"/>
  <c r="C182" i="101"/>
  <c r="C206" i="101"/>
  <c r="C267" i="101"/>
  <c r="D267" i="101"/>
  <c r="J267" i="101" s="1"/>
  <c r="C276" i="101"/>
  <c r="D276" i="101"/>
  <c r="J276" i="101" s="1"/>
  <c r="C295" i="101"/>
  <c r="D295" i="101"/>
  <c r="J295" i="101" s="1"/>
  <c r="C332" i="101"/>
  <c r="D332" i="101"/>
  <c r="J332" i="101" s="1"/>
  <c r="C474" i="101"/>
  <c r="D474" i="101"/>
  <c r="J474" i="101" s="1"/>
  <c r="D270" i="101"/>
  <c r="J270" i="101" s="1"/>
  <c r="D248" i="16" s="1"/>
  <c r="C270" i="101"/>
  <c r="C229" i="101"/>
  <c r="D229" i="101"/>
  <c r="J229" i="101" s="1"/>
  <c r="C249" i="101"/>
  <c r="C283" i="101"/>
  <c r="D283" i="101"/>
  <c r="J283" i="101" s="1"/>
  <c r="C308" i="101"/>
  <c r="D308" i="101"/>
  <c r="J308" i="101" s="1"/>
  <c r="G273" i="16" s="1"/>
  <c r="C333" i="101"/>
  <c r="C482" i="101"/>
  <c r="D482" i="101"/>
  <c r="J482" i="101" s="1"/>
  <c r="C198" i="101"/>
  <c r="D198" i="101"/>
  <c r="J198" i="101" s="1"/>
  <c r="D186" i="16" s="1"/>
  <c r="D209" i="101"/>
  <c r="J209" i="101" s="1"/>
  <c r="C209" i="101"/>
  <c r="D274" i="101"/>
  <c r="J274" i="101" s="1"/>
  <c r="C274" i="101"/>
  <c r="C336" i="101"/>
  <c r="D336" i="101"/>
  <c r="J336" i="101" s="1"/>
  <c r="D299" i="16" s="1"/>
  <c r="C273" i="101"/>
  <c r="D81" i="101"/>
  <c r="J81" i="101" s="1"/>
  <c r="C81" i="101"/>
  <c r="C130" i="101"/>
  <c r="D130" i="101"/>
  <c r="J130" i="101" s="1"/>
  <c r="C138" i="101"/>
  <c r="D138" i="101"/>
  <c r="J138" i="101" s="1"/>
  <c r="C146" i="101"/>
  <c r="D146" i="101"/>
  <c r="J146" i="101" s="1"/>
  <c r="C154" i="101"/>
  <c r="D154" i="101"/>
  <c r="J154" i="101" s="1"/>
  <c r="D146" i="16" s="1"/>
  <c r="D127" i="101"/>
  <c r="J127" i="101" s="1"/>
  <c r="C127" i="101"/>
  <c r="D143" i="101"/>
  <c r="J143" i="101" s="1"/>
  <c r="D138" i="16" s="1"/>
  <c r="C143" i="101"/>
  <c r="D95" i="101"/>
  <c r="J95" i="101" s="1"/>
  <c r="C95" i="101"/>
  <c r="D159" i="101"/>
  <c r="J159" i="101" s="1"/>
  <c r="C159" i="101"/>
  <c r="D107" i="101"/>
  <c r="J107" i="101" s="1"/>
  <c r="G96" i="16" s="1"/>
  <c r="C107" i="101"/>
  <c r="C210" i="101"/>
  <c r="C292" i="101"/>
  <c r="D292" i="101"/>
  <c r="J292" i="101" s="1"/>
  <c r="C311" i="101"/>
  <c r="D311" i="101"/>
  <c r="J311" i="101" s="1"/>
  <c r="C328" i="101"/>
  <c r="D328" i="101"/>
  <c r="J328" i="101" s="1"/>
  <c r="C344" i="101"/>
  <c r="D344" i="101"/>
  <c r="J344" i="101" s="1"/>
  <c r="G304" i="16" s="1"/>
  <c r="C268" i="101"/>
  <c r="D268" i="101"/>
  <c r="J268" i="101" s="1"/>
  <c r="C275" i="101"/>
  <c r="D275" i="101"/>
  <c r="J275" i="101" s="1"/>
  <c r="C324" i="101"/>
  <c r="D324" i="101"/>
  <c r="J324" i="101" s="1"/>
  <c r="C349" i="101"/>
  <c r="C329" i="101"/>
  <c r="C352" i="101"/>
  <c r="D352" i="101"/>
  <c r="J352" i="101" s="1"/>
  <c r="C478" i="101"/>
  <c r="C257" i="101"/>
  <c r="D103" i="101"/>
  <c r="J103" i="101" s="1"/>
  <c r="C103" i="101"/>
  <c r="D139" i="101"/>
  <c r="J139" i="101" s="1"/>
  <c r="C139" i="101"/>
  <c r="D155" i="101"/>
  <c r="J155" i="101" s="1"/>
  <c r="C155" i="101"/>
  <c r="D158" i="101"/>
  <c r="J158" i="101" s="1"/>
  <c r="C158" i="101"/>
  <c r="D162" i="101"/>
  <c r="J162" i="101" s="1"/>
  <c r="C162" i="101"/>
  <c r="D111" i="101"/>
  <c r="J111" i="101" s="1"/>
  <c r="C111" i="101"/>
  <c r="C300" i="101"/>
  <c r="D300" i="101"/>
  <c r="J300" i="101" s="1"/>
  <c r="C348" i="101"/>
  <c r="D348" i="101"/>
  <c r="J348" i="101" s="1"/>
  <c r="C458" i="101"/>
  <c r="D458" i="101"/>
  <c r="J458" i="101" s="1"/>
  <c r="C202" i="101"/>
  <c r="D266" i="101"/>
  <c r="J266" i="101" s="1"/>
  <c r="C266" i="101"/>
  <c r="C280" i="101"/>
  <c r="D280" i="101"/>
  <c r="J280" i="101" s="1"/>
  <c r="C291" i="101"/>
  <c r="D291" i="101"/>
  <c r="J291" i="101" s="1"/>
  <c r="C323" i="101"/>
  <c r="D323" i="101"/>
  <c r="J323" i="101" s="1"/>
  <c r="C339" i="101"/>
  <c r="D339" i="101"/>
  <c r="J339" i="101" s="1"/>
  <c r="G295" i="16" s="1"/>
  <c r="C355" i="101"/>
  <c r="D355" i="101"/>
  <c r="J355" i="101" s="1"/>
  <c r="D313" i="16" s="1"/>
  <c r="D240" i="101"/>
  <c r="J240" i="101" s="1"/>
  <c r="C240" i="101"/>
  <c r="D245" i="101"/>
  <c r="J245" i="101" s="1"/>
  <c r="C245" i="101"/>
  <c r="C259" i="101"/>
  <c r="D259" i="101"/>
  <c r="J259" i="101" s="1"/>
  <c r="C263" i="101"/>
  <c r="D263" i="101"/>
  <c r="J263" i="101" s="1"/>
  <c r="C296" i="101"/>
  <c r="D296" i="101"/>
  <c r="J296" i="101" s="1"/>
  <c r="C340" i="101"/>
  <c r="D340" i="101"/>
  <c r="J340" i="101" s="1"/>
  <c r="C450" i="101"/>
  <c r="D450" i="101"/>
  <c r="J450" i="101" s="1"/>
  <c r="C279" i="101"/>
  <c r="D279" i="101"/>
  <c r="J279" i="101" s="1"/>
  <c r="C281" i="101"/>
  <c r="C312" i="101"/>
  <c r="D312" i="101"/>
  <c r="J312" i="101" s="1"/>
  <c r="C345" i="101"/>
  <c r="C269" i="101"/>
  <c r="C413" i="101"/>
  <c r="D413" i="101"/>
  <c r="J413" i="101" s="1"/>
  <c r="C465" i="101"/>
  <c r="D465" i="101"/>
  <c r="J465" i="101" s="1"/>
  <c r="D413" i="16" s="1"/>
  <c r="C457" i="101"/>
  <c r="D457" i="101"/>
  <c r="J457" i="101" s="1"/>
  <c r="G406" i="16" s="1"/>
  <c r="D89" i="101"/>
  <c r="J89" i="101" s="1"/>
  <c r="C89" i="101"/>
  <c r="D97" i="101"/>
  <c r="J97" i="101" s="1"/>
  <c r="C97" i="101"/>
  <c r="D105" i="101"/>
  <c r="J105" i="101" s="1"/>
  <c r="C105" i="101"/>
  <c r="D113" i="101"/>
  <c r="J113" i="101" s="1"/>
  <c r="C113" i="101"/>
  <c r="D121" i="101"/>
  <c r="J121" i="101" s="1"/>
  <c r="C121" i="101"/>
  <c r="C10" i="101"/>
  <c r="D10" i="101"/>
  <c r="J10" i="101" s="1"/>
  <c r="C26" i="101"/>
  <c r="D26" i="101"/>
  <c r="J26" i="101" s="1"/>
  <c r="C42" i="101"/>
  <c r="D42" i="101"/>
  <c r="J42" i="101" s="1"/>
  <c r="C58" i="101"/>
  <c r="D58" i="101"/>
  <c r="J58" i="101" s="1"/>
  <c r="C74" i="101"/>
  <c r="D74" i="101"/>
  <c r="J74" i="101" s="1"/>
  <c r="C14" i="101"/>
  <c r="D14" i="101"/>
  <c r="J14" i="101" s="1"/>
  <c r="C30" i="101"/>
  <c r="D30" i="101"/>
  <c r="J30" i="101" s="1"/>
  <c r="C46" i="101"/>
  <c r="D46" i="101"/>
  <c r="J46" i="101" s="1"/>
  <c r="C62" i="101"/>
  <c r="D62" i="101"/>
  <c r="J62" i="101" s="1"/>
  <c r="C78" i="101"/>
  <c r="D78" i="101"/>
  <c r="J78" i="101" s="1"/>
  <c r="C377" i="101"/>
  <c r="D377" i="101"/>
  <c r="J377" i="101" s="1"/>
  <c r="C401" i="101"/>
  <c r="D401" i="101"/>
  <c r="J401" i="101" s="1"/>
  <c r="C373" i="101"/>
  <c r="D373" i="101"/>
  <c r="J373" i="101" s="1"/>
  <c r="C429" i="101"/>
  <c r="D429" i="101"/>
  <c r="J429" i="101" s="1"/>
  <c r="C369" i="101"/>
  <c r="D369" i="101"/>
  <c r="J369" i="101" s="1"/>
  <c r="C417" i="101"/>
  <c r="D417" i="101"/>
  <c r="J417" i="101" s="1"/>
  <c r="C481" i="101"/>
  <c r="D481" i="101"/>
  <c r="J481" i="101" s="1"/>
  <c r="C473" i="101"/>
  <c r="D473" i="101"/>
  <c r="J473" i="101" s="1"/>
  <c r="C87" i="101"/>
  <c r="D87" i="101"/>
  <c r="J87" i="101" s="1"/>
  <c r="D86" i="101"/>
  <c r="J86" i="101" s="1"/>
  <c r="C86" i="101"/>
  <c r="C365" i="101"/>
  <c r="D365" i="101"/>
  <c r="J365" i="101" s="1"/>
  <c r="D322" i="16" s="1"/>
  <c r="C389" i="101"/>
  <c r="D389" i="101"/>
  <c r="J389" i="101" s="1"/>
  <c r="C445" i="101"/>
  <c r="D445" i="101"/>
  <c r="J445" i="101" s="1"/>
  <c r="C425" i="101"/>
  <c r="D425" i="101"/>
  <c r="J425" i="101" s="1"/>
  <c r="C361" i="101"/>
  <c r="D361" i="101"/>
  <c r="J361" i="101" s="1"/>
  <c r="D319" i="16" s="1"/>
  <c r="C83" i="101"/>
  <c r="D83" i="101"/>
  <c r="J83" i="101" s="1"/>
  <c r="C381" i="101"/>
  <c r="D381" i="101"/>
  <c r="J381" i="101" s="1"/>
  <c r="C421" i="101"/>
  <c r="D421" i="101"/>
  <c r="J421" i="101" s="1"/>
  <c r="C393" i="101"/>
  <c r="D393" i="101"/>
  <c r="J393" i="101" s="1"/>
  <c r="G347" i="16" s="1"/>
  <c r="C433" i="101"/>
  <c r="D433" i="101"/>
  <c r="J433" i="101" s="1"/>
  <c r="C18" i="101"/>
  <c r="D18" i="101"/>
  <c r="J18" i="101" s="1"/>
  <c r="C34" i="101"/>
  <c r="D34" i="101"/>
  <c r="J34" i="101" s="1"/>
  <c r="C50" i="101"/>
  <c r="D50" i="101"/>
  <c r="J50" i="101" s="1"/>
  <c r="C66" i="101"/>
  <c r="D66" i="101"/>
  <c r="J66" i="101" s="1"/>
  <c r="D58" i="16" s="1"/>
  <c r="C405" i="101"/>
  <c r="D405" i="101"/>
  <c r="J405" i="101" s="1"/>
  <c r="C6" i="101"/>
  <c r="D6" i="101"/>
  <c r="J6" i="101" s="1"/>
  <c r="C22" i="101"/>
  <c r="D22" i="101"/>
  <c r="J22" i="101" s="1"/>
  <c r="C38" i="101"/>
  <c r="D38" i="101"/>
  <c r="J38" i="101" s="1"/>
  <c r="C54" i="101"/>
  <c r="D54" i="101"/>
  <c r="J54" i="101" s="1"/>
  <c r="C70" i="101"/>
  <c r="D70" i="101"/>
  <c r="J70" i="101" s="1"/>
  <c r="G58" i="16" s="1"/>
  <c r="D93" i="101"/>
  <c r="J93" i="101" s="1"/>
  <c r="C93" i="101"/>
  <c r="D101" i="101"/>
  <c r="J101" i="101" s="1"/>
  <c r="C101" i="101"/>
  <c r="D109" i="101"/>
  <c r="J109" i="101" s="1"/>
  <c r="C109" i="101"/>
  <c r="D117" i="101"/>
  <c r="J117" i="101" s="1"/>
  <c r="C117" i="101"/>
  <c r="C385" i="101"/>
  <c r="D385" i="101"/>
  <c r="J385" i="101" s="1"/>
  <c r="D340" i="16" s="1"/>
  <c r="C441" i="101"/>
  <c r="D441" i="101"/>
  <c r="J441" i="101" s="1"/>
  <c r="C397" i="101"/>
  <c r="D397" i="101"/>
  <c r="J397" i="101" s="1"/>
  <c r="C437" i="101"/>
  <c r="D437" i="101"/>
  <c r="J437" i="101" s="1"/>
  <c r="C409" i="101"/>
  <c r="D409" i="101"/>
  <c r="J409" i="101" s="1"/>
  <c r="C449" i="101"/>
  <c r="D449" i="101"/>
  <c r="J449" i="101" s="1"/>
  <c r="D99" i="16" l="1"/>
  <c r="G396" i="16"/>
  <c r="G100" i="16"/>
  <c r="D100" i="16"/>
  <c r="G400" i="16"/>
  <c r="D400" i="16"/>
  <c r="G19" i="16"/>
  <c r="D19" i="16"/>
  <c r="G397" i="16"/>
  <c r="D397" i="16"/>
  <c r="D77" i="16"/>
  <c r="G77" i="16"/>
  <c r="G325" i="16"/>
  <c r="D325" i="16"/>
  <c r="G333" i="16"/>
  <c r="D333" i="16"/>
  <c r="D24" i="16"/>
  <c r="G24" i="16"/>
  <c r="G37" i="16"/>
  <c r="D37" i="16"/>
  <c r="D98" i="16"/>
  <c r="G98" i="16"/>
  <c r="D83" i="16"/>
  <c r="G83" i="16"/>
  <c r="D103" i="16"/>
  <c r="G103" i="16"/>
  <c r="D87" i="16"/>
  <c r="G87" i="16"/>
  <c r="G264" i="16"/>
  <c r="D264" i="16"/>
  <c r="D238" i="16"/>
  <c r="G238" i="16"/>
  <c r="G262" i="16"/>
  <c r="D262" i="16"/>
  <c r="D157" i="16"/>
  <c r="G157" i="16"/>
  <c r="G156" i="16"/>
  <c r="D156" i="16"/>
  <c r="G146" i="16"/>
  <c r="D147" i="16"/>
  <c r="G147" i="16"/>
  <c r="G133" i="16"/>
  <c r="D133" i="16"/>
  <c r="D177" i="16"/>
  <c r="G132" i="16"/>
  <c r="D132" i="16"/>
  <c r="G177" i="16"/>
  <c r="D195" i="16"/>
  <c r="G195" i="16"/>
  <c r="G260" i="16"/>
  <c r="D260" i="16"/>
  <c r="G261" i="16"/>
  <c r="D261" i="16"/>
  <c r="G137" i="16"/>
  <c r="G135" i="16"/>
  <c r="D137" i="16"/>
  <c r="D115" i="16"/>
  <c r="G115" i="16"/>
  <c r="D23" i="16"/>
  <c r="G23" i="16"/>
  <c r="G389" i="16"/>
  <c r="D389" i="16"/>
  <c r="G393" i="16"/>
  <c r="D393" i="16"/>
  <c r="G33" i="16"/>
  <c r="D33" i="16"/>
  <c r="D4" i="16"/>
  <c r="G4" i="16"/>
  <c r="G28" i="16"/>
  <c r="D28" i="16"/>
  <c r="D385" i="16"/>
  <c r="G385" i="16"/>
  <c r="D371" i="16"/>
  <c r="G371" i="16"/>
  <c r="G374" i="16"/>
  <c r="D374" i="16"/>
  <c r="G344" i="16"/>
  <c r="D344" i="16"/>
  <c r="D419" i="16"/>
  <c r="G419" i="16"/>
  <c r="G368" i="16"/>
  <c r="D368" i="16"/>
  <c r="D380" i="16"/>
  <c r="G380" i="16"/>
  <c r="D354" i="16"/>
  <c r="G354" i="16"/>
  <c r="G67" i="16"/>
  <c r="D67" i="16"/>
  <c r="G41" i="16"/>
  <c r="D41" i="16"/>
  <c r="G12" i="16"/>
  <c r="D12" i="16"/>
  <c r="D52" i="16"/>
  <c r="G52" i="16"/>
  <c r="D218" i="16"/>
  <c r="G218" i="16"/>
  <c r="G243" i="16"/>
  <c r="G244" i="16"/>
  <c r="D244" i="16"/>
  <c r="D243" i="16"/>
  <c r="D308" i="16"/>
  <c r="G308" i="16"/>
  <c r="G252" i="16"/>
  <c r="D252" i="16"/>
  <c r="G276" i="16"/>
  <c r="D276" i="16"/>
  <c r="G151" i="16"/>
  <c r="D151" i="16"/>
  <c r="G69" i="16"/>
  <c r="G70" i="16"/>
  <c r="D69" i="16"/>
  <c r="D70" i="16"/>
  <c r="G294" i="16"/>
  <c r="D294" i="16"/>
  <c r="D253" i="16"/>
  <c r="G253" i="16"/>
  <c r="D81" i="16"/>
  <c r="G81" i="16"/>
  <c r="G120" i="16"/>
  <c r="D120" i="16"/>
  <c r="G112" i="16"/>
  <c r="D112" i="16"/>
  <c r="D106" i="16"/>
  <c r="G106" i="16"/>
  <c r="D66" i="16"/>
  <c r="G66" i="16"/>
  <c r="D11" i="16"/>
  <c r="G10" i="16"/>
  <c r="D10" i="16"/>
  <c r="G11" i="16"/>
  <c r="G72" i="16"/>
  <c r="D72" i="16"/>
  <c r="G108" i="16"/>
  <c r="D108" i="16"/>
  <c r="G91" i="16"/>
  <c r="D91" i="16"/>
  <c r="G76" i="16"/>
  <c r="D76" i="16"/>
  <c r="D110" i="16"/>
  <c r="G110" i="16"/>
  <c r="G95" i="16"/>
  <c r="D95" i="16"/>
  <c r="G138" i="16"/>
  <c r="D79" i="16"/>
  <c r="G79" i="16"/>
  <c r="G256" i="16"/>
  <c r="D256" i="16"/>
  <c r="G301" i="16"/>
  <c r="D301" i="16"/>
  <c r="D241" i="16"/>
  <c r="G241" i="16"/>
  <c r="D287" i="16"/>
  <c r="G287" i="16"/>
  <c r="D257" i="16"/>
  <c r="G257" i="16"/>
  <c r="G101" i="16"/>
  <c r="D101" i="16"/>
  <c r="G150" i="16"/>
  <c r="D150" i="16"/>
  <c r="G134" i="16"/>
  <c r="D134" i="16"/>
  <c r="G119" i="16"/>
  <c r="D119" i="16"/>
  <c r="D251" i="16"/>
  <c r="G251" i="16"/>
  <c r="G280" i="16"/>
  <c r="D280" i="16"/>
  <c r="D237" i="16"/>
  <c r="G237" i="16"/>
  <c r="G313" i="16"/>
  <c r="D315" i="16"/>
  <c r="D314" i="16"/>
  <c r="G314" i="16"/>
  <c r="D269" i="16"/>
  <c r="G269" i="16"/>
  <c r="D143" i="16"/>
  <c r="D142" i="16"/>
  <c r="D126" i="16"/>
  <c r="D125" i="16"/>
  <c r="G125" i="16"/>
  <c r="G124" i="16"/>
  <c r="G126" i="16"/>
  <c r="D124" i="16"/>
  <c r="G416" i="16"/>
  <c r="D416" i="16"/>
  <c r="G3" i="16"/>
  <c r="D3" i="16"/>
  <c r="D362" i="16"/>
  <c r="G362" i="16"/>
  <c r="G351" i="16"/>
  <c r="D351" i="16"/>
  <c r="G48" i="16"/>
  <c r="G46" i="16"/>
  <c r="G358" i="16"/>
  <c r="D358" i="16"/>
  <c r="G45" i="16"/>
  <c r="D45" i="16"/>
  <c r="D16" i="16"/>
  <c r="G16" i="16"/>
  <c r="D329" i="16"/>
  <c r="G329" i="16"/>
  <c r="D55" i="16"/>
  <c r="G55" i="16"/>
  <c r="D62" i="16"/>
  <c r="G62" i="16"/>
  <c r="D8" i="16"/>
  <c r="G8" i="16"/>
  <c r="G365" i="16"/>
  <c r="D365" i="16"/>
  <c r="D277" i="16"/>
  <c r="G277" i="16"/>
  <c r="D223" i="16"/>
  <c r="G223" i="16"/>
  <c r="D407" i="16"/>
  <c r="G407" i="16"/>
  <c r="D267" i="16"/>
  <c r="G267" i="16"/>
  <c r="G266" i="16"/>
  <c r="G288" i="16"/>
  <c r="D288" i="16"/>
  <c r="G246" i="16"/>
  <c r="D246" i="16"/>
  <c r="G292" i="16"/>
  <c r="D292" i="16"/>
  <c r="D263" i="16"/>
  <c r="G263" i="16"/>
  <c r="G85" i="16"/>
  <c r="D85" i="16"/>
  <c r="G116" i="16"/>
  <c r="D116" i="16"/>
  <c r="G208" i="16"/>
  <c r="D208" i="16"/>
  <c r="G420" i="16"/>
  <c r="D420" i="16"/>
  <c r="G245" i="16"/>
  <c r="D245" i="16"/>
  <c r="D174" i="16"/>
  <c r="G174" i="16"/>
  <c r="G139" i="16"/>
  <c r="D139" i="16"/>
  <c r="G89" i="16"/>
  <c r="D89" i="16"/>
  <c r="G284" i="16"/>
  <c r="D284" i="16"/>
  <c r="D158" i="16"/>
  <c r="G158" i="16"/>
  <c r="D127" i="16"/>
  <c r="D114" i="16"/>
  <c r="G114" i="16"/>
  <c r="D129" i="16"/>
  <c r="G127" i="16"/>
  <c r="G129" i="16"/>
  <c r="G128" i="16"/>
  <c r="D128" i="16"/>
  <c r="D111" i="16"/>
  <c r="G111" i="16"/>
  <c r="G40" i="16"/>
  <c r="D40" i="16"/>
  <c r="D431" i="16"/>
  <c r="G428" i="16"/>
  <c r="G432" i="16"/>
  <c r="D429" i="16"/>
  <c r="G430" i="16"/>
  <c r="G427" i="16"/>
  <c r="D428" i="16"/>
  <c r="G429" i="16"/>
  <c r="D430" i="16"/>
  <c r="D427" i="16"/>
  <c r="G431" i="16"/>
  <c r="D432" i="16"/>
  <c r="S3" i="16"/>
  <c r="S4" i="16"/>
  <c r="S5" i="16"/>
  <c r="S7" i="16"/>
  <c r="S8" i="16"/>
  <c r="AE8" i="16" s="1"/>
  <c r="S10" i="16"/>
  <c r="AE10" i="16" s="1"/>
  <c r="S13" i="16"/>
  <c r="AE13" i="16" s="1"/>
  <c r="S14" i="16"/>
  <c r="AE14" i="16" s="1"/>
  <c r="S15" i="16"/>
  <c r="AE15" i="16" s="1"/>
  <c r="S17" i="16"/>
  <c r="AE17" i="16" s="1"/>
  <c r="S19" i="16"/>
  <c r="AE19" i="16" s="1"/>
  <c r="S21" i="16"/>
  <c r="AE21" i="16" s="1"/>
  <c r="S22" i="16"/>
  <c r="AE22" i="16" s="1"/>
  <c r="S23" i="16"/>
  <c r="AE23" i="16" s="1"/>
  <c r="S24" i="16"/>
  <c r="AE24" i="16" s="1"/>
  <c r="S25" i="16"/>
  <c r="AE25" i="16" s="1"/>
  <c r="S26" i="16"/>
  <c r="AE26" i="16" s="1"/>
  <c r="S27" i="16"/>
  <c r="AE27" i="16" s="1"/>
  <c r="S29" i="16"/>
  <c r="AE29" i="16" s="1"/>
  <c r="S30" i="16"/>
  <c r="AE30" i="16" s="1"/>
  <c r="S32" i="16"/>
  <c r="AE32" i="16" s="1"/>
  <c r="S34" i="16"/>
  <c r="AE34" i="16" s="1"/>
  <c r="S35" i="16"/>
  <c r="AE35" i="16" s="1"/>
  <c r="S36" i="16"/>
  <c r="AE36" i="16" s="1"/>
  <c r="S37" i="16"/>
  <c r="AE37" i="16" s="1"/>
  <c r="S38" i="16"/>
  <c r="AE38" i="16" s="1"/>
  <c r="S39" i="16"/>
  <c r="AE39" i="16" s="1"/>
  <c r="S40" i="16"/>
  <c r="AE40" i="16" s="1"/>
  <c r="S42" i="16"/>
  <c r="AE42" i="16" s="1"/>
  <c r="S43" i="16"/>
  <c r="AE43" i="16" s="1"/>
  <c r="S45" i="16"/>
  <c r="AE45" i="16" s="1"/>
  <c r="S47" i="16"/>
  <c r="AE47" i="16" s="1"/>
  <c r="S49" i="16"/>
  <c r="AE49" i="16" s="1"/>
  <c r="S52" i="16"/>
  <c r="AE52" i="16" s="1"/>
  <c r="S53" i="16"/>
  <c r="AE53" i="16" s="1"/>
  <c r="S58" i="16"/>
  <c r="AE58" i="16" s="1"/>
  <c r="S59" i="16"/>
  <c r="AE59" i="16" s="1"/>
  <c r="S60" i="16"/>
  <c r="AE60" i="16" s="1"/>
  <c r="S62" i="16"/>
  <c r="AE62" i="16" s="1"/>
  <c r="S63" i="16"/>
  <c r="AE63" i="16" s="1"/>
  <c r="S65" i="16"/>
  <c r="AE65" i="16" s="1"/>
  <c r="S66" i="16"/>
  <c r="AE66" i="16" s="1"/>
  <c r="S67" i="16"/>
  <c r="AE67" i="16" s="1"/>
  <c r="S68" i="16"/>
  <c r="AE68" i="16" s="1"/>
  <c r="S69" i="16"/>
  <c r="AE69" i="16" s="1"/>
  <c r="S70" i="16"/>
  <c r="AE70" i="16" s="1"/>
  <c r="S71" i="16"/>
  <c r="AE71" i="16" s="1"/>
  <c r="S72" i="16"/>
  <c r="AE72" i="16" s="1"/>
  <c r="S73" i="16"/>
  <c r="AE73" i="16" s="1"/>
  <c r="S77" i="16"/>
  <c r="AE77" i="16" s="1"/>
  <c r="S79" i="16"/>
  <c r="AE79" i="16" s="1"/>
  <c r="S80" i="16"/>
  <c r="AE80" i="16" s="1"/>
  <c r="S81" i="16"/>
  <c r="AE81" i="16" s="1"/>
  <c r="S82" i="16"/>
  <c r="AE82" i="16" s="1"/>
  <c r="S83" i="16"/>
  <c r="AE83" i="16" s="1"/>
  <c r="S84" i="16"/>
  <c r="AE84" i="16" s="1"/>
  <c r="S85" i="16"/>
  <c r="AE85" i="16" s="1"/>
  <c r="S86" i="16"/>
  <c r="AE86" i="16" s="1"/>
  <c r="S87" i="16"/>
  <c r="AE87" i="16" s="1"/>
  <c r="S89" i="16"/>
  <c r="AE89" i="16" s="1"/>
  <c r="S90" i="16"/>
  <c r="AE90" i="16" s="1"/>
  <c r="S91" i="16"/>
  <c r="AE91" i="16" s="1"/>
  <c r="S92" i="16"/>
  <c r="AE92" i="16" s="1"/>
  <c r="S93" i="16"/>
  <c r="AE93" i="16" s="1"/>
  <c r="S95" i="16"/>
  <c r="AE95" i="16" s="1"/>
  <c r="S97" i="16"/>
  <c r="AE97" i="16" s="1"/>
  <c r="S98" i="16"/>
  <c r="AE98" i="16" s="1"/>
  <c r="S99" i="16"/>
  <c r="AE99" i="16" s="1"/>
  <c r="S101" i="16"/>
  <c r="AE101" i="16" s="1"/>
  <c r="S103" i="16"/>
  <c r="AE103" i="16" s="1"/>
  <c r="S104" i="16"/>
  <c r="AE104" i="16" s="1"/>
  <c r="S106" i="16"/>
  <c r="AE106" i="16" s="1"/>
  <c r="S107" i="16"/>
  <c r="AE107" i="16" s="1"/>
  <c r="S108" i="16"/>
  <c r="AE108" i="16" s="1"/>
  <c r="S110" i="16"/>
  <c r="AE110" i="16" s="1"/>
  <c r="S114" i="16"/>
  <c r="AE114" i="16" s="1"/>
  <c r="S116" i="16"/>
  <c r="AE116" i="16" s="1"/>
  <c r="S117" i="16"/>
  <c r="AE117" i="16" s="1"/>
  <c r="S120" i="16"/>
  <c r="AE120" i="16" s="1"/>
  <c r="S121" i="16"/>
  <c r="AE121" i="16" s="1"/>
  <c r="S132" i="16"/>
  <c r="AE132" i="16" s="1"/>
  <c r="S133" i="16"/>
  <c r="AE133" i="16" s="1"/>
  <c r="S136" i="16"/>
  <c r="AE136" i="16" s="1"/>
  <c r="S139" i="16"/>
  <c r="AE139" i="16" s="1"/>
  <c r="S143" i="16"/>
  <c r="AE143" i="16" s="1"/>
  <c r="S144" i="16"/>
  <c r="AE144" i="16" s="1"/>
  <c r="S145" i="16"/>
  <c r="AE145" i="16" s="1"/>
  <c r="S161" i="16"/>
  <c r="AE161" i="16" s="1"/>
  <c r="S162" i="16"/>
  <c r="AE162" i="16" s="1"/>
  <c r="S163" i="16"/>
  <c r="AE163" i="16" s="1"/>
  <c r="S164" i="16"/>
  <c r="AE164" i="16" s="1"/>
  <c r="S168" i="16"/>
  <c r="AE168" i="16" s="1"/>
  <c r="S169" i="16"/>
  <c r="AE169" i="16" s="1"/>
  <c r="S171" i="16"/>
  <c r="AE171" i="16" s="1"/>
  <c r="S177" i="16"/>
  <c r="AE177" i="16" s="1"/>
  <c r="S183" i="16"/>
  <c r="AE183" i="16" s="1"/>
  <c r="S187" i="16"/>
  <c r="AE187" i="16" s="1"/>
  <c r="S188" i="16"/>
  <c r="AE188" i="16" s="1"/>
  <c r="S191" i="16"/>
  <c r="AE191" i="16" s="1"/>
  <c r="S193" i="16"/>
  <c r="AE193" i="16" s="1"/>
  <c r="S208" i="16"/>
  <c r="AE208" i="16" s="1"/>
  <c r="S209" i="16"/>
  <c r="AE209" i="16" s="1"/>
  <c r="S225" i="16"/>
  <c r="AE225" i="16" s="1"/>
  <c r="S236" i="16"/>
  <c r="AE236" i="16" s="1"/>
  <c r="S237" i="16"/>
  <c r="AE237" i="16" s="1"/>
  <c r="S240" i="16"/>
  <c r="AE240" i="16" s="1"/>
  <c r="S245" i="16"/>
  <c r="AE245" i="16" s="1"/>
  <c r="S249" i="16"/>
  <c r="AE249" i="16" s="1"/>
  <c r="S251" i="16"/>
  <c r="AE251" i="16" s="1"/>
  <c r="S253" i="16"/>
  <c r="AE253" i="16" s="1"/>
  <c r="S258" i="16"/>
  <c r="AE258" i="16" s="1"/>
  <c r="S264" i="16"/>
  <c r="AE264" i="16" s="1"/>
  <c r="S267" i="16"/>
  <c r="AE267" i="16" s="1"/>
  <c r="S268" i="16"/>
  <c r="AE268" i="16" s="1"/>
  <c r="S272" i="16"/>
  <c r="AE272" i="16" s="1"/>
  <c r="S273" i="16"/>
  <c r="AE273" i="16" s="1"/>
  <c r="S275" i="16"/>
  <c r="AE275" i="16" s="1"/>
  <c r="S276" i="16"/>
  <c r="AE276" i="16" s="1"/>
  <c r="S279" i="16"/>
  <c r="AE279" i="16" s="1"/>
  <c r="S280" i="16"/>
  <c r="AE280" i="16" s="1"/>
  <c r="S281" i="16"/>
  <c r="AE281" i="16" s="1"/>
  <c r="S283" i="16"/>
  <c r="AE283" i="16" s="1"/>
  <c r="S285" i="16"/>
  <c r="AE285" i="16" s="1"/>
  <c r="S286" i="16"/>
  <c r="AE286" i="16" s="1"/>
  <c r="S287" i="16"/>
  <c r="AE287" i="16" s="1"/>
  <c r="S291" i="16"/>
  <c r="AE291" i="16" s="1"/>
  <c r="S292" i="16"/>
  <c r="AE292" i="16" s="1"/>
  <c r="S293" i="16"/>
  <c r="AE293" i="16" s="1"/>
  <c r="S294" i="16"/>
  <c r="AE294" i="16" s="1"/>
  <c r="S301" i="16"/>
  <c r="AE301" i="16" s="1"/>
  <c r="S303" i="16"/>
  <c r="AE303" i="16" s="1"/>
  <c r="S304" i="16"/>
  <c r="AE304" i="16" s="1"/>
  <c r="S305" i="16"/>
  <c r="AE305" i="16" s="1"/>
  <c r="S312" i="16"/>
  <c r="AE312" i="16" s="1"/>
  <c r="S313" i="16"/>
  <c r="AE313" i="16" s="1"/>
  <c r="S314" i="16"/>
  <c r="AE314" i="16" s="1"/>
  <c r="S315" i="16"/>
  <c r="AE315" i="16" s="1"/>
  <c r="S316" i="16"/>
  <c r="AE316" i="16" s="1"/>
  <c r="S318" i="16"/>
  <c r="AE318" i="16" s="1"/>
  <c r="S319" i="16"/>
  <c r="AE319" i="16" s="1"/>
  <c r="S320" i="16"/>
  <c r="AE320" i="16" s="1"/>
  <c r="S321" i="16"/>
  <c r="AE321" i="16" s="1"/>
  <c r="S322" i="16"/>
  <c r="AE322" i="16" s="1"/>
  <c r="S324" i="16"/>
  <c r="AE324" i="16" s="1"/>
  <c r="S325" i="16"/>
  <c r="AE325" i="16" s="1"/>
  <c r="S334" i="16"/>
  <c r="AE334" i="16" s="1"/>
  <c r="S336" i="16"/>
  <c r="AE336" i="16" s="1"/>
  <c r="S340" i="16"/>
  <c r="AE340" i="16" s="1"/>
  <c r="S341" i="16"/>
  <c r="AE341" i="16" s="1"/>
  <c r="S343" i="16"/>
  <c r="AE343" i="16" s="1"/>
  <c r="S349" i="16"/>
  <c r="AE349" i="16" s="1"/>
  <c r="S353" i="16"/>
  <c r="AE353" i="16" s="1"/>
  <c r="S354" i="16"/>
  <c r="AE354" i="16" s="1"/>
  <c r="S355" i="16"/>
  <c r="AE355" i="16" s="1"/>
  <c r="S357" i="16"/>
  <c r="AE357" i="16" s="1"/>
  <c r="S358" i="16"/>
  <c r="AE358" i="16" s="1"/>
  <c r="S363" i="16"/>
  <c r="AE363" i="16" s="1"/>
  <c r="S366" i="16"/>
  <c r="AE366" i="16" s="1"/>
  <c r="S371" i="16"/>
  <c r="AE371" i="16" s="1"/>
  <c r="S374" i="16"/>
  <c r="AE374" i="16" s="1"/>
  <c r="S379" i="16"/>
  <c r="AE379" i="16" s="1"/>
  <c r="S382" i="16"/>
  <c r="AE382" i="16" s="1"/>
  <c r="S384" i="16"/>
  <c r="AE384" i="16" s="1"/>
  <c r="S390" i="16"/>
  <c r="AE390" i="16" s="1"/>
  <c r="S393" i="16"/>
  <c r="AE393" i="16" s="1"/>
  <c r="S394" i="16"/>
  <c r="AE394" i="16" s="1"/>
  <c r="S396" i="16"/>
  <c r="AE396" i="16" s="1"/>
  <c r="S401" i="16"/>
  <c r="AE401" i="16" s="1"/>
  <c r="S402" i="16"/>
  <c r="AE402" i="16" s="1"/>
  <c r="S405" i="16"/>
  <c r="AE405" i="16" s="1"/>
  <c r="S409" i="16"/>
  <c r="AE409" i="16" s="1"/>
  <c r="S411" i="16"/>
  <c r="AE411" i="16" s="1"/>
  <c r="S418" i="16"/>
  <c r="AE418" i="16" s="1"/>
  <c r="S424" i="16"/>
  <c r="AE424" i="16" s="1"/>
  <c r="S425" i="16"/>
  <c r="AE425" i="16" s="1"/>
  <c r="S430" i="16"/>
  <c r="AE430" i="16" s="1"/>
  <c r="S431" i="16"/>
  <c r="AE431" i="16" s="1"/>
  <c r="S432" i="16"/>
  <c r="AE432" i="16" s="1"/>
  <c r="V2" i="16"/>
  <c r="U2" i="16" s="1"/>
  <c r="T2" i="16" s="1"/>
  <c r="N3" i="16"/>
  <c r="N4" i="16"/>
  <c r="N5" i="16"/>
  <c r="N6" i="16"/>
  <c r="N7" i="16"/>
  <c r="N8" i="16"/>
  <c r="N10" i="16"/>
  <c r="N11" i="16"/>
  <c r="N12" i="16"/>
  <c r="N13" i="16"/>
  <c r="N14" i="16"/>
  <c r="N15" i="16"/>
  <c r="N16" i="16"/>
  <c r="N17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9" i="16"/>
  <c r="N50" i="16"/>
  <c r="N51" i="16"/>
  <c r="N52" i="16"/>
  <c r="N53" i="16"/>
  <c r="N55" i="16"/>
  <c r="N57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7" i="16"/>
  <c r="N98" i="16"/>
  <c r="N99" i="16"/>
  <c r="N100" i="16"/>
  <c r="N101" i="16"/>
  <c r="N102" i="16"/>
  <c r="N103" i="16"/>
  <c r="N104" i="16"/>
  <c r="N105" i="16"/>
  <c r="N106" i="16"/>
  <c r="N107" i="16"/>
  <c r="N108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6" i="16"/>
  <c r="N137" i="16"/>
  <c r="N139" i="16"/>
  <c r="N140" i="16"/>
  <c r="N141" i="16"/>
  <c r="N144" i="16"/>
  <c r="N145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8" i="16"/>
  <c r="N169" i="16"/>
  <c r="N170" i="16"/>
  <c r="N171" i="16"/>
  <c r="N173" i="16"/>
  <c r="N174" i="16"/>
  <c r="N175" i="16"/>
  <c r="N177" i="16"/>
  <c r="N178" i="16"/>
  <c r="N179" i="16"/>
  <c r="N180" i="16"/>
  <c r="N181" i="16"/>
  <c r="N182" i="16"/>
  <c r="N183" i="16"/>
  <c r="N184" i="16"/>
  <c r="N185" i="16"/>
  <c r="N187" i="16"/>
  <c r="N188" i="16"/>
  <c r="N189" i="16"/>
  <c r="N190" i="16"/>
  <c r="N191" i="16"/>
  <c r="N192" i="16"/>
  <c r="N194" i="16"/>
  <c r="N195" i="16"/>
  <c r="N196" i="16"/>
  <c r="N197" i="16"/>
  <c r="N198" i="16"/>
  <c r="N199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43" i="16"/>
  <c r="N244" i="16"/>
  <c r="N245" i="16"/>
  <c r="N246" i="16"/>
  <c r="N247" i="16"/>
  <c r="N249" i="16"/>
  <c r="N250" i="16"/>
  <c r="N251" i="16"/>
  <c r="N252" i="16"/>
  <c r="N253" i="16"/>
  <c r="N254" i="16"/>
  <c r="N255" i="16"/>
  <c r="N256" i="16"/>
  <c r="N257" i="16"/>
  <c r="N258" i="16"/>
  <c r="N259" i="16"/>
  <c r="N260" i="16"/>
  <c r="N261" i="16"/>
  <c r="N262" i="16"/>
  <c r="N263" i="16"/>
  <c r="N264" i="16"/>
  <c r="N265" i="16"/>
  <c r="N267" i="16"/>
  <c r="N268" i="16"/>
  <c r="N269" i="16"/>
  <c r="N270" i="16"/>
  <c r="N271" i="16"/>
  <c r="N272" i="16"/>
  <c r="N274" i="16"/>
  <c r="N275" i="16"/>
  <c r="N276" i="16"/>
  <c r="N277" i="16"/>
  <c r="N278" i="16"/>
  <c r="N279" i="16"/>
  <c r="N280" i="16"/>
  <c r="N281" i="16"/>
  <c r="N282" i="16"/>
  <c r="N283" i="16"/>
  <c r="N284" i="16"/>
  <c r="N285" i="16"/>
  <c r="N286" i="16"/>
  <c r="N287" i="16"/>
  <c r="N288" i="16"/>
  <c r="N289" i="16"/>
  <c r="N290" i="16"/>
  <c r="N291" i="16"/>
  <c r="N292" i="16"/>
  <c r="N293" i="16"/>
  <c r="N294" i="16"/>
  <c r="N296" i="16"/>
  <c r="N300" i="16"/>
  <c r="N301" i="16"/>
  <c r="N302" i="16"/>
  <c r="N303" i="16"/>
  <c r="N305" i="16"/>
  <c r="N306" i="16"/>
  <c r="N307" i="16"/>
  <c r="N308" i="16"/>
  <c r="N309" i="16"/>
  <c r="N310" i="16"/>
  <c r="N311" i="16"/>
  <c r="N314" i="16"/>
  <c r="N316" i="16"/>
  <c r="N317" i="16"/>
  <c r="N320" i="16"/>
  <c r="N321" i="16"/>
  <c r="N323" i="16"/>
  <c r="N324" i="16"/>
  <c r="N325" i="16"/>
  <c r="N326" i="16"/>
  <c r="N327" i="16"/>
  <c r="N328" i="16"/>
  <c r="N329" i="16"/>
  <c r="N330" i="16"/>
  <c r="N331" i="16"/>
  <c r="N332" i="16"/>
  <c r="N333" i="16"/>
  <c r="N335" i="16"/>
  <c r="N337" i="16"/>
  <c r="N338" i="16"/>
  <c r="N339" i="16"/>
  <c r="N341" i="16"/>
  <c r="N342" i="16"/>
  <c r="N343" i="16"/>
  <c r="N344" i="16"/>
  <c r="N345" i="16"/>
  <c r="N346" i="16"/>
  <c r="N348" i="16"/>
  <c r="N349" i="16"/>
  <c r="N351" i="16"/>
  <c r="N353" i="16"/>
  <c r="N354" i="16"/>
  <c r="N355" i="16"/>
  <c r="N356" i="16"/>
  <c r="N357" i="16"/>
  <c r="N358" i="16"/>
  <c r="N359" i="16"/>
  <c r="N360" i="16"/>
  <c r="N361" i="16"/>
  <c r="N362" i="16"/>
  <c r="N363" i="16"/>
  <c r="N364" i="16"/>
  <c r="N365" i="16"/>
  <c r="N367" i="16"/>
  <c r="N368" i="16"/>
  <c r="N369" i="16"/>
  <c r="N370" i="16"/>
  <c r="N371" i="16"/>
  <c r="N372" i="16"/>
  <c r="N373" i="16"/>
  <c r="N374" i="16"/>
  <c r="N375" i="16"/>
  <c r="N376" i="16"/>
  <c r="N377" i="16"/>
  <c r="N378" i="16"/>
  <c r="N379" i="16"/>
  <c r="N380" i="16"/>
  <c r="N381" i="16"/>
  <c r="N382" i="16"/>
  <c r="N383" i="16"/>
  <c r="N384" i="16"/>
  <c r="N385" i="16"/>
  <c r="N386" i="16"/>
  <c r="N387" i="16"/>
  <c r="N388" i="16"/>
  <c r="N389" i="16"/>
  <c r="N390" i="16"/>
  <c r="N391" i="16"/>
  <c r="N392" i="16"/>
  <c r="N393" i="16"/>
  <c r="N394" i="16"/>
  <c r="N395" i="16"/>
  <c r="N396" i="16"/>
  <c r="N397" i="16"/>
  <c r="N398" i="16"/>
  <c r="N399" i="16"/>
  <c r="N400" i="16"/>
  <c r="N401" i="16"/>
  <c r="N402" i="16"/>
  <c r="N403" i="16"/>
  <c r="N404" i="16"/>
  <c r="N405" i="16"/>
  <c r="N407" i="16"/>
  <c r="N408" i="16"/>
  <c r="N409" i="16"/>
  <c r="N410" i="16"/>
  <c r="N412" i="16"/>
  <c r="N414" i="16"/>
  <c r="N415" i="16"/>
  <c r="N416" i="16"/>
  <c r="N417" i="16"/>
  <c r="N418" i="16"/>
  <c r="N419" i="16"/>
  <c r="N420" i="16"/>
  <c r="N421" i="16"/>
  <c r="N422" i="16"/>
  <c r="N423" i="16"/>
  <c r="N424" i="16"/>
  <c r="N425" i="16"/>
  <c r="N426" i="16"/>
  <c r="N427" i="16"/>
  <c r="N428" i="16"/>
  <c r="N429" i="16"/>
  <c r="N430" i="16"/>
  <c r="N431" i="16"/>
  <c r="N432" i="16"/>
  <c r="F2" i="101"/>
  <c r="Y396" i="16" l="1" a="1"/>
  <c r="Y396" i="16" s="1"/>
  <c r="Y357" i="16" a="1"/>
  <c r="Y357" i="16" s="1"/>
  <c r="Y349" i="16" a="1"/>
  <c r="Y349" i="16" s="1"/>
  <c r="Y318" i="16" a="1"/>
  <c r="Y318" i="16" s="1"/>
  <c r="Y292" i="16" a="1"/>
  <c r="Y292" i="16" s="1"/>
  <c r="Y272" i="16" a="1"/>
  <c r="Y272" i="16" s="1"/>
  <c r="Y225" i="16" a="1"/>
  <c r="Y225" i="16" s="1"/>
  <c r="Y177" i="16" a="1"/>
  <c r="Y177" i="16" s="1"/>
  <c r="Y136" i="16" a="1"/>
  <c r="Y136" i="16" s="1"/>
  <c r="Y104" i="16" a="1"/>
  <c r="Y104" i="16" s="1"/>
  <c r="Y87" i="16" a="1"/>
  <c r="Y87" i="16" s="1"/>
  <c r="Y83" i="16" a="1"/>
  <c r="Y83" i="16" s="1"/>
  <c r="Y79" i="16" a="1"/>
  <c r="Y79" i="16" s="1"/>
  <c r="Y71" i="16" a="1"/>
  <c r="Y71" i="16" s="1"/>
  <c r="Y67" i="16" a="1"/>
  <c r="Y67" i="16" s="1"/>
  <c r="Y62" i="16" a="1"/>
  <c r="Y62" i="16" s="1"/>
  <c r="Y53" i="16" a="1"/>
  <c r="Y53" i="16" s="1"/>
  <c r="Y45" i="16" a="1"/>
  <c r="Y45" i="16" s="1"/>
  <c r="Y39" i="16" a="1"/>
  <c r="Y39" i="16" s="1"/>
  <c r="Y35" i="16" a="1"/>
  <c r="Y35" i="16" s="1"/>
  <c r="Y29" i="16" a="1"/>
  <c r="Y29" i="16" s="1"/>
  <c r="Y24" i="16" a="1"/>
  <c r="Y24" i="16" s="1"/>
  <c r="Y19" i="16" a="1"/>
  <c r="Y19" i="16" s="1"/>
  <c r="Y13" i="16" a="1"/>
  <c r="Y13" i="16" s="1"/>
  <c r="Y5" i="16" a="1"/>
  <c r="Y5" i="16" s="1"/>
  <c r="Y366" i="16" a="1"/>
  <c r="Y366" i="16" s="1"/>
  <c r="Y355" i="16" a="1"/>
  <c r="Y355" i="16" s="1"/>
  <c r="Y343" i="16" a="1"/>
  <c r="Y343" i="16" s="1"/>
  <c r="Y334" i="16" a="1"/>
  <c r="Y334" i="16" s="1"/>
  <c r="Y321" i="16" a="1"/>
  <c r="Y321" i="16" s="1"/>
  <c r="Y316" i="16" a="1"/>
  <c r="Y316" i="16" s="1"/>
  <c r="Y312" i="16" a="1"/>
  <c r="Y312" i="16" s="1"/>
  <c r="Y301" i="16" a="1"/>
  <c r="Y301" i="16" s="1"/>
  <c r="Y291" i="16" a="1"/>
  <c r="Y291" i="16" s="1"/>
  <c r="Y283" i="16" a="1"/>
  <c r="Y283" i="16" s="1"/>
  <c r="Y276" i="16" a="1"/>
  <c r="Y276" i="16" s="1"/>
  <c r="Y268" i="16" a="1"/>
  <c r="Y268" i="16" s="1"/>
  <c r="Y253" i="16" a="1"/>
  <c r="Y253" i="16" s="1"/>
  <c r="Y240" i="16" a="1"/>
  <c r="Y240" i="16" s="1"/>
  <c r="Y209" i="16" a="1"/>
  <c r="Y209" i="16" s="1"/>
  <c r="Y188" i="16" a="1"/>
  <c r="Y188" i="16" s="1"/>
  <c r="Y171" i="16" a="1"/>
  <c r="Y171" i="16" s="1"/>
  <c r="Y163" i="16" a="1"/>
  <c r="Y163" i="16" s="1"/>
  <c r="Y144" i="16" a="1"/>
  <c r="Y144" i="16" s="1"/>
  <c r="Y133" i="16" a="1"/>
  <c r="Y133" i="16" s="1"/>
  <c r="Y117" i="16" a="1"/>
  <c r="Y117" i="16" s="1"/>
  <c r="Y108" i="16" a="1"/>
  <c r="Y108" i="16" s="1"/>
  <c r="Y103" i="16" a="1"/>
  <c r="Y103" i="16" s="1"/>
  <c r="Y97" i="16" a="1"/>
  <c r="Y97" i="16" s="1"/>
  <c r="Y91" i="16" a="1"/>
  <c r="Y91" i="16" s="1"/>
  <c r="Y86" i="16" a="1"/>
  <c r="Y86" i="16" s="1"/>
  <c r="Y82" i="16" a="1"/>
  <c r="Y82" i="16" s="1"/>
  <c r="Y77" i="16" a="1"/>
  <c r="Y77" i="16" s="1"/>
  <c r="Y70" i="16" a="1"/>
  <c r="Y70" i="16" s="1"/>
  <c r="Y66" i="16" a="1"/>
  <c r="Y66" i="16" s="1"/>
  <c r="Y60" i="16" a="1"/>
  <c r="Y60" i="16" s="1"/>
  <c r="Y52" i="16" a="1"/>
  <c r="Y52" i="16" s="1"/>
  <c r="Y43" i="16" a="1"/>
  <c r="Y43" i="16" s="1"/>
  <c r="Y38" i="16" a="1"/>
  <c r="Y38" i="16" s="1"/>
  <c r="Y34" i="16" a="1"/>
  <c r="Y34" i="16" s="1"/>
  <c r="Y27" i="16" a="1"/>
  <c r="Y27" i="16" s="1"/>
  <c r="Y23" i="16" a="1"/>
  <c r="Y23" i="16" s="1"/>
  <c r="Y17" i="16" a="1"/>
  <c r="Y17" i="16" s="1"/>
  <c r="Y10" i="16" a="1"/>
  <c r="Y10" i="16" s="1"/>
  <c r="Y4" i="16" a="1"/>
  <c r="Y4" i="16" s="1"/>
  <c r="Y425" i="16" a="1"/>
  <c r="Y425" i="16" s="1"/>
  <c r="Y409" i="16" a="1"/>
  <c r="Y409" i="16" s="1"/>
  <c r="Y371" i="16" a="1"/>
  <c r="Y371" i="16" s="1"/>
  <c r="Y336" i="16" a="1"/>
  <c r="Y336" i="16" s="1"/>
  <c r="Y313" i="16" a="1"/>
  <c r="Y313" i="16" s="1"/>
  <c r="Y285" i="16" a="1"/>
  <c r="Y285" i="16" s="1"/>
  <c r="Y258" i="16" a="1"/>
  <c r="Y258" i="16" s="1"/>
  <c r="Y191" i="16" a="1"/>
  <c r="Y191" i="16" s="1"/>
  <c r="Y145" i="16" a="1"/>
  <c r="Y145" i="16" s="1"/>
  <c r="Y120" i="16" a="1"/>
  <c r="Y120" i="16" s="1"/>
  <c r="Y98" i="16" a="1"/>
  <c r="Y98" i="16" s="1"/>
  <c r="Y432" i="16" a="1"/>
  <c r="Y432" i="16" s="1"/>
  <c r="Y405" i="16" a="1"/>
  <c r="Y405" i="16" s="1"/>
  <c r="Y394" i="16" a="1"/>
  <c r="Y394" i="16" s="1"/>
  <c r="Y431" i="16" a="1"/>
  <c r="Y431" i="16" s="1"/>
  <c r="Y402" i="16" a="1"/>
  <c r="Y402" i="16" s="1"/>
  <c r="Y393" i="16" a="1"/>
  <c r="Y393" i="16" s="1"/>
  <c r="Y379" i="16" a="1"/>
  <c r="Y379" i="16" s="1"/>
  <c r="Y363" i="16" a="1"/>
  <c r="Y363" i="16" s="1"/>
  <c r="Y354" i="16" a="1"/>
  <c r="Y354" i="16" s="1"/>
  <c r="Y341" i="16" a="1"/>
  <c r="Y341" i="16" s="1"/>
  <c r="Y325" i="16" a="1"/>
  <c r="Y325" i="16" s="1"/>
  <c r="Y320" i="16" a="1"/>
  <c r="Y320" i="16" s="1"/>
  <c r="Y315" i="16" a="1"/>
  <c r="Y315" i="16" s="1"/>
  <c r="Y305" i="16" a="1"/>
  <c r="Y305" i="16" s="1"/>
  <c r="Y294" i="16" a="1"/>
  <c r="Y294" i="16" s="1"/>
  <c r="Y287" i="16" a="1"/>
  <c r="Y287" i="16" s="1"/>
  <c r="Y281" i="16" a="1"/>
  <c r="Y281" i="16" s="1"/>
  <c r="Y275" i="16" a="1"/>
  <c r="Y275" i="16" s="1"/>
  <c r="Y267" i="16" a="1"/>
  <c r="Y267" i="16" s="1"/>
  <c r="Y251" i="16" a="1"/>
  <c r="Y251" i="16" s="1"/>
  <c r="Y237" i="16" a="1"/>
  <c r="Y237" i="16" s="1"/>
  <c r="Y208" i="16" a="1"/>
  <c r="Y208" i="16" s="1"/>
  <c r="Y187" i="16" a="1"/>
  <c r="Y187" i="16" s="1"/>
  <c r="Y169" i="16" a="1"/>
  <c r="Y169" i="16" s="1"/>
  <c r="Y162" i="16" a="1"/>
  <c r="Y162" i="16" s="1"/>
  <c r="Y143" i="16" a="1"/>
  <c r="Y143" i="16" s="1"/>
  <c r="Y132" i="16" a="1"/>
  <c r="Y132" i="16" s="1"/>
  <c r="Y116" i="16" a="1"/>
  <c r="Y116" i="16" s="1"/>
  <c r="Y107" i="16" a="1"/>
  <c r="Y107" i="16" s="1"/>
  <c r="Y101" i="16" a="1"/>
  <c r="Y101" i="16" s="1"/>
  <c r="Y95" i="16" a="1"/>
  <c r="Y95" i="16" s="1"/>
  <c r="Y90" i="16" a="1"/>
  <c r="Y90" i="16" s="1"/>
  <c r="Y85" i="16" a="1"/>
  <c r="Y85" i="16" s="1"/>
  <c r="Y81" i="16" a="1"/>
  <c r="Y81" i="16" s="1"/>
  <c r="Y73" i="16" a="1"/>
  <c r="Y73" i="16" s="1"/>
  <c r="Y69" i="16" a="1"/>
  <c r="Y69" i="16" s="1"/>
  <c r="Y65" i="16" a="1"/>
  <c r="Y65" i="16" s="1"/>
  <c r="Y59" i="16" a="1"/>
  <c r="Y59" i="16" s="1"/>
  <c r="Y49" i="16" a="1"/>
  <c r="Y49" i="16" s="1"/>
  <c r="Y42" i="16" a="1"/>
  <c r="Y42" i="16" s="1"/>
  <c r="Y37" i="16" a="1"/>
  <c r="Y37" i="16" s="1"/>
  <c r="Y32" i="16" a="1"/>
  <c r="Y32" i="16" s="1"/>
  <c r="Y26" i="16" a="1"/>
  <c r="Y26" i="16" s="1"/>
  <c r="Y22" i="16" a="1"/>
  <c r="Y22" i="16" s="1"/>
  <c r="Y15" i="16" a="1"/>
  <c r="Y15" i="16" s="1"/>
  <c r="Y8" i="16" a="1"/>
  <c r="Y8" i="16" s="1"/>
  <c r="Y3" i="16" a="1"/>
  <c r="Y3" i="16" s="1"/>
  <c r="Y384" i="16" a="1"/>
  <c r="Y384" i="16" s="1"/>
  <c r="Y322" i="16" a="1"/>
  <c r="Y322" i="16" s="1"/>
  <c r="Y303" i="16" a="1"/>
  <c r="Y303" i="16" s="1"/>
  <c r="Y279" i="16" a="1"/>
  <c r="Y279" i="16" s="1"/>
  <c r="Y245" i="16" a="1"/>
  <c r="Y245" i="16" s="1"/>
  <c r="Y164" i="16" a="1"/>
  <c r="Y164" i="16" s="1"/>
  <c r="Y110" i="16" a="1"/>
  <c r="Y110" i="16" s="1"/>
  <c r="Y92" i="16" a="1"/>
  <c r="Y92" i="16" s="1"/>
  <c r="Y424" i="16" a="1"/>
  <c r="Y424" i="16" s="1"/>
  <c r="Y382" i="16" a="1"/>
  <c r="Y382" i="16" s="1"/>
  <c r="Y418" i="16" a="1"/>
  <c r="Y418" i="16" s="1"/>
  <c r="Y430" i="16" a="1"/>
  <c r="Y430" i="16" s="1"/>
  <c r="Y411" i="16" a="1"/>
  <c r="Y411" i="16" s="1"/>
  <c r="Y401" i="16" a="1"/>
  <c r="Y401" i="16" s="1"/>
  <c r="Y390" i="16" a="1"/>
  <c r="Y390" i="16" s="1"/>
  <c r="Y374" i="16" a="1"/>
  <c r="Y374" i="16" s="1"/>
  <c r="Y358" i="16" a="1"/>
  <c r="Y358" i="16" s="1"/>
  <c r="Y353" i="16" a="1"/>
  <c r="Y353" i="16" s="1"/>
  <c r="Y340" i="16" a="1"/>
  <c r="Y340" i="16" s="1"/>
  <c r="Y324" i="16" a="1"/>
  <c r="Y324" i="16" s="1"/>
  <c r="Y319" i="16" a="1"/>
  <c r="Y319" i="16" s="1"/>
  <c r="Y314" i="16" a="1"/>
  <c r="Y314" i="16" s="1"/>
  <c r="Y304" i="16" a="1"/>
  <c r="Y304" i="16" s="1"/>
  <c r="Y293" i="16" a="1"/>
  <c r="Y293" i="16" s="1"/>
  <c r="Y286" i="16" a="1"/>
  <c r="Y286" i="16" s="1"/>
  <c r="Y280" i="16" a="1"/>
  <c r="Y280" i="16" s="1"/>
  <c r="Y273" i="16" a="1"/>
  <c r="Y273" i="16" s="1"/>
  <c r="Y264" i="16" a="1"/>
  <c r="Y264" i="16" s="1"/>
  <c r="Y249" i="16" a="1"/>
  <c r="Y249" i="16" s="1"/>
  <c r="Y236" i="16" a="1"/>
  <c r="Y236" i="16" s="1"/>
  <c r="Y193" i="16" a="1"/>
  <c r="Y193" i="16" s="1"/>
  <c r="Y183" i="16" a="1"/>
  <c r="Y183" i="16" s="1"/>
  <c r="Y168" i="16" a="1"/>
  <c r="Y168" i="16" s="1"/>
  <c r="Y161" i="16" a="1"/>
  <c r="Y161" i="16" s="1"/>
  <c r="Y139" i="16" a="1"/>
  <c r="Y139" i="16" s="1"/>
  <c r="Y121" i="16" a="1"/>
  <c r="Y121" i="16" s="1"/>
  <c r="Y114" i="16" a="1"/>
  <c r="Y114" i="16" s="1"/>
  <c r="Y106" i="16" a="1"/>
  <c r="Y106" i="16" s="1"/>
  <c r="Y99" i="16" a="1"/>
  <c r="Y99" i="16" s="1"/>
  <c r="Y93" i="16" a="1"/>
  <c r="Y93" i="16" s="1"/>
  <c r="Y89" i="16" a="1"/>
  <c r="Y89" i="16" s="1"/>
  <c r="Y84" i="16" a="1"/>
  <c r="Y84" i="16" s="1"/>
  <c r="Y80" i="16" a="1"/>
  <c r="Y80" i="16" s="1"/>
  <c r="Y72" i="16" a="1"/>
  <c r="Y72" i="16" s="1"/>
  <c r="Y68" i="16" a="1"/>
  <c r="Y68" i="16" s="1"/>
  <c r="Y63" i="16" a="1"/>
  <c r="Y63" i="16" s="1"/>
  <c r="Y58" i="16" a="1"/>
  <c r="Y58" i="16" s="1"/>
  <c r="Y47" i="16" a="1"/>
  <c r="Y47" i="16" s="1"/>
  <c r="Y40" i="16" a="1"/>
  <c r="Y40" i="16" s="1"/>
  <c r="Y36" i="16" a="1"/>
  <c r="Y36" i="16" s="1"/>
  <c r="Y30" i="16" a="1"/>
  <c r="Y30" i="16" s="1"/>
  <c r="Y25" i="16" a="1"/>
  <c r="Y25" i="16" s="1"/>
  <c r="Y21" i="16" a="1"/>
  <c r="Y21" i="16" s="1"/>
  <c r="Y14" i="16" a="1"/>
  <c r="Y14" i="16" s="1"/>
  <c r="Y7" i="16" a="1"/>
  <c r="Y7" i="16" s="1"/>
  <c r="I2" i="101"/>
  <c r="E423" i="16"/>
  <c r="E403" i="16"/>
  <c r="E391" i="16"/>
  <c r="E375" i="16"/>
  <c r="E363" i="16"/>
  <c r="E351" i="16"/>
  <c r="E339" i="16"/>
  <c r="E327" i="16"/>
  <c r="E311" i="16"/>
  <c r="E299" i="16"/>
  <c r="E287" i="16"/>
  <c r="E279" i="16"/>
  <c r="E267" i="16"/>
  <c r="E255" i="16"/>
  <c r="E239" i="16"/>
  <c r="E227" i="16"/>
  <c r="E215" i="16"/>
  <c r="E199" i="16"/>
  <c r="E195" i="16"/>
  <c r="E430" i="16"/>
  <c r="E426" i="16"/>
  <c r="E422" i="16"/>
  <c r="E418" i="16"/>
  <c r="E414" i="16"/>
  <c r="E410" i="16"/>
  <c r="E406" i="16"/>
  <c r="E402" i="16"/>
  <c r="E398" i="16"/>
  <c r="E394" i="16"/>
  <c r="E390" i="16"/>
  <c r="E386" i="16"/>
  <c r="E382" i="16"/>
  <c r="E378" i="16"/>
  <c r="E374" i="16"/>
  <c r="E370" i="16"/>
  <c r="E366" i="16"/>
  <c r="E362" i="16"/>
  <c r="E358" i="16"/>
  <c r="E354" i="16"/>
  <c r="E350" i="16"/>
  <c r="E346" i="16"/>
  <c r="E342" i="16"/>
  <c r="E338" i="16"/>
  <c r="E334" i="16"/>
  <c r="E330" i="16"/>
  <c r="E326" i="16"/>
  <c r="E322" i="16"/>
  <c r="E318" i="16"/>
  <c r="E314" i="16"/>
  <c r="E310" i="16"/>
  <c r="E306" i="16"/>
  <c r="E302" i="16"/>
  <c r="E298" i="16"/>
  <c r="E294" i="16"/>
  <c r="E290" i="16"/>
  <c r="E286" i="16"/>
  <c r="E282" i="16"/>
  <c r="E278" i="16"/>
  <c r="E274" i="16"/>
  <c r="E270" i="16"/>
  <c r="E266" i="16"/>
  <c r="E262" i="16"/>
  <c r="E258" i="16"/>
  <c r="E254" i="16"/>
  <c r="E250" i="16"/>
  <c r="E246" i="16"/>
  <c r="E242" i="16"/>
  <c r="E238" i="16"/>
  <c r="E234" i="16"/>
  <c r="E230" i="16"/>
  <c r="E226" i="16"/>
  <c r="E222" i="16"/>
  <c r="E218" i="16"/>
  <c r="E214" i="16"/>
  <c r="E210" i="16"/>
  <c r="E206" i="16"/>
  <c r="E202" i="16"/>
  <c r="E198" i="16"/>
  <c r="E194" i="16"/>
  <c r="E190" i="16"/>
  <c r="E186" i="16"/>
  <c r="E182" i="16"/>
  <c r="E178" i="16"/>
  <c r="E174" i="16"/>
  <c r="E170" i="16"/>
  <c r="E166" i="16"/>
  <c r="E162" i="16"/>
  <c r="E158" i="16"/>
  <c r="E154" i="16"/>
  <c r="E150" i="16"/>
  <c r="E146" i="16"/>
  <c r="E142" i="16"/>
  <c r="E138" i="16"/>
  <c r="E134" i="16"/>
  <c r="E130" i="16"/>
  <c r="E126" i="16"/>
  <c r="E122" i="16"/>
  <c r="E118" i="16"/>
  <c r="E114" i="16"/>
  <c r="E110" i="16"/>
  <c r="E106" i="16"/>
  <c r="E102" i="16"/>
  <c r="E98" i="16"/>
  <c r="E94" i="16"/>
  <c r="E90" i="16"/>
  <c r="E86" i="16"/>
  <c r="E82" i="16"/>
  <c r="E78" i="16"/>
  <c r="E74" i="16"/>
  <c r="E70" i="16"/>
  <c r="E66" i="16"/>
  <c r="E62" i="16"/>
  <c r="E58" i="16"/>
  <c r="E54" i="16"/>
  <c r="E50" i="16"/>
  <c r="E46" i="16"/>
  <c r="E42" i="16"/>
  <c r="E38" i="16"/>
  <c r="E34" i="16"/>
  <c r="E30" i="16"/>
  <c r="E26" i="16"/>
  <c r="E22" i="16"/>
  <c r="E18" i="16"/>
  <c r="E14" i="16"/>
  <c r="E10" i="16"/>
  <c r="E6" i="16"/>
  <c r="E431" i="16"/>
  <c r="E419" i="16"/>
  <c r="E411" i="16"/>
  <c r="E395" i="16"/>
  <c r="E383" i="16"/>
  <c r="E379" i="16"/>
  <c r="E367" i="16"/>
  <c r="E359" i="16"/>
  <c r="E347" i="16"/>
  <c r="E335" i="16"/>
  <c r="E323" i="16"/>
  <c r="E315" i="16"/>
  <c r="E303" i="16"/>
  <c r="E291" i="16"/>
  <c r="E275" i="16"/>
  <c r="E263" i="16"/>
  <c r="E251" i="16"/>
  <c r="E243" i="16"/>
  <c r="E231" i="16"/>
  <c r="E219" i="16"/>
  <c r="E211" i="16"/>
  <c r="E203" i="16"/>
  <c r="E187" i="16"/>
  <c r="A2" i="101"/>
  <c r="D2" i="101" s="1"/>
  <c r="J2" i="101" s="1"/>
  <c r="D2" i="16" s="1"/>
  <c r="H17" i="16"/>
  <c r="H81" i="16"/>
  <c r="H145" i="16"/>
  <c r="H363" i="16"/>
  <c r="E61" i="16"/>
  <c r="H33" i="16"/>
  <c r="H97" i="16"/>
  <c r="H161" i="16"/>
  <c r="H395" i="16"/>
  <c r="E2" i="16"/>
  <c r="H49" i="16"/>
  <c r="H113" i="16"/>
  <c r="H177" i="16"/>
  <c r="H427" i="16"/>
  <c r="H65" i="16"/>
  <c r="H129" i="16"/>
  <c r="H193" i="16"/>
  <c r="E29" i="16"/>
  <c r="E429" i="16"/>
  <c r="E425" i="16"/>
  <c r="E421" i="16"/>
  <c r="E417" i="16"/>
  <c r="E413" i="16"/>
  <c r="E409" i="16"/>
  <c r="E405" i="16"/>
  <c r="E401" i="16"/>
  <c r="E397" i="16"/>
  <c r="E393" i="16"/>
  <c r="E389" i="16"/>
  <c r="E385" i="16"/>
  <c r="E381" i="16"/>
  <c r="E377" i="16"/>
  <c r="E373" i="16"/>
  <c r="E369" i="16"/>
  <c r="E365" i="16"/>
  <c r="E361" i="16"/>
  <c r="E357" i="16"/>
  <c r="E353" i="16"/>
  <c r="E349" i="16"/>
  <c r="E345" i="16"/>
  <c r="E341" i="16"/>
  <c r="E337" i="16"/>
  <c r="E333" i="16"/>
  <c r="E329" i="16"/>
  <c r="E325" i="16"/>
  <c r="E321" i="16"/>
  <c r="E317" i="16"/>
  <c r="E313" i="16"/>
  <c r="E309" i="16"/>
  <c r="E305" i="16"/>
  <c r="E301" i="16"/>
  <c r="E297" i="16"/>
  <c r="E293" i="16"/>
  <c r="E289" i="16"/>
  <c r="E285" i="16"/>
  <c r="E281" i="16"/>
  <c r="E277" i="16"/>
  <c r="E273" i="16"/>
  <c r="E269" i="16"/>
  <c r="E265" i="16"/>
  <c r="E261" i="16"/>
  <c r="E257" i="16"/>
  <c r="E253" i="16"/>
  <c r="E249" i="16"/>
  <c r="E427" i="16"/>
  <c r="E415" i="16"/>
  <c r="E407" i="16"/>
  <c r="E399" i="16"/>
  <c r="E387" i="16"/>
  <c r="E371" i="16"/>
  <c r="E355" i="16"/>
  <c r="E343" i="16"/>
  <c r="E331" i="16"/>
  <c r="E319" i="16"/>
  <c r="E307" i="16"/>
  <c r="E295" i="16"/>
  <c r="E283" i="16"/>
  <c r="E271" i="16"/>
  <c r="E259" i="16"/>
  <c r="E247" i="16"/>
  <c r="E235" i="16"/>
  <c r="E223" i="16"/>
  <c r="E207" i="16"/>
  <c r="E191" i="16"/>
  <c r="E245" i="16"/>
  <c r="E241" i="16"/>
  <c r="E237" i="16"/>
  <c r="E233" i="16"/>
  <c r="E229" i="16"/>
  <c r="E225" i="16"/>
  <c r="E221" i="16"/>
  <c r="E217" i="16"/>
  <c r="E213" i="16"/>
  <c r="E209" i="16"/>
  <c r="E205" i="16"/>
  <c r="E201" i="16"/>
  <c r="E197" i="16"/>
  <c r="E193" i="16"/>
  <c r="E189" i="16"/>
  <c r="E185" i="16"/>
  <c r="E181" i="16"/>
  <c r="E177" i="16"/>
  <c r="E173" i="16"/>
  <c r="E169" i="16"/>
  <c r="E165" i="16"/>
  <c r="E161" i="16"/>
  <c r="E157" i="16"/>
  <c r="E153" i="16"/>
  <c r="E149" i="16"/>
  <c r="E145" i="16"/>
  <c r="E141" i="16"/>
  <c r="E137" i="16"/>
  <c r="E133" i="16"/>
  <c r="E129" i="16"/>
  <c r="E125" i="16"/>
  <c r="E121" i="16"/>
  <c r="E117" i="16"/>
  <c r="E113" i="16"/>
  <c r="E109" i="16"/>
  <c r="E105" i="16"/>
  <c r="E101" i="16"/>
  <c r="E97" i="16"/>
  <c r="E93" i="16"/>
  <c r="E89" i="16"/>
  <c r="E85" i="16"/>
  <c r="E81" i="16"/>
  <c r="E77" i="16"/>
  <c r="E73" i="16"/>
  <c r="E69" i="16"/>
  <c r="E65" i="16"/>
  <c r="E57" i="16"/>
  <c r="E53" i="16"/>
  <c r="E49" i="16"/>
  <c r="E45" i="16"/>
  <c r="E41" i="16"/>
  <c r="E37" i="16"/>
  <c r="E33" i="16"/>
  <c r="E25" i="16"/>
  <c r="E21" i="16"/>
  <c r="E17" i="16"/>
  <c r="E13" i="16"/>
  <c r="E9" i="16"/>
  <c r="E5" i="16"/>
  <c r="H432" i="16"/>
  <c r="H428" i="16"/>
  <c r="H424" i="16"/>
  <c r="H420" i="16"/>
  <c r="H416" i="16"/>
  <c r="H412" i="16"/>
  <c r="H408" i="16"/>
  <c r="H404" i="16"/>
  <c r="H400" i="16"/>
  <c r="H396" i="16"/>
  <c r="H392" i="16"/>
  <c r="H388" i="16"/>
  <c r="H384" i="16"/>
  <c r="H380" i="16"/>
  <c r="H376" i="16"/>
  <c r="H372" i="16"/>
  <c r="H368" i="16"/>
  <c r="H364" i="16"/>
  <c r="H360" i="16"/>
  <c r="H356" i="16"/>
  <c r="H352" i="16"/>
  <c r="H348" i="16"/>
  <c r="H344" i="16"/>
  <c r="H340" i="16"/>
  <c r="E432" i="16"/>
  <c r="E428" i="16"/>
  <c r="E424" i="16"/>
  <c r="E420" i="16"/>
  <c r="E416" i="16"/>
  <c r="E412" i="16"/>
  <c r="E408" i="16"/>
  <c r="E404" i="16"/>
  <c r="E400" i="16"/>
  <c r="E396" i="16"/>
  <c r="E392" i="16"/>
  <c r="E388" i="16"/>
  <c r="E384" i="16"/>
  <c r="E380" i="16"/>
  <c r="E376" i="16"/>
  <c r="E372" i="16"/>
  <c r="E368" i="16"/>
  <c r="E364" i="16"/>
  <c r="E360" i="16"/>
  <c r="E356" i="16"/>
  <c r="E352" i="16"/>
  <c r="E348" i="16"/>
  <c r="E344" i="16"/>
  <c r="E340" i="16"/>
  <c r="E336" i="16"/>
  <c r="E332" i="16"/>
  <c r="E328" i="16"/>
  <c r="E324" i="16"/>
  <c r="E320" i="16"/>
  <c r="E316" i="16"/>
  <c r="E312" i="16"/>
  <c r="E308" i="16"/>
  <c r="E304" i="16"/>
  <c r="E300" i="16"/>
  <c r="E296" i="16"/>
  <c r="E292" i="16"/>
  <c r="E288" i="16"/>
  <c r="E284" i="16"/>
  <c r="E280" i="16"/>
  <c r="E276" i="16"/>
  <c r="E272" i="16"/>
  <c r="E268" i="16"/>
  <c r="E264" i="16"/>
  <c r="E260" i="16"/>
  <c r="E256" i="16"/>
  <c r="E252" i="16"/>
  <c r="E248" i="16"/>
  <c r="E244" i="16"/>
  <c r="E240" i="16"/>
  <c r="E236" i="16"/>
  <c r="E232" i="16"/>
  <c r="E228" i="16"/>
  <c r="E224" i="16"/>
  <c r="E220" i="16"/>
  <c r="E183" i="16"/>
  <c r="E179" i="16"/>
  <c r="E175" i="16"/>
  <c r="E171" i="16"/>
  <c r="E167" i="16"/>
  <c r="E163" i="16"/>
  <c r="E159" i="16"/>
  <c r="E155" i="16"/>
  <c r="E151" i="16"/>
  <c r="E147" i="16"/>
  <c r="E143" i="16"/>
  <c r="E139" i="16"/>
  <c r="E135" i="16"/>
  <c r="E131" i="16"/>
  <c r="E127" i="16"/>
  <c r="E123" i="16"/>
  <c r="E119" i="16"/>
  <c r="E115" i="16"/>
  <c r="E111" i="16"/>
  <c r="E107" i="16"/>
  <c r="E103" i="16"/>
  <c r="E99" i="16"/>
  <c r="E95" i="16"/>
  <c r="E91" i="16"/>
  <c r="E87" i="16"/>
  <c r="E83" i="16"/>
  <c r="E79" i="16"/>
  <c r="E75" i="16"/>
  <c r="E71" i="16"/>
  <c r="E67" i="16"/>
  <c r="E63" i="16"/>
  <c r="E59" i="16"/>
  <c r="E55" i="16"/>
  <c r="E51" i="16"/>
  <c r="E47" i="16"/>
  <c r="E43" i="16"/>
  <c r="E39" i="16"/>
  <c r="E35" i="16"/>
  <c r="E31" i="16"/>
  <c r="E27" i="16"/>
  <c r="E23" i="16"/>
  <c r="E19" i="16"/>
  <c r="E15" i="16"/>
  <c r="E11" i="16"/>
  <c r="E7" i="16"/>
  <c r="E3" i="16"/>
  <c r="H430" i="16"/>
  <c r="H426" i="16"/>
  <c r="H422" i="16"/>
  <c r="H418" i="16"/>
  <c r="H414" i="16"/>
  <c r="H410" i="16"/>
  <c r="H406" i="16"/>
  <c r="H402" i="16"/>
  <c r="H398" i="16"/>
  <c r="H394" i="16"/>
  <c r="H390" i="16"/>
  <c r="H386" i="16"/>
  <c r="H382" i="16"/>
  <c r="H378" i="16"/>
  <c r="H374" i="16"/>
  <c r="H370" i="16"/>
  <c r="H366" i="16"/>
  <c r="H362" i="16"/>
  <c r="H358" i="16"/>
  <c r="H354" i="16"/>
  <c r="H350" i="16"/>
  <c r="H346" i="16"/>
  <c r="H342" i="16"/>
  <c r="H338" i="16"/>
  <c r="H334" i="16"/>
  <c r="H330" i="16"/>
  <c r="H326" i="16"/>
  <c r="H322" i="16"/>
  <c r="H318" i="16"/>
  <c r="H314" i="16"/>
  <c r="H310" i="16"/>
  <c r="H306" i="16"/>
  <c r="H302" i="16"/>
  <c r="H298" i="16"/>
  <c r="H294" i="16"/>
  <c r="H290" i="16"/>
  <c r="H286" i="16"/>
  <c r="H282" i="16"/>
  <c r="H2" i="16"/>
  <c r="H429" i="16"/>
  <c r="H425" i="16"/>
  <c r="H421" i="16"/>
  <c r="H417" i="16"/>
  <c r="H413" i="16"/>
  <c r="H409" i="16"/>
  <c r="H405" i="16"/>
  <c r="H401" i="16"/>
  <c r="H397" i="16"/>
  <c r="H393" i="16"/>
  <c r="H389" i="16"/>
  <c r="H385" i="16"/>
  <c r="H381" i="16"/>
  <c r="H377" i="16"/>
  <c r="H373" i="16"/>
  <c r="H369" i="16"/>
  <c r="H365" i="16"/>
  <c r="H361" i="16"/>
  <c r="H357" i="16"/>
  <c r="H353" i="16"/>
  <c r="H349" i="16"/>
  <c r="H345" i="16"/>
  <c r="H341" i="16"/>
  <c r="H337" i="16"/>
  <c r="H333" i="16"/>
  <c r="H336" i="16"/>
  <c r="H332" i="16"/>
  <c r="H328" i="16"/>
  <c r="H324" i="16"/>
  <c r="H320" i="16"/>
  <c r="H316" i="16"/>
  <c r="H312" i="16"/>
  <c r="H308" i="16"/>
  <c r="H304" i="16"/>
  <c r="H300" i="16"/>
  <c r="H296" i="16"/>
  <c r="H292" i="16"/>
  <c r="H288" i="16"/>
  <c r="H284" i="16"/>
  <c r="H280" i="16"/>
  <c r="H276" i="16"/>
  <c r="H272" i="16"/>
  <c r="H268" i="16"/>
  <c r="H264" i="16"/>
  <c r="H260" i="16"/>
  <c r="H256" i="16"/>
  <c r="H252" i="16"/>
  <c r="H248" i="16"/>
  <c r="H244" i="16"/>
  <c r="H240" i="16"/>
  <c r="H236" i="16"/>
  <c r="H232" i="16"/>
  <c r="H228" i="16"/>
  <c r="H224" i="16"/>
  <c r="H220" i="16"/>
  <c r="H216" i="16"/>
  <c r="H212" i="16"/>
  <c r="H208" i="16"/>
  <c r="H204" i="16"/>
  <c r="H200" i="16"/>
  <c r="H196" i="16"/>
  <c r="H192" i="16"/>
  <c r="H188" i="16"/>
  <c r="H184" i="16"/>
  <c r="H180" i="16"/>
  <c r="H176" i="16"/>
  <c r="H172" i="16"/>
  <c r="H168" i="16"/>
  <c r="H164" i="16"/>
  <c r="H160" i="16"/>
  <c r="H156" i="16"/>
  <c r="H152" i="16"/>
  <c r="H148" i="16"/>
  <c r="H144" i="16"/>
  <c r="H140" i="16"/>
  <c r="H136" i="16"/>
  <c r="H132" i="16"/>
  <c r="H128" i="16"/>
  <c r="H124" i="16"/>
  <c r="H120" i="16"/>
  <c r="H116" i="16"/>
  <c r="H112" i="16"/>
  <c r="H108" i="16"/>
  <c r="H104" i="16"/>
  <c r="H100" i="16"/>
  <c r="H96" i="16"/>
  <c r="H92" i="16"/>
  <c r="H88" i="16"/>
  <c r="H84" i="16"/>
  <c r="H80" i="16"/>
  <c r="H76" i="16"/>
  <c r="H72" i="16"/>
  <c r="H68" i="16"/>
  <c r="H64" i="16"/>
  <c r="H60" i="16"/>
  <c r="H56" i="16"/>
  <c r="H52" i="16"/>
  <c r="H48" i="16"/>
  <c r="H44" i="16"/>
  <c r="H40" i="16"/>
  <c r="H36" i="16"/>
  <c r="H32" i="16"/>
  <c r="H28" i="16"/>
  <c r="H24" i="16"/>
  <c r="H20" i="16"/>
  <c r="H16" i="16"/>
  <c r="H12" i="16"/>
  <c r="H8" i="16"/>
  <c r="H4" i="16"/>
  <c r="E216" i="16"/>
  <c r="E212" i="16"/>
  <c r="E208" i="16"/>
  <c r="E204" i="16"/>
  <c r="E200" i="16"/>
  <c r="E196" i="16"/>
  <c r="E192" i="16"/>
  <c r="E188" i="16"/>
  <c r="E184" i="16"/>
  <c r="E180" i="16"/>
  <c r="E176" i="16"/>
  <c r="E172" i="16"/>
  <c r="E168" i="16"/>
  <c r="E164" i="16"/>
  <c r="E160" i="16"/>
  <c r="E156" i="16"/>
  <c r="E152" i="16"/>
  <c r="E148" i="16"/>
  <c r="E144" i="16"/>
  <c r="E140" i="16"/>
  <c r="E136" i="16"/>
  <c r="E132" i="16"/>
  <c r="E128" i="16"/>
  <c r="E124" i="16"/>
  <c r="E120" i="16"/>
  <c r="E116" i="16"/>
  <c r="E112" i="16"/>
  <c r="E108" i="16"/>
  <c r="E104" i="16"/>
  <c r="E100" i="16"/>
  <c r="E96" i="16"/>
  <c r="E92" i="16"/>
  <c r="E88" i="16"/>
  <c r="E84" i="16"/>
  <c r="E80" i="16"/>
  <c r="E76" i="16"/>
  <c r="E72" i="16"/>
  <c r="E68" i="16"/>
  <c r="E64" i="16"/>
  <c r="E60" i="16"/>
  <c r="E56" i="16"/>
  <c r="E52" i="16"/>
  <c r="E48" i="16"/>
  <c r="E44" i="16"/>
  <c r="E40" i="16"/>
  <c r="E36" i="16"/>
  <c r="E32" i="16"/>
  <c r="E28" i="16"/>
  <c r="E24" i="16"/>
  <c r="E20" i="16"/>
  <c r="E16" i="16"/>
  <c r="E12" i="16"/>
  <c r="E8" i="16"/>
  <c r="E4" i="16"/>
  <c r="H431" i="16"/>
  <c r="H423" i="16"/>
  <c r="H419" i="16"/>
  <c r="H415" i="16"/>
  <c r="H411" i="16"/>
  <c r="H407" i="16"/>
  <c r="H403" i="16"/>
  <c r="H399" i="16"/>
  <c r="H391" i="16"/>
  <c r="H387" i="16"/>
  <c r="H383" i="16"/>
  <c r="H379" i="16"/>
  <c r="H375" i="16"/>
  <c r="H371" i="16"/>
  <c r="H367" i="16"/>
  <c r="H359" i="16"/>
  <c r="H355" i="16"/>
  <c r="H351" i="16"/>
  <c r="H347" i="16"/>
  <c r="H343" i="16"/>
  <c r="H339" i="16"/>
  <c r="H335" i="16"/>
  <c r="H331" i="16"/>
  <c r="H327" i="16"/>
  <c r="H323" i="16"/>
  <c r="H319" i="16"/>
  <c r="H315" i="16"/>
  <c r="H311" i="16"/>
  <c r="H307" i="16"/>
  <c r="H303" i="16"/>
  <c r="H299" i="16"/>
  <c r="H295" i="16"/>
  <c r="H291" i="16"/>
  <c r="H287" i="16"/>
  <c r="H283" i="16"/>
  <c r="H279" i="16"/>
  <c r="H275" i="16"/>
  <c r="H271" i="16"/>
  <c r="H267" i="16"/>
  <c r="H263" i="16"/>
  <c r="H259" i="16"/>
  <c r="H255" i="16"/>
  <c r="H251" i="16"/>
  <c r="H247" i="16"/>
  <c r="H243" i="16"/>
  <c r="H239" i="16"/>
  <c r="H235" i="16"/>
  <c r="H231" i="16"/>
  <c r="H227" i="16"/>
  <c r="H223" i="16"/>
  <c r="H219" i="16"/>
  <c r="H215" i="16"/>
  <c r="H211" i="16"/>
  <c r="H207" i="16"/>
  <c r="H203" i="16"/>
  <c r="H199" i="16"/>
  <c r="H195" i="16"/>
  <c r="H191" i="16"/>
  <c r="H187" i="16"/>
  <c r="H183" i="16"/>
  <c r="H179" i="16"/>
  <c r="H175" i="16"/>
  <c r="H171" i="16"/>
  <c r="H167" i="16"/>
  <c r="H163" i="16"/>
  <c r="H159" i="16"/>
  <c r="H155" i="16"/>
  <c r="H151" i="16"/>
  <c r="H147" i="16"/>
  <c r="H143" i="16"/>
  <c r="H139" i="16"/>
  <c r="H135" i="16"/>
  <c r="H131" i="16"/>
  <c r="H127" i="16"/>
  <c r="H123" i="16"/>
  <c r="H119" i="16"/>
  <c r="H115" i="16"/>
  <c r="H111" i="16"/>
  <c r="H107" i="16"/>
  <c r="H103" i="16"/>
  <c r="H99" i="16"/>
  <c r="H95" i="16"/>
  <c r="H91" i="16"/>
  <c r="H87" i="16"/>
  <c r="H83" i="16"/>
  <c r="H79" i="16"/>
  <c r="H75" i="16"/>
  <c r="H71" i="16"/>
  <c r="H67" i="16"/>
  <c r="H63" i="16"/>
  <c r="H59" i="16"/>
  <c r="H55" i="16"/>
  <c r="H51" i="16"/>
  <c r="H47" i="16"/>
  <c r="H43" i="16"/>
  <c r="H39" i="16"/>
  <c r="H35" i="16"/>
  <c r="H31" i="16"/>
  <c r="H27" i="16"/>
  <c r="H23" i="16"/>
  <c r="H19" i="16"/>
  <c r="H15" i="16"/>
  <c r="H11" i="16"/>
  <c r="H7" i="16"/>
  <c r="H3" i="16"/>
  <c r="H278" i="16"/>
  <c r="H274" i="16"/>
  <c r="H270" i="16"/>
  <c r="H266" i="16"/>
  <c r="H262" i="16"/>
  <c r="H258" i="16"/>
  <c r="H254" i="16"/>
  <c r="H250" i="16"/>
  <c r="H246" i="16"/>
  <c r="H242" i="16"/>
  <c r="H238" i="16"/>
  <c r="H234" i="16"/>
  <c r="H230" i="16"/>
  <c r="H226" i="16"/>
  <c r="H222" i="16"/>
  <c r="H218" i="16"/>
  <c r="H214" i="16"/>
  <c r="H210" i="16"/>
  <c r="H206" i="16"/>
  <c r="H202" i="16"/>
  <c r="H198" i="16"/>
  <c r="H194" i="16"/>
  <c r="H190" i="16"/>
  <c r="H186" i="16"/>
  <c r="H182" i="16"/>
  <c r="H178" i="16"/>
  <c r="H174" i="16"/>
  <c r="H170" i="16"/>
  <c r="H166" i="16"/>
  <c r="H162" i="16"/>
  <c r="H158" i="16"/>
  <c r="H154" i="16"/>
  <c r="H150" i="16"/>
  <c r="H146" i="16"/>
  <c r="H142" i="16"/>
  <c r="H138" i="16"/>
  <c r="H134" i="16"/>
  <c r="H130" i="16"/>
  <c r="H126" i="16"/>
  <c r="H122" i="16"/>
  <c r="H118" i="16"/>
  <c r="H114" i="16"/>
  <c r="H110" i="16"/>
  <c r="H106" i="16"/>
  <c r="H102" i="16"/>
  <c r="H98" i="16"/>
  <c r="H94" i="16"/>
  <c r="H90" i="16"/>
  <c r="H86" i="16"/>
  <c r="H82" i="16"/>
  <c r="H78" i="16"/>
  <c r="H74" i="16"/>
  <c r="H70" i="16"/>
  <c r="H66" i="16"/>
  <c r="H62" i="16"/>
  <c r="H58" i="16"/>
  <c r="H54" i="16"/>
  <c r="H50" i="16"/>
  <c r="H46" i="16"/>
  <c r="H42" i="16"/>
  <c r="H38" i="16"/>
  <c r="H34" i="16"/>
  <c r="H30" i="16"/>
  <c r="H26" i="16"/>
  <c r="H22" i="16"/>
  <c r="H18" i="16"/>
  <c r="H14" i="16"/>
  <c r="H10" i="16"/>
  <c r="H6" i="16"/>
  <c r="H329" i="16"/>
  <c r="H325" i="16"/>
  <c r="H321" i="16"/>
  <c r="H317" i="16"/>
  <c r="H313" i="16"/>
  <c r="H309" i="16"/>
  <c r="H305" i="16"/>
  <c r="H301" i="16"/>
  <c r="H297" i="16"/>
  <c r="H293" i="16"/>
  <c r="H289" i="16"/>
  <c r="H285" i="16"/>
  <c r="H281" i="16"/>
  <c r="H277" i="16"/>
  <c r="H273" i="16"/>
  <c r="H269" i="16"/>
  <c r="H265" i="16"/>
  <c r="H261" i="16"/>
  <c r="H257" i="16"/>
  <c r="H253" i="16"/>
  <c r="H249" i="16"/>
  <c r="H245" i="16"/>
  <c r="H241" i="16"/>
  <c r="H237" i="16"/>
  <c r="H233" i="16"/>
  <c r="H229" i="16"/>
  <c r="H225" i="16"/>
  <c r="H221" i="16"/>
  <c r="H217" i="16"/>
  <c r="H213" i="16"/>
  <c r="H209" i="16"/>
  <c r="H205" i="16"/>
  <c r="H201" i="16"/>
  <c r="H197" i="16"/>
  <c r="H189" i="16"/>
  <c r="H185" i="16"/>
  <c r="H181" i="16"/>
  <c r="H173" i="16"/>
  <c r="H169" i="16"/>
  <c r="H165" i="16"/>
  <c r="H157" i="16"/>
  <c r="H153" i="16"/>
  <c r="H149" i="16"/>
  <c r="H141" i="16"/>
  <c r="H137" i="16"/>
  <c r="H133" i="16"/>
  <c r="H125" i="16"/>
  <c r="H121" i="16"/>
  <c r="H117" i="16"/>
  <c r="H109" i="16"/>
  <c r="H105" i="16"/>
  <c r="H101" i="16"/>
  <c r="H93" i="16"/>
  <c r="H89" i="16"/>
  <c r="H85" i="16"/>
  <c r="H77" i="16"/>
  <c r="H73" i="16"/>
  <c r="H69" i="16"/>
  <c r="H61" i="16"/>
  <c r="H57" i="16"/>
  <c r="H53" i="16"/>
  <c r="H45" i="16"/>
  <c r="H41" i="16"/>
  <c r="H37" i="16"/>
  <c r="H29" i="16"/>
  <c r="H25" i="16"/>
  <c r="H21" i="16"/>
  <c r="H13" i="16"/>
  <c r="H9" i="16"/>
  <c r="H5" i="16"/>
  <c r="B2" i="101"/>
  <c r="C2" i="101" s="1"/>
  <c r="Z21" i="16" l="1" a="1"/>
  <c r="Z21" i="16" s="1"/>
  <c r="AA21" i="16" s="1" a="1"/>
  <c r="AA21" i="16" s="1"/>
  <c r="AB21" i="16" s="1" a="1"/>
  <c r="AB21" i="16" s="1"/>
  <c r="AC21" i="16" s="1" a="1"/>
  <c r="AC21" i="16" s="1"/>
  <c r="AD21" i="16" s="1" a="1"/>
  <c r="AD21" i="16" s="1"/>
  <c r="Z40" i="16" a="1"/>
  <c r="Z40" i="16" s="1"/>
  <c r="AA40" i="16" s="1" a="1"/>
  <c r="AA40" i="16" s="1"/>
  <c r="AB40" i="16" s="1" a="1"/>
  <c r="AB40" i="16" s="1"/>
  <c r="AC40" i="16" s="1" a="1"/>
  <c r="AC40" i="16" s="1"/>
  <c r="AD40" i="16" s="1" a="1"/>
  <c r="AD40" i="16" s="1"/>
  <c r="Z68" i="16" a="1"/>
  <c r="Z68" i="16" s="1"/>
  <c r="AA68" i="16" s="1" a="1"/>
  <c r="AA68" i="16" s="1"/>
  <c r="AB68" i="16" s="1" a="1"/>
  <c r="AB68" i="16" s="1"/>
  <c r="AC68" i="16" s="1" a="1"/>
  <c r="AC68" i="16" s="1"/>
  <c r="AD68" i="16" s="1" a="1"/>
  <c r="AD68" i="16" s="1"/>
  <c r="Z89" i="16" a="1"/>
  <c r="Z89" i="16" s="1"/>
  <c r="AA89" i="16" s="1" a="1"/>
  <c r="AA89" i="16" s="1"/>
  <c r="AB89" i="16" s="1" a="1"/>
  <c r="AB89" i="16" s="1"/>
  <c r="AC89" i="16" s="1" a="1"/>
  <c r="AC89" i="16" s="1"/>
  <c r="AD89" i="16" s="1" a="1"/>
  <c r="AD89" i="16" s="1"/>
  <c r="Z114" i="16" a="1"/>
  <c r="Z114" i="16" s="1"/>
  <c r="AA114" i="16" s="1" a="1"/>
  <c r="AA114" i="16" s="1"/>
  <c r="AB114" i="16" s="1" a="1"/>
  <c r="AB114" i="16" s="1"/>
  <c r="AC114" i="16" s="1" a="1"/>
  <c r="AC114" i="16" s="1"/>
  <c r="AD114" i="16" s="1" a="1"/>
  <c r="AD114" i="16" s="1"/>
  <c r="Z168" i="16" a="1"/>
  <c r="Z168" i="16" s="1"/>
  <c r="AA168" i="16" s="1" a="1"/>
  <c r="AA168" i="16" s="1"/>
  <c r="AB168" i="16" s="1" a="1"/>
  <c r="AB168" i="16" s="1"/>
  <c r="AC168" i="16" s="1" a="1"/>
  <c r="AC168" i="16" s="1"/>
  <c r="AD168" i="16" s="1" a="1"/>
  <c r="AD168" i="16" s="1"/>
  <c r="Z249" i="16" a="1"/>
  <c r="Z249" i="16" s="1"/>
  <c r="AA249" i="16" s="1" a="1"/>
  <c r="AA249" i="16" s="1"/>
  <c r="AB249" i="16" s="1" a="1"/>
  <c r="AB249" i="16" s="1"/>
  <c r="AC249" i="16" s="1" a="1"/>
  <c r="AC249" i="16" s="1"/>
  <c r="AD249" i="16" s="1" a="1"/>
  <c r="AD249" i="16" s="1"/>
  <c r="Z286" i="16" a="1"/>
  <c r="Z286" i="16" s="1"/>
  <c r="AA286" i="16" s="1" a="1"/>
  <c r="AA286" i="16" s="1"/>
  <c r="AB286" i="16" s="1" a="1"/>
  <c r="AB286" i="16" s="1"/>
  <c r="AC286" i="16" s="1" a="1"/>
  <c r="AC286" i="16" s="1"/>
  <c r="AD286" i="16" s="1" a="1"/>
  <c r="AD286" i="16" s="1"/>
  <c r="Z319" i="16" a="1"/>
  <c r="Z319" i="16" s="1"/>
  <c r="AA319" i="16" s="1" a="1"/>
  <c r="AA319" i="16" s="1"/>
  <c r="AB319" i="16" s="1" a="1"/>
  <c r="AB319" i="16" s="1"/>
  <c r="AC319" i="16" s="1" a="1"/>
  <c r="AC319" i="16" s="1"/>
  <c r="AD319" i="16" s="1" a="1"/>
  <c r="AD319" i="16" s="1"/>
  <c r="Z358" i="16" a="1"/>
  <c r="Z358" i="16" s="1"/>
  <c r="AA358" i="16" s="1" a="1"/>
  <c r="AA358" i="16" s="1"/>
  <c r="AB358" i="16" s="1" a="1"/>
  <c r="AB358" i="16" s="1"/>
  <c r="AC358" i="16" s="1" a="1"/>
  <c r="AC358" i="16" s="1"/>
  <c r="AD358" i="16" s="1" a="1"/>
  <c r="AD358" i="16" s="1"/>
  <c r="Z411" i="16" a="1"/>
  <c r="Z411" i="16" s="1"/>
  <c r="AA411" i="16" s="1" a="1"/>
  <c r="AA411" i="16" s="1"/>
  <c r="AB411" i="16" s="1" a="1"/>
  <c r="AB411" i="16" s="1"/>
  <c r="AC411" i="16" s="1" a="1"/>
  <c r="AC411" i="16" s="1"/>
  <c r="AD411" i="16" s="1" a="1"/>
  <c r="AD411" i="16" s="1"/>
  <c r="Z424" i="16" a="1"/>
  <c r="Z424" i="16" s="1"/>
  <c r="AA424" i="16" s="1" a="1"/>
  <c r="AA424" i="16" s="1"/>
  <c r="AB424" i="16" s="1" a="1"/>
  <c r="AB424" i="16" s="1"/>
  <c r="AC424" i="16" s="1" a="1"/>
  <c r="AC424" i="16" s="1"/>
  <c r="AD424" i="16" s="1" a="1"/>
  <c r="AD424" i="16" s="1"/>
  <c r="Z245" i="16" a="1"/>
  <c r="Z245" i="16" s="1"/>
  <c r="AA245" i="16" s="1" a="1"/>
  <c r="AA245" i="16" s="1"/>
  <c r="AB245" i="16" s="1" a="1"/>
  <c r="AB245" i="16" s="1"/>
  <c r="AC245" i="16" s="1" a="1"/>
  <c r="AC245" i="16" s="1"/>
  <c r="AD245" i="16" s="1" a="1"/>
  <c r="AD245" i="16" s="1"/>
  <c r="Z384" i="16" a="1"/>
  <c r="Z384" i="16" s="1"/>
  <c r="AA384" i="16" s="1" a="1"/>
  <c r="AA384" i="16" s="1"/>
  <c r="AB384" i="16" s="1" a="1"/>
  <c r="AB384" i="16" s="1"/>
  <c r="AC384" i="16" s="1" a="1"/>
  <c r="AC384" i="16" s="1"/>
  <c r="AD384" i="16" s="1" a="1"/>
  <c r="AD384" i="16" s="1"/>
  <c r="Z22" i="16" a="1"/>
  <c r="Z22" i="16" s="1"/>
  <c r="AA22" i="16" s="1" a="1"/>
  <c r="AA22" i="16" s="1"/>
  <c r="AB22" i="16" s="1" a="1"/>
  <c r="AB22" i="16" s="1"/>
  <c r="AC22" i="16" s="1" a="1"/>
  <c r="AC22" i="16" s="1"/>
  <c r="AD22" i="16" s="1" a="1"/>
  <c r="AD22" i="16" s="1"/>
  <c r="Z42" i="16" a="1"/>
  <c r="Z42" i="16" s="1"/>
  <c r="AA42" i="16" s="1" a="1"/>
  <c r="AA42" i="16" s="1"/>
  <c r="AB42" i="16" s="1" a="1"/>
  <c r="AB42" i="16" s="1"/>
  <c r="AC42" i="16" s="1" a="1"/>
  <c r="AC42" i="16" s="1"/>
  <c r="AD42" i="16" s="1" a="1"/>
  <c r="AD42" i="16" s="1"/>
  <c r="Z69" i="16" a="1"/>
  <c r="Z69" i="16" s="1"/>
  <c r="AA69" i="16" s="1" a="1"/>
  <c r="AA69" i="16" s="1"/>
  <c r="AB69" i="16" s="1" a="1"/>
  <c r="AB69" i="16" s="1"/>
  <c r="AC69" i="16" s="1" a="1"/>
  <c r="AC69" i="16" s="1"/>
  <c r="AD69" i="16" s="1" a="1"/>
  <c r="AD69" i="16" s="1"/>
  <c r="Z90" i="16" a="1"/>
  <c r="Z90" i="16" s="1"/>
  <c r="AA90" i="16" s="1" a="1"/>
  <c r="AA90" i="16" s="1"/>
  <c r="AB90" i="16" s="1" a="1"/>
  <c r="AB90" i="16" s="1"/>
  <c r="AC90" i="16" s="1" a="1"/>
  <c r="AC90" i="16" s="1"/>
  <c r="AD90" i="16" s="1" a="1"/>
  <c r="AD90" i="16" s="1"/>
  <c r="Z116" i="16" a="1"/>
  <c r="Z116" i="16" s="1"/>
  <c r="AA116" i="16" s="1" a="1"/>
  <c r="AA116" i="16" s="1"/>
  <c r="AB116" i="16" s="1" a="1"/>
  <c r="AB116" i="16" s="1"/>
  <c r="AC116" i="16" s="1" a="1"/>
  <c r="AC116" i="16" s="1"/>
  <c r="AD116" i="16" s="1" a="1"/>
  <c r="AD116" i="16" s="1"/>
  <c r="Z169" i="16" a="1"/>
  <c r="Z169" i="16" s="1"/>
  <c r="AA169" i="16" s="1" a="1"/>
  <c r="AA169" i="16" s="1"/>
  <c r="AB169" i="16" s="1" a="1"/>
  <c r="AB169" i="16" s="1"/>
  <c r="AC169" i="16" s="1" a="1"/>
  <c r="AC169" i="16" s="1"/>
  <c r="AD169" i="16" s="1" a="1"/>
  <c r="AD169" i="16" s="1"/>
  <c r="Z251" i="16" a="1"/>
  <c r="Z251" i="16" s="1"/>
  <c r="AA251" i="16" s="1" a="1"/>
  <c r="AA251" i="16" s="1"/>
  <c r="AB251" i="16" s="1" a="1"/>
  <c r="AB251" i="16" s="1"/>
  <c r="AC251" i="16" s="1" a="1"/>
  <c r="AC251" i="16" s="1"/>
  <c r="AD251" i="16" s="1" a="1"/>
  <c r="AD251" i="16" s="1"/>
  <c r="Z287" i="16" a="1"/>
  <c r="Z287" i="16" s="1"/>
  <c r="AA287" i="16" s="1" a="1"/>
  <c r="AA287" i="16" s="1"/>
  <c r="AB287" i="16" s="1" a="1"/>
  <c r="AB287" i="16" s="1"/>
  <c r="AC287" i="16" s="1" a="1"/>
  <c r="AC287" i="16" s="1"/>
  <c r="AD287" i="16" s="1" a="1"/>
  <c r="AD287" i="16" s="1"/>
  <c r="Z320" i="16" a="1"/>
  <c r="Z320" i="16" s="1"/>
  <c r="AA320" i="16" s="1" a="1"/>
  <c r="AA320" i="16" s="1"/>
  <c r="AB320" i="16" s="1" a="1"/>
  <c r="AB320" i="16" s="1"/>
  <c r="AC320" i="16" s="1" a="1"/>
  <c r="AC320" i="16" s="1"/>
  <c r="AD320" i="16" s="1" a="1"/>
  <c r="AD320" i="16" s="1"/>
  <c r="Z363" i="16" a="1"/>
  <c r="Z363" i="16" s="1"/>
  <c r="AA363" i="16" s="1" a="1"/>
  <c r="AA363" i="16" s="1"/>
  <c r="AB363" i="16" s="1" a="1"/>
  <c r="AB363" i="16" s="1"/>
  <c r="AC363" i="16" s="1" a="1"/>
  <c r="AC363" i="16" s="1"/>
  <c r="AD363" i="16" s="1" a="1"/>
  <c r="AD363" i="16" s="1"/>
  <c r="Z431" i="16" a="1"/>
  <c r="Z431" i="16" s="1"/>
  <c r="AA431" i="16" s="1" a="1"/>
  <c r="AA431" i="16" s="1"/>
  <c r="AB431" i="16" s="1" a="1"/>
  <c r="AB431" i="16" s="1"/>
  <c r="AC431" i="16" s="1" a="1"/>
  <c r="AC431" i="16" s="1"/>
  <c r="AD431" i="16" s="1" a="1"/>
  <c r="AD431" i="16" s="1"/>
  <c r="Z98" i="16" a="1"/>
  <c r="Z98" i="16" s="1"/>
  <c r="AA98" i="16" s="1" a="1"/>
  <c r="AA98" i="16" s="1"/>
  <c r="AB98" i="16" s="1" a="1"/>
  <c r="AB98" i="16" s="1"/>
  <c r="AC98" i="16" s="1" a="1"/>
  <c r="AC98" i="16" s="1"/>
  <c r="AD98" i="16" s="1" a="1"/>
  <c r="AD98" i="16" s="1"/>
  <c r="Z258" i="16" a="1"/>
  <c r="Z258" i="16" s="1"/>
  <c r="AA258" i="16" s="1" a="1"/>
  <c r="AA258" i="16" s="1"/>
  <c r="AB258" i="16" s="1" a="1"/>
  <c r="AB258" i="16" s="1"/>
  <c r="AC258" i="16" s="1" a="1"/>
  <c r="AC258" i="16" s="1"/>
  <c r="AD258" i="16" s="1" a="1"/>
  <c r="AD258" i="16" s="1"/>
  <c r="Z371" i="16" a="1"/>
  <c r="Z371" i="16" s="1"/>
  <c r="AA371" i="16" s="1" a="1"/>
  <c r="AA371" i="16" s="1"/>
  <c r="AB371" i="16" s="1" a="1"/>
  <c r="AB371" i="16" s="1"/>
  <c r="AC371" i="16" s="1" a="1"/>
  <c r="AC371" i="16" s="1"/>
  <c r="AD371" i="16" s="1" a="1"/>
  <c r="AD371" i="16" s="1"/>
  <c r="Z10" i="16" a="1"/>
  <c r="Z10" i="16" s="1"/>
  <c r="AA10" i="16" s="1" a="1"/>
  <c r="AA10" i="16" s="1"/>
  <c r="AB10" i="16" s="1" a="1"/>
  <c r="AB10" i="16" s="1"/>
  <c r="AC10" i="16" s="1" a="1"/>
  <c r="AC10" i="16" s="1"/>
  <c r="AD10" i="16" s="1" a="1"/>
  <c r="AD10" i="16" s="1"/>
  <c r="Z34" i="16" a="1"/>
  <c r="Z34" i="16" s="1"/>
  <c r="AA34" i="16" s="1" a="1"/>
  <c r="AA34" i="16" s="1"/>
  <c r="AB34" i="16" s="1" a="1"/>
  <c r="AB34" i="16" s="1"/>
  <c r="AC34" i="16" s="1" a="1"/>
  <c r="AC34" i="16" s="1"/>
  <c r="AD34" i="16" s="1" a="1"/>
  <c r="AD34" i="16" s="1"/>
  <c r="Z60" i="16" a="1"/>
  <c r="Z60" i="16" s="1"/>
  <c r="AA60" i="16" s="1" a="1"/>
  <c r="AA60" i="16" s="1"/>
  <c r="AB60" i="16" s="1" a="1"/>
  <c r="AB60" i="16" s="1"/>
  <c r="AC60" i="16" s="1" a="1"/>
  <c r="AC60" i="16" s="1"/>
  <c r="AD60" i="16" s="1" a="1"/>
  <c r="AD60" i="16" s="1"/>
  <c r="Z82" i="16" a="1"/>
  <c r="Z82" i="16" s="1"/>
  <c r="AA82" i="16" s="1" a="1"/>
  <c r="AA82" i="16" s="1"/>
  <c r="AB82" i="16" s="1" a="1"/>
  <c r="AB82" i="16" s="1"/>
  <c r="AC82" i="16" s="1" a="1"/>
  <c r="AC82" i="16" s="1"/>
  <c r="AD82" i="16" s="1" a="1"/>
  <c r="AD82" i="16" s="1"/>
  <c r="Z103" i="16" a="1"/>
  <c r="Z103" i="16" s="1"/>
  <c r="AA103" i="16" s="1" a="1"/>
  <c r="AA103" i="16" s="1"/>
  <c r="AB103" i="16" s="1" a="1"/>
  <c r="AB103" i="16" s="1"/>
  <c r="AC103" i="16" s="1" a="1"/>
  <c r="AC103" i="16" s="1"/>
  <c r="AD103" i="16" s="1" a="1"/>
  <c r="AD103" i="16" s="1"/>
  <c r="Z144" i="16" a="1"/>
  <c r="Z144" i="16" s="1"/>
  <c r="AA144" i="16" s="1" a="1"/>
  <c r="AA144" i="16" s="1"/>
  <c r="AB144" i="16" s="1" a="1"/>
  <c r="AB144" i="16" s="1"/>
  <c r="AC144" i="16" s="1" a="1"/>
  <c r="AC144" i="16" s="1"/>
  <c r="AD144" i="16" s="1" a="1"/>
  <c r="AD144" i="16" s="1"/>
  <c r="Z209" i="16" a="1"/>
  <c r="Z209" i="16" s="1"/>
  <c r="AA209" i="16" s="1" a="1"/>
  <c r="AA209" i="16" s="1"/>
  <c r="AB209" i="16" s="1" a="1"/>
  <c r="AB209" i="16" s="1"/>
  <c r="AC209" i="16" s="1" a="1"/>
  <c r="AC209" i="16" s="1"/>
  <c r="AD209" i="16" s="1" a="1"/>
  <c r="AD209" i="16" s="1"/>
  <c r="Z276" i="16" a="1"/>
  <c r="Z276" i="16" s="1"/>
  <c r="AA276" i="16" s="1" a="1"/>
  <c r="AA276" i="16" s="1"/>
  <c r="AB276" i="16" s="1" a="1"/>
  <c r="AB276" i="16" s="1"/>
  <c r="AC276" i="16" s="1" a="1"/>
  <c r="AC276" i="16" s="1"/>
  <c r="AD276" i="16" s="1" a="1"/>
  <c r="AD276" i="16" s="1"/>
  <c r="Z312" i="16" a="1"/>
  <c r="Z312" i="16" s="1"/>
  <c r="AA312" i="16" s="1" a="1"/>
  <c r="AA312" i="16" s="1"/>
  <c r="AB312" i="16" s="1" a="1"/>
  <c r="AB312" i="16" s="1"/>
  <c r="AC312" i="16" s="1" a="1"/>
  <c r="AC312" i="16" s="1"/>
  <c r="AD312" i="16" s="1" a="1"/>
  <c r="AD312" i="16" s="1"/>
  <c r="Z343" i="16" a="1"/>
  <c r="Z343" i="16" s="1"/>
  <c r="AA343" i="16" s="1" a="1"/>
  <c r="AA343" i="16" s="1"/>
  <c r="AB343" i="16" s="1" a="1"/>
  <c r="AB343" i="16" s="1"/>
  <c r="AC343" i="16" s="1" a="1"/>
  <c r="AC343" i="16" s="1"/>
  <c r="AD343" i="16" s="1" a="1"/>
  <c r="AD343" i="16" s="1"/>
  <c r="Z13" i="16" a="1"/>
  <c r="Z13" i="16" s="1"/>
  <c r="AA13" i="16" s="1" a="1"/>
  <c r="AA13" i="16" s="1"/>
  <c r="AB13" i="16" s="1" a="1"/>
  <c r="AB13" i="16" s="1"/>
  <c r="AC13" i="16" s="1" a="1"/>
  <c r="AC13" i="16" s="1"/>
  <c r="AD13" i="16" s="1" a="1"/>
  <c r="AD13" i="16" s="1"/>
  <c r="Z35" i="16" a="1"/>
  <c r="Z35" i="16" s="1"/>
  <c r="AA35" i="16" s="1" a="1"/>
  <c r="AA35" i="16" s="1"/>
  <c r="AB35" i="16" s="1" a="1"/>
  <c r="AB35" i="16" s="1"/>
  <c r="AC35" i="16" s="1" a="1"/>
  <c r="AC35" i="16" s="1"/>
  <c r="AD35" i="16" s="1" a="1"/>
  <c r="AD35" i="16" s="1"/>
  <c r="Z62" i="16" a="1"/>
  <c r="Z62" i="16" s="1"/>
  <c r="AA62" i="16" s="1" a="1"/>
  <c r="AA62" i="16" s="1"/>
  <c r="AB62" i="16" s="1" a="1"/>
  <c r="AB62" i="16" s="1"/>
  <c r="AC62" i="16" s="1" a="1"/>
  <c r="AC62" i="16" s="1"/>
  <c r="AD62" i="16" s="1" a="1"/>
  <c r="AD62" i="16" s="1"/>
  <c r="Z83" i="16" a="1"/>
  <c r="Z83" i="16" s="1"/>
  <c r="AA83" i="16" s="1" a="1"/>
  <c r="AA83" i="16" s="1"/>
  <c r="AB83" i="16" s="1" a="1"/>
  <c r="AB83" i="16" s="1"/>
  <c r="AC83" i="16" s="1" a="1"/>
  <c r="AC83" i="16" s="1"/>
  <c r="AD83" i="16" s="1" a="1"/>
  <c r="AD83" i="16" s="1"/>
  <c r="Z177" i="16" a="1"/>
  <c r="Z177" i="16" s="1"/>
  <c r="AA177" i="16" s="1" a="1"/>
  <c r="AA177" i="16" s="1"/>
  <c r="AB177" i="16" s="1" a="1"/>
  <c r="AB177" i="16" s="1"/>
  <c r="AC177" i="16" s="1" a="1"/>
  <c r="AC177" i="16" s="1"/>
  <c r="AD177" i="16" s="1" a="1"/>
  <c r="AD177" i="16" s="1"/>
  <c r="Z318" i="16" a="1"/>
  <c r="Z318" i="16" s="1"/>
  <c r="AA318" i="16" s="1" a="1"/>
  <c r="AA318" i="16" s="1"/>
  <c r="AB318" i="16" s="1" a="1"/>
  <c r="AB318" i="16" s="1"/>
  <c r="AC318" i="16" s="1" a="1"/>
  <c r="AC318" i="16" s="1"/>
  <c r="AD318" i="16" s="1" a="1"/>
  <c r="AD318" i="16" s="1"/>
  <c r="Z25" i="16" a="1"/>
  <c r="Z25" i="16" s="1"/>
  <c r="AA25" i="16" s="1" a="1"/>
  <c r="AA25" i="16" s="1"/>
  <c r="AB25" i="16" s="1" a="1"/>
  <c r="AB25" i="16" s="1"/>
  <c r="AC25" i="16" s="1" a="1"/>
  <c r="AC25" i="16" s="1"/>
  <c r="AD25" i="16" s="1" a="1"/>
  <c r="AD25" i="16" s="1"/>
  <c r="Z47" i="16" a="1"/>
  <c r="Z47" i="16" s="1"/>
  <c r="AA47" i="16" s="1" a="1"/>
  <c r="AA47" i="16" s="1"/>
  <c r="AB47" i="16" s="1" a="1"/>
  <c r="AB47" i="16" s="1"/>
  <c r="AC47" i="16" s="1" a="1"/>
  <c r="AC47" i="16" s="1"/>
  <c r="AD47" i="16" s="1" a="1"/>
  <c r="AD47" i="16" s="1"/>
  <c r="Z72" i="16" a="1"/>
  <c r="Z72" i="16" s="1"/>
  <c r="AA72" i="16" s="1" a="1"/>
  <c r="AA72" i="16" s="1"/>
  <c r="AB72" i="16" s="1" a="1"/>
  <c r="AB72" i="16" s="1"/>
  <c r="AC72" i="16" s="1" a="1"/>
  <c r="AC72" i="16" s="1"/>
  <c r="AD72" i="16" s="1" a="1"/>
  <c r="AD72" i="16" s="1"/>
  <c r="Z93" i="16" a="1"/>
  <c r="Z93" i="16" s="1"/>
  <c r="AA93" i="16" s="1" a="1"/>
  <c r="AA93" i="16" s="1"/>
  <c r="AB93" i="16" s="1" a="1"/>
  <c r="AB93" i="16" s="1"/>
  <c r="AC93" i="16" s="1" a="1"/>
  <c r="AC93" i="16" s="1"/>
  <c r="AD93" i="16" s="1" a="1"/>
  <c r="AD93" i="16" s="1"/>
  <c r="Z121" i="16" a="1"/>
  <c r="Z121" i="16" s="1"/>
  <c r="AA121" i="16" s="1" a="1"/>
  <c r="AA121" i="16" s="1"/>
  <c r="AB121" i="16" s="1" a="1"/>
  <c r="AB121" i="16" s="1"/>
  <c r="AC121" i="16" s="1" a="1"/>
  <c r="AC121" i="16" s="1"/>
  <c r="AD121" i="16" s="1" a="1"/>
  <c r="AD121" i="16" s="1"/>
  <c r="Z183" i="16" a="1"/>
  <c r="Z183" i="16" s="1"/>
  <c r="AA183" i="16" s="1" a="1"/>
  <c r="AA183" i="16" s="1"/>
  <c r="AB183" i="16" s="1" a="1"/>
  <c r="AB183" i="16" s="1"/>
  <c r="AC183" i="16" s="1" a="1"/>
  <c r="AC183" i="16" s="1"/>
  <c r="AD183" i="16" s="1" a="1"/>
  <c r="AD183" i="16" s="1"/>
  <c r="Z264" i="16" a="1"/>
  <c r="Z264" i="16" s="1"/>
  <c r="AA264" i="16" s="1" a="1"/>
  <c r="AA264" i="16" s="1"/>
  <c r="AB264" i="16" s="1" a="1"/>
  <c r="AB264" i="16" s="1"/>
  <c r="AC264" i="16" s="1" a="1"/>
  <c r="AC264" i="16" s="1"/>
  <c r="AD264" i="16" s="1" a="1"/>
  <c r="AD264" i="16" s="1"/>
  <c r="Z293" i="16" a="1"/>
  <c r="Z293" i="16" s="1"/>
  <c r="AA293" i="16" s="1" a="1"/>
  <c r="AA293" i="16" s="1"/>
  <c r="AB293" i="16" s="1" a="1"/>
  <c r="AB293" i="16" s="1"/>
  <c r="AC293" i="16" s="1" a="1"/>
  <c r="AC293" i="16" s="1"/>
  <c r="AD293" i="16" s="1" a="1"/>
  <c r="AD293" i="16" s="1"/>
  <c r="Z324" i="16" a="1"/>
  <c r="Z324" i="16" s="1"/>
  <c r="AA324" i="16" s="1" a="1"/>
  <c r="AA324" i="16" s="1"/>
  <c r="AB324" i="16" s="1" a="1"/>
  <c r="AB324" i="16" s="1"/>
  <c r="AC324" i="16" s="1" a="1"/>
  <c r="AC324" i="16" s="1"/>
  <c r="AD324" i="16" s="1" a="1"/>
  <c r="AD324" i="16" s="1"/>
  <c r="Z374" i="16" a="1"/>
  <c r="Z374" i="16" s="1"/>
  <c r="AA374" i="16" s="1" a="1"/>
  <c r="AA374" i="16" s="1"/>
  <c r="AB374" i="16" s="1" a="1"/>
  <c r="AB374" i="16" s="1"/>
  <c r="AC374" i="16" s="1" a="1"/>
  <c r="AC374" i="16" s="1"/>
  <c r="AD374" i="16" s="1" a="1"/>
  <c r="AD374" i="16" s="1"/>
  <c r="Z430" i="16" a="1"/>
  <c r="Z430" i="16" s="1"/>
  <c r="AA430" i="16" s="1" a="1"/>
  <c r="AA430" i="16" s="1"/>
  <c r="AB430" i="16" s="1" a="1"/>
  <c r="AB430" i="16" s="1"/>
  <c r="AC430" i="16" s="1" a="1"/>
  <c r="AC430" i="16" s="1"/>
  <c r="AD430" i="16" s="1" a="1"/>
  <c r="AD430" i="16" s="1"/>
  <c r="Z92" i="16" a="1"/>
  <c r="Z92" i="16" s="1"/>
  <c r="AA92" i="16" s="1" a="1"/>
  <c r="AA92" i="16" s="1"/>
  <c r="AB92" i="16" s="1" a="1"/>
  <c r="AB92" i="16" s="1"/>
  <c r="AC92" i="16" s="1" a="1"/>
  <c r="AC92" i="16" s="1"/>
  <c r="AD92" i="16" s="1" a="1"/>
  <c r="AD92" i="16" s="1"/>
  <c r="Z279" i="16" a="1"/>
  <c r="Z279" i="16" s="1"/>
  <c r="AA279" i="16" s="1" a="1"/>
  <c r="AA279" i="16" s="1"/>
  <c r="AB279" i="16" s="1" a="1"/>
  <c r="AB279" i="16" s="1"/>
  <c r="AC279" i="16" s="1" a="1"/>
  <c r="AC279" i="16" s="1"/>
  <c r="AD279" i="16" s="1" a="1"/>
  <c r="AD279" i="16" s="1"/>
  <c r="Z3" i="16" a="1"/>
  <c r="Z3" i="16" s="1"/>
  <c r="AA3" i="16" s="1" a="1"/>
  <c r="AA3" i="16" s="1"/>
  <c r="AB3" i="16" s="1" a="1"/>
  <c r="AB3" i="16" s="1"/>
  <c r="AC3" i="16" s="1" a="1"/>
  <c r="AC3" i="16" s="1"/>
  <c r="AD3" i="16" s="1" a="1"/>
  <c r="AD3" i="16" s="1"/>
  <c r="Z26" i="16" a="1"/>
  <c r="Z26" i="16" s="1"/>
  <c r="AA26" i="16" s="1" a="1"/>
  <c r="AA26" i="16" s="1"/>
  <c r="AB26" i="16" s="1" a="1"/>
  <c r="AB26" i="16" s="1"/>
  <c r="AC26" i="16" s="1" a="1"/>
  <c r="AC26" i="16" s="1"/>
  <c r="AD26" i="16" s="1" a="1"/>
  <c r="AD26" i="16" s="1"/>
  <c r="Z49" i="16" a="1"/>
  <c r="Z49" i="16" s="1"/>
  <c r="AA49" i="16" s="1" a="1"/>
  <c r="AA49" i="16" s="1"/>
  <c r="AB49" i="16" s="1" a="1"/>
  <c r="AB49" i="16" s="1"/>
  <c r="AC49" i="16" s="1" a="1"/>
  <c r="AC49" i="16" s="1"/>
  <c r="AD49" i="16" s="1" a="1"/>
  <c r="AD49" i="16" s="1"/>
  <c r="Z73" i="16" a="1"/>
  <c r="Z73" i="16" s="1"/>
  <c r="AA73" i="16" s="1" a="1"/>
  <c r="AA73" i="16" s="1"/>
  <c r="AB73" i="16" s="1" a="1"/>
  <c r="AB73" i="16" s="1"/>
  <c r="AC73" i="16" s="1" a="1"/>
  <c r="AC73" i="16" s="1"/>
  <c r="AD73" i="16" s="1" a="1"/>
  <c r="AD73" i="16" s="1"/>
  <c r="Z95" i="16" a="1"/>
  <c r="Z95" i="16" s="1"/>
  <c r="AA95" i="16" s="1" a="1"/>
  <c r="AA95" i="16" s="1"/>
  <c r="AB95" i="16" s="1" a="1"/>
  <c r="AB95" i="16" s="1"/>
  <c r="AC95" i="16" s="1" a="1"/>
  <c r="AC95" i="16" s="1"/>
  <c r="AD95" i="16" s="1" a="1"/>
  <c r="AD95" i="16" s="1"/>
  <c r="Z132" i="16" a="1"/>
  <c r="Z132" i="16" s="1"/>
  <c r="AA132" i="16" s="1" a="1"/>
  <c r="AA132" i="16" s="1"/>
  <c r="AB132" i="16" s="1" a="1"/>
  <c r="AB132" i="16" s="1"/>
  <c r="AC132" i="16" s="1" a="1"/>
  <c r="AC132" i="16" s="1"/>
  <c r="AD132" i="16" s="1" a="1"/>
  <c r="AD132" i="16" s="1"/>
  <c r="Z187" i="16" a="1"/>
  <c r="Z187" i="16" s="1"/>
  <c r="AA187" i="16" s="1" a="1"/>
  <c r="AA187" i="16" s="1"/>
  <c r="AB187" i="16" s="1" a="1"/>
  <c r="AB187" i="16" s="1"/>
  <c r="AC187" i="16" s="1" a="1"/>
  <c r="AC187" i="16" s="1"/>
  <c r="AD187" i="16" s="1" a="1"/>
  <c r="AD187" i="16" s="1"/>
  <c r="Z267" i="16" a="1"/>
  <c r="Z267" i="16" s="1"/>
  <c r="AA267" i="16" s="1" a="1"/>
  <c r="AA267" i="16" s="1"/>
  <c r="AB267" i="16" s="1" a="1"/>
  <c r="AB267" i="16" s="1"/>
  <c r="AC267" i="16" s="1" a="1"/>
  <c r="AC267" i="16" s="1"/>
  <c r="AD267" i="16" s="1" a="1"/>
  <c r="AD267" i="16" s="1"/>
  <c r="Z294" i="16" a="1"/>
  <c r="Z294" i="16" s="1"/>
  <c r="AA294" i="16" s="1" a="1"/>
  <c r="AA294" i="16" s="1"/>
  <c r="AB294" i="16" s="1" a="1"/>
  <c r="AB294" i="16" s="1"/>
  <c r="AC294" i="16" s="1" a="1"/>
  <c r="AC294" i="16" s="1"/>
  <c r="AD294" i="16" s="1" a="1"/>
  <c r="AD294" i="16" s="1"/>
  <c r="Z325" i="16" a="1"/>
  <c r="Z325" i="16" s="1"/>
  <c r="AA325" i="16" s="1" a="1"/>
  <c r="AA325" i="16" s="1"/>
  <c r="AB325" i="16" s="1" a="1"/>
  <c r="AB325" i="16" s="1"/>
  <c r="AC325" i="16" s="1" a="1"/>
  <c r="AC325" i="16" s="1"/>
  <c r="AD325" i="16" s="1" a="1"/>
  <c r="AD325" i="16" s="1"/>
  <c r="Z379" i="16" a="1"/>
  <c r="Z379" i="16" s="1"/>
  <c r="AA379" i="16" s="1" a="1"/>
  <c r="AA379" i="16" s="1"/>
  <c r="AB379" i="16" s="1" a="1"/>
  <c r="AB379" i="16" s="1"/>
  <c r="AC379" i="16" s="1" a="1"/>
  <c r="AC379" i="16" s="1"/>
  <c r="AD379" i="16" s="1" a="1"/>
  <c r="AD379" i="16" s="1"/>
  <c r="Z394" i="16" a="1"/>
  <c r="Z394" i="16" s="1"/>
  <c r="AA394" i="16" s="1" a="1"/>
  <c r="AA394" i="16" s="1"/>
  <c r="AB394" i="16" s="1" a="1"/>
  <c r="AB394" i="16" s="1"/>
  <c r="AC394" i="16" s="1" a="1"/>
  <c r="AC394" i="16" s="1"/>
  <c r="AD394" i="16" s="1" a="1"/>
  <c r="AD394" i="16" s="1"/>
  <c r="Z120" i="16" a="1"/>
  <c r="Z120" i="16" s="1"/>
  <c r="AA120" i="16" s="1" a="1"/>
  <c r="AA120" i="16" s="1"/>
  <c r="AB120" i="16" s="1" a="1"/>
  <c r="AB120" i="16" s="1"/>
  <c r="AC120" i="16" s="1" a="1"/>
  <c r="AC120" i="16" s="1"/>
  <c r="AD120" i="16" s="1" a="1"/>
  <c r="AD120" i="16" s="1"/>
  <c r="Z285" i="16" a="1"/>
  <c r="Z285" i="16" s="1"/>
  <c r="AA285" i="16" s="1" a="1"/>
  <c r="AA285" i="16" s="1"/>
  <c r="AB285" i="16" s="1" a="1"/>
  <c r="AB285" i="16" s="1"/>
  <c r="AC285" i="16" s="1" a="1"/>
  <c r="AC285" i="16" s="1"/>
  <c r="AD285" i="16" s="1" a="1"/>
  <c r="AD285" i="16" s="1"/>
  <c r="Z409" i="16" a="1"/>
  <c r="Z409" i="16" s="1"/>
  <c r="AA409" i="16" s="1" a="1"/>
  <c r="AA409" i="16" s="1"/>
  <c r="AB409" i="16" s="1" a="1"/>
  <c r="AB409" i="16" s="1"/>
  <c r="AC409" i="16" s="1" a="1"/>
  <c r="AC409" i="16" s="1"/>
  <c r="AD409" i="16" s="1" a="1"/>
  <c r="AD409" i="16" s="1"/>
  <c r="Z17" i="16" a="1"/>
  <c r="Z17" i="16" s="1"/>
  <c r="AA17" i="16" s="1" a="1"/>
  <c r="AA17" i="16" s="1"/>
  <c r="AB17" i="16" s="1" a="1"/>
  <c r="AB17" i="16" s="1"/>
  <c r="AC17" i="16" s="1" a="1"/>
  <c r="AC17" i="16" s="1"/>
  <c r="AD17" i="16" s="1" a="1"/>
  <c r="AD17" i="16" s="1"/>
  <c r="Z38" i="16" a="1"/>
  <c r="Z38" i="16" s="1"/>
  <c r="AA38" i="16" s="1" a="1"/>
  <c r="AA38" i="16" s="1"/>
  <c r="AB38" i="16" s="1" a="1"/>
  <c r="AB38" i="16" s="1"/>
  <c r="AC38" i="16" s="1" a="1"/>
  <c r="AC38" i="16" s="1"/>
  <c r="AD38" i="16" s="1" a="1"/>
  <c r="AD38" i="16" s="1"/>
  <c r="Z66" i="16" a="1"/>
  <c r="Z66" i="16" s="1"/>
  <c r="AA66" i="16" s="1" a="1"/>
  <c r="AA66" i="16" s="1"/>
  <c r="AB66" i="16" s="1" a="1"/>
  <c r="AB66" i="16" s="1"/>
  <c r="AC66" i="16" s="1" a="1"/>
  <c r="AC66" i="16" s="1"/>
  <c r="AD66" i="16" s="1" a="1"/>
  <c r="AD66" i="16" s="1"/>
  <c r="Z86" i="16" a="1"/>
  <c r="Z86" i="16" s="1"/>
  <c r="AA86" i="16" s="1" a="1"/>
  <c r="AA86" i="16" s="1"/>
  <c r="AB86" i="16" s="1" a="1"/>
  <c r="AB86" i="16" s="1"/>
  <c r="AC86" i="16" s="1" a="1"/>
  <c r="AC86" i="16" s="1"/>
  <c r="AD86" i="16" s="1" a="1"/>
  <c r="AD86" i="16" s="1"/>
  <c r="Z108" i="16" a="1"/>
  <c r="Z108" i="16" s="1"/>
  <c r="AA108" i="16" s="1" a="1"/>
  <c r="AA108" i="16" s="1"/>
  <c r="AB108" i="16" s="1" a="1"/>
  <c r="AB108" i="16" s="1"/>
  <c r="AC108" i="16" s="1" a="1"/>
  <c r="AC108" i="16" s="1"/>
  <c r="AD108" i="16" s="1" a="1"/>
  <c r="AD108" i="16" s="1"/>
  <c r="Z163" i="16" a="1"/>
  <c r="Z163" i="16" s="1"/>
  <c r="AA163" i="16" s="1" a="1"/>
  <c r="AA163" i="16" s="1"/>
  <c r="AB163" i="16" s="1" a="1"/>
  <c r="AB163" i="16" s="1"/>
  <c r="AC163" i="16" s="1" a="1"/>
  <c r="AC163" i="16" s="1"/>
  <c r="AD163" i="16" s="1" a="1"/>
  <c r="AD163" i="16" s="1"/>
  <c r="Z240" i="16" a="1"/>
  <c r="Z240" i="16" s="1"/>
  <c r="AA240" i="16" s="1" a="1"/>
  <c r="AA240" i="16" s="1"/>
  <c r="AB240" i="16" s="1" a="1"/>
  <c r="AB240" i="16" s="1"/>
  <c r="AC240" i="16" s="1" a="1"/>
  <c r="AC240" i="16" s="1"/>
  <c r="AD240" i="16" s="1" a="1"/>
  <c r="AD240" i="16" s="1"/>
  <c r="Z283" i="16" a="1"/>
  <c r="Z283" i="16" s="1"/>
  <c r="AA283" i="16" s="1" a="1"/>
  <c r="AA283" i="16" s="1"/>
  <c r="AB283" i="16" s="1" a="1"/>
  <c r="AB283" i="16" s="1"/>
  <c r="AC283" i="16" s="1" a="1"/>
  <c r="AC283" i="16" s="1"/>
  <c r="AD283" i="16" s="1" a="1"/>
  <c r="AD283" i="16" s="1"/>
  <c r="Z316" i="16" a="1"/>
  <c r="Z316" i="16" s="1"/>
  <c r="AA316" i="16" s="1" a="1"/>
  <c r="AA316" i="16" s="1"/>
  <c r="AB316" i="16" s="1" a="1"/>
  <c r="AB316" i="16" s="1"/>
  <c r="AC316" i="16" s="1" a="1"/>
  <c r="AC316" i="16" s="1"/>
  <c r="AD316" i="16" s="1" a="1"/>
  <c r="AD316" i="16" s="1"/>
  <c r="Z355" i="16" a="1"/>
  <c r="Z355" i="16" s="1"/>
  <c r="AA355" i="16" s="1" a="1"/>
  <c r="AA355" i="16" s="1"/>
  <c r="AB355" i="16" s="1" a="1"/>
  <c r="AB355" i="16" s="1"/>
  <c r="AC355" i="16" s="1" a="1"/>
  <c r="AC355" i="16" s="1"/>
  <c r="AD355" i="16" s="1" a="1"/>
  <c r="AD355" i="16" s="1"/>
  <c r="Z19" i="16" a="1"/>
  <c r="Z19" i="16" s="1"/>
  <c r="AA19" i="16" s="1" a="1"/>
  <c r="AA19" i="16" s="1"/>
  <c r="AB19" i="16" s="1" a="1"/>
  <c r="AB19" i="16" s="1"/>
  <c r="AC19" i="16" s="1" a="1"/>
  <c r="AC19" i="16" s="1"/>
  <c r="AD19" i="16" s="1" a="1"/>
  <c r="AD19" i="16" s="1"/>
  <c r="Z39" i="16" a="1"/>
  <c r="Z39" i="16" s="1"/>
  <c r="AA39" i="16" s="1" a="1"/>
  <c r="AA39" i="16" s="1"/>
  <c r="AB39" i="16" s="1" a="1"/>
  <c r="AB39" i="16" s="1"/>
  <c r="AC39" i="16" s="1" a="1"/>
  <c r="AC39" i="16" s="1"/>
  <c r="AD39" i="16" s="1" a="1"/>
  <c r="AD39" i="16" s="1"/>
  <c r="Z67" i="16" a="1"/>
  <c r="Z67" i="16" s="1"/>
  <c r="AA67" i="16" s="1" a="1"/>
  <c r="AA67" i="16" s="1"/>
  <c r="AB67" i="16" s="1" a="1"/>
  <c r="AB67" i="16" s="1"/>
  <c r="AC67" i="16" s="1" a="1"/>
  <c r="AC67" i="16" s="1"/>
  <c r="AD67" i="16" s="1" a="1"/>
  <c r="AD67" i="16" s="1"/>
  <c r="Z87" i="16" a="1"/>
  <c r="Z87" i="16" s="1"/>
  <c r="AA87" i="16" s="1" a="1"/>
  <c r="AA87" i="16" s="1"/>
  <c r="AB87" i="16" s="1" a="1"/>
  <c r="AB87" i="16" s="1"/>
  <c r="AC87" i="16" s="1" a="1"/>
  <c r="AC87" i="16" s="1"/>
  <c r="AD87" i="16" s="1" a="1"/>
  <c r="AD87" i="16" s="1"/>
  <c r="Z225" i="16" a="1"/>
  <c r="Z225" i="16" s="1"/>
  <c r="AA225" i="16" s="1" a="1"/>
  <c r="AA225" i="16" s="1"/>
  <c r="AB225" i="16" s="1" a="1"/>
  <c r="AB225" i="16" s="1"/>
  <c r="AC225" i="16" s="1" a="1"/>
  <c r="AC225" i="16" s="1"/>
  <c r="AD225" i="16" s="1" a="1"/>
  <c r="AD225" i="16" s="1"/>
  <c r="Z349" i="16" a="1"/>
  <c r="Z349" i="16" s="1"/>
  <c r="AA349" i="16" s="1" a="1"/>
  <c r="AA349" i="16" s="1"/>
  <c r="AB349" i="16" s="1" a="1"/>
  <c r="AB349" i="16" s="1"/>
  <c r="AC349" i="16" s="1" a="1"/>
  <c r="AC349" i="16" s="1"/>
  <c r="AD349" i="16" s="1" a="1"/>
  <c r="AD349" i="16" s="1"/>
  <c r="Z7" i="16" a="1"/>
  <c r="Z7" i="16" s="1"/>
  <c r="AA7" i="16" s="1" a="1"/>
  <c r="AA7" i="16" s="1"/>
  <c r="AB7" i="16" s="1" a="1"/>
  <c r="AB7" i="16" s="1"/>
  <c r="AC7" i="16" s="1" a="1"/>
  <c r="AC7" i="16" s="1"/>
  <c r="AD7" i="16" s="1" a="1"/>
  <c r="AD7" i="16" s="1"/>
  <c r="Z30" i="16" a="1"/>
  <c r="Z30" i="16" s="1"/>
  <c r="AA30" i="16" s="1" a="1"/>
  <c r="AA30" i="16" s="1"/>
  <c r="AB30" i="16" s="1" a="1"/>
  <c r="AB30" i="16" s="1"/>
  <c r="AC30" i="16" s="1" a="1"/>
  <c r="AC30" i="16" s="1"/>
  <c r="AD30" i="16" s="1" a="1"/>
  <c r="AD30" i="16" s="1"/>
  <c r="Z58" i="16" a="1"/>
  <c r="Z58" i="16" s="1"/>
  <c r="AA58" i="16" s="1" a="1"/>
  <c r="AA58" i="16" s="1"/>
  <c r="AB58" i="16" s="1" a="1"/>
  <c r="AB58" i="16" s="1"/>
  <c r="AC58" i="16" s="1" a="1"/>
  <c r="AC58" i="16" s="1"/>
  <c r="AD58" i="16" s="1" a="1"/>
  <c r="AD58" i="16" s="1"/>
  <c r="Z80" i="16" a="1"/>
  <c r="Z80" i="16" s="1"/>
  <c r="AA80" i="16" s="1" a="1"/>
  <c r="AA80" i="16" s="1"/>
  <c r="AB80" i="16" s="1" a="1"/>
  <c r="AB80" i="16" s="1"/>
  <c r="AC80" i="16" s="1" a="1"/>
  <c r="AC80" i="16" s="1"/>
  <c r="AD80" i="16" s="1" a="1"/>
  <c r="AD80" i="16" s="1"/>
  <c r="Z99" i="16" a="1"/>
  <c r="Z99" i="16" s="1"/>
  <c r="AA99" i="16" s="1" a="1"/>
  <c r="AA99" i="16" s="1"/>
  <c r="AB99" i="16" s="1" a="1"/>
  <c r="AB99" i="16" s="1"/>
  <c r="AC99" i="16" s="1" a="1"/>
  <c r="AC99" i="16" s="1"/>
  <c r="AD99" i="16" s="1" a="1"/>
  <c r="AD99" i="16" s="1"/>
  <c r="Z139" i="16" a="1"/>
  <c r="Z139" i="16" s="1"/>
  <c r="AA139" i="16" s="1" a="1"/>
  <c r="AA139" i="16" s="1"/>
  <c r="AB139" i="16" s="1" a="1"/>
  <c r="AB139" i="16" s="1"/>
  <c r="AC139" i="16" s="1" a="1"/>
  <c r="AC139" i="16" s="1"/>
  <c r="AD139" i="16" s="1" a="1"/>
  <c r="AD139" i="16" s="1"/>
  <c r="Z193" i="16" a="1"/>
  <c r="Z193" i="16" s="1"/>
  <c r="AA193" i="16" s="1" a="1"/>
  <c r="AA193" i="16" s="1"/>
  <c r="AB193" i="16" s="1" a="1"/>
  <c r="AB193" i="16" s="1"/>
  <c r="AC193" i="16" s="1" a="1"/>
  <c r="AC193" i="16" s="1"/>
  <c r="AD193" i="16" s="1" a="1"/>
  <c r="AD193" i="16" s="1"/>
  <c r="Z273" i="16" a="1"/>
  <c r="Z273" i="16" s="1"/>
  <c r="AA273" i="16" s="1" a="1"/>
  <c r="AA273" i="16" s="1"/>
  <c r="AB273" i="16" s="1" a="1"/>
  <c r="AB273" i="16" s="1"/>
  <c r="AC273" i="16" s="1" a="1"/>
  <c r="AC273" i="16" s="1"/>
  <c r="AD273" i="16" s="1" a="1"/>
  <c r="AD273" i="16" s="1"/>
  <c r="Z304" i="16" a="1"/>
  <c r="Z304" i="16" s="1"/>
  <c r="AA304" i="16" s="1" a="1"/>
  <c r="AA304" i="16" s="1"/>
  <c r="AB304" i="16" s="1" a="1"/>
  <c r="AB304" i="16" s="1"/>
  <c r="AC304" i="16" s="1" a="1"/>
  <c r="AC304" i="16" s="1"/>
  <c r="AD304" i="16" s="1" a="1"/>
  <c r="AD304" i="16" s="1"/>
  <c r="Z340" i="16" a="1"/>
  <c r="Z340" i="16" s="1"/>
  <c r="AA340" i="16" s="1" a="1"/>
  <c r="AA340" i="16" s="1"/>
  <c r="AB340" i="16" s="1" a="1"/>
  <c r="AB340" i="16" s="1"/>
  <c r="AC340" i="16" s="1" a="1"/>
  <c r="AC340" i="16" s="1"/>
  <c r="AD340" i="16" s="1" a="1"/>
  <c r="AD340" i="16" s="1"/>
  <c r="Z390" i="16" a="1"/>
  <c r="Z390" i="16" s="1"/>
  <c r="AA390" i="16" s="1" a="1"/>
  <c r="AA390" i="16" s="1"/>
  <c r="AB390" i="16" s="1" a="1"/>
  <c r="AB390" i="16" s="1"/>
  <c r="AC390" i="16" s="1" a="1"/>
  <c r="AC390" i="16" s="1"/>
  <c r="AD390" i="16" s="1" a="1"/>
  <c r="AD390" i="16" s="1"/>
  <c r="Z418" i="16" a="1"/>
  <c r="Z418" i="16" s="1"/>
  <c r="AA418" i="16" s="1" a="1"/>
  <c r="AA418" i="16" s="1"/>
  <c r="AB418" i="16" s="1" a="1"/>
  <c r="AB418" i="16" s="1"/>
  <c r="AC418" i="16" s="1" a="1"/>
  <c r="AC418" i="16" s="1"/>
  <c r="AD418" i="16" s="1" a="1"/>
  <c r="AD418" i="16" s="1"/>
  <c r="Z110" i="16" a="1"/>
  <c r="Z110" i="16" s="1"/>
  <c r="AA110" i="16" s="1" a="1"/>
  <c r="AA110" i="16" s="1"/>
  <c r="AB110" i="16" s="1" a="1"/>
  <c r="AB110" i="16" s="1"/>
  <c r="AC110" i="16" s="1" a="1"/>
  <c r="AC110" i="16" s="1"/>
  <c r="AD110" i="16" s="1" a="1"/>
  <c r="AD110" i="16" s="1"/>
  <c r="Z303" i="16" a="1"/>
  <c r="Z303" i="16" s="1"/>
  <c r="AA303" i="16" s="1" a="1"/>
  <c r="AA303" i="16" s="1"/>
  <c r="AB303" i="16" s="1" a="1"/>
  <c r="AB303" i="16" s="1"/>
  <c r="AC303" i="16" s="1" a="1"/>
  <c r="AC303" i="16" s="1"/>
  <c r="AD303" i="16" s="1" a="1"/>
  <c r="AD303" i="16" s="1"/>
  <c r="Z8" i="16" a="1"/>
  <c r="Z8" i="16" s="1"/>
  <c r="AA8" i="16" s="1" a="1"/>
  <c r="AA8" i="16" s="1"/>
  <c r="AB8" i="16" s="1" a="1"/>
  <c r="AB8" i="16" s="1"/>
  <c r="AC8" i="16" s="1" a="1"/>
  <c r="AC8" i="16" s="1"/>
  <c r="AD8" i="16" s="1" a="1"/>
  <c r="AD8" i="16" s="1"/>
  <c r="Z32" i="16" a="1"/>
  <c r="Z32" i="16" s="1"/>
  <c r="AA32" i="16" s="1" a="1"/>
  <c r="AA32" i="16" s="1"/>
  <c r="AB32" i="16" s="1" a="1"/>
  <c r="AB32" i="16" s="1"/>
  <c r="AC32" i="16" s="1" a="1"/>
  <c r="AC32" i="16" s="1"/>
  <c r="AD32" i="16" s="1" a="1"/>
  <c r="AD32" i="16" s="1"/>
  <c r="Z59" i="16" a="1"/>
  <c r="Z59" i="16" s="1"/>
  <c r="AA59" i="16" s="1" a="1"/>
  <c r="AA59" i="16" s="1"/>
  <c r="AB59" i="16" s="1" a="1"/>
  <c r="AB59" i="16" s="1"/>
  <c r="AC59" i="16" s="1" a="1"/>
  <c r="AC59" i="16" s="1"/>
  <c r="AD59" i="16" s="1" a="1"/>
  <c r="AD59" i="16" s="1"/>
  <c r="Z81" i="16" a="1"/>
  <c r="Z81" i="16" s="1"/>
  <c r="AA81" i="16" s="1" a="1"/>
  <c r="AA81" i="16" s="1"/>
  <c r="AB81" i="16" s="1" a="1"/>
  <c r="AB81" i="16" s="1"/>
  <c r="AC81" i="16" s="1" a="1"/>
  <c r="AC81" i="16" s="1"/>
  <c r="AD81" i="16" s="1" a="1"/>
  <c r="AD81" i="16" s="1"/>
  <c r="Z101" i="16" a="1"/>
  <c r="Z101" i="16" s="1"/>
  <c r="AA101" i="16" s="1" a="1"/>
  <c r="AA101" i="16" s="1"/>
  <c r="AB101" i="16" s="1" a="1"/>
  <c r="AB101" i="16" s="1"/>
  <c r="AC101" i="16" s="1" a="1"/>
  <c r="AC101" i="16" s="1"/>
  <c r="AD101" i="16" s="1" a="1"/>
  <c r="AD101" i="16" s="1"/>
  <c r="Z143" i="16" a="1"/>
  <c r="Z143" i="16" s="1"/>
  <c r="AA143" i="16" s="1" a="1"/>
  <c r="AA143" i="16" s="1"/>
  <c r="AB143" i="16" s="1" a="1"/>
  <c r="AB143" i="16" s="1"/>
  <c r="AC143" i="16" s="1" a="1"/>
  <c r="AC143" i="16" s="1"/>
  <c r="AD143" i="16" s="1" a="1"/>
  <c r="AD143" i="16" s="1"/>
  <c r="Z208" i="16" a="1"/>
  <c r="Z208" i="16" s="1"/>
  <c r="AA208" i="16" s="1" a="1"/>
  <c r="AA208" i="16" s="1"/>
  <c r="AB208" i="16" s="1" a="1"/>
  <c r="AB208" i="16" s="1"/>
  <c r="AC208" i="16" s="1" a="1"/>
  <c r="AC208" i="16" s="1"/>
  <c r="AD208" i="16" s="1" a="1"/>
  <c r="AD208" i="16" s="1"/>
  <c r="Z275" i="16" a="1"/>
  <c r="Z275" i="16" s="1"/>
  <c r="AA275" i="16" s="1" a="1"/>
  <c r="AA275" i="16" s="1"/>
  <c r="AB275" i="16" s="1" a="1"/>
  <c r="AB275" i="16" s="1"/>
  <c r="AC275" i="16" s="1" a="1"/>
  <c r="AC275" i="16" s="1"/>
  <c r="AD275" i="16" s="1" a="1"/>
  <c r="AD275" i="16" s="1"/>
  <c r="Z305" i="16" a="1"/>
  <c r="Z305" i="16" s="1"/>
  <c r="AA305" i="16" s="1" a="1"/>
  <c r="AA305" i="16" s="1"/>
  <c r="AB305" i="16" s="1" a="1"/>
  <c r="AB305" i="16" s="1"/>
  <c r="AC305" i="16" s="1" a="1"/>
  <c r="AC305" i="16" s="1"/>
  <c r="AD305" i="16" s="1" a="1"/>
  <c r="AD305" i="16" s="1"/>
  <c r="Z341" i="16" a="1"/>
  <c r="Z341" i="16" s="1"/>
  <c r="AA341" i="16" s="1" a="1"/>
  <c r="AA341" i="16" s="1"/>
  <c r="AB341" i="16" s="1" a="1"/>
  <c r="AB341" i="16" s="1"/>
  <c r="AC341" i="16" s="1" a="1"/>
  <c r="AC341" i="16" s="1"/>
  <c r="AD341" i="16" s="1" a="1"/>
  <c r="AD341" i="16" s="1"/>
  <c r="Z393" i="16" a="1"/>
  <c r="Z393" i="16" s="1"/>
  <c r="AA393" i="16" s="1" a="1"/>
  <c r="AA393" i="16" s="1"/>
  <c r="AB393" i="16" s="1" a="1"/>
  <c r="AB393" i="16" s="1"/>
  <c r="AC393" i="16" s="1" a="1"/>
  <c r="AC393" i="16" s="1"/>
  <c r="AD393" i="16" s="1" a="1"/>
  <c r="AD393" i="16" s="1"/>
  <c r="Z405" i="16" a="1"/>
  <c r="Z405" i="16" s="1"/>
  <c r="AA405" i="16" s="1" a="1"/>
  <c r="AA405" i="16" s="1"/>
  <c r="AB405" i="16" s="1" a="1"/>
  <c r="AB405" i="16" s="1"/>
  <c r="AC405" i="16" s="1" a="1"/>
  <c r="AC405" i="16" s="1"/>
  <c r="AD405" i="16" s="1" a="1"/>
  <c r="AD405" i="16" s="1"/>
  <c r="Z145" i="16" a="1"/>
  <c r="Z145" i="16" s="1"/>
  <c r="AA145" i="16" s="1" a="1"/>
  <c r="AA145" i="16" s="1"/>
  <c r="AB145" i="16" s="1" a="1"/>
  <c r="AB145" i="16" s="1"/>
  <c r="AC145" i="16" s="1" a="1"/>
  <c r="AC145" i="16" s="1"/>
  <c r="AD145" i="16" s="1" a="1"/>
  <c r="AD145" i="16" s="1"/>
  <c r="Z313" i="16" a="1"/>
  <c r="Z313" i="16" s="1"/>
  <c r="AA313" i="16" s="1" a="1"/>
  <c r="AA313" i="16" s="1"/>
  <c r="AB313" i="16" s="1" a="1"/>
  <c r="AB313" i="16" s="1"/>
  <c r="AC313" i="16" s="1" a="1"/>
  <c r="AC313" i="16" s="1"/>
  <c r="AD313" i="16" s="1" a="1"/>
  <c r="AD313" i="16" s="1"/>
  <c r="Z425" i="16" a="1"/>
  <c r="Z425" i="16" s="1"/>
  <c r="AA425" i="16" s="1" a="1"/>
  <c r="AA425" i="16" s="1"/>
  <c r="AB425" i="16" s="1" a="1"/>
  <c r="AB425" i="16" s="1"/>
  <c r="AC425" i="16" s="1" a="1"/>
  <c r="AC425" i="16" s="1"/>
  <c r="AD425" i="16" s="1" a="1"/>
  <c r="AD425" i="16" s="1"/>
  <c r="Z23" i="16" a="1"/>
  <c r="Z23" i="16" s="1"/>
  <c r="AA23" i="16" s="1" a="1"/>
  <c r="AA23" i="16" s="1"/>
  <c r="AB23" i="16" s="1" a="1"/>
  <c r="AB23" i="16" s="1"/>
  <c r="AC23" i="16" s="1" a="1"/>
  <c r="AC23" i="16" s="1"/>
  <c r="AD23" i="16" s="1" a="1"/>
  <c r="AD23" i="16" s="1"/>
  <c r="Z43" i="16" a="1"/>
  <c r="Z43" i="16" s="1"/>
  <c r="AA43" i="16" s="1" a="1"/>
  <c r="AA43" i="16" s="1"/>
  <c r="AB43" i="16" s="1" a="1"/>
  <c r="AB43" i="16" s="1"/>
  <c r="AC43" i="16" s="1" a="1"/>
  <c r="AC43" i="16" s="1"/>
  <c r="AD43" i="16" s="1" a="1"/>
  <c r="AD43" i="16" s="1"/>
  <c r="Z70" i="16" a="1"/>
  <c r="Z70" i="16" s="1"/>
  <c r="AA70" i="16" s="1" a="1"/>
  <c r="AA70" i="16" s="1"/>
  <c r="AB70" i="16" s="1" a="1"/>
  <c r="AB70" i="16" s="1"/>
  <c r="AC70" i="16" s="1" a="1"/>
  <c r="AC70" i="16" s="1"/>
  <c r="AD70" i="16" s="1" a="1"/>
  <c r="AD70" i="16" s="1"/>
  <c r="Z91" i="16" a="1"/>
  <c r="Z91" i="16" s="1"/>
  <c r="AA91" i="16" s="1" a="1"/>
  <c r="AA91" i="16" s="1"/>
  <c r="AB91" i="16" s="1" a="1"/>
  <c r="AB91" i="16" s="1"/>
  <c r="AC91" i="16" s="1" a="1"/>
  <c r="AC91" i="16" s="1"/>
  <c r="AD91" i="16" s="1" a="1"/>
  <c r="AD91" i="16" s="1"/>
  <c r="Z117" i="16" a="1"/>
  <c r="Z117" i="16" s="1"/>
  <c r="AA117" i="16" s="1" a="1"/>
  <c r="AA117" i="16" s="1"/>
  <c r="AB117" i="16" s="1" a="1"/>
  <c r="AB117" i="16" s="1"/>
  <c r="AC117" i="16" s="1" a="1"/>
  <c r="AC117" i="16" s="1"/>
  <c r="AD117" i="16" s="1" a="1"/>
  <c r="AD117" i="16" s="1"/>
  <c r="Z171" i="16" a="1"/>
  <c r="Z171" i="16" s="1"/>
  <c r="AA171" i="16" s="1" a="1"/>
  <c r="AA171" i="16" s="1"/>
  <c r="AB171" i="16" s="1" a="1"/>
  <c r="AB171" i="16" s="1"/>
  <c r="AC171" i="16" s="1" a="1"/>
  <c r="AC171" i="16" s="1"/>
  <c r="AD171" i="16" s="1" a="1"/>
  <c r="AD171" i="16" s="1"/>
  <c r="Z253" i="16" a="1"/>
  <c r="Z253" i="16" s="1"/>
  <c r="AA253" i="16" s="1" a="1"/>
  <c r="AA253" i="16" s="1"/>
  <c r="AB253" i="16" s="1" a="1"/>
  <c r="AB253" i="16" s="1"/>
  <c r="AC253" i="16" s="1" a="1"/>
  <c r="AC253" i="16" s="1"/>
  <c r="AD253" i="16" s="1" a="1"/>
  <c r="AD253" i="16" s="1"/>
  <c r="Z291" i="16" a="1"/>
  <c r="Z291" i="16" s="1"/>
  <c r="AA291" i="16" s="1" a="1"/>
  <c r="AA291" i="16" s="1"/>
  <c r="AB291" i="16" s="1" a="1"/>
  <c r="AB291" i="16" s="1"/>
  <c r="AC291" i="16" s="1" a="1"/>
  <c r="AC291" i="16" s="1"/>
  <c r="AD291" i="16" s="1" a="1"/>
  <c r="AD291" i="16" s="1"/>
  <c r="Z321" i="16" a="1"/>
  <c r="Z321" i="16" s="1"/>
  <c r="AA321" i="16" s="1" a="1"/>
  <c r="AA321" i="16" s="1"/>
  <c r="AB321" i="16" s="1" a="1"/>
  <c r="AB321" i="16" s="1"/>
  <c r="AC321" i="16" s="1" a="1"/>
  <c r="AC321" i="16" s="1"/>
  <c r="AD321" i="16" s="1" a="1"/>
  <c r="AD321" i="16" s="1"/>
  <c r="Z366" i="16" a="1"/>
  <c r="Z366" i="16" s="1"/>
  <c r="AA366" i="16" s="1" a="1"/>
  <c r="AA366" i="16" s="1"/>
  <c r="AB366" i="16" s="1" a="1"/>
  <c r="AB366" i="16" s="1"/>
  <c r="AC366" i="16" s="1" a="1"/>
  <c r="AC366" i="16" s="1"/>
  <c r="AD366" i="16" s="1" a="1"/>
  <c r="AD366" i="16" s="1"/>
  <c r="Z24" i="16" a="1"/>
  <c r="Z24" i="16" s="1"/>
  <c r="AA24" i="16" s="1" a="1"/>
  <c r="AA24" i="16" s="1"/>
  <c r="AB24" i="16" s="1" a="1"/>
  <c r="AB24" i="16" s="1"/>
  <c r="AC24" i="16" s="1" a="1"/>
  <c r="AC24" i="16" s="1"/>
  <c r="AD24" i="16" s="1" a="1"/>
  <c r="AD24" i="16" s="1"/>
  <c r="Z45" i="16" a="1"/>
  <c r="Z45" i="16" s="1"/>
  <c r="AA45" i="16" s="1" a="1"/>
  <c r="AA45" i="16" s="1"/>
  <c r="AB45" i="16" s="1" a="1"/>
  <c r="AB45" i="16" s="1"/>
  <c r="AC45" i="16" s="1" a="1"/>
  <c r="AC45" i="16" s="1"/>
  <c r="AD45" i="16" s="1" a="1"/>
  <c r="AD45" i="16" s="1"/>
  <c r="Z71" i="16" a="1"/>
  <c r="Z71" i="16" s="1"/>
  <c r="AA71" i="16" s="1" a="1"/>
  <c r="AA71" i="16" s="1"/>
  <c r="AB71" i="16" s="1" a="1"/>
  <c r="AB71" i="16" s="1"/>
  <c r="AC71" i="16" s="1" a="1"/>
  <c r="AC71" i="16" s="1"/>
  <c r="AD71" i="16" s="1" a="1"/>
  <c r="AD71" i="16" s="1"/>
  <c r="Z104" i="16" a="1"/>
  <c r="Z104" i="16" s="1"/>
  <c r="AA104" i="16" s="1" a="1"/>
  <c r="AA104" i="16" s="1"/>
  <c r="AB104" i="16" s="1" a="1"/>
  <c r="AB104" i="16" s="1"/>
  <c r="AC104" i="16" s="1" a="1"/>
  <c r="AC104" i="16" s="1"/>
  <c r="AD104" i="16" s="1" a="1"/>
  <c r="AD104" i="16" s="1"/>
  <c r="Z272" i="16" a="1"/>
  <c r="Z272" i="16" s="1"/>
  <c r="AA272" i="16" s="1" a="1"/>
  <c r="AA272" i="16" s="1"/>
  <c r="AB272" i="16" s="1" a="1"/>
  <c r="AB272" i="16" s="1"/>
  <c r="AC272" i="16" s="1" a="1"/>
  <c r="AC272" i="16" s="1"/>
  <c r="AD272" i="16" s="1" a="1"/>
  <c r="AD272" i="16" s="1"/>
  <c r="Z357" i="16" a="1"/>
  <c r="Z357" i="16" s="1"/>
  <c r="AA357" i="16" s="1" a="1"/>
  <c r="AA357" i="16" s="1"/>
  <c r="AB357" i="16" s="1" a="1"/>
  <c r="AB357" i="16" s="1"/>
  <c r="AC357" i="16" s="1" a="1"/>
  <c r="AC357" i="16" s="1"/>
  <c r="AD357" i="16" s="1" a="1"/>
  <c r="AD357" i="16" s="1"/>
  <c r="Z14" i="16" a="1"/>
  <c r="Z14" i="16" s="1"/>
  <c r="AA14" i="16" s="1" a="1"/>
  <c r="AA14" i="16" s="1"/>
  <c r="AB14" i="16" s="1" a="1"/>
  <c r="AB14" i="16" s="1"/>
  <c r="AC14" i="16" s="1" a="1"/>
  <c r="AC14" i="16" s="1"/>
  <c r="AD14" i="16" s="1" a="1"/>
  <c r="AD14" i="16" s="1"/>
  <c r="Z36" i="16" a="1"/>
  <c r="Z36" i="16" s="1"/>
  <c r="AA36" i="16" s="1" a="1"/>
  <c r="AA36" i="16" s="1"/>
  <c r="AB36" i="16" s="1" a="1"/>
  <c r="AB36" i="16" s="1"/>
  <c r="AC36" i="16" s="1" a="1"/>
  <c r="AC36" i="16" s="1"/>
  <c r="AD36" i="16" s="1" a="1"/>
  <c r="AD36" i="16" s="1"/>
  <c r="Z63" i="16" a="1"/>
  <c r="Z63" i="16" s="1"/>
  <c r="AA63" i="16" s="1" a="1"/>
  <c r="AA63" i="16" s="1"/>
  <c r="AB63" i="16" s="1" a="1"/>
  <c r="AB63" i="16" s="1"/>
  <c r="AC63" i="16" s="1" a="1"/>
  <c r="AC63" i="16" s="1"/>
  <c r="AD63" i="16" s="1" a="1"/>
  <c r="AD63" i="16" s="1"/>
  <c r="Z84" i="16" a="1"/>
  <c r="Z84" i="16" s="1"/>
  <c r="AA84" i="16" s="1" a="1"/>
  <c r="AA84" i="16" s="1"/>
  <c r="AB84" i="16" s="1" a="1"/>
  <c r="AB84" i="16" s="1"/>
  <c r="AC84" i="16" s="1" a="1"/>
  <c r="AC84" i="16" s="1"/>
  <c r="AD84" i="16" s="1" a="1"/>
  <c r="AD84" i="16" s="1"/>
  <c r="Z106" i="16" a="1"/>
  <c r="Z106" i="16" s="1"/>
  <c r="AA106" i="16" s="1" a="1"/>
  <c r="AA106" i="16" s="1"/>
  <c r="AB106" i="16" s="1" a="1"/>
  <c r="AB106" i="16" s="1"/>
  <c r="AC106" i="16" s="1" a="1"/>
  <c r="AC106" i="16" s="1"/>
  <c r="AD106" i="16" s="1" a="1"/>
  <c r="AD106" i="16" s="1"/>
  <c r="Z161" i="16" a="1"/>
  <c r="Z161" i="16" s="1"/>
  <c r="AA161" i="16" s="1" a="1"/>
  <c r="AA161" i="16" s="1"/>
  <c r="AB161" i="16" s="1" a="1"/>
  <c r="AB161" i="16" s="1"/>
  <c r="AC161" i="16" s="1" a="1"/>
  <c r="AC161" i="16" s="1"/>
  <c r="AD161" i="16" s="1" a="1"/>
  <c r="AD161" i="16" s="1"/>
  <c r="Z236" i="16" a="1"/>
  <c r="Z236" i="16" s="1"/>
  <c r="AA236" i="16" s="1" a="1"/>
  <c r="AA236" i="16" s="1"/>
  <c r="AB236" i="16" s="1" a="1"/>
  <c r="AB236" i="16" s="1"/>
  <c r="AC236" i="16" s="1" a="1"/>
  <c r="AC236" i="16" s="1"/>
  <c r="AD236" i="16" s="1" a="1"/>
  <c r="AD236" i="16" s="1"/>
  <c r="Z280" i="16" a="1"/>
  <c r="Z280" i="16" s="1"/>
  <c r="AA280" i="16" s="1" a="1"/>
  <c r="AA280" i="16" s="1"/>
  <c r="AB280" i="16" s="1" a="1"/>
  <c r="AB280" i="16" s="1"/>
  <c r="AC280" i="16" s="1" a="1"/>
  <c r="AC280" i="16" s="1"/>
  <c r="AD280" i="16" s="1" a="1"/>
  <c r="AD280" i="16" s="1"/>
  <c r="Z314" i="16" a="1"/>
  <c r="Z314" i="16" s="1"/>
  <c r="AA314" i="16" s="1" a="1"/>
  <c r="AA314" i="16" s="1"/>
  <c r="AB314" i="16" s="1" a="1"/>
  <c r="AB314" i="16" s="1"/>
  <c r="AC314" i="16" s="1" a="1"/>
  <c r="AC314" i="16" s="1"/>
  <c r="AD314" i="16" s="1" a="1"/>
  <c r="AD314" i="16" s="1"/>
  <c r="Z353" i="16" a="1"/>
  <c r="Z353" i="16" s="1"/>
  <c r="AA353" i="16" s="1" a="1"/>
  <c r="AA353" i="16" s="1"/>
  <c r="AB353" i="16" s="1" a="1"/>
  <c r="AB353" i="16" s="1"/>
  <c r="AC353" i="16" s="1" a="1"/>
  <c r="AC353" i="16" s="1"/>
  <c r="AD353" i="16" s="1" a="1"/>
  <c r="AD353" i="16" s="1"/>
  <c r="Z401" i="16" a="1"/>
  <c r="Z401" i="16" s="1"/>
  <c r="AA401" i="16" s="1" a="1"/>
  <c r="AA401" i="16" s="1"/>
  <c r="AB401" i="16" s="1" a="1"/>
  <c r="AB401" i="16" s="1"/>
  <c r="AC401" i="16" s="1" a="1"/>
  <c r="AC401" i="16" s="1"/>
  <c r="AD401" i="16" s="1" a="1"/>
  <c r="AD401" i="16" s="1"/>
  <c r="Z382" i="16" a="1"/>
  <c r="Z382" i="16" s="1"/>
  <c r="AA382" i="16" s="1" a="1"/>
  <c r="AA382" i="16" s="1"/>
  <c r="AB382" i="16" s="1" a="1"/>
  <c r="AB382" i="16" s="1"/>
  <c r="AC382" i="16" s="1" a="1"/>
  <c r="AC382" i="16" s="1"/>
  <c r="AD382" i="16" s="1" a="1"/>
  <c r="AD382" i="16" s="1"/>
  <c r="Z164" i="16" a="1"/>
  <c r="Z164" i="16" s="1"/>
  <c r="AA164" i="16" s="1" a="1"/>
  <c r="AA164" i="16" s="1"/>
  <c r="AB164" i="16" s="1" a="1"/>
  <c r="AB164" i="16" s="1"/>
  <c r="AC164" i="16" s="1" a="1"/>
  <c r="AC164" i="16" s="1"/>
  <c r="AD164" i="16" s="1" a="1"/>
  <c r="AD164" i="16" s="1"/>
  <c r="Z322" i="16" a="1"/>
  <c r="Z322" i="16" s="1"/>
  <c r="AA322" i="16" s="1" a="1"/>
  <c r="AA322" i="16" s="1"/>
  <c r="AB322" i="16" s="1" a="1"/>
  <c r="AB322" i="16" s="1"/>
  <c r="AC322" i="16" s="1" a="1"/>
  <c r="AC322" i="16" s="1"/>
  <c r="AD322" i="16" s="1" a="1"/>
  <c r="AD322" i="16" s="1"/>
  <c r="Z15" i="16" a="1"/>
  <c r="Z15" i="16" s="1"/>
  <c r="AA15" i="16" s="1" a="1"/>
  <c r="AA15" i="16" s="1"/>
  <c r="AB15" i="16" s="1" a="1"/>
  <c r="AB15" i="16" s="1"/>
  <c r="AC15" i="16" s="1" a="1"/>
  <c r="AC15" i="16" s="1"/>
  <c r="AD15" i="16" s="1" a="1"/>
  <c r="AD15" i="16" s="1"/>
  <c r="Z37" i="16" a="1"/>
  <c r="Z37" i="16" s="1"/>
  <c r="AA37" i="16" s="1" a="1"/>
  <c r="AA37" i="16" s="1"/>
  <c r="AB37" i="16" s="1" a="1"/>
  <c r="AB37" i="16" s="1"/>
  <c r="AC37" i="16" s="1" a="1"/>
  <c r="AC37" i="16" s="1"/>
  <c r="AD37" i="16" s="1" a="1"/>
  <c r="AD37" i="16" s="1"/>
  <c r="Z65" i="16" a="1"/>
  <c r="Z65" i="16" s="1"/>
  <c r="AA65" i="16" s="1" a="1"/>
  <c r="AA65" i="16" s="1"/>
  <c r="AB65" i="16" s="1" a="1"/>
  <c r="AB65" i="16" s="1"/>
  <c r="AC65" i="16" s="1" a="1"/>
  <c r="AC65" i="16" s="1"/>
  <c r="AD65" i="16" s="1" a="1"/>
  <c r="AD65" i="16" s="1"/>
  <c r="Z85" i="16" a="1"/>
  <c r="Z85" i="16" s="1"/>
  <c r="AA85" i="16" s="1" a="1"/>
  <c r="AA85" i="16" s="1"/>
  <c r="AB85" i="16" s="1" a="1"/>
  <c r="AB85" i="16" s="1"/>
  <c r="AC85" i="16" s="1" a="1"/>
  <c r="AC85" i="16" s="1"/>
  <c r="AD85" i="16" s="1" a="1"/>
  <c r="AD85" i="16" s="1"/>
  <c r="Z107" i="16" a="1"/>
  <c r="Z107" i="16" s="1"/>
  <c r="AA107" i="16" s="1" a="1"/>
  <c r="AA107" i="16" s="1"/>
  <c r="AB107" i="16" s="1" a="1"/>
  <c r="AB107" i="16" s="1"/>
  <c r="AC107" i="16" s="1" a="1"/>
  <c r="AC107" i="16" s="1"/>
  <c r="AD107" i="16" s="1" a="1"/>
  <c r="AD107" i="16" s="1"/>
  <c r="Z162" i="16" a="1"/>
  <c r="Z162" i="16" s="1"/>
  <c r="AA162" i="16" s="1" a="1"/>
  <c r="AA162" i="16" s="1"/>
  <c r="AB162" i="16" s="1" a="1"/>
  <c r="AB162" i="16" s="1"/>
  <c r="AC162" i="16" s="1" a="1"/>
  <c r="AC162" i="16" s="1"/>
  <c r="AD162" i="16" s="1" a="1"/>
  <c r="AD162" i="16" s="1"/>
  <c r="Z237" i="16" a="1"/>
  <c r="Z237" i="16" s="1"/>
  <c r="AA237" i="16" s="1" a="1"/>
  <c r="AA237" i="16" s="1"/>
  <c r="AB237" i="16" s="1" a="1"/>
  <c r="AB237" i="16" s="1"/>
  <c r="AC237" i="16" s="1" a="1"/>
  <c r="AC237" i="16" s="1"/>
  <c r="AD237" i="16" s="1" a="1"/>
  <c r="AD237" i="16" s="1"/>
  <c r="Z281" i="16" a="1"/>
  <c r="Z281" i="16" s="1"/>
  <c r="AA281" i="16" s="1" a="1"/>
  <c r="AA281" i="16" s="1"/>
  <c r="AB281" i="16" s="1" a="1"/>
  <c r="AB281" i="16" s="1"/>
  <c r="AC281" i="16" s="1" a="1"/>
  <c r="AC281" i="16" s="1"/>
  <c r="AD281" i="16" s="1" a="1"/>
  <c r="AD281" i="16" s="1"/>
  <c r="Z315" i="16" a="1"/>
  <c r="Z315" i="16" s="1"/>
  <c r="AA315" i="16" s="1" a="1"/>
  <c r="AA315" i="16" s="1"/>
  <c r="AB315" i="16" s="1" a="1"/>
  <c r="AB315" i="16" s="1"/>
  <c r="AC315" i="16" s="1" a="1"/>
  <c r="AC315" i="16" s="1"/>
  <c r="AD315" i="16" s="1" a="1"/>
  <c r="AD315" i="16" s="1"/>
  <c r="Z354" i="16" a="1"/>
  <c r="Z354" i="16" s="1"/>
  <c r="AA354" i="16" s="1" a="1"/>
  <c r="AA354" i="16" s="1"/>
  <c r="AB354" i="16" s="1" a="1"/>
  <c r="AB354" i="16" s="1"/>
  <c r="AC354" i="16" s="1" a="1"/>
  <c r="AC354" i="16" s="1"/>
  <c r="AD354" i="16" s="1" a="1"/>
  <c r="AD354" i="16" s="1"/>
  <c r="Z402" i="16" a="1"/>
  <c r="Z402" i="16" s="1"/>
  <c r="AA402" i="16" s="1" a="1"/>
  <c r="AA402" i="16" s="1"/>
  <c r="AB402" i="16" s="1" a="1"/>
  <c r="AB402" i="16" s="1"/>
  <c r="AC402" i="16" s="1" a="1"/>
  <c r="AC402" i="16" s="1"/>
  <c r="AD402" i="16" s="1" a="1"/>
  <c r="AD402" i="16" s="1"/>
  <c r="Z432" i="16" a="1"/>
  <c r="Z432" i="16" s="1"/>
  <c r="AA432" i="16" s="1" a="1"/>
  <c r="AA432" i="16" s="1"/>
  <c r="AB432" i="16" s="1" a="1"/>
  <c r="AB432" i="16" s="1"/>
  <c r="AC432" i="16" s="1" a="1"/>
  <c r="AC432" i="16" s="1"/>
  <c r="AD432" i="16" s="1" a="1"/>
  <c r="AD432" i="16" s="1"/>
  <c r="Z191" i="16" a="1"/>
  <c r="Z191" i="16" s="1"/>
  <c r="AA191" i="16" s="1" a="1"/>
  <c r="AA191" i="16" s="1"/>
  <c r="AB191" i="16" s="1" a="1"/>
  <c r="AB191" i="16" s="1"/>
  <c r="AC191" i="16" s="1" a="1"/>
  <c r="AC191" i="16" s="1"/>
  <c r="AD191" i="16" s="1" a="1"/>
  <c r="AD191" i="16" s="1"/>
  <c r="Z336" i="16" a="1"/>
  <c r="Z336" i="16" s="1"/>
  <c r="AA336" i="16" s="1" a="1"/>
  <c r="AA336" i="16" s="1"/>
  <c r="AB336" i="16" s="1" a="1"/>
  <c r="AB336" i="16" s="1"/>
  <c r="AC336" i="16" s="1" a="1"/>
  <c r="AC336" i="16" s="1"/>
  <c r="AD336" i="16" s="1" a="1"/>
  <c r="AD336" i="16" s="1"/>
  <c r="Z4" i="16" a="1"/>
  <c r="Z4" i="16" s="1"/>
  <c r="AA4" i="16" s="1" a="1"/>
  <c r="AA4" i="16" s="1"/>
  <c r="AB4" i="16" s="1" a="1"/>
  <c r="AB4" i="16" s="1"/>
  <c r="AC4" i="16" s="1" a="1"/>
  <c r="AC4" i="16" s="1"/>
  <c r="AD4" i="16" s="1" a="1"/>
  <c r="AD4" i="16" s="1"/>
  <c r="Z27" i="16" a="1"/>
  <c r="Z27" i="16" s="1"/>
  <c r="AA27" i="16" s="1" a="1"/>
  <c r="AA27" i="16" s="1"/>
  <c r="AB27" i="16" s="1" a="1"/>
  <c r="AB27" i="16" s="1"/>
  <c r="AC27" i="16" s="1" a="1"/>
  <c r="AC27" i="16" s="1"/>
  <c r="AD27" i="16" s="1" a="1"/>
  <c r="AD27" i="16" s="1"/>
  <c r="Z52" i="16" a="1"/>
  <c r="Z52" i="16" s="1"/>
  <c r="AA52" i="16" s="1" a="1"/>
  <c r="AA52" i="16" s="1"/>
  <c r="AB52" i="16" s="1" a="1"/>
  <c r="AB52" i="16" s="1"/>
  <c r="AC52" i="16" s="1" a="1"/>
  <c r="AC52" i="16" s="1"/>
  <c r="AD52" i="16" s="1" a="1"/>
  <c r="AD52" i="16" s="1"/>
  <c r="Z77" i="16" a="1"/>
  <c r="Z77" i="16" s="1"/>
  <c r="AA77" i="16" s="1" a="1"/>
  <c r="AA77" i="16" s="1"/>
  <c r="AB77" i="16" s="1" a="1"/>
  <c r="AB77" i="16" s="1"/>
  <c r="AC77" i="16" s="1" a="1"/>
  <c r="AC77" i="16" s="1"/>
  <c r="AD77" i="16" s="1" a="1"/>
  <c r="AD77" i="16" s="1"/>
  <c r="Z97" i="16" a="1"/>
  <c r="Z97" i="16" s="1"/>
  <c r="AA97" i="16" s="1" a="1"/>
  <c r="AA97" i="16" s="1"/>
  <c r="AB97" i="16" s="1" a="1"/>
  <c r="AB97" i="16" s="1"/>
  <c r="AC97" i="16" s="1" a="1"/>
  <c r="AC97" i="16" s="1"/>
  <c r="AD97" i="16" s="1" a="1"/>
  <c r="AD97" i="16" s="1"/>
  <c r="Z133" i="16" a="1"/>
  <c r="Z133" i="16" s="1"/>
  <c r="AA133" i="16" s="1" a="1"/>
  <c r="AA133" i="16" s="1"/>
  <c r="AB133" i="16" s="1" a="1"/>
  <c r="AB133" i="16" s="1"/>
  <c r="AC133" i="16" s="1" a="1"/>
  <c r="AC133" i="16" s="1"/>
  <c r="AD133" i="16" s="1" a="1"/>
  <c r="AD133" i="16" s="1"/>
  <c r="Z188" i="16" a="1"/>
  <c r="Z188" i="16" s="1"/>
  <c r="AA188" i="16" s="1" a="1"/>
  <c r="AA188" i="16" s="1"/>
  <c r="AB188" i="16" s="1" a="1"/>
  <c r="AB188" i="16" s="1"/>
  <c r="AC188" i="16" s="1" a="1"/>
  <c r="AC188" i="16" s="1"/>
  <c r="AD188" i="16" s="1" a="1"/>
  <c r="AD188" i="16" s="1"/>
  <c r="Z268" i="16" a="1"/>
  <c r="Z268" i="16" s="1"/>
  <c r="AA268" i="16" s="1" a="1"/>
  <c r="AA268" i="16" s="1"/>
  <c r="AB268" i="16" s="1" a="1"/>
  <c r="AB268" i="16" s="1"/>
  <c r="AC268" i="16" s="1" a="1"/>
  <c r="AC268" i="16" s="1"/>
  <c r="AD268" i="16" s="1" a="1"/>
  <c r="AD268" i="16" s="1"/>
  <c r="Z301" i="16" a="1"/>
  <c r="Z301" i="16" s="1"/>
  <c r="AA301" i="16" s="1" a="1"/>
  <c r="AA301" i="16" s="1"/>
  <c r="AB301" i="16" s="1" a="1"/>
  <c r="AB301" i="16" s="1"/>
  <c r="AC301" i="16" s="1" a="1"/>
  <c r="AC301" i="16" s="1"/>
  <c r="AD301" i="16" s="1" a="1"/>
  <c r="AD301" i="16" s="1"/>
  <c r="Z334" i="16" a="1"/>
  <c r="Z334" i="16" s="1"/>
  <c r="AA334" i="16" s="1" a="1"/>
  <c r="AA334" i="16" s="1"/>
  <c r="AB334" i="16" s="1" a="1"/>
  <c r="AB334" i="16" s="1"/>
  <c r="AC334" i="16" s="1" a="1"/>
  <c r="AC334" i="16" s="1"/>
  <c r="AD334" i="16" s="1" a="1"/>
  <c r="AD334" i="16" s="1"/>
  <c r="Z5" i="16" a="1"/>
  <c r="Z5" i="16" s="1"/>
  <c r="AA5" i="16" s="1" a="1"/>
  <c r="AA5" i="16" s="1"/>
  <c r="AB5" i="16" s="1" a="1"/>
  <c r="AB5" i="16" s="1"/>
  <c r="AC5" i="16" s="1" a="1"/>
  <c r="AC5" i="16" s="1"/>
  <c r="AD5" i="16" s="1" a="1"/>
  <c r="AD5" i="16" s="1"/>
  <c r="Z29" i="16" a="1"/>
  <c r="Z29" i="16" s="1"/>
  <c r="AA29" i="16" s="1" a="1"/>
  <c r="AA29" i="16" s="1"/>
  <c r="AB29" i="16" s="1" a="1"/>
  <c r="AB29" i="16" s="1"/>
  <c r="AC29" i="16" s="1" a="1"/>
  <c r="AC29" i="16" s="1"/>
  <c r="AD29" i="16" s="1" a="1"/>
  <c r="AD29" i="16" s="1"/>
  <c r="Z53" i="16" a="1"/>
  <c r="Z53" i="16" s="1"/>
  <c r="AA53" i="16" s="1" a="1"/>
  <c r="AA53" i="16" s="1"/>
  <c r="AB53" i="16" s="1" a="1"/>
  <c r="AB53" i="16" s="1"/>
  <c r="AC53" i="16" s="1" a="1"/>
  <c r="AC53" i="16" s="1"/>
  <c r="AD53" i="16" s="1" a="1"/>
  <c r="AD53" i="16" s="1"/>
  <c r="Z79" i="16" a="1"/>
  <c r="Z79" i="16" s="1"/>
  <c r="AA79" i="16" s="1" a="1"/>
  <c r="AA79" i="16" s="1"/>
  <c r="AB79" i="16" s="1" a="1"/>
  <c r="AB79" i="16" s="1"/>
  <c r="AC79" i="16" s="1" a="1"/>
  <c r="AC79" i="16" s="1"/>
  <c r="AD79" i="16" s="1" a="1"/>
  <c r="AD79" i="16" s="1"/>
  <c r="Z136" i="16" a="1"/>
  <c r="Z136" i="16" s="1"/>
  <c r="AA136" i="16" s="1" a="1"/>
  <c r="AA136" i="16" s="1"/>
  <c r="AB136" i="16" s="1" a="1"/>
  <c r="AB136" i="16" s="1"/>
  <c r="AC136" i="16" s="1" a="1"/>
  <c r="AC136" i="16" s="1"/>
  <c r="AD136" i="16" s="1" a="1"/>
  <c r="AD136" i="16" s="1"/>
  <c r="Z292" i="16" a="1"/>
  <c r="Z292" i="16" s="1"/>
  <c r="AA292" i="16" s="1" a="1"/>
  <c r="AA292" i="16" s="1"/>
  <c r="AB292" i="16" s="1" a="1"/>
  <c r="AB292" i="16" s="1"/>
  <c r="AC292" i="16" s="1" a="1"/>
  <c r="AC292" i="16" s="1"/>
  <c r="AD292" i="16" s="1" a="1"/>
  <c r="AD292" i="16" s="1"/>
  <c r="Z396" i="16" a="1"/>
  <c r="Z396" i="16" s="1"/>
  <c r="AA396" i="16" s="1" a="1"/>
  <c r="AA396" i="16" s="1"/>
  <c r="AB396" i="16" s="1" a="1"/>
  <c r="AB396" i="16" s="1"/>
  <c r="AC396" i="16" s="1" a="1"/>
  <c r="AC396" i="16" s="1"/>
  <c r="AD396" i="16" s="1" a="1"/>
  <c r="AD396" i="16" s="1"/>
  <c r="N193" i="16"/>
  <c r="N312" i="16"/>
  <c r="N315" i="16"/>
  <c r="N406" i="16"/>
  <c r="N322" i="16"/>
  <c r="N18" i="16"/>
  <c r="N297" i="16"/>
  <c r="N352" i="16"/>
  <c r="N304" i="16"/>
  <c r="N172" i="16"/>
  <c r="N411" i="16"/>
  <c r="N299" i="16"/>
  <c r="N143" i="16"/>
  <c r="N366" i="16"/>
  <c r="N318" i="16"/>
  <c r="N186" i="16"/>
  <c r="N58" i="16"/>
  <c r="N2" i="16"/>
  <c r="N273" i="16"/>
  <c r="N9" i="16"/>
  <c r="N176" i="16"/>
  <c r="N48" i="16"/>
  <c r="N167" i="16"/>
  <c r="N242" i="16"/>
  <c r="N138" i="16"/>
  <c r="N109" i="16"/>
  <c r="N340" i="16"/>
  <c r="N248" i="16"/>
  <c r="N96" i="16"/>
  <c r="N347" i="16"/>
  <c r="N295" i="16"/>
  <c r="N135" i="16"/>
  <c r="N350" i="16"/>
  <c r="N298" i="16"/>
  <c r="N146" i="16"/>
  <c r="N54" i="16"/>
  <c r="N413" i="16"/>
  <c r="N213" i="16"/>
  <c r="N336" i="16"/>
  <c r="N200" i="16"/>
  <c r="N56" i="16"/>
  <c r="N319" i="16"/>
  <c r="N227" i="16"/>
  <c r="N47" i="16"/>
  <c r="N334" i="16"/>
  <c r="N266" i="16"/>
  <c r="N142" i="16"/>
  <c r="N46" i="16"/>
  <c r="N313" i="16"/>
  <c r="K432" i="16"/>
  <c r="K431" i="16"/>
  <c r="K430" i="16"/>
  <c r="K429" i="16"/>
  <c r="K428" i="16"/>
  <c r="K427" i="16"/>
  <c r="K426" i="16"/>
  <c r="K425" i="16"/>
  <c r="K424" i="16"/>
  <c r="K423" i="16"/>
  <c r="K422" i="16"/>
  <c r="K421" i="16"/>
  <c r="K420" i="16"/>
  <c r="K419" i="16"/>
  <c r="K418" i="16"/>
  <c r="K417" i="16"/>
  <c r="K416" i="16"/>
  <c r="K415" i="16"/>
  <c r="K414" i="16"/>
  <c r="K413" i="16"/>
  <c r="K412" i="16"/>
  <c r="K411" i="16"/>
  <c r="K410" i="16"/>
  <c r="K409" i="16"/>
  <c r="K408" i="16"/>
  <c r="K407" i="16"/>
  <c r="K406" i="16"/>
  <c r="K405" i="16"/>
  <c r="K404" i="16"/>
  <c r="K403" i="16"/>
  <c r="K402" i="16"/>
  <c r="K401" i="16"/>
  <c r="K400" i="16"/>
  <c r="K399" i="16"/>
  <c r="K398" i="16"/>
  <c r="K397" i="16"/>
  <c r="K396" i="16"/>
  <c r="K395" i="16"/>
  <c r="K394" i="16"/>
  <c r="K393" i="16"/>
  <c r="K392" i="16"/>
  <c r="K391" i="16"/>
  <c r="K390" i="16"/>
  <c r="K389" i="16"/>
  <c r="K388" i="16"/>
  <c r="K387" i="16"/>
  <c r="K386" i="16"/>
  <c r="K385" i="16"/>
  <c r="K384" i="16"/>
  <c r="K383" i="16"/>
  <c r="K382" i="16"/>
  <c r="K381" i="16"/>
  <c r="K380" i="16"/>
  <c r="K379" i="16"/>
  <c r="K378" i="16"/>
  <c r="K377" i="16"/>
  <c r="K376" i="16"/>
  <c r="K375" i="16"/>
  <c r="K374" i="16"/>
  <c r="K373" i="16"/>
  <c r="K372" i="16"/>
  <c r="K371" i="16"/>
  <c r="K370" i="16"/>
  <c r="K369" i="16"/>
  <c r="K368" i="16"/>
  <c r="K367" i="16"/>
  <c r="K366" i="16"/>
  <c r="K365" i="16"/>
  <c r="K364" i="16"/>
  <c r="K363" i="16"/>
  <c r="K362" i="16"/>
  <c r="K361" i="16"/>
  <c r="K360" i="16"/>
  <c r="K359" i="16"/>
  <c r="K358" i="16"/>
  <c r="K357" i="16"/>
  <c r="K356" i="16"/>
  <c r="K355" i="16"/>
  <c r="K354" i="16"/>
  <c r="K353" i="16"/>
  <c r="K352" i="16"/>
  <c r="K351" i="16"/>
  <c r="K350" i="16"/>
  <c r="K349" i="16"/>
  <c r="K348" i="16"/>
  <c r="K347" i="16"/>
  <c r="K346" i="16"/>
  <c r="K345" i="16"/>
  <c r="K344" i="16"/>
  <c r="K343" i="16"/>
  <c r="K342" i="16"/>
  <c r="K341" i="16"/>
  <c r="K340" i="16"/>
  <c r="K339" i="16"/>
  <c r="K338" i="16"/>
  <c r="K337" i="16"/>
  <c r="K336" i="16"/>
  <c r="K335" i="16"/>
  <c r="K334" i="16"/>
  <c r="K333" i="16"/>
  <c r="K332" i="16"/>
  <c r="K331" i="16"/>
  <c r="K330" i="16"/>
  <c r="K329" i="16"/>
  <c r="K328" i="16"/>
  <c r="K327" i="16"/>
  <c r="K326" i="16"/>
  <c r="K325" i="16"/>
  <c r="K324" i="16"/>
  <c r="K323" i="16"/>
  <c r="K322" i="16"/>
  <c r="K321" i="16"/>
  <c r="K320" i="16"/>
  <c r="K319" i="16"/>
  <c r="K318" i="16"/>
  <c r="K317" i="16"/>
  <c r="K316" i="16"/>
  <c r="K315" i="16"/>
  <c r="K314" i="16"/>
  <c r="K313" i="16"/>
  <c r="K312" i="16"/>
  <c r="K311" i="16"/>
  <c r="K310" i="16"/>
  <c r="K309" i="16"/>
  <c r="K308" i="16"/>
  <c r="K307" i="16"/>
  <c r="K306" i="16"/>
  <c r="K305" i="16"/>
  <c r="K304" i="16"/>
  <c r="K303" i="16"/>
  <c r="K302" i="16"/>
  <c r="K301" i="16"/>
  <c r="K300" i="16"/>
  <c r="K299" i="16"/>
  <c r="K298" i="16"/>
  <c r="K297" i="16"/>
  <c r="K296" i="16"/>
  <c r="K295" i="16"/>
  <c r="K294" i="16"/>
  <c r="K293" i="16"/>
  <c r="K292" i="16"/>
  <c r="K291" i="16"/>
  <c r="K290" i="16"/>
  <c r="K289" i="16"/>
  <c r="K288" i="16"/>
  <c r="K287" i="16"/>
  <c r="K286" i="16"/>
  <c r="K285" i="16"/>
  <c r="K284" i="16"/>
  <c r="K283" i="16"/>
  <c r="K282" i="16"/>
  <c r="K281" i="16"/>
  <c r="K280" i="16"/>
  <c r="K279" i="16"/>
  <c r="K278" i="16"/>
  <c r="K277" i="16"/>
  <c r="K276" i="16"/>
  <c r="K275" i="16"/>
  <c r="K274" i="16"/>
  <c r="K273" i="16"/>
  <c r="K272" i="16"/>
  <c r="K271" i="16"/>
  <c r="K270" i="16"/>
  <c r="K269" i="16"/>
  <c r="K268" i="16"/>
  <c r="K267" i="16"/>
  <c r="K266" i="16"/>
  <c r="K265" i="16"/>
  <c r="K264" i="16"/>
  <c r="K263" i="16"/>
  <c r="K262" i="16"/>
  <c r="K261" i="16"/>
  <c r="K260" i="16"/>
  <c r="K259" i="16"/>
  <c r="K258" i="16"/>
  <c r="K257" i="16"/>
  <c r="K256" i="16"/>
  <c r="K255" i="16"/>
  <c r="K254" i="16"/>
  <c r="K253" i="16"/>
  <c r="K252" i="16"/>
  <c r="K251" i="16"/>
  <c r="K250" i="16"/>
  <c r="K249" i="16"/>
  <c r="K248" i="16"/>
  <c r="K247" i="16"/>
  <c r="K246" i="16"/>
  <c r="K245" i="16"/>
  <c r="K244" i="16"/>
  <c r="K243" i="16"/>
  <c r="K242" i="16"/>
  <c r="K241" i="16"/>
  <c r="K240" i="16"/>
  <c r="K239" i="16"/>
  <c r="K238" i="16"/>
  <c r="K237" i="16"/>
  <c r="K236" i="16"/>
  <c r="K235" i="16"/>
  <c r="K234" i="16"/>
  <c r="K233" i="16"/>
  <c r="K232" i="16"/>
  <c r="K231" i="16"/>
  <c r="K230" i="16"/>
  <c r="K229" i="16"/>
  <c r="K228" i="16"/>
  <c r="K227" i="16"/>
  <c r="K226" i="16"/>
  <c r="K225" i="16"/>
  <c r="K224" i="16"/>
  <c r="K223" i="16"/>
  <c r="K222" i="16"/>
  <c r="K221" i="16"/>
  <c r="K220" i="16"/>
  <c r="K219" i="16"/>
  <c r="K218" i="16"/>
  <c r="K217" i="16"/>
  <c r="K216" i="16"/>
  <c r="K215" i="16"/>
  <c r="K214" i="16"/>
  <c r="K213" i="16"/>
  <c r="K212" i="16"/>
  <c r="K211" i="16"/>
  <c r="K210" i="16"/>
  <c r="K209" i="16"/>
  <c r="K208" i="16"/>
  <c r="K207" i="16"/>
  <c r="K206" i="16"/>
  <c r="K205" i="16"/>
  <c r="K204" i="16"/>
  <c r="K203" i="16"/>
  <c r="K202" i="16"/>
  <c r="K201" i="16"/>
  <c r="K200" i="16"/>
  <c r="K199" i="16"/>
  <c r="K198" i="16"/>
  <c r="K197" i="16"/>
  <c r="K196" i="16"/>
  <c r="K195" i="16"/>
  <c r="K194" i="16"/>
  <c r="K193" i="16"/>
  <c r="K192" i="16"/>
  <c r="K191" i="16"/>
  <c r="K190" i="16"/>
  <c r="K189" i="16"/>
  <c r="K188" i="16"/>
  <c r="K187" i="16"/>
  <c r="K186" i="16"/>
  <c r="K185" i="16"/>
  <c r="K184" i="16"/>
  <c r="K183" i="16"/>
  <c r="K182" i="16"/>
  <c r="K181" i="16"/>
  <c r="K180" i="16"/>
  <c r="K179" i="16"/>
  <c r="K178" i="16"/>
  <c r="K177" i="16"/>
  <c r="K176" i="16"/>
  <c r="K175" i="16"/>
  <c r="K174" i="16"/>
  <c r="K173" i="16"/>
  <c r="K172" i="16"/>
  <c r="K171" i="16"/>
  <c r="K170" i="16"/>
  <c r="K169" i="16"/>
  <c r="K168" i="16"/>
  <c r="K167" i="16"/>
  <c r="K166" i="16"/>
  <c r="K165" i="16"/>
  <c r="K164" i="16"/>
  <c r="K163" i="16"/>
  <c r="K162" i="16"/>
  <c r="K161" i="16"/>
  <c r="K160" i="16"/>
  <c r="K159" i="16"/>
  <c r="K158" i="16"/>
  <c r="K157" i="16"/>
  <c r="K156" i="16"/>
  <c r="K155" i="16"/>
  <c r="K154" i="16"/>
  <c r="K153" i="16"/>
  <c r="K152" i="16"/>
  <c r="K151" i="16"/>
  <c r="K150" i="16"/>
  <c r="K149" i="16"/>
  <c r="K148" i="16"/>
  <c r="K147" i="16"/>
  <c r="K146" i="16"/>
  <c r="K145" i="16"/>
  <c r="K144" i="16"/>
  <c r="K143" i="16"/>
  <c r="K142" i="16"/>
  <c r="K141" i="16"/>
  <c r="K140" i="16"/>
  <c r="K139" i="16"/>
  <c r="K138" i="16"/>
  <c r="K137" i="16"/>
  <c r="K136" i="16"/>
  <c r="K135" i="16"/>
  <c r="K134" i="16"/>
  <c r="K133" i="16"/>
  <c r="K132" i="16"/>
  <c r="K131" i="16"/>
  <c r="K130" i="16"/>
  <c r="K129" i="16"/>
  <c r="K128" i="16"/>
  <c r="K127" i="16"/>
  <c r="K126" i="16"/>
  <c r="K125" i="16"/>
  <c r="K124" i="16"/>
  <c r="K123" i="16"/>
  <c r="K122" i="16"/>
  <c r="K121" i="16"/>
  <c r="K120" i="16"/>
  <c r="K119" i="16"/>
  <c r="K118" i="16"/>
  <c r="K117" i="16"/>
  <c r="K116" i="16"/>
  <c r="K115" i="16"/>
  <c r="K114" i="16"/>
  <c r="K113" i="16"/>
  <c r="K112" i="16"/>
  <c r="K111" i="16"/>
  <c r="K110" i="16"/>
  <c r="K109" i="16"/>
  <c r="K108" i="16"/>
  <c r="K107" i="16"/>
  <c r="K106" i="16"/>
  <c r="K105" i="16"/>
  <c r="K104" i="16"/>
  <c r="K103" i="16"/>
  <c r="K102" i="16"/>
  <c r="K101" i="16"/>
  <c r="K100" i="16"/>
  <c r="K99" i="16"/>
  <c r="K98" i="16"/>
  <c r="K97" i="16"/>
  <c r="K96" i="16"/>
  <c r="K95" i="16"/>
  <c r="K94" i="16"/>
  <c r="K93" i="16"/>
  <c r="K92" i="16"/>
  <c r="K91" i="16"/>
  <c r="K90" i="16"/>
  <c r="K89" i="16"/>
  <c r="K88" i="16"/>
  <c r="K87" i="16"/>
  <c r="K86" i="16"/>
  <c r="K85" i="16"/>
  <c r="K84" i="16"/>
  <c r="K83" i="16"/>
  <c r="K82" i="16"/>
  <c r="K81" i="16"/>
  <c r="K80" i="16"/>
  <c r="K79" i="16"/>
  <c r="K78" i="16"/>
  <c r="K77" i="16"/>
  <c r="K76" i="16"/>
  <c r="K75" i="16"/>
  <c r="K74" i="16"/>
  <c r="K73" i="16"/>
  <c r="K72" i="16"/>
  <c r="K71" i="16"/>
  <c r="K70" i="16"/>
  <c r="K69" i="16"/>
  <c r="K68" i="16"/>
  <c r="K67" i="16"/>
  <c r="K66" i="16"/>
  <c r="K65" i="16"/>
  <c r="K64" i="16"/>
  <c r="K63" i="16"/>
  <c r="K62" i="16"/>
  <c r="K61" i="16"/>
  <c r="K60" i="16"/>
  <c r="K59" i="16"/>
  <c r="K58" i="16"/>
  <c r="K57" i="16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AE7" i="16"/>
  <c r="K7" i="16"/>
  <c r="AE6" i="16"/>
  <c r="K6" i="16"/>
  <c r="AE5" i="16"/>
  <c r="K5" i="16"/>
  <c r="AE4" i="16"/>
  <c r="K4" i="16"/>
  <c r="AE3" i="16"/>
  <c r="K3" i="16"/>
  <c r="K2" i="16"/>
  <c r="D28" i="55"/>
  <c r="D27" i="55"/>
  <c r="D26" i="55"/>
  <c r="D25" i="55"/>
  <c r="D24" i="55"/>
  <c r="D23" i="55"/>
  <c r="D22" i="55"/>
  <c r="D21" i="55"/>
  <c r="D20" i="55"/>
  <c r="D19" i="55"/>
  <c r="D18" i="55"/>
  <c r="D17" i="55"/>
  <c r="D16" i="55"/>
  <c r="D15" i="55"/>
  <c r="D14" i="55"/>
  <c r="D13" i="55"/>
  <c r="D12" i="55"/>
  <c r="D11" i="55"/>
  <c r="D10" i="55"/>
  <c r="D9" i="55"/>
  <c r="D8" i="55"/>
  <c r="D7" i="55"/>
  <c r="D6" i="55"/>
  <c r="D5" i="55"/>
  <c r="D4" i="55"/>
  <c r="D3" i="55"/>
  <c r="D2" i="55"/>
  <c r="S330" i="16" l="1"/>
  <c r="S362" i="16"/>
  <c r="S398" i="16"/>
  <c r="S426" i="16"/>
  <c r="S243" i="16"/>
  <c r="S327" i="16"/>
  <c r="S331" i="16"/>
  <c r="S359" i="16"/>
  <c r="S403" i="16"/>
  <c r="S407" i="16"/>
  <c r="S333" i="16"/>
  <c r="S329" i="16"/>
  <c r="S365" i="16"/>
  <c r="S309" i="16"/>
  <c r="S408" i="16"/>
  <c r="S421" i="16"/>
  <c r="S332" i="16"/>
  <c r="S364" i="16"/>
  <c r="S413" i="16"/>
  <c r="S361" i="16"/>
  <c r="S397" i="16"/>
  <c r="S46" i="16"/>
  <c r="Y338" i="16" a="1"/>
  <c r="Y338" i="16" s="1"/>
  <c r="S342" i="16"/>
  <c r="S172" i="16"/>
  <c r="S228" i="16"/>
  <c r="S160" i="16"/>
  <c r="S50" i="16"/>
  <c r="S219" i="16"/>
  <c r="S61" i="16"/>
  <c r="S246" i="16"/>
  <c r="S235" i="16"/>
  <c r="S376" i="16"/>
  <c r="S380" i="16"/>
  <c r="S102" i="16"/>
  <c r="S186" i="16"/>
  <c r="S210" i="16"/>
  <c r="S214" i="16"/>
  <c r="S218" i="16"/>
  <c r="S226" i="16"/>
  <c r="S234" i="16"/>
  <c r="S242" i="16"/>
  <c r="S55" i="16"/>
  <c r="S203" i="16"/>
  <c r="S207" i="16"/>
  <c r="S215" i="16"/>
  <c r="S227" i="16"/>
  <c r="S255" i="16"/>
  <c r="S56" i="16"/>
  <c r="S57" i="16"/>
  <c r="S180" i="16"/>
  <c r="S185" i="16"/>
  <c r="S213" i="16"/>
  <c r="S221" i="16"/>
  <c r="S252" i="16"/>
  <c r="S181" i="16"/>
  <c r="S232" i="16"/>
  <c r="S217" i="16"/>
  <c r="S256" i="16"/>
  <c r="S261" i="16"/>
  <c r="S400" i="16"/>
  <c r="S204" i="16"/>
  <c r="S352" i="16"/>
  <c r="S2" i="16"/>
  <c r="R2" i="16" s="1"/>
  <c r="Q2" i="16" s="1"/>
  <c r="S74" i="16"/>
  <c r="S278" i="16"/>
  <c r="S378" i="16"/>
  <c r="S386" i="16"/>
  <c r="S231" i="16"/>
  <c r="S311" i="16"/>
  <c r="S367" i="16"/>
  <c r="S383" i="16"/>
  <c r="S387" i="16"/>
  <c r="S423" i="16"/>
  <c r="S277" i="16"/>
  <c r="S368" i="16"/>
  <c r="S373" i="16"/>
  <c r="S113" i="16"/>
  <c r="S360" i="16"/>
  <c r="S385" i="16"/>
  <c r="S372" i="16"/>
  <c r="S109" i="16"/>
  <c r="S369" i="16"/>
  <c r="S377" i="16"/>
  <c r="S392" i="16"/>
  <c r="S223" i="16"/>
  <c r="S78" i="16"/>
  <c r="S310" i="16"/>
  <c r="S326" i="16"/>
  <c r="S422" i="16"/>
  <c r="S211" i="16"/>
  <c r="S239" i="16"/>
  <c r="S351" i="16"/>
  <c r="S233" i="16"/>
  <c r="S308" i="16"/>
  <c r="S412" i="16"/>
  <c r="S356" i="16"/>
  <c r="S410" i="16"/>
  <c r="S295" i="16"/>
  <c r="S96" i="16"/>
  <c r="S126" i="16"/>
  <c r="S130" i="16"/>
  <c r="S115" i="16"/>
  <c r="S119" i="16"/>
  <c r="S123" i="16"/>
  <c r="S247" i="16"/>
  <c r="S125" i="16"/>
  <c r="S248" i="16"/>
  <c r="S129" i="16"/>
  <c r="S124" i="16"/>
  <c r="S18" i="16"/>
  <c r="S290" i="16"/>
  <c r="S346" i="16"/>
  <c r="S263" i="16"/>
  <c r="S48" i="16"/>
  <c r="S289" i="16"/>
  <c r="S94" i="16"/>
  <c r="S170" i="16"/>
  <c r="S266" i="16"/>
  <c r="S282" i="16"/>
  <c r="S406" i="16"/>
  <c r="S51" i="16"/>
  <c r="S391" i="16"/>
  <c r="S16" i="16"/>
  <c r="S20" i="16"/>
  <c r="S28" i="16"/>
  <c r="S41" i="16"/>
  <c r="S265" i="16"/>
  <c r="S260" i="16"/>
  <c r="S288" i="16"/>
  <c r="S300" i="16"/>
  <c r="S296" i="16"/>
  <c r="S417" i="16"/>
  <c r="S111" i="16"/>
  <c r="S122" i="16"/>
  <c r="S138" i="16"/>
  <c r="S146" i="16"/>
  <c r="S150" i="16"/>
  <c r="S154" i="16"/>
  <c r="S158" i="16"/>
  <c r="S174" i="16"/>
  <c r="S178" i="16"/>
  <c r="S194" i="16"/>
  <c r="S414" i="16"/>
  <c r="S135" i="16"/>
  <c r="S147" i="16"/>
  <c r="S151" i="16"/>
  <c r="S155" i="16"/>
  <c r="S159" i="16"/>
  <c r="S175" i="16"/>
  <c r="S179" i="16"/>
  <c r="S195" i="16"/>
  <c r="S140" i="16"/>
  <c r="S153" i="16"/>
  <c r="S128" i="16"/>
  <c r="S148" i="16"/>
  <c r="S156" i="16"/>
  <c r="S137" i="16"/>
  <c r="S149" i="16"/>
  <c r="S157" i="16"/>
  <c r="S389" i="16"/>
  <c r="S152" i="16"/>
  <c r="S428" i="16"/>
  <c r="S375" i="16"/>
  <c r="S64" i="16"/>
  <c r="S141" i="16"/>
  <c r="S134" i="16"/>
  <c r="S131" i="16"/>
  <c r="S112" i="16"/>
  <c r="S388" i="16"/>
  <c r="S54" i="16"/>
  <c r="S118" i="16"/>
  <c r="S176" i="16"/>
  <c r="S206" i="16"/>
  <c r="S230" i="16"/>
  <c r="S302" i="16"/>
  <c r="S395" i="16"/>
  <c r="S297" i="16"/>
  <c r="S173" i="16"/>
  <c r="S201" i="16"/>
  <c r="S381" i="16"/>
  <c r="S212" i="16"/>
  <c r="S420" i="16"/>
  <c r="S344" i="16"/>
  <c r="S6" i="16"/>
  <c r="Y6" i="16" s="1" a="1"/>
  <c r="Y6" i="16" s="1"/>
  <c r="S166" i="16"/>
  <c r="S182" i="16"/>
  <c r="S190" i="16"/>
  <c r="S198" i="16"/>
  <c r="S202" i="16"/>
  <c r="S222" i="16"/>
  <c r="S254" i="16"/>
  <c r="S262" i="16"/>
  <c r="S270" i="16"/>
  <c r="S31" i="16"/>
  <c r="S199" i="16"/>
  <c r="S259" i="16"/>
  <c r="S399" i="16"/>
  <c r="S44" i="16"/>
  <c r="S76" i="16"/>
  <c r="S100" i="16"/>
  <c r="S9" i="16"/>
  <c r="S33" i="16"/>
  <c r="S165" i="16"/>
  <c r="S197" i="16"/>
  <c r="S205" i="16"/>
  <c r="S229" i="16"/>
  <c r="S192" i="16"/>
  <c r="S200" i="16"/>
  <c r="S216" i="16"/>
  <c r="S224" i="16"/>
  <c r="S241" i="16"/>
  <c r="S189" i="16"/>
  <c r="S220" i="16"/>
  <c r="S269" i="16"/>
  <c r="S184" i="16"/>
  <c r="S429" i="16"/>
  <c r="S196" i="16"/>
  <c r="S105" i="16"/>
  <c r="S238" i="16"/>
  <c r="S298" i="16"/>
  <c r="S350" i="16"/>
  <c r="S271" i="16"/>
  <c r="S370" i="16"/>
  <c r="S127" i="16"/>
  <c r="S415" i="16"/>
  <c r="S427" i="16"/>
  <c r="S12" i="16"/>
  <c r="S404" i="16"/>
  <c r="S250" i="16"/>
  <c r="S11" i="16"/>
  <c r="S88" i="16"/>
  <c r="S419" i="16"/>
  <c r="S416" i="16"/>
  <c r="Z6" i="16" l="1" a="1"/>
  <c r="Z6" i="16" s="1"/>
  <c r="AA6" i="16" s="1" a="1"/>
  <c r="AA6" i="16" s="1"/>
  <c r="AB6" i="16" s="1" a="1"/>
  <c r="AB6" i="16" s="1"/>
  <c r="AC6" i="16" s="1" a="1"/>
  <c r="AC6" i="16" s="1"/>
  <c r="AD6" i="16" s="1" a="1"/>
  <c r="AD6" i="16" s="1"/>
  <c r="Y370" i="16" a="1"/>
  <c r="Y370" i="16" s="1"/>
  <c r="AE370" i="16"/>
  <c r="Y184" i="16" a="1"/>
  <c r="Y184" i="16" s="1"/>
  <c r="AE184" i="16"/>
  <c r="Y197" i="16" a="1"/>
  <c r="Y197" i="16" s="1"/>
  <c r="AE197" i="16"/>
  <c r="Y259" i="16" a="1"/>
  <c r="Y259" i="16" s="1"/>
  <c r="AE259" i="16"/>
  <c r="Y198" i="16" a="1"/>
  <c r="Y198" i="16" s="1"/>
  <c r="AE198" i="16"/>
  <c r="Y88" i="16" a="1"/>
  <c r="Y88" i="16" s="1"/>
  <c r="AE88" i="16"/>
  <c r="Y250" i="16" a="1"/>
  <c r="Y250" i="16" s="1"/>
  <c r="AE250" i="16"/>
  <c r="Y427" i="16" a="1"/>
  <c r="Y427" i="16" s="1"/>
  <c r="AE427" i="16"/>
  <c r="Y350" i="16" a="1"/>
  <c r="Y350" i="16" s="1"/>
  <c r="AE350" i="16"/>
  <c r="Y269" i="16" a="1"/>
  <c r="Y269" i="16" s="1"/>
  <c r="AE269" i="16"/>
  <c r="Y241" i="16" a="1"/>
  <c r="Y241" i="16" s="1"/>
  <c r="AE241" i="16"/>
  <c r="Y192" i="16" a="1"/>
  <c r="Y192" i="16" s="1"/>
  <c r="AE192" i="16"/>
  <c r="Y165" i="16" a="1"/>
  <c r="Y165" i="16" s="1"/>
  <c r="AE165" i="16"/>
  <c r="Y76" i="16" a="1"/>
  <c r="Y76" i="16" s="1"/>
  <c r="AE76" i="16"/>
  <c r="Y199" i="16" a="1"/>
  <c r="Y199" i="16" s="1"/>
  <c r="AE199" i="16"/>
  <c r="Y254" i="16" a="1"/>
  <c r="Y254" i="16" s="1"/>
  <c r="AE254" i="16"/>
  <c r="Y190" i="16" a="1"/>
  <c r="Y190" i="16" s="1"/>
  <c r="AE190" i="16"/>
  <c r="Y381" i="16" a="1"/>
  <c r="Y381" i="16" s="1"/>
  <c r="AE381" i="16"/>
  <c r="Y395" i="16" a="1"/>
  <c r="Y395" i="16" s="1"/>
  <c r="AE395" i="16"/>
  <c r="Y118" i="16" a="1"/>
  <c r="Y118" i="16" s="1"/>
  <c r="AE118" i="16"/>
  <c r="Y112" i="16" a="1"/>
  <c r="Y112" i="16" s="1"/>
  <c r="AE112" i="16"/>
  <c r="Y157" i="16" a="1"/>
  <c r="Y157" i="16" s="1"/>
  <c r="AE157" i="16"/>
  <c r="Y148" i="16" a="1"/>
  <c r="Y148" i="16" s="1"/>
  <c r="AE148" i="16"/>
  <c r="Y195" i="16" a="1"/>
  <c r="Y195" i="16" s="1"/>
  <c r="AE195" i="16"/>
  <c r="Y155" i="16" a="1"/>
  <c r="Y155" i="16" s="1"/>
  <c r="AE155" i="16"/>
  <c r="Y414" i="16" a="1"/>
  <c r="Y414" i="16" s="1"/>
  <c r="AE414" i="16"/>
  <c r="Y158" i="16" a="1"/>
  <c r="Y158" i="16" s="1"/>
  <c r="AE158" i="16"/>
  <c r="Y138" i="16" a="1"/>
  <c r="Y138" i="16" s="1"/>
  <c r="AE138" i="16"/>
  <c r="Y288" i="16" a="1"/>
  <c r="Y288" i="16" s="1"/>
  <c r="AE288" i="16"/>
  <c r="Y28" i="16" a="1"/>
  <c r="Y28" i="16" s="1"/>
  <c r="AE28" i="16"/>
  <c r="Y51" i="16" a="1"/>
  <c r="Y51" i="16" s="1"/>
  <c r="AE51" i="16"/>
  <c r="Y170" i="16" a="1"/>
  <c r="Y170" i="16" s="1"/>
  <c r="AE170" i="16"/>
  <c r="Y289" i="16" a="1"/>
  <c r="Y289" i="16" s="1"/>
  <c r="AE289" i="16"/>
  <c r="Y290" i="16" a="1"/>
  <c r="Y290" i="16" s="1"/>
  <c r="AE290" i="16"/>
  <c r="Y129" i="16" a="1"/>
  <c r="Y129" i="16" s="1"/>
  <c r="AE129" i="16"/>
  <c r="Y123" i="16" a="1"/>
  <c r="Y123" i="16" s="1"/>
  <c r="AE123" i="16"/>
  <c r="Y126" i="16" a="1"/>
  <c r="Y126" i="16" s="1"/>
  <c r="AE126" i="16"/>
  <c r="Y96" i="16" a="1"/>
  <c r="Y96" i="16" s="1"/>
  <c r="AE96" i="16"/>
  <c r="Y410" i="16" a="1"/>
  <c r="Y410" i="16" s="1"/>
  <c r="AE410" i="16"/>
  <c r="Y412" i="16" a="1"/>
  <c r="Y412" i="16" s="1"/>
  <c r="AE412" i="16"/>
  <c r="Y239" i="16" a="1"/>
  <c r="Y239" i="16" s="1"/>
  <c r="AE239" i="16"/>
  <c r="Y310" i="16" a="1"/>
  <c r="Y310" i="16" s="1"/>
  <c r="AE310" i="16"/>
  <c r="Y392" i="16" a="1"/>
  <c r="Y392" i="16" s="1"/>
  <c r="AE392" i="16"/>
  <c r="Y372" i="16" a="1"/>
  <c r="Y372" i="16" s="1"/>
  <c r="AE372" i="16"/>
  <c r="Y373" i="16" a="1"/>
  <c r="Y373" i="16" s="1"/>
  <c r="AE373" i="16"/>
  <c r="Y387" i="16" a="1"/>
  <c r="Y387" i="16" s="1"/>
  <c r="AE387" i="16"/>
  <c r="Y231" i="16" a="1"/>
  <c r="Y231" i="16" s="1"/>
  <c r="AE231" i="16"/>
  <c r="Y74" i="16" a="1"/>
  <c r="Y74" i="16" s="1"/>
  <c r="AE74" i="16"/>
  <c r="Y352" i="16" a="1"/>
  <c r="Y352" i="16" s="1"/>
  <c r="AE352" i="16"/>
  <c r="Y256" i="16" a="1"/>
  <c r="Y256" i="16" s="1"/>
  <c r="AE256" i="16"/>
  <c r="Y252" i="16" a="1"/>
  <c r="Y252" i="16" s="1"/>
  <c r="AE252" i="16"/>
  <c r="Y180" i="16" a="1"/>
  <c r="Y180" i="16" s="1"/>
  <c r="AE180" i="16"/>
  <c r="Y227" i="16" a="1"/>
  <c r="Y227" i="16" s="1"/>
  <c r="AE227" i="16"/>
  <c r="Y55" i="16" a="1"/>
  <c r="Y55" i="16" s="1"/>
  <c r="AE55" i="16"/>
  <c r="Y218" i="16" a="1"/>
  <c r="Y218" i="16" s="1"/>
  <c r="AE218" i="16"/>
  <c r="Y102" i="16" a="1"/>
  <c r="Y102" i="16" s="1"/>
  <c r="AE102" i="16"/>
  <c r="Y61" i="16" a="1"/>
  <c r="Y61" i="16" s="1"/>
  <c r="AE61" i="16"/>
  <c r="Y257" i="16" a="1"/>
  <c r="Y257" i="16" s="1"/>
  <c r="AE257" i="16"/>
  <c r="Y345" i="16" a="1"/>
  <c r="Y345" i="16" s="1"/>
  <c r="AE345" i="16"/>
  <c r="Y323" i="16" a="1"/>
  <c r="Y323" i="16" s="1"/>
  <c r="AE323" i="16"/>
  <c r="Y75" i="16" a="1"/>
  <c r="Y75" i="16" s="1"/>
  <c r="AE75" i="16"/>
  <c r="Y142" i="16" a="1"/>
  <c r="Y142" i="16" s="1"/>
  <c r="AE142" i="16"/>
  <c r="Y361" i="16" a="1"/>
  <c r="Y361" i="16" s="1"/>
  <c r="AE361" i="16"/>
  <c r="Y421" i="16" a="1"/>
  <c r="Y421" i="16" s="1"/>
  <c r="AE421" i="16"/>
  <c r="Y329" i="16" a="1"/>
  <c r="Y329" i="16" s="1"/>
  <c r="AE329" i="16"/>
  <c r="Y359" i="16" a="1"/>
  <c r="Y359" i="16" s="1"/>
  <c r="AE359" i="16"/>
  <c r="Y426" i="16" a="1"/>
  <c r="Y426" i="16" s="1"/>
  <c r="AE426" i="16"/>
  <c r="Y12" i="16" a="1"/>
  <c r="Y12" i="16" s="1"/>
  <c r="AE12" i="16"/>
  <c r="Y271" i="16" a="1"/>
  <c r="Y271" i="16" s="1"/>
  <c r="AE271" i="16"/>
  <c r="Y200" i="16" a="1"/>
  <c r="Y200" i="16" s="1"/>
  <c r="AE200" i="16"/>
  <c r="Y100" i="16" a="1"/>
  <c r="Y100" i="16" s="1"/>
  <c r="AE100" i="16"/>
  <c r="Y262" i="16" a="1"/>
  <c r="Y262" i="16" s="1"/>
  <c r="AE262" i="16"/>
  <c r="Y11" i="16" a="1"/>
  <c r="Y11" i="16" s="1"/>
  <c r="AE11" i="16"/>
  <c r="Y415" i="16" a="1"/>
  <c r="Y415" i="16" s="1"/>
  <c r="AE415" i="16"/>
  <c r="Y298" i="16" a="1"/>
  <c r="Y298" i="16" s="1"/>
  <c r="AE298" i="16"/>
  <c r="Y196" i="16" a="1"/>
  <c r="Y196" i="16" s="1"/>
  <c r="AE196" i="16"/>
  <c r="Y220" i="16" a="1"/>
  <c r="Y220" i="16" s="1"/>
  <c r="AE220" i="16"/>
  <c r="Y224" i="16" a="1"/>
  <c r="Y224" i="16" s="1"/>
  <c r="AE224" i="16"/>
  <c r="Y229" i="16" a="1"/>
  <c r="Y229" i="16" s="1"/>
  <c r="AE229" i="16"/>
  <c r="Y33" i="16" a="1"/>
  <c r="Y33" i="16" s="1"/>
  <c r="AE33" i="16"/>
  <c r="Y44" i="16" a="1"/>
  <c r="Y44" i="16" s="1"/>
  <c r="AE44" i="16"/>
  <c r="Y31" i="16" a="1"/>
  <c r="Y31" i="16" s="1"/>
  <c r="AE31" i="16"/>
  <c r="Y222" i="16" a="1"/>
  <c r="Y222" i="16" s="1"/>
  <c r="AE222" i="16"/>
  <c r="Y182" i="16" a="1"/>
  <c r="Y182" i="16" s="1"/>
  <c r="AE182" i="16"/>
  <c r="Y344" i="16" a="1"/>
  <c r="Y344" i="16" s="1"/>
  <c r="AE344" i="16"/>
  <c r="Y201" i="16" a="1"/>
  <c r="Y201" i="16" s="1"/>
  <c r="AE201" i="16"/>
  <c r="Y302" i="16" a="1"/>
  <c r="Y302" i="16" s="1"/>
  <c r="AE302" i="16"/>
  <c r="Y54" i="16" a="1"/>
  <c r="Y54" i="16" s="1"/>
  <c r="AE54" i="16"/>
  <c r="Y131" i="16" a="1"/>
  <c r="Y131" i="16" s="1"/>
  <c r="AE131" i="16"/>
  <c r="Y141" i="16" a="1"/>
  <c r="Y141" i="16" s="1"/>
  <c r="AE141" i="16"/>
  <c r="Y428" i="16" a="1"/>
  <c r="Y428" i="16" s="1"/>
  <c r="AE428" i="16"/>
  <c r="Y149" i="16" a="1"/>
  <c r="Y149" i="16" s="1"/>
  <c r="AE149" i="16"/>
  <c r="Y128" i="16" a="1"/>
  <c r="Y128" i="16" s="1"/>
  <c r="AE128" i="16"/>
  <c r="Y179" i="16" a="1"/>
  <c r="Y179" i="16" s="1"/>
  <c r="AE179" i="16"/>
  <c r="Y151" i="16" a="1"/>
  <c r="Y151" i="16" s="1"/>
  <c r="AE151" i="16"/>
  <c r="Y194" i="16" a="1"/>
  <c r="Y194" i="16" s="1"/>
  <c r="AE194" i="16"/>
  <c r="Y154" i="16" a="1"/>
  <c r="Y154" i="16" s="1"/>
  <c r="AE154" i="16"/>
  <c r="Y122" i="16" a="1"/>
  <c r="Y122" i="16" s="1"/>
  <c r="AE122" i="16"/>
  <c r="Y111" i="16" a="1"/>
  <c r="Y111" i="16" s="1"/>
  <c r="AE111" i="16"/>
  <c r="Y417" i="16" a="1"/>
  <c r="Y417" i="16" s="1"/>
  <c r="AE417" i="16"/>
  <c r="Y260" i="16" a="1"/>
  <c r="Y260" i="16" s="1"/>
  <c r="AE260" i="16"/>
  <c r="Y20" i="16" a="1"/>
  <c r="Y20" i="16" s="1"/>
  <c r="AE20" i="16"/>
  <c r="Y406" i="16" a="1"/>
  <c r="Y406" i="16" s="1"/>
  <c r="AE406" i="16"/>
  <c r="Y94" i="16" a="1"/>
  <c r="Y94" i="16" s="1"/>
  <c r="AE94" i="16"/>
  <c r="Y48" i="16" a="1"/>
  <c r="Y48" i="16" s="1"/>
  <c r="AE48" i="16"/>
  <c r="Y18" i="16" a="1"/>
  <c r="Y18" i="16" s="1"/>
  <c r="AE18" i="16"/>
  <c r="Y248" i="16" a="1"/>
  <c r="Y248" i="16" s="1"/>
  <c r="AE248" i="16"/>
  <c r="Y119" i="16" a="1"/>
  <c r="Y119" i="16" s="1"/>
  <c r="AE119" i="16"/>
  <c r="Y308" i="16" a="1"/>
  <c r="Y308" i="16" s="1"/>
  <c r="AE308" i="16"/>
  <c r="Y211" i="16" a="1"/>
  <c r="Y211" i="16" s="1"/>
  <c r="AE211" i="16"/>
  <c r="Y78" i="16" a="1"/>
  <c r="Y78" i="16" s="1"/>
  <c r="AE78" i="16"/>
  <c r="Y377" i="16" a="1"/>
  <c r="Y377" i="16" s="1"/>
  <c r="AE377" i="16"/>
  <c r="Y385" i="16" a="1"/>
  <c r="Y385" i="16" s="1"/>
  <c r="AE385" i="16"/>
  <c r="Y368" i="16" a="1"/>
  <c r="Y368" i="16" s="1"/>
  <c r="AE368" i="16"/>
  <c r="Y383" i="16" a="1"/>
  <c r="Y383" i="16" s="1"/>
  <c r="AE383" i="16"/>
  <c r="Y386" i="16" a="1"/>
  <c r="Y386" i="16" s="1"/>
  <c r="AE386" i="16"/>
  <c r="Y204" i="16" a="1"/>
  <c r="Y204" i="16" s="1"/>
  <c r="AE204" i="16"/>
  <c r="Y217" i="16" a="1"/>
  <c r="Y217" i="16" s="1"/>
  <c r="AE217" i="16"/>
  <c r="Y221" i="16" a="1"/>
  <c r="Y221" i="16" s="1"/>
  <c r="AE221" i="16"/>
  <c r="Y57" i="16" a="1"/>
  <c r="Y57" i="16" s="1"/>
  <c r="AE57" i="16"/>
  <c r="Y215" i="16" a="1"/>
  <c r="Y215" i="16" s="1"/>
  <c r="AE215" i="16"/>
  <c r="Y242" i="16" a="1"/>
  <c r="Y242" i="16" s="1"/>
  <c r="AE242" i="16"/>
  <c r="Y214" i="16" a="1"/>
  <c r="Y214" i="16" s="1"/>
  <c r="AE214" i="16"/>
  <c r="Y376" i="16" a="1"/>
  <c r="Y376" i="16" s="1"/>
  <c r="AE376" i="16"/>
  <c r="Y219" i="16" a="1"/>
  <c r="Y219" i="16" s="1"/>
  <c r="AE219" i="16"/>
  <c r="Y172" i="16" a="1"/>
  <c r="Y172" i="16" s="1"/>
  <c r="AE172" i="16"/>
  <c r="Y244" i="16" a="1"/>
  <c r="Y244" i="16" s="1"/>
  <c r="AE244" i="16"/>
  <c r="Y348" i="16" a="1"/>
  <c r="Y348" i="16" s="1"/>
  <c r="AE348" i="16"/>
  <c r="Y347" i="16" a="1"/>
  <c r="Y347" i="16" s="1"/>
  <c r="AE347" i="16"/>
  <c r="Y307" i="16" a="1"/>
  <c r="Y307" i="16" s="1"/>
  <c r="AE307" i="16"/>
  <c r="AE338" i="16"/>
  <c r="Y46" i="16" a="1"/>
  <c r="Y46" i="16" s="1"/>
  <c r="AE46" i="16"/>
  <c r="Y413" i="16" a="1"/>
  <c r="Y413" i="16" s="1"/>
  <c r="AE413" i="16"/>
  <c r="Y408" i="16" a="1"/>
  <c r="Y408" i="16" s="1"/>
  <c r="AE408" i="16"/>
  <c r="Y333" i="16" a="1"/>
  <c r="Y333" i="16" s="1"/>
  <c r="AE333" i="16"/>
  <c r="Y331" i="16" a="1"/>
  <c r="Y331" i="16" s="1"/>
  <c r="AE331" i="16"/>
  <c r="Y398" i="16" a="1"/>
  <c r="Y398" i="16" s="1"/>
  <c r="AE398" i="16"/>
  <c r="Y419" i="16" a="1"/>
  <c r="Y419" i="16" s="1"/>
  <c r="AE419" i="16"/>
  <c r="Y105" i="16" a="1"/>
  <c r="Y105" i="16" s="1"/>
  <c r="AE105" i="16"/>
  <c r="Y416" i="16" a="1"/>
  <c r="Y416" i="16" s="1"/>
  <c r="AE416" i="16"/>
  <c r="Y404" i="16" a="1"/>
  <c r="Y404" i="16" s="1"/>
  <c r="AE404" i="16"/>
  <c r="Y127" i="16" a="1"/>
  <c r="Y127" i="16" s="1"/>
  <c r="AE127" i="16"/>
  <c r="Y238" i="16" a="1"/>
  <c r="Y238" i="16" s="1"/>
  <c r="AE238" i="16"/>
  <c r="Y429" i="16" a="1"/>
  <c r="Y429" i="16" s="1"/>
  <c r="AE429" i="16"/>
  <c r="Y189" i="16" a="1"/>
  <c r="Y189" i="16" s="1"/>
  <c r="AE189" i="16"/>
  <c r="Y216" i="16" a="1"/>
  <c r="Y216" i="16" s="1"/>
  <c r="AE216" i="16"/>
  <c r="Y205" i="16" a="1"/>
  <c r="Y205" i="16" s="1"/>
  <c r="AE205" i="16"/>
  <c r="Y9" i="16" a="1"/>
  <c r="Y9" i="16" s="1"/>
  <c r="AE9" i="16"/>
  <c r="Y399" i="16" a="1"/>
  <c r="Y399" i="16" s="1"/>
  <c r="AE399" i="16"/>
  <c r="Y270" i="16" a="1"/>
  <c r="Y270" i="16" s="1"/>
  <c r="AE270" i="16"/>
  <c r="Y202" i="16" a="1"/>
  <c r="Y202" i="16" s="1"/>
  <c r="AE202" i="16"/>
  <c r="Y166" i="16" a="1"/>
  <c r="Y166" i="16" s="1"/>
  <c r="AE166" i="16"/>
  <c r="Y420" i="16" a="1"/>
  <c r="Y420" i="16" s="1"/>
  <c r="AE420" i="16"/>
  <c r="Y173" i="16" a="1"/>
  <c r="Y173" i="16" s="1"/>
  <c r="AE173" i="16"/>
  <c r="Y230" i="16" a="1"/>
  <c r="Y230" i="16" s="1"/>
  <c r="AE230" i="16"/>
  <c r="Y134" i="16" a="1"/>
  <c r="Y134" i="16" s="1"/>
  <c r="AE134" i="16"/>
  <c r="Y64" i="16" a="1"/>
  <c r="Y64" i="16" s="1"/>
  <c r="AE64" i="16"/>
  <c r="Y152" i="16" a="1"/>
  <c r="Y152" i="16" s="1"/>
  <c r="AE152" i="16"/>
  <c r="Y137" i="16" a="1"/>
  <c r="Y137" i="16" s="1"/>
  <c r="AE137" i="16"/>
  <c r="Y153" i="16" a="1"/>
  <c r="Y153" i="16" s="1"/>
  <c r="AE153" i="16"/>
  <c r="Y175" i="16" a="1"/>
  <c r="Y175" i="16" s="1"/>
  <c r="AE175" i="16"/>
  <c r="Y147" i="16" a="1"/>
  <c r="Y147" i="16" s="1"/>
  <c r="AE147" i="16"/>
  <c r="Y178" i="16" a="1"/>
  <c r="Y178" i="16" s="1"/>
  <c r="AE178" i="16"/>
  <c r="Y150" i="16" a="1"/>
  <c r="Y150" i="16" s="1"/>
  <c r="AE150" i="16"/>
  <c r="Y296" i="16" a="1"/>
  <c r="Y296" i="16" s="1"/>
  <c r="AE296" i="16"/>
  <c r="Y265" i="16" a="1"/>
  <c r="Y265" i="16" s="1"/>
  <c r="AE265" i="16"/>
  <c r="Y16" i="16" a="1"/>
  <c r="Y16" i="16" s="1"/>
  <c r="AE16" i="16"/>
  <c r="Y282" i="16" a="1"/>
  <c r="Y282" i="16" s="1"/>
  <c r="AE282" i="16"/>
  <c r="Y263" i="16" a="1"/>
  <c r="Y263" i="16" s="1"/>
  <c r="AE263" i="16"/>
  <c r="Y125" i="16" a="1"/>
  <c r="Y125" i="16" s="1"/>
  <c r="AE125" i="16"/>
  <c r="Y115" i="16" a="1"/>
  <c r="Y115" i="16" s="1"/>
  <c r="AE115" i="16"/>
  <c r="Y233" i="16" a="1"/>
  <c r="Y233" i="16" s="1"/>
  <c r="AE233" i="16"/>
  <c r="Y422" i="16" a="1"/>
  <c r="Y422" i="16" s="1"/>
  <c r="AE422" i="16"/>
  <c r="Y369" i="16" a="1"/>
  <c r="Y369" i="16" s="1"/>
  <c r="AE369" i="16"/>
  <c r="Y360" i="16" a="1"/>
  <c r="Y360" i="16" s="1"/>
  <c r="AE360" i="16"/>
  <c r="Y277" i="16" a="1"/>
  <c r="Y277" i="16" s="1"/>
  <c r="AE277" i="16"/>
  <c r="Y367" i="16" a="1"/>
  <c r="Y367" i="16" s="1"/>
  <c r="AE367" i="16"/>
  <c r="Y378" i="16" a="1"/>
  <c r="Y378" i="16" s="1"/>
  <c r="AE378" i="16"/>
  <c r="Y400" i="16" a="1"/>
  <c r="Y400" i="16" s="1"/>
  <c r="AE400" i="16"/>
  <c r="Y232" i="16" a="1"/>
  <c r="Y232" i="16" s="1"/>
  <c r="AE232" i="16"/>
  <c r="Y213" i="16" a="1"/>
  <c r="Y213" i="16" s="1"/>
  <c r="AE213" i="16"/>
  <c r="Y56" i="16" a="1"/>
  <c r="Y56" i="16" s="1"/>
  <c r="AE56" i="16"/>
  <c r="Y207" i="16" a="1"/>
  <c r="Y207" i="16" s="1"/>
  <c r="AE207" i="16"/>
  <c r="Y234" i="16" a="1"/>
  <c r="Y234" i="16" s="1"/>
  <c r="AE234" i="16"/>
  <c r="Y210" i="16" a="1"/>
  <c r="Y210" i="16" s="1"/>
  <c r="AE210" i="16"/>
  <c r="Y380" i="16" a="1"/>
  <c r="Y380" i="16" s="1"/>
  <c r="AE380" i="16"/>
  <c r="Y235" i="16" a="1"/>
  <c r="Y235" i="16" s="1"/>
  <c r="AE235" i="16"/>
  <c r="Y50" i="16" a="1"/>
  <c r="Y50" i="16" s="1"/>
  <c r="AE50" i="16"/>
  <c r="Y228" i="16" a="1"/>
  <c r="Y228" i="16" s="1"/>
  <c r="AE228" i="16"/>
  <c r="Y342" i="16" a="1"/>
  <c r="Y342" i="16" s="1"/>
  <c r="AE342" i="16"/>
  <c r="Y337" i="16" a="1"/>
  <c r="Y337" i="16" s="1"/>
  <c r="AE337" i="16"/>
  <c r="Y317" i="16" a="1"/>
  <c r="Y317" i="16" s="1"/>
  <c r="AE317" i="16"/>
  <c r="Y339" i="16" a="1"/>
  <c r="Y339" i="16" s="1"/>
  <c r="AE339" i="16"/>
  <c r="Y299" i="16" a="1"/>
  <c r="Y299" i="16" s="1"/>
  <c r="AE299" i="16"/>
  <c r="Y306" i="16" a="1"/>
  <c r="Y306" i="16" s="1"/>
  <c r="AE306" i="16"/>
  <c r="Y364" i="16" a="1"/>
  <c r="Y364" i="16" s="1"/>
  <c r="AE364" i="16"/>
  <c r="Y309" i="16" a="1"/>
  <c r="Y309" i="16" s="1"/>
  <c r="AE309" i="16"/>
  <c r="Y407" i="16" a="1"/>
  <c r="Y407" i="16" s="1"/>
  <c r="AE407" i="16"/>
  <c r="Y327" i="16" a="1"/>
  <c r="Y327" i="16" s="1"/>
  <c r="AE327" i="16"/>
  <c r="Y362" i="16" a="1"/>
  <c r="Y362" i="16" s="1"/>
  <c r="AE362" i="16"/>
  <c r="Y212" i="16" a="1"/>
  <c r="Y212" i="16" s="1"/>
  <c r="AE212" i="16"/>
  <c r="Y297" i="16" a="1"/>
  <c r="Y297" i="16" s="1"/>
  <c r="AE297" i="16"/>
  <c r="Y206" i="16" a="1"/>
  <c r="Y206" i="16" s="1"/>
  <c r="AE206" i="16"/>
  <c r="Y176" i="16" a="1"/>
  <c r="Y176" i="16" s="1"/>
  <c r="AE176" i="16"/>
  <c r="Y388" i="16" a="1"/>
  <c r="Y388" i="16" s="1"/>
  <c r="AE388" i="16"/>
  <c r="Y375" i="16" a="1"/>
  <c r="Y375" i="16" s="1"/>
  <c r="AE375" i="16"/>
  <c r="Y389" i="16" a="1"/>
  <c r="Y389" i="16" s="1"/>
  <c r="AE389" i="16"/>
  <c r="Y156" i="16" a="1"/>
  <c r="Y156" i="16" s="1"/>
  <c r="AE156" i="16"/>
  <c r="Y140" i="16" a="1"/>
  <c r="Y140" i="16" s="1"/>
  <c r="AE140" i="16"/>
  <c r="Y159" i="16" a="1"/>
  <c r="Y159" i="16" s="1"/>
  <c r="AE159" i="16"/>
  <c r="Y135" i="16" a="1"/>
  <c r="Y135" i="16" s="1"/>
  <c r="AE135" i="16"/>
  <c r="Y174" i="16" a="1"/>
  <c r="Y174" i="16" s="1"/>
  <c r="AE174" i="16"/>
  <c r="Y146" i="16" a="1"/>
  <c r="Y146" i="16" s="1"/>
  <c r="AE146" i="16"/>
  <c r="Y300" i="16" a="1"/>
  <c r="Y300" i="16" s="1"/>
  <c r="AE300" i="16"/>
  <c r="Y41" i="16" a="1"/>
  <c r="Y41" i="16" s="1"/>
  <c r="AE41" i="16"/>
  <c r="Y391" i="16" a="1"/>
  <c r="Y391" i="16" s="1"/>
  <c r="AE391" i="16"/>
  <c r="Y266" i="16" a="1"/>
  <c r="Y266" i="16" s="1"/>
  <c r="AE266" i="16"/>
  <c r="Y346" i="16" a="1"/>
  <c r="Y346" i="16" s="1"/>
  <c r="AE346" i="16"/>
  <c r="Y124" i="16" a="1"/>
  <c r="Y124" i="16" s="1"/>
  <c r="AE124" i="16"/>
  <c r="Y247" i="16" a="1"/>
  <c r="Y247" i="16" s="1"/>
  <c r="AE247" i="16"/>
  <c r="Y130" i="16" a="1"/>
  <c r="Y130" i="16" s="1"/>
  <c r="AE130" i="16"/>
  <c r="Y295" i="16" a="1"/>
  <c r="Y295" i="16" s="1"/>
  <c r="AE295" i="16"/>
  <c r="Y356" i="16" a="1"/>
  <c r="Y356" i="16" s="1"/>
  <c r="AE356" i="16"/>
  <c r="Y351" i="16" a="1"/>
  <c r="Y351" i="16" s="1"/>
  <c r="AE351" i="16"/>
  <c r="Y326" i="16" a="1"/>
  <c r="Y326" i="16" s="1"/>
  <c r="AE326" i="16"/>
  <c r="Y223" i="16" a="1"/>
  <c r="Y223" i="16" s="1"/>
  <c r="AE223" i="16"/>
  <c r="Y109" i="16" a="1"/>
  <c r="Y109" i="16" s="1"/>
  <c r="AE109" i="16"/>
  <c r="Y113" i="16" a="1"/>
  <c r="Y113" i="16" s="1"/>
  <c r="AE113" i="16"/>
  <c r="Y423" i="16" a="1"/>
  <c r="Y423" i="16" s="1"/>
  <c r="AE423" i="16"/>
  <c r="Y311" i="16" a="1"/>
  <c r="Y311" i="16" s="1"/>
  <c r="AE311" i="16"/>
  <c r="Y278" i="16" a="1"/>
  <c r="Y278" i="16" s="1"/>
  <c r="AE278" i="16"/>
  <c r="Y261" i="16" a="1"/>
  <c r="Y261" i="16" s="1"/>
  <c r="AE261" i="16"/>
  <c r="Y181" i="16" a="1"/>
  <c r="Y181" i="16" s="1"/>
  <c r="AE181" i="16"/>
  <c r="Y185" i="16" a="1"/>
  <c r="Y185" i="16" s="1"/>
  <c r="AE185" i="16"/>
  <c r="Y255" i="16" a="1"/>
  <c r="Y255" i="16" s="1"/>
  <c r="AE255" i="16"/>
  <c r="Y203" i="16" a="1"/>
  <c r="Y203" i="16" s="1"/>
  <c r="AE203" i="16"/>
  <c r="Y226" i="16" a="1"/>
  <c r="Y226" i="16" s="1"/>
  <c r="AE226" i="16"/>
  <c r="Y186" i="16" a="1"/>
  <c r="Y186" i="16" s="1"/>
  <c r="AE186" i="16"/>
  <c r="Y246" i="16" a="1"/>
  <c r="Y246" i="16" s="1"/>
  <c r="AE246" i="16"/>
  <c r="Y160" i="16" a="1"/>
  <c r="Y160" i="16" s="1"/>
  <c r="AE160" i="16"/>
  <c r="Y328" i="16" a="1"/>
  <c r="Y328" i="16" s="1"/>
  <c r="AE328" i="16"/>
  <c r="Y284" i="16" a="1"/>
  <c r="Y284" i="16" s="1"/>
  <c r="AE284" i="16"/>
  <c r="Y335" i="16" a="1"/>
  <c r="Y335" i="16" s="1"/>
  <c r="AE335" i="16"/>
  <c r="Y167" i="16" a="1"/>
  <c r="Y167" i="16" s="1"/>
  <c r="AE167" i="16"/>
  <c r="Y274" i="16" a="1"/>
  <c r="Y274" i="16" s="1"/>
  <c r="AE274" i="16"/>
  <c r="Y397" i="16" a="1"/>
  <c r="Y397" i="16" s="1"/>
  <c r="AE397" i="16"/>
  <c r="Y332" i="16" a="1"/>
  <c r="Y332" i="16" s="1"/>
  <c r="AE332" i="16"/>
  <c r="Y365" i="16" a="1"/>
  <c r="Y365" i="16" s="1"/>
  <c r="AE365" i="16"/>
  <c r="Y403" i="16" a="1"/>
  <c r="Y403" i="16" s="1"/>
  <c r="AE403" i="16"/>
  <c r="Y243" i="16" a="1"/>
  <c r="Y243" i="16" s="1"/>
  <c r="AE243" i="16"/>
  <c r="Y330" i="16" a="1"/>
  <c r="Y330" i="16" s="1"/>
  <c r="AE330" i="16"/>
  <c r="P2" i="16"/>
  <c r="AE2" i="16" s="1"/>
  <c r="Z403" i="16" l="1" a="1"/>
  <c r="Z403" i="16" s="1"/>
  <c r="AA403" i="16" s="1" a="1"/>
  <c r="AA403" i="16" s="1"/>
  <c r="AB403" i="16" s="1" a="1"/>
  <c r="AB403" i="16" s="1"/>
  <c r="AC403" i="16" s="1" a="1"/>
  <c r="AC403" i="16" s="1"/>
  <c r="AD403" i="16" s="1" a="1"/>
  <c r="AD403" i="16" s="1"/>
  <c r="Z328" i="16" a="1"/>
  <c r="Z328" i="16" s="1"/>
  <c r="AA328" i="16" s="1" a="1"/>
  <c r="AA328" i="16" s="1"/>
  <c r="AB328" i="16" s="1" a="1"/>
  <c r="AB328" i="16" s="1"/>
  <c r="AC328" i="16" s="1" a="1"/>
  <c r="AC328" i="16" s="1"/>
  <c r="AD328" i="16" s="1" a="1"/>
  <c r="AD328" i="16" s="1"/>
  <c r="Z339" i="16" a="1"/>
  <c r="Z339" i="16" s="1"/>
  <c r="AA339" i="16" s="1" a="1"/>
  <c r="AA339" i="16" s="1"/>
  <c r="AB339" i="16" s="1" a="1"/>
  <c r="AB339" i="16" s="1"/>
  <c r="AC339" i="16" s="1" a="1"/>
  <c r="AC339" i="16" s="1"/>
  <c r="AD339" i="16" s="1" a="1"/>
  <c r="AD339" i="16" s="1"/>
  <c r="Z365" i="16" a="1"/>
  <c r="Z365" i="16" s="1"/>
  <c r="AA365" i="16" s="1" a="1"/>
  <c r="AA365" i="16" s="1"/>
  <c r="AB365" i="16" s="1" a="1"/>
  <c r="AB365" i="16" s="1"/>
  <c r="AC365" i="16" s="1" a="1"/>
  <c r="AC365" i="16" s="1"/>
  <c r="AD365" i="16" s="1" a="1"/>
  <c r="AD365" i="16" s="1"/>
  <c r="Z167" i="16" a="1"/>
  <c r="Z167" i="16" s="1"/>
  <c r="AA167" i="16" s="1" a="1"/>
  <c r="AA167" i="16" s="1"/>
  <c r="AB167" i="16" s="1" a="1"/>
  <c r="AB167" i="16" s="1"/>
  <c r="AC167" i="16" s="1" a="1"/>
  <c r="AC167" i="16" s="1"/>
  <c r="AD167" i="16" s="1" a="1"/>
  <c r="AD167" i="16" s="1"/>
  <c r="Z160" i="16" a="1"/>
  <c r="Z160" i="16" s="1"/>
  <c r="AA160" i="16" s="1" a="1"/>
  <c r="AA160" i="16" s="1"/>
  <c r="AB160" i="16" s="1" a="1"/>
  <c r="AB160" i="16" s="1"/>
  <c r="AC160" i="16" s="1" a="1"/>
  <c r="AC160" i="16" s="1"/>
  <c r="AD160" i="16" s="1" a="1"/>
  <c r="AD160" i="16" s="1"/>
  <c r="Z203" i="16" a="1"/>
  <c r="Z203" i="16" s="1"/>
  <c r="AA203" i="16" s="1" a="1"/>
  <c r="AA203" i="16" s="1"/>
  <c r="AB203" i="16" s="1" a="1"/>
  <c r="AB203" i="16" s="1"/>
  <c r="AC203" i="16" s="1" a="1"/>
  <c r="AC203" i="16" s="1"/>
  <c r="AD203" i="16" s="1" a="1"/>
  <c r="AD203" i="16" s="1"/>
  <c r="Z261" i="16" a="1"/>
  <c r="Z261" i="16" s="1"/>
  <c r="AA261" i="16" s="1" a="1"/>
  <c r="AA261" i="16" s="1"/>
  <c r="AB261" i="16" s="1" a="1"/>
  <c r="AB261" i="16" s="1"/>
  <c r="AC261" i="16" s="1" a="1"/>
  <c r="AC261" i="16" s="1"/>
  <c r="AD261" i="16" s="1" a="1"/>
  <c r="AD261" i="16" s="1"/>
  <c r="Z113" i="16" a="1"/>
  <c r="Z113" i="16" s="1"/>
  <c r="AA113" i="16" s="1" a="1"/>
  <c r="AA113" i="16" s="1"/>
  <c r="AB113" i="16" s="1" a="1"/>
  <c r="AB113" i="16" s="1"/>
  <c r="AC113" i="16" s="1" a="1"/>
  <c r="AC113" i="16" s="1"/>
  <c r="AD113" i="16" s="1" a="1"/>
  <c r="AD113" i="16" s="1"/>
  <c r="Z351" i="16" a="1"/>
  <c r="Z351" i="16" s="1"/>
  <c r="AA351" i="16" s="1" a="1"/>
  <c r="AA351" i="16" s="1"/>
  <c r="AB351" i="16" s="1" a="1"/>
  <c r="AB351" i="16" s="1"/>
  <c r="AC351" i="16" s="1" a="1"/>
  <c r="AC351" i="16" s="1"/>
  <c r="AD351" i="16" s="1" a="1"/>
  <c r="AD351" i="16" s="1"/>
  <c r="Z247" i="16" a="1"/>
  <c r="Z247" i="16" s="1"/>
  <c r="AA247" i="16" s="1" a="1"/>
  <c r="AA247" i="16" s="1"/>
  <c r="AB247" i="16" s="1" a="1"/>
  <c r="AB247" i="16" s="1"/>
  <c r="AC247" i="16" s="1" a="1"/>
  <c r="AC247" i="16" s="1"/>
  <c r="AD247" i="16" s="1" a="1"/>
  <c r="AD247" i="16" s="1"/>
  <c r="Z391" i="16" a="1"/>
  <c r="Z391" i="16" s="1"/>
  <c r="AA391" i="16" s="1" a="1"/>
  <c r="AA391" i="16" s="1"/>
  <c r="AB391" i="16" s="1" a="1"/>
  <c r="AB391" i="16" s="1"/>
  <c r="AC391" i="16" s="1" a="1"/>
  <c r="AC391" i="16" s="1"/>
  <c r="AD391" i="16" s="1" a="1"/>
  <c r="AD391" i="16" s="1"/>
  <c r="Z174" i="16" a="1"/>
  <c r="Z174" i="16" s="1"/>
  <c r="AA174" i="16" s="1" a="1"/>
  <c r="AA174" i="16" s="1"/>
  <c r="AB174" i="16" s="1" a="1"/>
  <c r="AB174" i="16" s="1"/>
  <c r="AC174" i="16" s="1" a="1"/>
  <c r="AC174" i="16" s="1"/>
  <c r="AD174" i="16" s="1" a="1"/>
  <c r="AD174" i="16" s="1"/>
  <c r="Z156" i="16" a="1"/>
  <c r="Z156" i="16" s="1"/>
  <c r="AA156" i="16" s="1" a="1"/>
  <c r="AA156" i="16" s="1"/>
  <c r="AB156" i="16" s="1" a="1"/>
  <c r="AB156" i="16" s="1"/>
  <c r="AC156" i="16" s="1" a="1"/>
  <c r="AC156" i="16" s="1"/>
  <c r="AD156" i="16" s="1" a="1"/>
  <c r="AD156" i="16" s="1"/>
  <c r="Z176" i="16" a="1"/>
  <c r="Z176" i="16" s="1"/>
  <c r="AA176" i="16" s="1" a="1"/>
  <c r="AA176" i="16" s="1"/>
  <c r="AB176" i="16" s="1" a="1"/>
  <c r="AB176" i="16" s="1"/>
  <c r="AC176" i="16" s="1" a="1"/>
  <c r="AC176" i="16" s="1"/>
  <c r="AD176" i="16" s="1" a="1"/>
  <c r="AD176" i="16" s="1"/>
  <c r="Z362" i="16" a="1"/>
  <c r="Z362" i="16" s="1"/>
  <c r="AA362" i="16" s="1" a="1"/>
  <c r="AA362" i="16" s="1"/>
  <c r="AB362" i="16" s="1" a="1"/>
  <c r="AB362" i="16" s="1"/>
  <c r="AC362" i="16" s="1" a="1"/>
  <c r="AC362" i="16" s="1"/>
  <c r="AD362" i="16" s="1" a="1"/>
  <c r="AD362" i="16" s="1"/>
  <c r="Z364" i="16" a="1"/>
  <c r="Z364" i="16" s="1"/>
  <c r="AA364" i="16" s="1" a="1"/>
  <c r="AA364" i="16" s="1"/>
  <c r="AB364" i="16" s="1" a="1"/>
  <c r="AB364" i="16" s="1"/>
  <c r="AC364" i="16" s="1" a="1"/>
  <c r="AC364" i="16" s="1"/>
  <c r="AD364" i="16" s="1" a="1"/>
  <c r="AD364" i="16" s="1"/>
  <c r="Z317" i="16" a="1"/>
  <c r="Z317" i="16" s="1"/>
  <c r="AA317" i="16" s="1" a="1"/>
  <c r="AA317" i="16" s="1"/>
  <c r="AB317" i="16" s="1" a="1"/>
  <c r="AB317" i="16" s="1"/>
  <c r="AC317" i="16" s="1" a="1"/>
  <c r="AC317" i="16" s="1"/>
  <c r="AD317" i="16" s="1" a="1"/>
  <c r="AD317" i="16" s="1"/>
  <c r="Z50" i="16" a="1"/>
  <c r="Z50" i="16" s="1"/>
  <c r="AA50" i="16" s="1" a="1"/>
  <c r="AA50" i="16" s="1"/>
  <c r="AB50" i="16" s="1" a="1"/>
  <c r="AB50" i="16" s="1"/>
  <c r="AC50" i="16" s="1" a="1"/>
  <c r="AC50" i="16" s="1"/>
  <c r="AD50" i="16" s="1" a="1"/>
  <c r="AD50" i="16" s="1"/>
  <c r="Z234" i="16" a="1"/>
  <c r="Z234" i="16" s="1"/>
  <c r="AA234" i="16" s="1" a="1"/>
  <c r="AA234" i="16" s="1"/>
  <c r="AB234" i="16" s="1" a="1"/>
  <c r="AB234" i="16" s="1"/>
  <c r="AC234" i="16" s="1" a="1"/>
  <c r="AC234" i="16" s="1"/>
  <c r="AD234" i="16" s="1" a="1"/>
  <c r="AD234" i="16" s="1"/>
  <c r="Z232" i="16" a="1"/>
  <c r="Z232" i="16" s="1"/>
  <c r="AA232" i="16" s="1" a="1"/>
  <c r="AA232" i="16" s="1"/>
  <c r="AB232" i="16" s="1" a="1"/>
  <c r="AB232" i="16" s="1"/>
  <c r="AC232" i="16" s="1" a="1"/>
  <c r="AC232" i="16" s="1"/>
  <c r="AD232" i="16" s="1" a="1"/>
  <c r="AD232" i="16" s="1"/>
  <c r="Z277" i="16" a="1"/>
  <c r="Z277" i="16" s="1"/>
  <c r="AA277" i="16" s="1" a="1"/>
  <c r="AA277" i="16" s="1"/>
  <c r="AB277" i="16" s="1" a="1"/>
  <c r="AB277" i="16" s="1"/>
  <c r="AC277" i="16" s="1" a="1"/>
  <c r="AC277" i="16" s="1"/>
  <c r="AD277" i="16" s="1" a="1"/>
  <c r="AD277" i="16" s="1"/>
  <c r="Z233" i="16" a="1"/>
  <c r="Z233" i="16" s="1"/>
  <c r="AA233" i="16" s="1" a="1"/>
  <c r="AA233" i="16" s="1"/>
  <c r="AB233" i="16" s="1" a="1"/>
  <c r="AB233" i="16" s="1"/>
  <c r="AC233" i="16" s="1" a="1"/>
  <c r="AC233" i="16" s="1"/>
  <c r="AD233" i="16" s="1" a="1"/>
  <c r="AD233" i="16" s="1"/>
  <c r="Z282" i="16" a="1"/>
  <c r="Z282" i="16" s="1"/>
  <c r="AA282" i="16" s="1" a="1"/>
  <c r="AA282" i="16" s="1"/>
  <c r="AB282" i="16" s="1" a="1"/>
  <c r="AB282" i="16" s="1"/>
  <c r="AC282" i="16" s="1" a="1"/>
  <c r="AC282" i="16" s="1"/>
  <c r="AD282" i="16" s="1" a="1"/>
  <c r="AD282" i="16" s="1"/>
  <c r="Z150" i="16" a="1"/>
  <c r="Z150" i="16" s="1"/>
  <c r="AA150" i="16" s="1" a="1"/>
  <c r="AA150" i="16" s="1"/>
  <c r="AB150" i="16" s="1" a="1"/>
  <c r="AB150" i="16" s="1"/>
  <c r="AC150" i="16" s="1" a="1"/>
  <c r="AC150" i="16" s="1"/>
  <c r="AD150" i="16" s="1" a="1"/>
  <c r="AD150" i="16" s="1"/>
  <c r="Z153" i="16" a="1"/>
  <c r="Z153" i="16" s="1"/>
  <c r="AA153" i="16" s="1" a="1"/>
  <c r="AA153" i="16" s="1"/>
  <c r="AB153" i="16" s="1" a="1"/>
  <c r="AB153" i="16" s="1"/>
  <c r="AC153" i="16" s="1" a="1"/>
  <c r="AC153" i="16" s="1"/>
  <c r="AD153" i="16" s="1" a="1"/>
  <c r="AD153" i="16" s="1"/>
  <c r="Z134" i="16" a="1"/>
  <c r="Z134" i="16" s="1"/>
  <c r="AA134" i="16" s="1" a="1"/>
  <c r="AA134" i="16" s="1"/>
  <c r="AB134" i="16" s="1" a="1"/>
  <c r="AB134" i="16" s="1"/>
  <c r="AC134" i="16" s="1" a="1"/>
  <c r="AC134" i="16" s="1"/>
  <c r="AD134" i="16" s="1" a="1"/>
  <c r="AD134" i="16" s="1"/>
  <c r="Z166" i="16" a="1"/>
  <c r="Z166" i="16" s="1"/>
  <c r="AA166" i="16" s="1" a="1"/>
  <c r="AA166" i="16" s="1"/>
  <c r="AB166" i="16" s="1" a="1"/>
  <c r="AB166" i="16" s="1"/>
  <c r="AC166" i="16" s="1" a="1"/>
  <c r="AC166" i="16" s="1"/>
  <c r="AD166" i="16" s="1" a="1"/>
  <c r="AD166" i="16" s="1"/>
  <c r="Z9" i="16" a="1"/>
  <c r="Z9" i="16" s="1"/>
  <c r="AA9" i="16" s="1" a="1"/>
  <c r="AA9" i="16" s="1"/>
  <c r="AB9" i="16" s="1" a="1"/>
  <c r="AB9" i="16" s="1"/>
  <c r="AC9" i="16" s="1" a="1"/>
  <c r="AC9" i="16" s="1"/>
  <c r="AD9" i="16" s="1" a="1"/>
  <c r="AD9" i="16" s="1"/>
  <c r="Z429" i="16" a="1"/>
  <c r="Z429" i="16" s="1"/>
  <c r="AA429" i="16" s="1" a="1"/>
  <c r="AA429" i="16" s="1"/>
  <c r="AB429" i="16" s="1" a="1"/>
  <c r="AB429" i="16" s="1"/>
  <c r="AC429" i="16" s="1" a="1"/>
  <c r="AC429" i="16" s="1"/>
  <c r="AD429" i="16" s="1" a="1"/>
  <c r="AD429" i="16" s="1"/>
  <c r="Z416" i="16" a="1"/>
  <c r="Z416" i="16" s="1"/>
  <c r="AA416" i="16" s="1" a="1"/>
  <c r="AA416" i="16" s="1"/>
  <c r="AB416" i="16" s="1" a="1"/>
  <c r="AB416" i="16" s="1"/>
  <c r="AC416" i="16" s="1" a="1"/>
  <c r="AC416" i="16" s="1"/>
  <c r="AD416" i="16" s="1" a="1"/>
  <c r="AD416" i="16" s="1"/>
  <c r="Z331" i="16" a="1"/>
  <c r="Z331" i="16" s="1"/>
  <c r="AA331" i="16" s="1" a="1"/>
  <c r="AA331" i="16" s="1"/>
  <c r="AB331" i="16" s="1" a="1"/>
  <c r="AB331" i="16" s="1"/>
  <c r="AC331" i="16" s="1" a="1"/>
  <c r="AC331" i="16" s="1"/>
  <c r="AD331" i="16" s="1" a="1"/>
  <c r="AD331" i="16" s="1"/>
  <c r="Z46" i="16" a="1"/>
  <c r="Z46" i="16" s="1"/>
  <c r="AA46" i="16" s="1" a="1"/>
  <c r="AA46" i="16" s="1"/>
  <c r="AB46" i="16" s="1" a="1"/>
  <c r="AB46" i="16" s="1"/>
  <c r="AC46" i="16" s="1" a="1"/>
  <c r="AC46" i="16" s="1"/>
  <c r="AD46" i="16" s="1" a="1"/>
  <c r="AD46" i="16" s="1"/>
  <c r="Z348" i="16" a="1"/>
  <c r="Z348" i="16" s="1"/>
  <c r="AA348" i="16" s="1" a="1"/>
  <c r="AA348" i="16" s="1"/>
  <c r="AB348" i="16" s="1" a="1"/>
  <c r="AB348" i="16" s="1"/>
  <c r="AC348" i="16" s="1" a="1"/>
  <c r="AC348" i="16" s="1"/>
  <c r="AD348" i="16" s="1" a="1"/>
  <c r="AD348" i="16" s="1"/>
  <c r="Z172" i="16" a="1"/>
  <c r="Z172" i="16" s="1"/>
  <c r="AA172" i="16" s="1" a="1"/>
  <c r="AA172" i="16" s="1"/>
  <c r="AB172" i="16" s="1" a="1"/>
  <c r="AB172" i="16" s="1"/>
  <c r="AC172" i="16" s="1" a="1"/>
  <c r="AC172" i="16" s="1"/>
  <c r="AD172" i="16" s="1" a="1"/>
  <c r="AD172" i="16" s="1"/>
  <c r="Z242" i="16" a="1"/>
  <c r="Z242" i="16" s="1"/>
  <c r="AA242" i="16" s="1" a="1"/>
  <c r="AA242" i="16" s="1"/>
  <c r="AB242" i="16" s="1" a="1"/>
  <c r="AB242" i="16" s="1"/>
  <c r="AC242" i="16" s="1" a="1"/>
  <c r="AC242" i="16" s="1"/>
  <c r="AD242" i="16" s="1" a="1"/>
  <c r="AD242" i="16" s="1"/>
  <c r="Z217" i="16" a="1"/>
  <c r="Z217" i="16" s="1"/>
  <c r="AA217" i="16" s="1" a="1"/>
  <c r="AA217" i="16" s="1"/>
  <c r="AB217" i="16" s="1" a="1"/>
  <c r="AB217" i="16" s="1"/>
  <c r="AC217" i="16" s="1" a="1"/>
  <c r="AC217" i="16" s="1"/>
  <c r="AD217" i="16" s="1" a="1"/>
  <c r="AD217" i="16" s="1"/>
  <c r="Z368" i="16" a="1"/>
  <c r="Z368" i="16" s="1"/>
  <c r="AA368" i="16" s="1" a="1"/>
  <c r="AA368" i="16" s="1"/>
  <c r="AB368" i="16" s="1" a="1"/>
  <c r="AB368" i="16" s="1"/>
  <c r="AC368" i="16" s="1" a="1"/>
  <c r="AC368" i="16" s="1"/>
  <c r="AD368" i="16" s="1" a="1"/>
  <c r="AD368" i="16" s="1"/>
  <c r="Z211" i="16" a="1"/>
  <c r="Z211" i="16" s="1"/>
  <c r="AA211" i="16" s="1" a="1"/>
  <c r="AA211" i="16" s="1"/>
  <c r="AB211" i="16" s="1" a="1"/>
  <c r="AB211" i="16" s="1"/>
  <c r="AC211" i="16" s="1" a="1"/>
  <c r="AC211" i="16" s="1"/>
  <c r="AD211" i="16" s="1" a="1"/>
  <c r="AD211" i="16" s="1"/>
  <c r="Z18" i="16" a="1"/>
  <c r="Z18" i="16" s="1"/>
  <c r="AA18" i="16" s="1" a="1"/>
  <c r="AA18" i="16" s="1"/>
  <c r="AB18" i="16" s="1" a="1"/>
  <c r="AB18" i="16" s="1"/>
  <c r="AC18" i="16" s="1" a="1"/>
  <c r="AC18" i="16" s="1"/>
  <c r="AD18" i="16" s="1" a="1"/>
  <c r="AD18" i="16" s="1"/>
  <c r="Z20" i="16" a="1"/>
  <c r="Z20" i="16" s="1"/>
  <c r="AA20" i="16" s="1" a="1"/>
  <c r="AA20" i="16" s="1"/>
  <c r="AB20" i="16" s="1" a="1"/>
  <c r="AB20" i="16" s="1"/>
  <c r="AC20" i="16" s="1" a="1"/>
  <c r="AC20" i="16" s="1"/>
  <c r="AD20" i="16" s="1" a="1"/>
  <c r="AD20" i="16" s="1"/>
  <c r="Z122" i="16" a="1"/>
  <c r="Z122" i="16" s="1"/>
  <c r="AA122" i="16" s="1" a="1"/>
  <c r="AA122" i="16" s="1"/>
  <c r="AB122" i="16" s="1" a="1"/>
  <c r="AB122" i="16" s="1"/>
  <c r="AC122" i="16" s="1" a="1"/>
  <c r="AC122" i="16" s="1"/>
  <c r="AD122" i="16" s="1" a="1"/>
  <c r="AD122" i="16" s="1"/>
  <c r="Z179" i="16" a="1"/>
  <c r="Z179" i="16" s="1"/>
  <c r="AA179" i="16" s="1" a="1"/>
  <c r="AA179" i="16" s="1"/>
  <c r="AB179" i="16" s="1" a="1"/>
  <c r="AB179" i="16" s="1"/>
  <c r="AC179" i="16" s="1" a="1"/>
  <c r="AC179" i="16" s="1"/>
  <c r="AD179" i="16" s="1" a="1"/>
  <c r="AD179" i="16" s="1"/>
  <c r="Z141" i="16" a="1"/>
  <c r="Z141" i="16" s="1"/>
  <c r="AA141" i="16" s="1" a="1"/>
  <c r="AA141" i="16" s="1"/>
  <c r="AB141" i="16" s="1" a="1"/>
  <c r="AB141" i="16" s="1"/>
  <c r="AC141" i="16" s="1" a="1"/>
  <c r="AC141" i="16" s="1"/>
  <c r="AD141" i="16" s="1" a="1"/>
  <c r="AD141" i="16" s="1"/>
  <c r="Z201" i="16" a="1"/>
  <c r="Z201" i="16" s="1"/>
  <c r="AA201" i="16" s="1" a="1"/>
  <c r="AA201" i="16" s="1"/>
  <c r="AB201" i="16" s="1" a="1"/>
  <c r="AB201" i="16" s="1"/>
  <c r="AC201" i="16" s="1" a="1"/>
  <c r="AC201" i="16" s="1"/>
  <c r="AD201" i="16" s="1" a="1"/>
  <c r="AD201" i="16" s="1"/>
  <c r="Z31" i="16" a="1"/>
  <c r="Z31" i="16" s="1"/>
  <c r="AA31" i="16" s="1" a="1"/>
  <c r="AA31" i="16" s="1"/>
  <c r="AB31" i="16" s="1" a="1"/>
  <c r="AB31" i="16" s="1"/>
  <c r="AC31" i="16" s="1" a="1"/>
  <c r="AC31" i="16" s="1"/>
  <c r="AD31" i="16" s="1" a="1"/>
  <c r="AD31" i="16" s="1"/>
  <c r="Z224" i="16" a="1"/>
  <c r="Z224" i="16" s="1"/>
  <c r="AA224" i="16" s="1" a="1"/>
  <c r="AA224" i="16" s="1"/>
  <c r="AB224" i="16" s="1" a="1"/>
  <c r="AB224" i="16" s="1"/>
  <c r="AC224" i="16" s="1" a="1"/>
  <c r="AC224" i="16" s="1"/>
  <c r="AD224" i="16" s="1" a="1"/>
  <c r="AD224" i="16" s="1"/>
  <c r="Z415" i="16" a="1"/>
  <c r="Z415" i="16" s="1"/>
  <c r="AA415" i="16" s="1" a="1"/>
  <c r="AA415" i="16" s="1"/>
  <c r="AB415" i="16" s="1" a="1"/>
  <c r="AB415" i="16" s="1"/>
  <c r="AC415" i="16" s="1" a="1"/>
  <c r="AC415" i="16" s="1"/>
  <c r="AD415" i="16" s="1" a="1"/>
  <c r="AD415" i="16" s="1"/>
  <c r="Z200" i="16" a="1"/>
  <c r="Z200" i="16" s="1"/>
  <c r="AA200" i="16" s="1" a="1"/>
  <c r="AA200" i="16" s="1"/>
  <c r="AB200" i="16" s="1" a="1"/>
  <c r="AB200" i="16" s="1"/>
  <c r="AC200" i="16" s="1" a="1"/>
  <c r="AC200" i="16" s="1"/>
  <c r="AD200" i="16" s="1" a="1"/>
  <c r="AD200" i="16" s="1"/>
  <c r="Z359" i="16" a="1"/>
  <c r="Z359" i="16" s="1"/>
  <c r="AA359" i="16" s="1" a="1"/>
  <c r="AA359" i="16" s="1"/>
  <c r="AB359" i="16" s="1" a="1"/>
  <c r="AB359" i="16" s="1"/>
  <c r="AC359" i="16" s="1" a="1"/>
  <c r="AC359" i="16" s="1"/>
  <c r="AD359" i="16" s="1" a="1"/>
  <c r="AD359" i="16" s="1"/>
  <c r="Z142" i="16" a="1"/>
  <c r="Z142" i="16" s="1"/>
  <c r="AA142" i="16" s="1" a="1"/>
  <c r="AA142" i="16" s="1"/>
  <c r="AB142" i="16" s="1" a="1"/>
  <c r="AB142" i="16" s="1"/>
  <c r="AC142" i="16" s="1" a="1"/>
  <c r="AC142" i="16" s="1"/>
  <c r="AD142" i="16" s="1" a="1"/>
  <c r="AD142" i="16" s="1"/>
  <c r="Z257" i="16" a="1"/>
  <c r="Z257" i="16" s="1"/>
  <c r="AA257" i="16" s="1" a="1"/>
  <c r="AA257" i="16" s="1"/>
  <c r="AB257" i="16" s="1" a="1"/>
  <c r="AB257" i="16" s="1"/>
  <c r="AC257" i="16" s="1" a="1"/>
  <c r="AC257" i="16" s="1"/>
  <c r="AD257" i="16" s="1" a="1"/>
  <c r="AD257" i="16" s="1"/>
  <c r="Z55" i="16" a="1"/>
  <c r="Z55" i="16" s="1"/>
  <c r="AA55" i="16" s="1" a="1"/>
  <c r="AA55" i="16" s="1"/>
  <c r="AB55" i="16" s="1" a="1"/>
  <c r="AB55" i="16" s="1"/>
  <c r="AC55" i="16" s="1" a="1"/>
  <c r="AC55" i="16" s="1"/>
  <c r="AD55" i="16" s="1" a="1"/>
  <c r="AD55" i="16" s="1"/>
  <c r="Z256" i="16" a="1"/>
  <c r="Z256" i="16" s="1"/>
  <c r="AA256" i="16" s="1" a="1"/>
  <c r="AA256" i="16" s="1"/>
  <c r="AB256" i="16" s="1" a="1"/>
  <c r="AB256" i="16" s="1"/>
  <c r="AC256" i="16" s="1" a="1"/>
  <c r="AC256" i="16" s="1"/>
  <c r="AD256" i="16" s="1" a="1"/>
  <c r="AD256" i="16" s="1"/>
  <c r="Z387" i="16" a="1"/>
  <c r="Z387" i="16" s="1"/>
  <c r="AA387" i="16" s="1" a="1"/>
  <c r="AA387" i="16" s="1"/>
  <c r="AB387" i="16" s="1" a="1"/>
  <c r="AB387" i="16" s="1"/>
  <c r="AC387" i="16" s="1" a="1"/>
  <c r="AC387" i="16" s="1"/>
  <c r="AD387" i="16" s="1" a="1"/>
  <c r="AD387" i="16" s="1"/>
  <c r="Z310" i="16" a="1"/>
  <c r="Z310" i="16" s="1"/>
  <c r="AA310" i="16" s="1" a="1"/>
  <c r="AA310" i="16" s="1"/>
  <c r="AB310" i="16" s="1" a="1"/>
  <c r="AB310" i="16" s="1"/>
  <c r="AC310" i="16" s="1" a="1"/>
  <c r="AC310" i="16" s="1"/>
  <c r="AD310" i="16" s="1" a="1"/>
  <c r="AD310" i="16" s="1"/>
  <c r="Z96" i="16" a="1"/>
  <c r="Z96" i="16" s="1"/>
  <c r="AA96" i="16" s="1" a="1"/>
  <c r="AA96" i="16" s="1"/>
  <c r="AB96" i="16" s="1" a="1"/>
  <c r="AB96" i="16" s="1"/>
  <c r="AC96" i="16" s="1" a="1"/>
  <c r="AC96" i="16" s="1"/>
  <c r="AD96" i="16" s="1" a="1"/>
  <c r="AD96" i="16" s="1"/>
  <c r="Z290" i="16" a="1"/>
  <c r="Z290" i="16" s="1"/>
  <c r="AA290" i="16" s="1" a="1"/>
  <c r="AA290" i="16" s="1"/>
  <c r="AB290" i="16" s="1" a="1"/>
  <c r="AB290" i="16" s="1"/>
  <c r="AC290" i="16" s="1" a="1"/>
  <c r="AC290" i="16" s="1"/>
  <c r="AD290" i="16" s="1" a="1"/>
  <c r="AD290" i="16" s="1"/>
  <c r="Z28" i="16" a="1"/>
  <c r="Z28" i="16" s="1"/>
  <c r="AA28" i="16" s="1" a="1"/>
  <c r="AA28" i="16" s="1"/>
  <c r="AB28" i="16" s="1" a="1"/>
  <c r="AB28" i="16" s="1"/>
  <c r="AC28" i="16" s="1" a="1"/>
  <c r="AC28" i="16" s="1"/>
  <c r="AD28" i="16" s="1" a="1"/>
  <c r="AD28" i="16" s="1"/>
  <c r="Z414" i="16" a="1"/>
  <c r="Z414" i="16" s="1"/>
  <c r="AA414" i="16" s="1" a="1"/>
  <c r="AA414" i="16" s="1"/>
  <c r="AB414" i="16" s="1" a="1"/>
  <c r="AB414" i="16" s="1"/>
  <c r="AC414" i="16" s="1" a="1"/>
  <c r="AC414" i="16" s="1"/>
  <c r="AD414" i="16" s="1" a="1"/>
  <c r="AD414" i="16" s="1"/>
  <c r="Z157" i="16" a="1"/>
  <c r="Z157" i="16" s="1"/>
  <c r="AA157" i="16" s="1" a="1"/>
  <c r="AA157" i="16" s="1"/>
  <c r="AB157" i="16" s="1" a="1"/>
  <c r="AB157" i="16" s="1"/>
  <c r="AC157" i="16" s="1" a="1"/>
  <c r="AC157" i="16" s="1"/>
  <c r="AD157" i="16" s="1" a="1"/>
  <c r="AD157" i="16" s="1"/>
  <c r="Z381" i="16" a="1"/>
  <c r="Z381" i="16" s="1"/>
  <c r="AA381" i="16" s="1" a="1"/>
  <c r="AA381" i="16" s="1"/>
  <c r="AB381" i="16" s="1" a="1"/>
  <c r="AB381" i="16" s="1"/>
  <c r="AC381" i="16" s="1" a="1"/>
  <c r="AC381" i="16" s="1"/>
  <c r="AD381" i="16" s="1" a="1"/>
  <c r="AD381" i="16" s="1"/>
  <c r="Z76" i="16" a="1"/>
  <c r="Z76" i="16" s="1"/>
  <c r="AA76" i="16" s="1" a="1"/>
  <c r="AA76" i="16" s="1"/>
  <c r="AB76" i="16" s="1" a="1"/>
  <c r="AB76" i="16" s="1"/>
  <c r="AC76" i="16" s="1" a="1"/>
  <c r="AC76" i="16" s="1"/>
  <c r="AD76" i="16" s="1" a="1"/>
  <c r="AD76" i="16" s="1"/>
  <c r="Z269" i="16" a="1"/>
  <c r="Z269" i="16" s="1"/>
  <c r="AA269" i="16" s="1" a="1"/>
  <c r="AA269" i="16" s="1"/>
  <c r="AB269" i="16" s="1" a="1"/>
  <c r="AB269" i="16" s="1"/>
  <c r="AC269" i="16" s="1" a="1"/>
  <c r="AC269" i="16" s="1"/>
  <c r="AD269" i="16" s="1" a="1"/>
  <c r="AD269" i="16" s="1"/>
  <c r="Z259" i="16" a="1"/>
  <c r="Z259" i="16" s="1"/>
  <c r="AA259" i="16" s="1" a="1"/>
  <c r="AA259" i="16" s="1"/>
  <c r="AB259" i="16" s="1" a="1"/>
  <c r="AB259" i="16" s="1"/>
  <c r="AC259" i="16" s="1" a="1"/>
  <c r="AC259" i="16" s="1"/>
  <c r="AD259" i="16" s="1" a="1"/>
  <c r="AD259" i="16" s="1"/>
  <c r="Z330" i="16" a="1"/>
  <c r="Z330" i="16" s="1"/>
  <c r="AA330" i="16" s="1" a="1"/>
  <c r="AA330" i="16" s="1"/>
  <c r="AB330" i="16" s="1" a="1"/>
  <c r="AB330" i="16" s="1"/>
  <c r="AC330" i="16" s="1" a="1"/>
  <c r="AC330" i="16" s="1"/>
  <c r="AD330" i="16" s="1" a="1"/>
  <c r="AD330" i="16" s="1"/>
  <c r="Z335" i="16" a="1"/>
  <c r="Z335" i="16" s="1"/>
  <c r="AA335" i="16" s="1" a="1"/>
  <c r="AA335" i="16" s="1"/>
  <c r="AB335" i="16" s="1" a="1"/>
  <c r="AB335" i="16" s="1"/>
  <c r="AC335" i="16" s="1" a="1"/>
  <c r="AC335" i="16" s="1"/>
  <c r="AD335" i="16" s="1" a="1"/>
  <c r="AD335" i="16" s="1"/>
  <c r="Z255" i="16" a="1"/>
  <c r="Z255" i="16" s="1"/>
  <c r="AA255" i="16" s="1" a="1"/>
  <c r="AA255" i="16" s="1"/>
  <c r="AB255" i="16" s="1" a="1"/>
  <c r="AB255" i="16" s="1"/>
  <c r="AC255" i="16" s="1" a="1"/>
  <c r="AC255" i="16" s="1"/>
  <c r="AD255" i="16" s="1" a="1"/>
  <c r="AD255" i="16" s="1"/>
  <c r="Z423" i="16" a="1"/>
  <c r="Z423" i="16" s="1"/>
  <c r="AA423" i="16" s="1" a="1"/>
  <c r="AA423" i="16" s="1"/>
  <c r="AB423" i="16" s="1" a="1"/>
  <c r="AB423" i="16" s="1"/>
  <c r="AC423" i="16" s="1" a="1"/>
  <c r="AC423" i="16" s="1"/>
  <c r="AD423" i="16" s="1" a="1"/>
  <c r="AD423" i="16" s="1"/>
  <c r="Z356" i="16" a="1"/>
  <c r="Z356" i="16" s="1"/>
  <c r="AA356" i="16" s="1" a="1"/>
  <c r="AA356" i="16" s="1"/>
  <c r="AB356" i="16" s="1" a="1"/>
  <c r="AB356" i="16" s="1"/>
  <c r="AC356" i="16" s="1" a="1"/>
  <c r="AC356" i="16" s="1"/>
  <c r="AD356" i="16" s="1" a="1"/>
  <c r="AD356" i="16" s="1"/>
  <c r="Z266" i="16" a="1"/>
  <c r="Z266" i="16" s="1"/>
  <c r="AA266" i="16" s="1" a="1"/>
  <c r="AA266" i="16" s="1"/>
  <c r="AB266" i="16" s="1" a="1"/>
  <c r="AB266" i="16" s="1"/>
  <c r="AC266" i="16" s="1" a="1"/>
  <c r="AC266" i="16" s="1"/>
  <c r="AD266" i="16" s="1" a="1"/>
  <c r="AD266" i="16" s="1"/>
  <c r="Z135" i="16" a="1"/>
  <c r="Z135" i="16" s="1"/>
  <c r="AA135" i="16" s="1" a="1"/>
  <c r="AA135" i="16" s="1"/>
  <c r="AB135" i="16" s="1" a="1"/>
  <c r="AB135" i="16" s="1"/>
  <c r="AC135" i="16" s="1" a="1"/>
  <c r="AC135" i="16" s="1"/>
  <c r="AD135" i="16" s="1" a="1"/>
  <c r="AD135" i="16" s="1"/>
  <c r="Z388" i="16" a="1"/>
  <c r="Z388" i="16" s="1"/>
  <c r="AA388" i="16" s="1" a="1"/>
  <c r="AA388" i="16" s="1"/>
  <c r="AB388" i="16" s="1" a="1"/>
  <c r="AB388" i="16" s="1"/>
  <c r="AC388" i="16" s="1" a="1"/>
  <c r="AC388" i="16" s="1"/>
  <c r="AD388" i="16" s="1" a="1"/>
  <c r="AD388" i="16" s="1"/>
  <c r="Z327" i="16" a="1"/>
  <c r="Z327" i="16" s="1"/>
  <c r="AA327" i="16" s="1" a="1"/>
  <c r="AA327" i="16" s="1"/>
  <c r="AB327" i="16" s="1" a="1"/>
  <c r="AB327" i="16" s="1"/>
  <c r="AC327" i="16" s="1" a="1"/>
  <c r="AC327" i="16" s="1"/>
  <c r="AD327" i="16" s="1" a="1"/>
  <c r="AD327" i="16" s="1"/>
  <c r="Z337" i="16" a="1"/>
  <c r="Z337" i="16" s="1"/>
  <c r="AA337" i="16" s="1" a="1"/>
  <c r="AA337" i="16" s="1"/>
  <c r="AB337" i="16" s="1" a="1"/>
  <c r="AB337" i="16" s="1"/>
  <c r="AC337" i="16" s="1" a="1"/>
  <c r="AC337" i="16" s="1"/>
  <c r="AD337" i="16" s="1" a="1"/>
  <c r="AD337" i="16" s="1"/>
  <c r="Z235" i="16" a="1"/>
  <c r="Z235" i="16" s="1"/>
  <c r="AA235" i="16" s="1" a="1"/>
  <c r="AA235" i="16" s="1"/>
  <c r="AB235" i="16" s="1" a="1"/>
  <c r="AB235" i="16" s="1"/>
  <c r="AC235" i="16" s="1" a="1"/>
  <c r="AC235" i="16" s="1"/>
  <c r="AD235" i="16" s="1" a="1"/>
  <c r="AD235" i="16" s="1"/>
  <c r="Z207" i="16" a="1"/>
  <c r="Z207" i="16" s="1"/>
  <c r="AA207" i="16" s="1" a="1"/>
  <c r="AA207" i="16" s="1"/>
  <c r="AB207" i="16" s="1" a="1"/>
  <c r="AB207" i="16" s="1"/>
  <c r="AC207" i="16" s="1" a="1"/>
  <c r="AC207" i="16" s="1"/>
  <c r="AD207" i="16" s="1" a="1"/>
  <c r="AD207" i="16" s="1"/>
  <c r="Z400" i="16" a="1"/>
  <c r="Z400" i="16" s="1"/>
  <c r="AA400" i="16" s="1" a="1"/>
  <c r="AA400" i="16" s="1"/>
  <c r="AB400" i="16" s="1" a="1"/>
  <c r="AB400" i="16" s="1"/>
  <c r="AC400" i="16" s="1" a="1"/>
  <c r="AC400" i="16" s="1"/>
  <c r="AD400" i="16" s="1" a="1"/>
  <c r="AD400" i="16" s="1"/>
  <c r="Z360" i="16" a="1"/>
  <c r="Z360" i="16" s="1"/>
  <c r="AA360" i="16" s="1" a="1"/>
  <c r="AA360" i="16" s="1"/>
  <c r="AB360" i="16" s="1" a="1"/>
  <c r="AB360" i="16" s="1"/>
  <c r="AC360" i="16" s="1" a="1"/>
  <c r="AC360" i="16" s="1"/>
  <c r="AD360" i="16" s="1" a="1"/>
  <c r="AD360" i="16" s="1"/>
  <c r="Z115" i="16" a="1"/>
  <c r="Z115" i="16" s="1"/>
  <c r="AA115" i="16" s="1" a="1"/>
  <c r="AA115" i="16" s="1"/>
  <c r="AB115" i="16" s="1" a="1"/>
  <c r="AB115" i="16" s="1"/>
  <c r="AC115" i="16" s="1" a="1"/>
  <c r="AC115" i="16" s="1"/>
  <c r="AD115" i="16" s="1" a="1"/>
  <c r="AD115" i="16" s="1"/>
  <c r="Z16" i="16" a="1"/>
  <c r="Z16" i="16" s="1"/>
  <c r="AA16" i="16" s="1" a="1"/>
  <c r="AA16" i="16" s="1"/>
  <c r="AB16" i="16" s="1" a="1"/>
  <c r="AB16" i="16" s="1"/>
  <c r="AC16" i="16" s="1" a="1"/>
  <c r="AC16" i="16" s="1"/>
  <c r="AD16" i="16" s="1" a="1"/>
  <c r="AD16" i="16" s="1"/>
  <c r="Z178" i="16" a="1"/>
  <c r="Z178" i="16" s="1"/>
  <c r="AA178" i="16" s="1" a="1"/>
  <c r="AA178" i="16" s="1"/>
  <c r="AB178" i="16" s="1" a="1"/>
  <c r="AB178" i="16" s="1"/>
  <c r="AC178" i="16" s="1" a="1"/>
  <c r="AC178" i="16" s="1"/>
  <c r="AD178" i="16" s="1" a="1"/>
  <c r="AD178" i="16" s="1"/>
  <c r="Z137" i="16" a="1"/>
  <c r="Z137" i="16" s="1"/>
  <c r="AA137" i="16" s="1" a="1"/>
  <c r="AA137" i="16" s="1"/>
  <c r="AB137" i="16" s="1" a="1"/>
  <c r="AB137" i="16" s="1"/>
  <c r="AC137" i="16" s="1" a="1"/>
  <c r="AC137" i="16" s="1"/>
  <c r="AD137" i="16" s="1" a="1"/>
  <c r="AD137" i="16" s="1"/>
  <c r="Z230" i="16" a="1"/>
  <c r="Z230" i="16" s="1"/>
  <c r="AA230" i="16" s="1" a="1"/>
  <c r="AA230" i="16" s="1"/>
  <c r="AB230" i="16" s="1" a="1"/>
  <c r="AB230" i="16" s="1"/>
  <c r="AC230" i="16" s="1" a="1"/>
  <c r="AC230" i="16" s="1"/>
  <c r="AD230" i="16" s="1" a="1"/>
  <c r="AD230" i="16" s="1"/>
  <c r="Z202" i="16" a="1"/>
  <c r="Z202" i="16" s="1"/>
  <c r="AA202" i="16" s="1" a="1"/>
  <c r="AA202" i="16" s="1"/>
  <c r="AB202" i="16" s="1" a="1"/>
  <c r="AB202" i="16" s="1"/>
  <c r="AC202" i="16" s="1" a="1"/>
  <c r="AC202" i="16" s="1"/>
  <c r="AD202" i="16" s="1" a="1"/>
  <c r="AD202" i="16" s="1"/>
  <c r="Z399" i="16" a="1"/>
  <c r="Z399" i="16" s="1"/>
  <c r="AA399" i="16" s="1" a="1"/>
  <c r="AA399" i="16" s="1"/>
  <c r="AB399" i="16" s="1" a="1"/>
  <c r="AB399" i="16" s="1"/>
  <c r="AC399" i="16" s="1" a="1"/>
  <c r="AC399" i="16" s="1"/>
  <c r="AD399" i="16" s="1" a="1"/>
  <c r="AD399" i="16" s="1"/>
  <c r="Z205" i="16" a="1"/>
  <c r="Z205" i="16" s="1"/>
  <c r="AA205" i="16" s="1" a="1"/>
  <c r="AA205" i="16" s="1"/>
  <c r="AB205" i="16" s="1" a="1"/>
  <c r="AB205" i="16" s="1"/>
  <c r="AC205" i="16" s="1" a="1"/>
  <c r="AC205" i="16" s="1"/>
  <c r="AD205" i="16" s="1" a="1"/>
  <c r="AD205" i="16" s="1"/>
  <c r="Z189" i="16" a="1"/>
  <c r="Z189" i="16" s="1"/>
  <c r="AA189" i="16" s="1" a="1"/>
  <c r="AA189" i="16" s="1"/>
  <c r="AB189" i="16" s="1" a="1"/>
  <c r="AB189" i="16" s="1"/>
  <c r="AC189" i="16" s="1" a="1"/>
  <c r="AC189" i="16" s="1"/>
  <c r="AD189" i="16" s="1" a="1"/>
  <c r="AD189" i="16" s="1"/>
  <c r="Z238" i="16" a="1"/>
  <c r="Z238" i="16" s="1"/>
  <c r="AA238" i="16" s="1" a="1"/>
  <c r="AA238" i="16" s="1"/>
  <c r="AB238" i="16" s="1" a="1"/>
  <c r="AB238" i="16" s="1"/>
  <c r="AC238" i="16" s="1" a="1"/>
  <c r="AC238" i="16" s="1"/>
  <c r="AD238" i="16" s="1" a="1"/>
  <c r="AD238" i="16" s="1"/>
  <c r="Z404" i="16" a="1"/>
  <c r="Z404" i="16" s="1"/>
  <c r="AA404" i="16" s="1" a="1"/>
  <c r="AA404" i="16" s="1"/>
  <c r="AB404" i="16" s="1" a="1"/>
  <c r="AB404" i="16" s="1"/>
  <c r="AC404" i="16" s="1" a="1"/>
  <c r="AC404" i="16" s="1"/>
  <c r="AD404" i="16" s="1" a="1"/>
  <c r="AD404" i="16" s="1"/>
  <c r="Z105" i="16" a="1"/>
  <c r="Z105" i="16" s="1"/>
  <c r="AA105" i="16" s="1" a="1"/>
  <c r="AA105" i="16" s="1"/>
  <c r="AB105" i="16" s="1" a="1"/>
  <c r="AB105" i="16" s="1"/>
  <c r="AC105" i="16" s="1" a="1"/>
  <c r="AC105" i="16" s="1"/>
  <c r="AD105" i="16" s="1" a="1"/>
  <c r="AD105" i="16" s="1"/>
  <c r="Z333" i="16" a="1"/>
  <c r="Z333" i="16" s="1"/>
  <c r="AA333" i="16" s="1" a="1"/>
  <c r="AA333" i="16" s="1"/>
  <c r="AB333" i="16" s="1" a="1"/>
  <c r="AB333" i="16" s="1"/>
  <c r="AC333" i="16" s="1" a="1"/>
  <c r="AC333" i="16" s="1"/>
  <c r="AD333" i="16" s="1" a="1"/>
  <c r="AD333" i="16" s="1"/>
  <c r="Z338" i="16" a="1"/>
  <c r="Z338" i="16" s="1"/>
  <c r="AA338" i="16" s="1" a="1"/>
  <c r="AA338" i="16" s="1"/>
  <c r="AB338" i="16" s="1" a="1"/>
  <c r="AB338" i="16" s="1"/>
  <c r="AC338" i="16" s="1" a="1"/>
  <c r="AC338" i="16" s="1"/>
  <c r="AD338" i="16" s="1" a="1"/>
  <c r="AD338" i="16" s="1"/>
  <c r="Z244" i="16" a="1"/>
  <c r="Z244" i="16" s="1"/>
  <c r="AA244" i="16" s="1" a="1"/>
  <c r="AA244" i="16" s="1"/>
  <c r="AB244" i="16" s="1" a="1"/>
  <c r="AB244" i="16" s="1"/>
  <c r="AC244" i="16" s="1" a="1"/>
  <c r="AC244" i="16" s="1"/>
  <c r="AD244" i="16" s="1" a="1"/>
  <c r="AD244" i="16" s="1"/>
  <c r="Z214" i="16" a="1"/>
  <c r="Z214" i="16" s="1"/>
  <c r="AA214" i="16" s="1" a="1"/>
  <c r="AA214" i="16" s="1"/>
  <c r="AB214" i="16" s="1" a="1"/>
  <c r="AB214" i="16" s="1"/>
  <c r="AC214" i="16" s="1" a="1"/>
  <c r="AC214" i="16" s="1"/>
  <c r="AD214" i="16" s="1" a="1"/>
  <c r="AD214" i="16" s="1"/>
  <c r="Z221" i="16" a="1"/>
  <c r="Z221" i="16" s="1"/>
  <c r="AA221" i="16" s="1" a="1"/>
  <c r="AA221" i="16" s="1"/>
  <c r="AB221" i="16" s="1" a="1"/>
  <c r="AB221" i="16" s="1"/>
  <c r="AC221" i="16" s="1" a="1"/>
  <c r="AC221" i="16" s="1"/>
  <c r="AD221" i="16" s="1" a="1"/>
  <c r="AD221" i="16" s="1"/>
  <c r="Z383" i="16" a="1"/>
  <c r="Z383" i="16" s="1"/>
  <c r="AA383" i="16" s="1" a="1"/>
  <c r="AA383" i="16" s="1"/>
  <c r="AB383" i="16" s="1" a="1"/>
  <c r="AB383" i="16" s="1"/>
  <c r="AC383" i="16" s="1" a="1"/>
  <c r="AC383" i="16" s="1"/>
  <c r="AD383" i="16" s="1" a="1"/>
  <c r="AD383" i="16" s="1"/>
  <c r="Z78" i="16" a="1"/>
  <c r="Z78" i="16" s="1"/>
  <c r="AA78" i="16" s="1" a="1"/>
  <c r="AA78" i="16" s="1"/>
  <c r="AB78" i="16" s="1" a="1"/>
  <c r="AB78" i="16" s="1"/>
  <c r="AC78" i="16" s="1" a="1"/>
  <c r="AC78" i="16" s="1"/>
  <c r="AD78" i="16" s="1" a="1"/>
  <c r="AD78" i="16" s="1"/>
  <c r="Z248" i="16" a="1"/>
  <c r="Z248" i="16" s="1"/>
  <c r="AA248" i="16" s="1" a="1"/>
  <c r="AA248" i="16" s="1"/>
  <c r="AB248" i="16" s="1" a="1"/>
  <c r="AB248" i="16" s="1"/>
  <c r="AC248" i="16" s="1" a="1"/>
  <c r="AC248" i="16" s="1"/>
  <c r="AD248" i="16" s="1" a="1"/>
  <c r="AD248" i="16" s="1"/>
  <c r="Z406" i="16" a="1"/>
  <c r="Z406" i="16" s="1"/>
  <c r="AA406" i="16" s="1" a="1"/>
  <c r="AA406" i="16" s="1"/>
  <c r="AB406" i="16" s="1" a="1"/>
  <c r="AB406" i="16" s="1"/>
  <c r="AC406" i="16" s="1" a="1"/>
  <c r="AC406" i="16" s="1"/>
  <c r="AD406" i="16" s="1" a="1"/>
  <c r="AD406" i="16" s="1"/>
  <c r="Z111" i="16" a="1"/>
  <c r="Z111" i="16" s="1"/>
  <c r="AA111" i="16" s="1" a="1"/>
  <c r="AA111" i="16" s="1"/>
  <c r="AB111" i="16" s="1" a="1"/>
  <c r="AB111" i="16" s="1"/>
  <c r="AC111" i="16" s="1" a="1"/>
  <c r="AC111" i="16" s="1"/>
  <c r="AD111" i="16" s="1" a="1"/>
  <c r="AD111" i="16" s="1"/>
  <c r="Z154" i="16" a="1"/>
  <c r="Z154" i="16" s="1"/>
  <c r="AA154" i="16" s="1" a="1"/>
  <c r="AA154" i="16" s="1"/>
  <c r="AB154" i="16" s="1" a="1"/>
  <c r="AB154" i="16" s="1"/>
  <c r="AC154" i="16" s="1" a="1"/>
  <c r="AC154" i="16" s="1"/>
  <c r="AD154" i="16" s="1" a="1"/>
  <c r="AD154" i="16" s="1"/>
  <c r="Z151" i="16" a="1"/>
  <c r="Z151" i="16" s="1"/>
  <c r="AA151" i="16" s="1" a="1"/>
  <c r="AA151" i="16" s="1"/>
  <c r="AB151" i="16" s="1" a="1"/>
  <c r="AB151" i="16" s="1"/>
  <c r="AC151" i="16" s="1" a="1"/>
  <c r="AC151" i="16" s="1"/>
  <c r="AD151" i="16" s="1" a="1"/>
  <c r="AD151" i="16" s="1"/>
  <c r="Z128" i="16" a="1"/>
  <c r="Z128" i="16" s="1"/>
  <c r="AA128" i="16" s="1" a="1"/>
  <c r="AA128" i="16" s="1"/>
  <c r="AB128" i="16" s="1" a="1"/>
  <c r="AB128" i="16" s="1"/>
  <c r="AC128" i="16" s="1" a="1"/>
  <c r="AC128" i="16" s="1"/>
  <c r="AD128" i="16" s="1" a="1"/>
  <c r="AD128" i="16" s="1"/>
  <c r="Z428" i="16" a="1"/>
  <c r="Z428" i="16" s="1"/>
  <c r="AA428" i="16" s="1" a="1"/>
  <c r="AA428" i="16" s="1"/>
  <c r="AB428" i="16" s="1" a="1"/>
  <c r="AB428" i="16" s="1"/>
  <c r="AC428" i="16" s="1" a="1"/>
  <c r="AC428" i="16" s="1"/>
  <c r="AD428" i="16" s="1" a="1"/>
  <c r="AD428" i="16" s="1"/>
  <c r="Z131" i="16" a="1"/>
  <c r="Z131" i="16" s="1"/>
  <c r="AA131" i="16" s="1" a="1"/>
  <c r="AA131" i="16" s="1"/>
  <c r="AB131" i="16" s="1" a="1"/>
  <c r="AB131" i="16" s="1"/>
  <c r="AC131" i="16" s="1" a="1"/>
  <c r="AC131" i="16" s="1"/>
  <c r="AD131" i="16" s="1" a="1"/>
  <c r="AD131" i="16" s="1"/>
  <c r="Z302" i="16" a="1"/>
  <c r="Z302" i="16" s="1"/>
  <c r="AA302" i="16" s="1" a="1"/>
  <c r="AA302" i="16" s="1"/>
  <c r="AB302" i="16" s="1" a="1"/>
  <c r="AB302" i="16" s="1"/>
  <c r="AC302" i="16" s="1" a="1"/>
  <c r="AC302" i="16" s="1"/>
  <c r="AD302" i="16" s="1" a="1"/>
  <c r="AD302" i="16" s="1"/>
  <c r="Z344" i="16" a="1"/>
  <c r="Z344" i="16" s="1"/>
  <c r="AA344" i="16" s="1" a="1"/>
  <c r="AA344" i="16" s="1"/>
  <c r="AB344" i="16" s="1" a="1"/>
  <c r="AB344" i="16" s="1"/>
  <c r="AC344" i="16" s="1" a="1"/>
  <c r="AC344" i="16" s="1"/>
  <c r="AD344" i="16" s="1" a="1"/>
  <c r="AD344" i="16" s="1"/>
  <c r="Z222" i="16" a="1"/>
  <c r="Z222" i="16" s="1"/>
  <c r="AA222" i="16" s="1" a="1"/>
  <c r="AA222" i="16" s="1"/>
  <c r="AB222" i="16" s="1" a="1"/>
  <c r="AB222" i="16" s="1"/>
  <c r="AC222" i="16" s="1" a="1"/>
  <c r="AC222" i="16" s="1"/>
  <c r="AD222" i="16" s="1" a="1"/>
  <c r="AD222" i="16" s="1"/>
  <c r="Z44" i="16" a="1"/>
  <c r="Z44" i="16" s="1"/>
  <c r="AA44" i="16" s="1" a="1"/>
  <c r="AA44" i="16" s="1"/>
  <c r="AB44" i="16" s="1" a="1"/>
  <c r="AB44" i="16" s="1"/>
  <c r="AC44" i="16" s="1" a="1"/>
  <c r="AC44" i="16" s="1"/>
  <c r="AD44" i="16" s="1" a="1"/>
  <c r="AD44" i="16" s="1"/>
  <c r="Z229" i="16" a="1"/>
  <c r="Z229" i="16" s="1"/>
  <c r="AA229" i="16" s="1" a="1"/>
  <c r="AA229" i="16" s="1"/>
  <c r="AB229" i="16" s="1" a="1"/>
  <c r="AB229" i="16" s="1"/>
  <c r="AC229" i="16" s="1" a="1"/>
  <c r="AC229" i="16" s="1"/>
  <c r="AD229" i="16" s="1" a="1"/>
  <c r="AD229" i="16" s="1"/>
  <c r="Z220" i="16" a="1"/>
  <c r="Z220" i="16" s="1"/>
  <c r="AA220" i="16" s="1" a="1"/>
  <c r="AA220" i="16" s="1"/>
  <c r="AB220" i="16" s="1" a="1"/>
  <c r="AB220" i="16" s="1"/>
  <c r="AC220" i="16" s="1" a="1"/>
  <c r="AC220" i="16" s="1"/>
  <c r="AD220" i="16" s="1" a="1"/>
  <c r="AD220" i="16" s="1"/>
  <c r="Z298" i="16" a="1"/>
  <c r="Z298" i="16" s="1"/>
  <c r="AA298" i="16" s="1" a="1"/>
  <c r="AA298" i="16" s="1"/>
  <c r="AB298" i="16" s="1" a="1"/>
  <c r="AB298" i="16" s="1"/>
  <c r="AC298" i="16" s="1" a="1"/>
  <c r="AC298" i="16" s="1"/>
  <c r="AD298" i="16" s="1" a="1"/>
  <c r="AD298" i="16" s="1"/>
  <c r="Z11" i="16" a="1"/>
  <c r="Z11" i="16" s="1"/>
  <c r="AA11" i="16" s="1" a="1"/>
  <c r="AA11" i="16" s="1"/>
  <c r="AB11" i="16" s="1" a="1"/>
  <c r="AB11" i="16" s="1"/>
  <c r="AC11" i="16" s="1" a="1"/>
  <c r="AC11" i="16" s="1"/>
  <c r="AD11" i="16" s="1" a="1"/>
  <c r="AD11" i="16" s="1"/>
  <c r="Z271" i="16" a="1"/>
  <c r="Z271" i="16" s="1"/>
  <c r="AA271" i="16" s="1" a="1"/>
  <c r="AA271" i="16" s="1"/>
  <c r="AB271" i="16" s="1" a="1"/>
  <c r="AB271" i="16" s="1"/>
  <c r="AC271" i="16" s="1" a="1"/>
  <c r="AC271" i="16" s="1"/>
  <c r="AD271" i="16" s="1" a="1"/>
  <c r="AD271" i="16" s="1"/>
  <c r="Z329" i="16" a="1"/>
  <c r="Z329" i="16" s="1"/>
  <c r="AA329" i="16" s="1" a="1"/>
  <c r="AA329" i="16" s="1"/>
  <c r="AB329" i="16" s="1" a="1"/>
  <c r="AB329" i="16" s="1"/>
  <c r="AC329" i="16" s="1" a="1"/>
  <c r="AC329" i="16" s="1"/>
  <c r="AD329" i="16" s="1" a="1"/>
  <c r="AD329" i="16" s="1"/>
  <c r="Z75" i="16" a="1"/>
  <c r="Z75" i="16" s="1"/>
  <c r="AA75" i="16" s="1" a="1"/>
  <c r="AA75" i="16" s="1"/>
  <c r="AB75" i="16" s="1" a="1"/>
  <c r="AB75" i="16" s="1"/>
  <c r="AC75" i="16" s="1" a="1"/>
  <c r="AC75" i="16" s="1"/>
  <c r="AD75" i="16" s="1" a="1"/>
  <c r="AD75" i="16" s="1"/>
  <c r="Z61" i="16" a="1"/>
  <c r="Z61" i="16" s="1"/>
  <c r="AA61" i="16" s="1" a="1"/>
  <c r="AA61" i="16" s="1"/>
  <c r="AB61" i="16" s="1" a="1"/>
  <c r="AB61" i="16" s="1"/>
  <c r="AC61" i="16" s="1" a="1"/>
  <c r="AC61" i="16" s="1"/>
  <c r="AD61" i="16" s="1" a="1"/>
  <c r="AD61" i="16" s="1"/>
  <c r="Z227" i="16" a="1"/>
  <c r="Z227" i="16" s="1"/>
  <c r="AA227" i="16" s="1" a="1"/>
  <c r="AA227" i="16" s="1"/>
  <c r="AB227" i="16" s="1" a="1"/>
  <c r="AB227" i="16" s="1"/>
  <c r="AC227" i="16" s="1" a="1"/>
  <c r="AC227" i="16" s="1"/>
  <c r="AD227" i="16" s="1" a="1"/>
  <c r="AD227" i="16" s="1"/>
  <c r="Z352" i="16" a="1"/>
  <c r="Z352" i="16" s="1"/>
  <c r="AA352" i="16" s="1" a="1"/>
  <c r="AA352" i="16" s="1"/>
  <c r="AB352" i="16" s="1" a="1"/>
  <c r="AB352" i="16" s="1"/>
  <c r="AC352" i="16" s="1" a="1"/>
  <c r="AC352" i="16" s="1"/>
  <c r="AD352" i="16" s="1" a="1"/>
  <c r="AD352" i="16" s="1"/>
  <c r="Z231" i="16" a="1"/>
  <c r="Z231" i="16" s="1"/>
  <c r="AA231" i="16" s="1" a="1"/>
  <c r="AA231" i="16" s="1"/>
  <c r="AB231" i="16" s="1" a="1"/>
  <c r="AB231" i="16" s="1"/>
  <c r="AC231" i="16" s="1" a="1"/>
  <c r="AC231" i="16" s="1"/>
  <c r="AD231" i="16" s="1" a="1"/>
  <c r="AD231" i="16" s="1"/>
  <c r="Z373" i="16" a="1"/>
  <c r="Z373" i="16" s="1"/>
  <c r="AA373" i="16" s="1" a="1"/>
  <c r="AA373" i="16" s="1"/>
  <c r="AB373" i="16" s="1" a="1"/>
  <c r="AB373" i="16" s="1"/>
  <c r="AC373" i="16" s="1" a="1"/>
  <c r="AC373" i="16" s="1"/>
  <c r="AD373" i="16" s="1" a="1"/>
  <c r="AD373" i="16" s="1"/>
  <c r="Z239" i="16" a="1"/>
  <c r="Z239" i="16" s="1"/>
  <c r="AA239" i="16" s="1" a="1"/>
  <c r="AA239" i="16" s="1"/>
  <c r="AB239" i="16" s="1" a="1"/>
  <c r="AB239" i="16" s="1"/>
  <c r="AC239" i="16" s="1" a="1"/>
  <c r="AC239" i="16" s="1"/>
  <c r="AD239" i="16" s="1" a="1"/>
  <c r="AD239" i="16" s="1"/>
  <c r="Z126" i="16" a="1"/>
  <c r="Z126" i="16" s="1"/>
  <c r="AA126" i="16" s="1" a="1"/>
  <c r="AA126" i="16" s="1"/>
  <c r="AB126" i="16" s="1" a="1"/>
  <c r="AB126" i="16" s="1"/>
  <c r="AC126" i="16" s="1" a="1"/>
  <c r="AC126" i="16" s="1"/>
  <c r="AD126" i="16" s="1" a="1"/>
  <c r="AD126" i="16" s="1"/>
  <c r="Z289" i="16" a="1"/>
  <c r="Z289" i="16" s="1"/>
  <c r="AA289" i="16" s="1" a="1"/>
  <c r="AA289" i="16" s="1"/>
  <c r="AB289" i="16" s="1" a="1"/>
  <c r="AB289" i="16" s="1"/>
  <c r="AC289" i="16" s="1" a="1"/>
  <c r="AC289" i="16" s="1"/>
  <c r="AD289" i="16" s="1" a="1"/>
  <c r="AD289" i="16" s="1"/>
  <c r="Z288" i="16" a="1"/>
  <c r="Z288" i="16" s="1"/>
  <c r="AA288" i="16" s="1" a="1"/>
  <c r="AA288" i="16" s="1"/>
  <c r="AB288" i="16" s="1" a="1"/>
  <c r="AB288" i="16" s="1"/>
  <c r="AC288" i="16" s="1" a="1"/>
  <c r="AC288" i="16" s="1"/>
  <c r="AD288" i="16" s="1" a="1"/>
  <c r="AD288" i="16" s="1"/>
  <c r="Z155" i="16" a="1"/>
  <c r="Z155" i="16" s="1"/>
  <c r="AA155" i="16" s="1" a="1"/>
  <c r="AA155" i="16" s="1"/>
  <c r="AB155" i="16" s="1" a="1"/>
  <c r="AB155" i="16" s="1"/>
  <c r="AC155" i="16" s="1" a="1"/>
  <c r="AC155" i="16" s="1"/>
  <c r="AD155" i="16" s="1" a="1"/>
  <c r="AD155" i="16" s="1"/>
  <c r="Z112" i="16" a="1"/>
  <c r="Z112" i="16" s="1"/>
  <c r="AA112" i="16" s="1" a="1"/>
  <c r="AA112" i="16" s="1"/>
  <c r="AB112" i="16" s="1" a="1"/>
  <c r="AB112" i="16" s="1"/>
  <c r="AC112" i="16" s="1" a="1"/>
  <c r="AC112" i="16" s="1"/>
  <c r="AD112" i="16" s="1" a="1"/>
  <c r="AD112" i="16" s="1"/>
  <c r="Z190" i="16" a="1"/>
  <c r="Z190" i="16" s="1"/>
  <c r="AA190" i="16" s="1" a="1"/>
  <c r="AA190" i="16" s="1"/>
  <c r="AB190" i="16" s="1" a="1"/>
  <c r="AB190" i="16" s="1"/>
  <c r="AC190" i="16" s="1" a="1"/>
  <c r="AC190" i="16" s="1"/>
  <c r="AD190" i="16" s="1" a="1"/>
  <c r="AD190" i="16" s="1"/>
  <c r="Z165" i="16" a="1"/>
  <c r="Z165" i="16" s="1"/>
  <c r="AA165" i="16" s="1" a="1"/>
  <c r="AA165" i="16" s="1"/>
  <c r="AB165" i="16" s="1" a="1"/>
  <c r="AB165" i="16" s="1"/>
  <c r="AC165" i="16" s="1" a="1"/>
  <c r="AC165" i="16" s="1"/>
  <c r="AD165" i="16" s="1" a="1"/>
  <c r="AD165" i="16" s="1"/>
  <c r="Z241" i="16" a="1"/>
  <c r="Z241" i="16" s="1"/>
  <c r="AA241" i="16" s="1" a="1"/>
  <c r="AA241" i="16" s="1"/>
  <c r="AB241" i="16" s="1" a="1"/>
  <c r="AB241" i="16" s="1"/>
  <c r="AC241" i="16" s="1" a="1"/>
  <c r="AC241" i="16" s="1"/>
  <c r="AD241" i="16" s="1" a="1"/>
  <c r="AD241" i="16" s="1"/>
  <c r="Z350" i="16" a="1"/>
  <c r="Z350" i="16" s="1"/>
  <c r="AA350" i="16" s="1" a="1"/>
  <c r="AA350" i="16" s="1"/>
  <c r="AB350" i="16" s="1" a="1"/>
  <c r="AB350" i="16" s="1"/>
  <c r="AC350" i="16" s="1" a="1"/>
  <c r="AC350" i="16" s="1"/>
  <c r="AD350" i="16" s="1" a="1"/>
  <c r="AD350" i="16" s="1"/>
  <c r="Z250" i="16" a="1"/>
  <c r="Z250" i="16" s="1"/>
  <c r="AA250" i="16" s="1" a="1"/>
  <c r="AA250" i="16" s="1"/>
  <c r="AB250" i="16" s="1" a="1"/>
  <c r="AB250" i="16" s="1"/>
  <c r="AC250" i="16" s="1" a="1"/>
  <c r="AC250" i="16" s="1"/>
  <c r="AD250" i="16" s="1" a="1"/>
  <c r="AD250" i="16" s="1"/>
  <c r="Z198" i="16" a="1"/>
  <c r="Z198" i="16" s="1"/>
  <c r="AA198" i="16" s="1" a="1"/>
  <c r="AA198" i="16" s="1"/>
  <c r="AB198" i="16" s="1" a="1"/>
  <c r="AB198" i="16" s="1"/>
  <c r="AC198" i="16" s="1" a="1"/>
  <c r="AC198" i="16" s="1"/>
  <c r="AD198" i="16" s="1" a="1"/>
  <c r="AD198" i="16" s="1"/>
  <c r="Z370" i="16" a="1"/>
  <c r="Z370" i="16" s="1"/>
  <c r="AA370" i="16" s="1" a="1"/>
  <c r="AA370" i="16" s="1"/>
  <c r="AB370" i="16" s="1" a="1"/>
  <c r="AB370" i="16" s="1"/>
  <c r="AC370" i="16" s="1" a="1"/>
  <c r="AC370" i="16" s="1"/>
  <c r="AD370" i="16" s="1" a="1"/>
  <c r="AD370" i="16" s="1"/>
  <c r="Z274" i="16" a="1"/>
  <c r="Z274" i="16" s="1"/>
  <c r="AA274" i="16" s="1" a="1"/>
  <c r="AA274" i="16" s="1"/>
  <c r="AB274" i="16" s="1" a="1"/>
  <c r="AB274" i="16" s="1"/>
  <c r="AC274" i="16" s="1" a="1"/>
  <c r="AC274" i="16" s="1"/>
  <c r="AD274" i="16" s="1" a="1"/>
  <c r="AD274" i="16" s="1"/>
  <c r="Z226" i="16" a="1"/>
  <c r="Z226" i="16" s="1"/>
  <c r="AA226" i="16" s="1" a="1"/>
  <c r="AA226" i="16" s="1"/>
  <c r="AB226" i="16" s="1" a="1"/>
  <c r="AB226" i="16" s="1"/>
  <c r="AC226" i="16" s="1" a="1"/>
  <c r="AC226" i="16" s="1"/>
  <c r="AD226" i="16" s="1" a="1"/>
  <c r="AD226" i="16" s="1"/>
  <c r="Z278" i="16" a="1"/>
  <c r="Z278" i="16" s="1"/>
  <c r="AA278" i="16" s="1" a="1"/>
  <c r="AA278" i="16" s="1"/>
  <c r="AB278" i="16" s="1" a="1"/>
  <c r="AB278" i="16" s="1"/>
  <c r="AC278" i="16" s="1" a="1"/>
  <c r="AC278" i="16" s="1"/>
  <c r="AD278" i="16" s="1" a="1"/>
  <c r="AD278" i="16" s="1"/>
  <c r="Z326" i="16" a="1"/>
  <c r="Z326" i="16" s="1"/>
  <c r="AA326" i="16" s="1" a="1"/>
  <c r="AA326" i="16" s="1"/>
  <c r="AB326" i="16" s="1" a="1"/>
  <c r="AB326" i="16" s="1"/>
  <c r="AC326" i="16" s="1" a="1"/>
  <c r="AC326" i="16" s="1"/>
  <c r="AD326" i="16" s="1" a="1"/>
  <c r="AD326" i="16" s="1"/>
  <c r="Z124" i="16" a="1"/>
  <c r="Z124" i="16" s="1"/>
  <c r="AA124" i="16" s="1" a="1"/>
  <c r="AA124" i="16" s="1"/>
  <c r="AB124" i="16" s="1" a="1"/>
  <c r="AB124" i="16" s="1"/>
  <c r="AC124" i="16" s="1" a="1"/>
  <c r="AC124" i="16" s="1"/>
  <c r="AD124" i="16" s="1" a="1"/>
  <c r="AD124" i="16" s="1"/>
  <c r="Z146" i="16" a="1"/>
  <c r="Z146" i="16" s="1"/>
  <c r="AA146" i="16" s="1" a="1"/>
  <c r="AA146" i="16" s="1"/>
  <c r="AB146" i="16" s="1" a="1"/>
  <c r="AB146" i="16" s="1"/>
  <c r="AC146" i="16" s="1" a="1"/>
  <c r="AC146" i="16" s="1"/>
  <c r="AD146" i="16" s="1" a="1"/>
  <c r="AD146" i="16" s="1"/>
  <c r="Z389" i="16" a="1"/>
  <c r="Z389" i="16" s="1"/>
  <c r="AA389" i="16" s="1" a="1"/>
  <c r="AA389" i="16" s="1"/>
  <c r="AB389" i="16" s="1" a="1"/>
  <c r="AB389" i="16" s="1"/>
  <c r="AC389" i="16" s="1" a="1"/>
  <c r="AC389" i="16" s="1"/>
  <c r="AD389" i="16" s="1" a="1"/>
  <c r="AD389" i="16" s="1"/>
  <c r="Z212" i="16" a="1"/>
  <c r="Z212" i="16" s="1"/>
  <c r="AA212" i="16" s="1" a="1"/>
  <c r="AA212" i="16" s="1"/>
  <c r="AB212" i="16" s="1" a="1"/>
  <c r="AB212" i="16" s="1"/>
  <c r="AC212" i="16" s="1" a="1"/>
  <c r="AC212" i="16" s="1"/>
  <c r="AD212" i="16" s="1" a="1"/>
  <c r="AD212" i="16" s="1"/>
  <c r="Z306" i="16" a="1"/>
  <c r="Z306" i="16" s="1"/>
  <c r="AA306" i="16" s="1" a="1"/>
  <c r="AA306" i="16" s="1"/>
  <c r="AB306" i="16" s="1" a="1"/>
  <c r="AB306" i="16" s="1"/>
  <c r="AC306" i="16" s="1" a="1"/>
  <c r="AC306" i="16" s="1"/>
  <c r="AD306" i="16" s="1" a="1"/>
  <c r="AD306" i="16" s="1"/>
  <c r="Z228" i="16" a="1"/>
  <c r="Z228" i="16" s="1"/>
  <c r="AA228" i="16" s="1" a="1"/>
  <c r="AA228" i="16" s="1"/>
  <c r="AB228" i="16" s="1" a="1"/>
  <c r="AB228" i="16" s="1"/>
  <c r="AC228" i="16" s="1" a="1"/>
  <c r="AC228" i="16" s="1"/>
  <c r="AD228" i="16" s="1" a="1"/>
  <c r="AD228" i="16" s="1"/>
  <c r="Z210" i="16" a="1"/>
  <c r="Z210" i="16" s="1"/>
  <c r="AA210" i="16" s="1" a="1"/>
  <c r="AA210" i="16" s="1"/>
  <c r="AB210" i="16" s="1" a="1"/>
  <c r="AB210" i="16" s="1"/>
  <c r="AC210" i="16" s="1" a="1"/>
  <c r="AC210" i="16" s="1"/>
  <c r="AD210" i="16" s="1" a="1"/>
  <c r="AD210" i="16" s="1"/>
  <c r="Z213" i="16" a="1"/>
  <c r="Z213" i="16" s="1"/>
  <c r="AA213" i="16" s="1" a="1"/>
  <c r="AA213" i="16" s="1"/>
  <c r="AB213" i="16" s="1" a="1"/>
  <c r="AB213" i="16" s="1"/>
  <c r="AC213" i="16" s="1" a="1"/>
  <c r="AC213" i="16" s="1"/>
  <c r="AD213" i="16" s="1" a="1"/>
  <c r="AD213" i="16" s="1"/>
  <c r="Z367" i="16" a="1"/>
  <c r="Z367" i="16" s="1"/>
  <c r="AA367" i="16" s="1" a="1"/>
  <c r="AA367" i="16" s="1"/>
  <c r="AB367" i="16" s="1" a="1"/>
  <c r="AB367" i="16" s="1"/>
  <c r="AC367" i="16" s="1" a="1"/>
  <c r="AC367" i="16" s="1"/>
  <c r="AD367" i="16" s="1" a="1"/>
  <c r="AD367" i="16" s="1"/>
  <c r="Z422" i="16" a="1"/>
  <c r="Z422" i="16" s="1"/>
  <c r="AA422" i="16" s="1" a="1"/>
  <c r="AA422" i="16" s="1"/>
  <c r="AB422" i="16" s="1" a="1"/>
  <c r="AB422" i="16" s="1"/>
  <c r="AC422" i="16" s="1" a="1"/>
  <c r="AC422" i="16" s="1"/>
  <c r="AD422" i="16" s="1" a="1"/>
  <c r="AD422" i="16" s="1"/>
  <c r="Z263" i="16" a="1"/>
  <c r="Z263" i="16" s="1"/>
  <c r="AA263" i="16" s="1" a="1"/>
  <c r="AA263" i="16" s="1"/>
  <c r="AB263" i="16" s="1" a="1"/>
  <c r="AB263" i="16" s="1"/>
  <c r="AC263" i="16" s="1" a="1"/>
  <c r="AC263" i="16" s="1"/>
  <c r="AD263" i="16" s="1" a="1"/>
  <c r="AD263" i="16" s="1"/>
  <c r="Z296" i="16" a="1"/>
  <c r="Z296" i="16" s="1"/>
  <c r="AA296" i="16" s="1" a="1"/>
  <c r="AA296" i="16" s="1"/>
  <c r="AB296" i="16" s="1" a="1"/>
  <c r="AB296" i="16" s="1"/>
  <c r="AC296" i="16" s="1" a="1"/>
  <c r="AC296" i="16" s="1"/>
  <c r="AD296" i="16" s="1" a="1"/>
  <c r="AD296" i="16" s="1"/>
  <c r="Z175" i="16" a="1"/>
  <c r="Z175" i="16" s="1"/>
  <c r="AA175" i="16" s="1" a="1"/>
  <c r="AA175" i="16" s="1"/>
  <c r="AB175" i="16" s="1" a="1"/>
  <c r="AB175" i="16" s="1"/>
  <c r="AC175" i="16" s="1" a="1"/>
  <c r="AC175" i="16" s="1"/>
  <c r="AD175" i="16" s="1" a="1"/>
  <c r="AD175" i="16" s="1"/>
  <c r="Z64" i="16" a="1"/>
  <c r="Z64" i="16" s="1"/>
  <c r="AA64" i="16" s="1" a="1"/>
  <c r="AA64" i="16" s="1"/>
  <c r="AB64" i="16" s="1" a="1"/>
  <c r="AB64" i="16" s="1"/>
  <c r="AC64" i="16" s="1" a="1"/>
  <c r="AC64" i="16" s="1"/>
  <c r="AD64" i="16" s="1" a="1"/>
  <c r="AD64" i="16" s="1"/>
  <c r="Z420" i="16" a="1"/>
  <c r="Z420" i="16" s="1"/>
  <c r="AA420" i="16" s="1" a="1"/>
  <c r="AA420" i="16" s="1"/>
  <c r="AB420" i="16" s="1" a="1"/>
  <c r="AB420" i="16" s="1"/>
  <c r="AC420" i="16" s="1" a="1"/>
  <c r="AC420" i="16" s="1"/>
  <c r="AD420" i="16" s="1" a="1"/>
  <c r="AD420" i="16" s="1"/>
  <c r="Z398" i="16" a="1"/>
  <c r="Z398" i="16" s="1"/>
  <c r="AA398" i="16" s="1" a="1"/>
  <c r="AA398" i="16" s="1"/>
  <c r="AB398" i="16" s="1" a="1"/>
  <c r="AB398" i="16" s="1"/>
  <c r="AC398" i="16" s="1" a="1"/>
  <c r="AC398" i="16" s="1"/>
  <c r="AD398" i="16" s="1" a="1"/>
  <c r="AD398" i="16" s="1"/>
  <c r="Z413" i="16" a="1"/>
  <c r="Z413" i="16" s="1"/>
  <c r="AA413" i="16" s="1" a="1"/>
  <c r="AA413" i="16" s="1"/>
  <c r="AB413" i="16" s="1" a="1"/>
  <c r="AB413" i="16" s="1"/>
  <c r="AC413" i="16" s="1" a="1"/>
  <c r="AC413" i="16" s="1"/>
  <c r="AD413" i="16" s="1" a="1"/>
  <c r="AD413" i="16" s="1"/>
  <c r="Z347" i="16" a="1"/>
  <c r="Z347" i="16" s="1"/>
  <c r="AA347" i="16" s="1" a="1"/>
  <c r="AA347" i="16" s="1"/>
  <c r="AB347" i="16" s="1" a="1"/>
  <c r="AB347" i="16" s="1"/>
  <c r="AC347" i="16" s="1" a="1"/>
  <c r="AC347" i="16" s="1"/>
  <c r="AD347" i="16" s="1" a="1"/>
  <c r="AD347" i="16" s="1"/>
  <c r="Z219" i="16" a="1"/>
  <c r="Z219" i="16" s="1"/>
  <c r="AA219" i="16" s="1" a="1"/>
  <c r="AA219" i="16" s="1"/>
  <c r="AB219" i="16" s="1" a="1"/>
  <c r="AB219" i="16" s="1"/>
  <c r="AC219" i="16" s="1" a="1"/>
  <c r="AC219" i="16" s="1"/>
  <c r="AD219" i="16" s="1" a="1"/>
  <c r="AD219" i="16" s="1"/>
  <c r="Z215" i="16" a="1"/>
  <c r="Z215" i="16" s="1"/>
  <c r="AA215" i="16" s="1" a="1"/>
  <c r="AA215" i="16" s="1"/>
  <c r="AB215" i="16" s="1" a="1"/>
  <c r="AB215" i="16" s="1"/>
  <c r="AC215" i="16" s="1" a="1"/>
  <c r="AC215" i="16" s="1"/>
  <c r="AD215" i="16" s="1" a="1"/>
  <c r="AD215" i="16" s="1"/>
  <c r="Z204" i="16" a="1"/>
  <c r="Z204" i="16" s="1"/>
  <c r="AA204" i="16" s="1" a="1"/>
  <c r="AA204" i="16" s="1"/>
  <c r="AB204" i="16" s="1" a="1"/>
  <c r="AB204" i="16" s="1"/>
  <c r="AC204" i="16" s="1" a="1"/>
  <c r="AC204" i="16" s="1"/>
  <c r="AD204" i="16" s="1" a="1"/>
  <c r="AD204" i="16" s="1"/>
  <c r="Z385" i="16" a="1"/>
  <c r="Z385" i="16" s="1"/>
  <c r="AA385" i="16" s="1" a="1"/>
  <c r="AA385" i="16" s="1"/>
  <c r="AB385" i="16" s="1" a="1"/>
  <c r="AB385" i="16" s="1"/>
  <c r="AC385" i="16" s="1" a="1"/>
  <c r="AC385" i="16" s="1"/>
  <c r="AD385" i="16" s="1" a="1"/>
  <c r="AD385" i="16" s="1"/>
  <c r="Z308" i="16" a="1"/>
  <c r="Z308" i="16" s="1"/>
  <c r="AA308" i="16" s="1" a="1"/>
  <c r="AA308" i="16" s="1"/>
  <c r="AB308" i="16" s="1" a="1"/>
  <c r="AB308" i="16" s="1"/>
  <c r="AC308" i="16" s="1" a="1"/>
  <c r="AC308" i="16" s="1"/>
  <c r="AD308" i="16" s="1" a="1"/>
  <c r="AD308" i="16" s="1"/>
  <c r="Z48" i="16" a="1"/>
  <c r="Z48" i="16" s="1"/>
  <c r="AA48" i="16" s="1" a="1"/>
  <c r="AA48" i="16" s="1"/>
  <c r="AB48" i="16" s="1" a="1"/>
  <c r="AB48" i="16" s="1"/>
  <c r="AC48" i="16" s="1" a="1"/>
  <c r="AC48" i="16" s="1"/>
  <c r="AD48" i="16" s="1" a="1"/>
  <c r="AD48" i="16" s="1"/>
  <c r="Z260" i="16" a="1"/>
  <c r="Z260" i="16" s="1"/>
  <c r="AA260" i="16" s="1" a="1"/>
  <c r="AA260" i="16" s="1"/>
  <c r="AB260" i="16" s="1" a="1"/>
  <c r="AB260" i="16" s="1"/>
  <c r="AC260" i="16" s="1" a="1"/>
  <c r="AC260" i="16" s="1"/>
  <c r="AD260" i="16" s="1" a="1"/>
  <c r="AD260" i="16" s="1"/>
  <c r="Z100" i="16" a="1"/>
  <c r="Z100" i="16" s="1"/>
  <c r="AA100" i="16" s="1" a="1"/>
  <c r="AA100" i="16" s="1"/>
  <c r="AB100" i="16" s="1" a="1"/>
  <c r="AB100" i="16" s="1"/>
  <c r="AC100" i="16" s="1" a="1"/>
  <c r="AC100" i="16" s="1"/>
  <c r="AD100" i="16" s="1" a="1"/>
  <c r="AD100" i="16" s="1"/>
  <c r="Z426" i="16" a="1"/>
  <c r="Z426" i="16" s="1"/>
  <c r="AA426" i="16" s="1" a="1"/>
  <c r="AA426" i="16" s="1"/>
  <c r="AB426" i="16" s="1" a="1"/>
  <c r="AB426" i="16" s="1"/>
  <c r="AC426" i="16" s="1" a="1"/>
  <c r="AC426" i="16" s="1"/>
  <c r="AD426" i="16" s="1" a="1"/>
  <c r="AD426" i="16" s="1"/>
  <c r="Z361" i="16" a="1"/>
  <c r="Z361" i="16" s="1"/>
  <c r="AA361" i="16" s="1" a="1"/>
  <c r="AA361" i="16" s="1"/>
  <c r="AB361" i="16" s="1" a="1"/>
  <c r="AB361" i="16" s="1"/>
  <c r="AC361" i="16" s="1" a="1"/>
  <c r="AC361" i="16" s="1"/>
  <c r="AD361" i="16" s="1" a="1"/>
  <c r="AD361" i="16" s="1"/>
  <c r="Z345" i="16" a="1"/>
  <c r="Z345" i="16" s="1"/>
  <c r="AA345" i="16" s="1" a="1"/>
  <c r="AA345" i="16" s="1"/>
  <c r="AB345" i="16" s="1" a="1"/>
  <c r="AB345" i="16" s="1"/>
  <c r="AC345" i="16" s="1" a="1"/>
  <c r="AC345" i="16" s="1"/>
  <c r="AD345" i="16" s="1" a="1"/>
  <c r="AD345" i="16" s="1"/>
  <c r="Z218" i="16" a="1"/>
  <c r="Z218" i="16" s="1"/>
  <c r="AA218" i="16" s="1" a="1"/>
  <c r="AA218" i="16" s="1"/>
  <c r="AB218" i="16" s="1" a="1"/>
  <c r="AB218" i="16" s="1"/>
  <c r="AC218" i="16" s="1" a="1"/>
  <c r="AC218" i="16" s="1"/>
  <c r="AD218" i="16" s="1" a="1"/>
  <c r="AD218" i="16" s="1"/>
  <c r="Z252" i="16" a="1"/>
  <c r="Z252" i="16" s="1"/>
  <c r="AA252" i="16" s="1" a="1"/>
  <c r="AA252" i="16" s="1"/>
  <c r="AB252" i="16" s="1" a="1"/>
  <c r="AB252" i="16" s="1"/>
  <c r="AC252" i="16" s="1" a="1"/>
  <c r="AC252" i="16" s="1"/>
  <c r="AD252" i="16" s="1" a="1"/>
  <c r="AD252" i="16" s="1"/>
  <c r="Z392" i="16" a="1"/>
  <c r="Z392" i="16" s="1"/>
  <c r="AA392" i="16" s="1" a="1"/>
  <c r="AA392" i="16" s="1"/>
  <c r="AB392" i="16" s="1" a="1"/>
  <c r="AB392" i="16" s="1"/>
  <c r="AC392" i="16" s="1" a="1"/>
  <c r="AC392" i="16" s="1"/>
  <c r="AD392" i="16" s="1" a="1"/>
  <c r="AD392" i="16" s="1"/>
  <c r="Z410" i="16" a="1"/>
  <c r="Z410" i="16" s="1"/>
  <c r="AA410" i="16" s="1" a="1"/>
  <c r="AA410" i="16" s="1"/>
  <c r="AB410" i="16" s="1" a="1"/>
  <c r="AB410" i="16" s="1"/>
  <c r="AC410" i="16" s="1" a="1"/>
  <c r="AC410" i="16" s="1"/>
  <c r="AD410" i="16" s="1" a="1"/>
  <c r="AD410" i="16" s="1"/>
  <c r="Z129" i="16" a="1"/>
  <c r="Z129" i="16" s="1"/>
  <c r="AA129" i="16" s="1" a="1"/>
  <c r="AA129" i="16" s="1"/>
  <c r="AB129" i="16" s="1" a="1"/>
  <c r="AB129" i="16" s="1"/>
  <c r="AC129" i="16" s="1" a="1"/>
  <c r="AC129" i="16" s="1"/>
  <c r="AD129" i="16" s="1" a="1"/>
  <c r="AD129" i="16" s="1"/>
  <c r="Z51" i="16" a="1"/>
  <c r="Z51" i="16" s="1"/>
  <c r="AA51" i="16" s="1" a="1"/>
  <c r="AA51" i="16" s="1"/>
  <c r="AB51" i="16" s="1" a="1"/>
  <c r="AB51" i="16" s="1"/>
  <c r="AC51" i="16" s="1" a="1"/>
  <c r="AC51" i="16" s="1"/>
  <c r="AD51" i="16" s="1" a="1"/>
  <c r="AD51" i="16" s="1"/>
  <c r="Z158" i="16" a="1"/>
  <c r="Z158" i="16" s="1"/>
  <c r="AA158" i="16" s="1" a="1"/>
  <c r="AA158" i="16" s="1"/>
  <c r="AB158" i="16" s="1" a="1"/>
  <c r="AB158" i="16" s="1"/>
  <c r="AC158" i="16" s="1" a="1"/>
  <c r="AC158" i="16" s="1"/>
  <c r="AD158" i="16" s="1" a="1"/>
  <c r="AD158" i="16" s="1"/>
  <c r="Z148" i="16" a="1"/>
  <c r="Z148" i="16" s="1"/>
  <c r="AA148" i="16" s="1" a="1"/>
  <c r="AA148" i="16" s="1"/>
  <c r="AB148" i="16" s="1" a="1"/>
  <c r="AB148" i="16" s="1"/>
  <c r="AC148" i="16" s="1" a="1"/>
  <c r="AC148" i="16" s="1"/>
  <c r="AD148" i="16" s="1" a="1"/>
  <c r="AD148" i="16" s="1"/>
  <c r="Z395" i="16" a="1"/>
  <c r="Z395" i="16" s="1"/>
  <c r="AA395" i="16" s="1" a="1"/>
  <c r="AA395" i="16" s="1"/>
  <c r="AB395" i="16" s="1" a="1"/>
  <c r="AB395" i="16" s="1"/>
  <c r="AC395" i="16" s="1" a="1"/>
  <c r="AC395" i="16" s="1"/>
  <c r="AD395" i="16" s="1" a="1"/>
  <c r="AD395" i="16" s="1"/>
  <c r="Z199" i="16" a="1"/>
  <c r="Z199" i="16" s="1"/>
  <c r="AA199" i="16" s="1" a="1"/>
  <c r="AA199" i="16" s="1"/>
  <c r="AB199" i="16" s="1" a="1"/>
  <c r="AB199" i="16" s="1"/>
  <c r="AC199" i="16" s="1" a="1"/>
  <c r="AC199" i="16" s="1"/>
  <c r="AD199" i="16" s="1" a="1"/>
  <c r="AD199" i="16" s="1"/>
  <c r="Z197" i="16" a="1"/>
  <c r="Z197" i="16" s="1"/>
  <c r="AA197" i="16" s="1" a="1"/>
  <c r="AA197" i="16" s="1"/>
  <c r="AB197" i="16" s="1" a="1"/>
  <c r="AB197" i="16" s="1"/>
  <c r="AC197" i="16" s="1" a="1"/>
  <c r="AC197" i="16" s="1"/>
  <c r="AD197" i="16" s="1" a="1"/>
  <c r="AD197" i="16" s="1"/>
  <c r="Z332" i="16" a="1"/>
  <c r="Z332" i="16" s="1"/>
  <c r="AA332" i="16" s="1" a="1"/>
  <c r="AA332" i="16" s="1"/>
  <c r="AB332" i="16" s="1" a="1"/>
  <c r="AB332" i="16" s="1"/>
  <c r="AC332" i="16" s="1" a="1"/>
  <c r="AC332" i="16" s="1"/>
  <c r="AD332" i="16" s="1" a="1"/>
  <c r="AD332" i="16" s="1"/>
  <c r="Z246" i="16" a="1"/>
  <c r="Z246" i="16" s="1"/>
  <c r="AA246" i="16" s="1" a="1"/>
  <c r="AA246" i="16" s="1"/>
  <c r="AB246" i="16" s="1" a="1"/>
  <c r="AB246" i="16" s="1"/>
  <c r="AC246" i="16" s="1" a="1"/>
  <c r="AC246" i="16" s="1"/>
  <c r="AD246" i="16" s="1" a="1"/>
  <c r="AD246" i="16" s="1"/>
  <c r="Z181" i="16" a="1"/>
  <c r="Z181" i="16" s="1"/>
  <c r="AA181" i="16" s="1" a="1"/>
  <c r="AA181" i="16" s="1"/>
  <c r="AB181" i="16" s="1" a="1"/>
  <c r="AB181" i="16" s="1"/>
  <c r="AC181" i="16" s="1" a="1"/>
  <c r="AC181" i="16" s="1"/>
  <c r="AD181" i="16" s="1" a="1"/>
  <c r="AD181" i="16" s="1"/>
  <c r="Z109" i="16" a="1"/>
  <c r="Z109" i="16" s="1"/>
  <c r="AA109" i="16" s="1" a="1"/>
  <c r="AA109" i="16" s="1"/>
  <c r="AB109" i="16" s="1" a="1"/>
  <c r="AB109" i="16" s="1"/>
  <c r="AC109" i="16" s="1" a="1"/>
  <c r="AC109" i="16" s="1"/>
  <c r="AD109" i="16" s="1" a="1"/>
  <c r="AD109" i="16" s="1"/>
  <c r="Z130" i="16" a="1"/>
  <c r="Z130" i="16" s="1"/>
  <c r="AA130" i="16" s="1" a="1"/>
  <c r="AA130" i="16" s="1"/>
  <c r="AB130" i="16" s="1" a="1"/>
  <c r="AB130" i="16" s="1"/>
  <c r="AC130" i="16" s="1" a="1"/>
  <c r="AC130" i="16" s="1"/>
  <c r="AD130" i="16" s="1" a="1"/>
  <c r="AD130" i="16" s="1"/>
  <c r="Z41" i="16" a="1"/>
  <c r="Z41" i="16" s="1"/>
  <c r="AA41" i="16" s="1" a="1"/>
  <c r="AA41" i="16" s="1"/>
  <c r="AB41" i="16" s="1" a="1"/>
  <c r="AB41" i="16" s="1"/>
  <c r="AC41" i="16" s="1" a="1"/>
  <c r="AC41" i="16" s="1"/>
  <c r="AD41" i="16" s="1" a="1"/>
  <c r="AD41" i="16" s="1"/>
  <c r="Z140" i="16" a="1"/>
  <c r="Z140" i="16" s="1"/>
  <c r="AA140" i="16" s="1" a="1"/>
  <c r="AA140" i="16" s="1"/>
  <c r="AB140" i="16" s="1" a="1"/>
  <c r="AB140" i="16" s="1"/>
  <c r="AC140" i="16" s="1" a="1"/>
  <c r="AC140" i="16" s="1"/>
  <c r="AD140" i="16" s="1" a="1"/>
  <c r="AD140" i="16" s="1"/>
  <c r="Z206" i="16" a="1"/>
  <c r="Z206" i="16" s="1"/>
  <c r="AA206" i="16" s="1" a="1"/>
  <c r="AA206" i="16" s="1"/>
  <c r="AB206" i="16" s="1" a="1"/>
  <c r="AB206" i="16" s="1"/>
  <c r="AC206" i="16" s="1" a="1"/>
  <c r="AC206" i="16" s="1"/>
  <c r="AD206" i="16" s="1" a="1"/>
  <c r="AD206" i="16" s="1"/>
  <c r="Z309" i="16" a="1"/>
  <c r="Z309" i="16" s="1"/>
  <c r="AA309" i="16" s="1" a="1"/>
  <c r="AA309" i="16" s="1"/>
  <c r="AB309" i="16" s="1" a="1"/>
  <c r="AB309" i="16" s="1"/>
  <c r="AC309" i="16" s="1" a="1"/>
  <c r="AC309" i="16" s="1"/>
  <c r="AD309" i="16" s="1" a="1"/>
  <c r="AD309" i="16" s="1"/>
  <c r="Z243" i="16" a="1"/>
  <c r="Z243" i="16" s="1"/>
  <c r="AA243" i="16" s="1" a="1"/>
  <c r="AA243" i="16" s="1"/>
  <c r="AB243" i="16" s="1" a="1"/>
  <c r="AB243" i="16" s="1"/>
  <c r="AC243" i="16" s="1" a="1"/>
  <c r="AC243" i="16" s="1"/>
  <c r="AD243" i="16" s="1" a="1"/>
  <c r="AD243" i="16" s="1"/>
  <c r="Z397" i="16" a="1"/>
  <c r="Z397" i="16" s="1"/>
  <c r="AA397" i="16" s="1" a="1"/>
  <c r="AA397" i="16" s="1"/>
  <c r="AB397" i="16" s="1" a="1"/>
  <c r="AB397" i="16" s="1"/>
  <c r="AC397" i="16" s="1" a="1"/>
  <c r="AC397" i="16" s="1"/>
  <c r="AD397" i="16" s="1" a="1"/>
  <c r="AD397" i="16" s="1"/>
  <c r="Z284" i="16" a="1"/>
  <c r="Z284" i="16" s="1"/>
  <c r="AA284" i="16" s="1" a="1"/>
  <c r="AA284" i="16" s="1"/>
  <c r="AB284" i="16" s="1" a="1"/>
  <c r="AB284" i="16" s="1"/>
  <c r="AC284" i="16" s="1" a="1"/>
  <c r="AC284" i="16" s="1"/>
  <c r="AD284" i="16" s="1" a="1"/>
  <c r="AD284" i="16" s="1"/>
  <c r="Z186" i="16" a="1"/>
  <c r="Z186" i="16" s="1"/>
  <c r="AA186" i="16" s="1" a="1"/>
  <c r="AA186" i="16" s="1"/>
  <c r="AB186" i="16" s="1" a="1"/>
  <c r="AB186" i="16" s="1"/>
  <c r="AC186" i="16" s="1" a="1"/>
  <c r="AC186" i="16" s="1"/>
  <c r="AD186" i="16" s="1" a="1"/>
  <c r="AD186" i="16" s="1"/>
  <c r="Z185" i="16" a="1"/>
  <c r="Z185" i="16" s="1"/>
  <c r="AA185" i="16" s="1" a="1"/>
  <c r="AA185" i="16" s="1"/>
  <c r="AB185" i="16" s="1" a="1"/>
  <c r="AB185" i="16" s="1"/>
  <c r="AC185" i="16" s="1" a="1"/>
  <c r="AC185" i="16" s="1"/>
  <c r="AD185" i="16" s="1" a="1"/>
  <c r="AD185" i="16" s="1"/>
  <c r="Z311" i="16" a="1"/>
  <c r="Z311" i="16" s="1"/>
  <c r="AA311" i="16" s="1" a="1"/>
  <c r="AA311" i="16" s="1"/>
  <c r="AB311" i="16" s="1" a="1"/>
  <c r="AB311" i="16" s="1"/>
  <c r="AC311" i="16" s="1" a="1"/>
  <c r="AC311" i="16" s="1"/>
  <c r="AD311" i="16" s="1" a="1"/>
  <c r="AD311" i="16" s="1"/>
  <c r="Z223" i="16" a="1"/>
  <c r="Z223" i="16" s="1"/>
  <c r="AA223" i="16" s="1" a="1"/>
  <c r="AA223" i="16" s="1"/>
  <c r="AB223" i="16" s="1" a="1"/>
  <c r="AB223" i="16" s="1"/>
  <c r="AC223" i="16" s="1" a="1"/>
  <c r="AC223" i="16" s="1"/>
  <c r="AD223" i="16" s="1" a="1"/>
  <c r="AD223" i="16" s="1"/>
  <c r="Z295" i="16" a="1"/>
  <c r="Z295" i="16" s="1"/>
  <c r="AA295" i="16" s="1" a="1"/>
  <c r="AA295" i="16" s="1"/>
  <c r="AB295" i="16" s="1" a="1"/>
  <c r="AB295" i="16" s="1"/>
  <c r="AC295" i="16" s="1" a="1"/>
  <c r="AC295" i="16" s="1"/>
  <c r="AD295" i="16" s="1" a="1"/>
  <c r="AD295" i="16" s="1"/>
  <c r="Z346" i="16" a="1"/>
  <c r="Z346" i="16" s="1"/>
  <c r="AA346" i="16" s="1" a="1"/>
  <c r="AA346" i="16" s="1"/>
  <c r="AB346" i="16" s="1" a="1"/>
  <c r="AB346" i="16" s="1"/>
  <c r="AC346" i="16" s="1" a="1"/>
  <c r="AC346" i="16" s="1"/>
  <c r="AD346" i="16" s="1" a="1"/>
  <c r="AD346" i="16" s="1"/>
  <c r="Z300" i="16" a="1"/>
  <c r="Z300" i="16" s="1"/>
  <c r="AA300" i="16" s="1" a="1"/>
  <c r="AA300" i="16" s="1"/>
  <c r="AB300" i="16" s="1" a="1"/>
  <c r="AB300" i="16" s="1"/>
  <c r="AC300" i="16" s="1" a="1"/>
  <c r="AC300" i="16" s="1"/>
  <c r="AD300" i="16" s="1" a="1"/>
  <c r="AD300" i="16" s="1"/>
  <c r="Z159" i="16" a="1"/>
  <c r="Z159" i="16" s="1"/>
  <c r="AA159" i="16" s="1" a="1"/>
  <c r="AA159" i="16" s="1"/>
  <c r="AB159" i="16" s="1" a="1"/>
  <c r="AB159" i="16" s="1"/>
  <c r="AC159" i="16" s="1" a="1"/>
  <c r="AC159" i="16" s="1"/>
  <c r="AD159" i="16" s="1" a="1"/>
  <c r="AD159" i="16" s="1"/>
  <c r="Z375" i="16" a="1"/>
  <c r="Z375" i="16" s="1"/>
  <c r="AA375" i="16" s="1" a="1"/>
  <c r="AA375" i="16" s="1"/>
  <c r="AB375" i="16" s="1" a="1"/>
  <c r="AB375" i="16" s="1"/>
  <c r="AC375" i="16" s="1" a="1"/>
  <c r="AC375" i="16" s="1"/>
  <c r="AD375" i="16" s="1" a="1"/>
  <c r="AD375" i="16" s="1"/>
  <c r="Z297" i="16" a="1"/>
  <c r="Z297" i="16" s="1"/>
  <c r="AA297" i="16" s="1" a="1"/>
  <c r="AA297" i="16" s="1"/>
  <c r="AB297" i="16" s="1" a="1"/>
  <c r="AB297" i="16" s="1"/>
  <c r="AC297" i="16" s="1" a="1"/>
  <c r="AC297" i="16" s="1"/>
  <c r="AD297" i="16" s="1" a="1"/>
  <c r="AD297" i="16" s="1"/>
  <c r="Z407" i="16" a="1"/>
  <c r="Z407" i="16" s="1"/>
  <c r="AA407" i="16" s="1" a="1"/>
  <c r="AA407" i="16" s="1"/>
  <c r="AB407" i="16" s="1" a="1"/>
  <c r="AB407" i="16" s="1"/>
  <c r="AC407" i="16" s="1" a="1"/>
  <c r="AC407" i="16" s="1"/>
  <c r="AD407" i="16" s="1" a="1"/>
  <c r="AD407" i="16" s="1"/>
  <c r="Z299" i="16" a="1"/>
  <c r="Z299" i="16" s="1"/>
  <c r="AA299" i="16" s="1" a="1"/>
  <c r="AA299" i="16" s="1"/>
  <c r="AB299" i="16" s="1" a="1"/>
  <c r="AB299" i="16" s="1"/>
  <c r="AC299" i="16" s="1" a="1"/>
  <c r="AC299" i="16" s="1"/>
  <c r="AD299" i="16" s="1" a="1"/>
  <c r="AD299" i="16" s="1"/>
  <c r="Z342" i="16" a="1"/>
  <c r="Z342" i="16" s="1"/>
  <c r="AA342" i="16" s="1" a="1"/>
  <c r="AA342" i="16" s="1"/>
  <c r="AB342" i="16" s="1" a="1"/>
  <c r="AB342" i="16" s="1"/>
  <c r="AC342" i="16" s="1" a="1"/>
  <c r="AC342" i="16" s="1"/>
  <c r="AD342" i="16" s="1" a="1"/>
  <c r="AD342" i="16" s="1"/>
  <c r="Z380" i="16" a="1"/>
  <c r="Z380" i="16" s="1"/>
  <c r="AA380" i="16" s="1" a="1"/>
  <c r="AA380" i="16" s="1"/>
  <c r="AB380" i="16" s="1" a="1"/>
  <c r="AB380" i="16" s="1"/>
  <c r="AC380" i="16" s="1" a="1"/>
  <c r="AC380" i="16" s="1"/>
  <c r="AD380" i="16" s="1" a="1"/>
  <c r="AD380" i="16" s="1"/>
  <c r="Z56" i="16" a="1"/>
  <c r="Z56" i="16" s="1"/>
  <c r="AA56" i="16" s="1" a="1"/>
  <c r="AA56" i="16" s="1"/>
  <c r="AB56" i="16" s="1" a="1"/>
  <c r="AB56" i="16" s="1"/>
  <c r="AC56" i="16" s="1" a="1"/>
  <c r="AC56" i="16" s="1"/>
  <c r="AD56" i="16" s="1" a="1"/>
  <c r="AD56" i="16" s="1"/>
  <c r="Z378" i="16" a="1"/>
  <c r="Z378" i="16" s="1"/>
  <c r="AA378" i="16" s="1" a="1"/>
  <c r="AA378" i="16" s="1"/>
  <c r="AB378" i="16" s="1" a="1"/>
  <c r="AB378" i="16" s="1"/>
  <c r="AC378" i="16" s="1" a="1"/>
  <c r="AC378" i="16" s="1"/>
  <c r="AD378" i="16" s="1" a="1"/>
  <c r="AD378" i="16" s="1"/>
  <c r="Z369" i="16" a="1"/>
  <c r="Z369" i="16" s="1"/>
  <c r="AA369" i="16" s="1" a="1"/>
  <c r="AA369" i="16" s="1"/>
  <c r="AB369" i="16" s="1" a="1"/>
  <c r="AB369" i="16" s="1"/>
  <c r="AC369" i="16" s="1" a="1"/>
  <c r="AC369" i="16" s="1"/>
  <c r="AD369" i="16" s="1" a="1"/>
  <c r="AD369" i="16" s="1"/>
  <c r="Z125" i="16" a="1"/>
  <c r="Z125" i="16" s="1"/>
  <c r="AA125" i="16" s="1" a="1"/>
  <c r="AA125" i="16" s="1"/>
  <c r="AB125" i="16" s="1" a="1"/>
  <c r="AB125" i="16" s="1"/>
  <c r="AC125" i="16" s="1" a="1"/>
  <c r="AC125" i="16" s="1"/>
  <c r="AD125" i="16" s="1" a="1"/>
  <c r="AD125" i="16" s="1"/>
  <c r="Z265" i="16" a="1"/>
  <c r="Z265" i="16" s="1"/>
  <c r="AA265" i="16" s="1" a="1"/>
  <c r="AA265" i="16" s="1"/>
  <c r="AB265" i="16" s="1" a="1"/>
  <c r="AB265" i="16" s="1"/>
  <c r="AC265" i="16" s="1" a="1"/>
  <c r="AC265" i="16" s="1"/>
  <c r="AD265" i="16" s="1" a="1"/>
  <c r="AD265" i="16" s="1"/>
  <c r="Z147" i="16" a="1"/>
  <c r="Z147" i="16" s="1"/>
  <c r="AA147" i="16" s="1" a="1"/>
  <c r="AA147" i="16" s="1"/>
  <c r="AB147" i="16" s="1" a="1"/>
  <c r="AB147" i="16" s="1"/>
  <c r="AC147" i="16" s="1" a="1"/>
  <c r="AC147" i="16" s="1"/>
  <c r="AD147" i="16" s="1" a="1"/>
  <c r="AD147" i="16" s="1"/>
  <c r="Z152" i="16" a="1"/>
  <c r="Z152" i="16" s="1"/>
  <c r="AA152" i="16" s="1" a="1"/>
  <c r="AA152" i="16" s="1"/>
  <c r="AB152" i="16" s="1" a="1"/>
  <c r="AB152" i="16" s="1"/>
  <c r="AC152" i="16" s="1" a="1"/>
  <c r="AC152" i="16" s="1"/>
  <c r="AD152" i="16" s="1" a="1"/>
  <c r="AD152" i="16" s="1"/>
  <c r="Z173" i="16" a="1"/>
  <c r="Z173" i="16" s="1"/>
  <c r="AA173" i="16" s="1" a="1"/>
  <c r="AA173" i="16" s="1"/>
  <c r="AB173" i="16" s="1" a="1"/>
  <c r="AB173" i="16" s="1"/>
  <c r="AC173" i="16" s="1" a="1"/>
  <c r="AC173" i="16" s="1"/>
  <c r="AD173" i="16" s="1" a="1"/>
  <c r="AD173" i="16" s="1"/>
  <c r="Z270" i="16" a="1"/>
  <c r="Z270" i="16" s="1"/>
  <c r="AA270" i="16" s="1" a="1"/>
  <c r="AA270" i="16" s="1"/>
  <c r="AB270" i="16" s="1" a="1"/>
  <c r="AB270" i="16" s="1"/>
  <c r="AC270" i="16" s="1" a="1"/>
  <c r="AC270" i="16" s="1"/>
  <c r="AD270" i="16" s="1" a="1"/>
  <c r="AD270" i="16" s="1"/>
  <c r="Z216" i="16" a="1"/>
  <c r="Z216" i="16" s="1"/>
  <c r="AA216" i="16" s="1" a="1"/>
  <c r="AA216" i="16" s="1"/>
  <c r="AB216" i="16" s="1" a="1"/>
  <c r="AB216" i="16" s="1"/>
  <c r="AC216" i="16" s="1" a="1"/>
  <c r="AC216" i="16" s="1"/>
  <c r="AD216" i="16" s="1" a="1"/>
  <c r="AD216" i="16" s="1"/>
  <c r="Z127" i="16" a="1"/>
  <c r="Z127" i="16" s="1"/>
  <c r="AA127" i="16" s="1" a="1"/>
  <c r="AA127" i="16" s="1"/>
  <c r="AB127" i="16" s="1" a="1"/>
  <c r="AB127" i="16" s="1"/>
  <c r="AC127" i="16" s="1" a="1"/>
  <c r="AC127" i="16" s="1"/>
  <c r="AD127" i="16" s="1" a="1"/>
  <c r="AD127" i="16" s="1"/>
  <c r="Z419" i="16" a="1"/>
  <c r="Z419" i="16" s="1"/>
  <c r="AA419" i="16" s="1" a="1"/>
  <c r="AA419" i="16" s="1"/>
  <c r="AB419" i="16" s="1" a="1"/>
  <c r="AB419" i="16" s="1"/>
  <c r="AC419" i="16" s="1" a="1"/>
  <c r="AC419" i="16" s="1"/>
  <c r="AD419" i="16" s="1" a="1"/>
  <c r="AD419" i="16" s="1"/>
  <c r="Z408" i="16" a="1"/>
  <c r="Z408" i="16" s="1"/>
  <c r="AA408" i="16" s="1" a="1"/>
  <c r="AA408" i="16" s="1"/>
  <c r="AB408" i="16" s="1" a="1"/>
  <c r="AB408" i="16" s="1"/>
  <c r="AC408" i="16" s="1" a="1"/>
  <c r="AC408" i="16" s="1"/>
  <c r="AD408" i="16" s="1" a="1"/>
  <c r="AD408" i="16" s="1"/>
  <c r="Z307" i="16" a="1"/>
  <c r="Z307" i="16" s="1"/>
  <c r="AA307" i="16" s="1" a="1"/>
  <c r="AA307" i="16" s="1"/>
  <c r="AB307" i="16" s="1" a="1"/>
  <c r="AB307" i="16" s="1"/>
  <c r="AC307" i="16" s="1" a="1"/>
  <c r="AC307" i="16" s="1"/>
  <c r="AD307" i="16" s="1" a="1"/>
  <c r="AD307" i="16" s="1"/>
  <c r="Z376" i="16" a="1"/>
  <c r="Z376" i="16" s="1"/>
  <c r="AA376" i="16" s="1" a="1"/>
  <c r="AA376" i="16" s="1"/>
  <c r="AB376" i="16" s="1" a="1"/>
  <c r="AB376" i="16" s="1"/>
  <c r="AC376" i="16" s="1" a="1"/>
  <c r="AC376" i="16" s="1"/>
  <c r="AD376" i="16" s="1" a="1"/>
  <c r="AD376" i="16" s="1"/>
  <c r="Z57" i="16" a="1"/>
  <c r="Z57" i="16" s="1"/>
  <c r="AA57" i="16" s="1" a="1"/>
  <c r="AA57" i="16" s="1"/>
  <c r="AB57" i="16" s="1" a="1"/>
  <c r="AB57" i="16" s="1"/>
  <c r="AC57" i="16" s="1" a="1"/>
  <c r="AC57" i="16" s="1"/>
  <c r="AD57" i="16" s="1" a="1"/>
  <c r="AD57" i="16" s="1"/>
  <c r="Z386" i="16" a="1"/>
  <c r="Z386" i="16" s="1"/>
  <c r="AA386" i="16" s="1" a="1"/>
  <c r="AA386" i="16" s="1"/>
  <c r="AB386" i="16" s="1" a="1"/>
  <c r="AB386" i="16" s="1"/>
  <c r="AC386" i="16" s="1" a="1"/>
  <c r="AC386" i="16" s="1"/>
  <c r="AD386" i="16" s="1" a="1"/>
  <c r="AD386" i="16" s="1"/>
  <c r="Z377" i="16" a="1"/>
  <c r="Z377" i="16" s="1"/>
  <c r="AA377" i="16" s="1" a="1"/>
  <c r="AA377" i="16" s="1"/>
  <c r="AB377" i="16" s="1" a="1"/>
  <c r="AB377" i="16" s="1"/>
  <c r="AC377" i="16" s="1" a="1"/>
  <c r="AC377" i="16" s="1"/>
  <c r="AD377" i="16" s="1" a="1"/>
  <c r="AD377" i="16" s="1"/>
  <c r="Z119" i="16" a="1"/>
  <c r="Z119" i="16" s="1"/>
  <c r="AA119" i="16" s="1" a="1"/>
  <c r="AA119" i="16" s="1"/>
  <c r="AB119" i="16" s="1" a="1"/>
  <c r="AB119" i="16" s="1"/>
  <c r="AC119" i="16" s="1" a="1"/>
  <c r="AC119" i="16" s="1"/>
  <c r="AD119" i="16" s="1" a="1"/>
  <c r="AD119" i="16" s="1"/>
  <c r="Z94" i="16" a="1"/>
  <c r="Z94" i="16" s="1"/>
  <c r="AA94" i="16" s="1" a="1"/>
  <c r="AA94" i="16" s="1"/>
  <c r="AB94" i="16" s="1" a="1"/>
  <c r="AB94" i="16" s="1"/>
  <c r="AC94" i="16" s="1" a="1"/>
  <c r="AC94" i="16" s="1"/>
  <c r="AD94" i="16" s="1" a="1"/>
  <c r="AD94" i="16" s="1"/>
  <c r="Z417" i="16" a="1"/>
  <c r="Z417" i="16" s="1"/>
  <c r="AA417" i="16" s="1" a="1"/>
  <c r="AA417" i="16" s="1"/>
  <c r="AB417" i="16" s="1" a="1"/>
  <c r="AB417" i="16" s="1"/>
  <c r="AC417" i="16" s="1" a="1"/>
  <c r="AC417" i="16" s="1"/>
  <c r="AD417" i="16" s="1" a="1"/>
  <c r="AD417" i="16" s="1"/>
  <c r="Z194" i="16" a="1"/>
  <c r="Z194" i="16" s="1"/>
  <c r="AA194" i="16" s="1" a="1"/>
  <c r="AA194" i="16" s="1"/>
  <c r="AB194" i="16" s="1" a="1"/>
  <c r="AB194" i="16" s="1"/>
  <c r="AC194" i="16" s="1" a="1"/>
  <c r="AC194" i="16" s="1"/>
  <c r="AD194" i="16" s="1" a="1"/>
  <c r="AD194" i="16" s="1"/>
  <c r="Z149" i="16" a="1"/>
  <c r="Z149" i="16" s="1"/>
  <c r="AA149" i="16" s="1" a="1"/>
  <c r="AA149" i="16" s="1"/>
  <c r="AB149" i="16" s="1" a="1"/>
  <c r="AB149" i="16" s="1"/>
  <c r="AC149" i="16" s="1" a="1"/>
  <c r="AC149" i="16" s="1"/>
  <c r="AD149" i="16" s="1" a="1"/>
  <c r="AD149" i="16" s="1"/>
  <c r="Z54" i="16" a="1"/>
  <c r="Z54" i="16" s="1"/>
  <c r="AA54" i="16" s="1" a="1"/>
  <c r="AA54" i="16" s="1"/>
  <c r="AB54" i="16" s="1" a="1"/>
  <c r="AB54" i="16" s="1"/>
  <c r="AC54" i="16" s="1" a="1"/>
  <c r="AC54" i="16" s="1"/>
  <c r="AD54" i="16" s="1" a="1"/>
  <c r="AD54" i="16" s="1"/>
  <c r="Z182" i="16" a="1"/>
  <c r="Z182" i="16" s="1"/>
  <c r="AA182" i="16" s="1" a="1"/>
  <c r="AA182" i="16" s="1"/>
  <c r="AB182" i="16" s="1" a="1"/>
  <c r="AB182" i="16" s="1"/>
  <c r="AC182" i="16" s="1" a="1"/>
  <c r="AC182" i="16" s="1"/>
  <c r="AD182" i="16" s="1" a="1"/>
  <c r="AD182" i="16" s="1"/>
  <c r="Z33" i="16" a="1"/>
  <c r="Z33" i="16" s="1"/>
  <c r="AA33" i="16" s="1" a="1"/>
  <c r="AA33" i="16" s="1"/>
  <c r="AB33" i="16" s="1" a="1"/>
  <c r="AB33" i="16" s="1"/>
  <c r="AC33" i="16" s="1" a="1"/>
  <c r="AC33" i="16" s="1"/>
  <c r="AD33" i="16" s="1" a="1"/>
  <c r="AD33" i="16" s="1"/>
  <c r="Z196" i="16" a="1"/>
  <c r="Z196" i="16" s="1"/>
  <c r="AA196" i="16" s="1" a="1"/>
  <c r="AA196" i="16" s="1"/>
  <c r="AB196" i="16" s="1" a="1"/>
  <c r="AB196" i="16" s="1"/>
  <c r="AC196" i="16" s="1" a="1"/>
  <c r="AC196" i="16" s="1"/>
  <c r="AD196" i="16" s="1" a="1"/>
  <c r="AD196" i="16" s="1"/>
  <c r="Z262" i="16" a="1"/>
  <c r="Z262" i="16" s="1"/>
  <c r="AA262" i="16" s="1" a="1"/>
  <c r="AA262" i="16" s="1"/>
  <c r="AB262" i="16" s="1" a="1"/>
  <c r="AB262" i="16" s="1"/>
  <c r="AC262" i="16" s="1" a="1"/>
  <c r="AC262" i="16" s="1"/>
  <c r="AD262" i="16" s="1" a="1"/>
  <c r="AD262" i="16" s="1"/>
  <c r="Z12" i="16" a="1"/>
  <c r="Z12" i="16" s="1"/>
  <c r="AA12" i="16" s="1" a="1"/>
  <c r="AA12" i="16" s="1"/>
  <c r="AB12" i="16" s="1" a="1"/>
  <c r="AB12" i="16" s="1"/>
  <c r="AC12" i="16" s="1" a="1"/>
  <c r="AC12" i="16" s="1"/>
  <c r="AD12" i="16" s="1" a="1"/>
  <c r="AD12" i="16" s="1"/>
  <c r="Z421" i="16" a="1"/>
  <c r="Z421" i="16" s="1"/>
  <c r="AA421" i="16" s="1" a="1"/>
  <c r="AA421" i="16" s="1"/>
  <c r="AB421" i="16" s="1" a="1"/>
  <c r="AB421" i="16" s="1"/>
  <c r="AC421" i="16" s="1" a="1"/>
  <c r="AC421" i="16" s="1"/>
  <c r="AD421" i="16" s="1" a="1"/>
  <c r="AD421" i="16" s="1"/>
  <c r="Z323" i="16" a="1"/>
  <c r="Z323" i="16" s="1"/>
  <c r="AA323" i="16" s="1" a="1"/>
  <c r="AA323" i="16" s="1"/>
  <c r="AB323" i="16" s="1" a="1"/>
  <c r="AB323" i="16" s="1"/>
  <c r="AC323" i="16" s="1" a="1"/>
  <c r="AC323" i="16" s="1"/>
  <c r="AD323" i="16" s="1" a="1"/>
  <c r="AD323" i="16" s="1"/>
  <c r="Z102" i="16" a="1"/>
  <c r="Z102" i="16" s="1"/>
  <c r="AA102" i="16" s="1" a="1"/>
  <c r="AA102" i="16" s="1"/>
  <c r="AB102" i="16" s="1" a="1"/>
  <c r="AB102" i="16" s="1"/>
  <c r="AC102" i="16" s="1" a="1"/>
  <c r="AC102" i="16" s="1"/>
  <c r="AD102" i="16" s="1" a="1"/>
  <c r="AD102" i="16" s="1"/>
  <c r="Z180" i="16" a="1"/>
  <c r="Z180" i="16" s="1"/>
  <c r="AA180" i="16" s="1" a="1"/>
  <c r="AA180" i="16" s="1"/>
  <c r="AB180" i="16" s="1" a="1"/>
  <c r="AB180" i="16" s="1"/>
  <c r="AC180" i="16" s="1" a="1"/>
  <c r="AC180" i="16" s="1"/>
  <c r="AD180" i="16" s="1" a="1"/>
  <c r="AD180" i="16" s="1"/>
  <c r="Z74" i="16" a="1"/>
  <c r="Z74" i="16" s="1"/>
  <c r="AA74" i="16" s="1" a="1"/>
  <c r="AA74" i="16" s="1"/>
  <c r="AB74" i="16" s="1" a="1"/>
  <c r="AB74" i="16" s="1"/>
  <c r="AC74" i="16" s="1" a="1"/>
  <c r="AC74" i="16" s="1"/>
  <c r="AD74" i="16" s="1" a="1"/>
  <c r="AD74" i="16" s="1"/>
  <c r="Z372" i="16" a="1"/>
  <c r="Z372" i="16" s="1"/>
  <c r="AA372" i="16" s="1" a="1"/>
  <c r="AA372" i="16" s="1"/>
  <c r="AB372" i="16" s="1" a="1"/>
  <c r="AB372" i="16" s="1"/>
  <c r="AC372" i="16" s="1" a="1"/>
  <c r="AC372" i="16" s="1"/>
  <c r="AD372" i="16" s="1" a="1"/>
  <c r="AD372" i="16" s="1"/>
  <c r="Z412" i="16" a="1"/>
  <c r="Z412" i="16" s="1"/>
  <c r="AA412" i="16" s="1" a="1"/>
  <c r="AA412" i="16" s="1"/>
  <c r="AB412" i="16" s="1" a="1"/>
  <c r="AB412" i="16" s="1"/>
  <c r="AC412" i="16" s="1" a="1"/>
  <c r="AC412" i="16" s="1"/>
  <c r="AD412" i="16" s="1" a="1"/>
  <c r="AD412" i="16" s="1"/>
  <c r="Z123" i="16" a="1"/>
  <c r="Z123" i="16" s="1"/>
  <c r="AA123" i="16" s="1" a="1"/>
  <c r="AA123" i="16" s="1"/>
  <c r="AB123" i="16" s="1" a="1"/>
  <c r="AB123" i="16" s="1"/>
  <c r="AC123" i="16" s="1" a="1"/>
  <c r="AC123" i="16" s="1"/>
  <c r="AD123" i="16" s="1" a="1"/>
  <c r="AD123" i="16" s="1"/>
  <c r="Z170" i="16" a="1"/>
  <c r="Z170" i="16" s="1"/>
  <c r="AA170" i="16" s="1" a="1"/>
  <c r="AA170" i="16" s="1"/>
  <c r="AB170" i="16" s="1" a="1"/>
  <c r="AB170" i="16" s="1"/>
  <c r="AC170" i="16" s="1" a="1"/>
  <c r="AC170" i="16" s="1"/>
  <c r="AD170" i="16" s="1" a="1"/>
  <c r="AD170" i="16" s="1"/>
  <c r="Z138" i="16" a="1"/>
  <c r="Z138" i="16" s="1"/>
  <c r="AA138" i="16" s="1" a="1"/>
  <c r="AA138" i="16" s="1"/>
  <c r="AB138" i="16" s="1" a="1"/>
  <c r="AB138" i="16" s="1"/>
  <c r="AC138" i="16" s="1" a="1"/>
  <c r="AC138" i="16" s="1"/>
  <c r="AD138" i="16" s="1" a="1"/>
  <c r="AD138" i="16" s="1"/>
  <c r="Z195" i="16" a="1"/>
  <c r="Z195" i="16" s="1"/>
  <c r="AA195" i="16" s="1" a="1"/>
  <c r="AA195" i="16" s="1"/>
  <c r="AB195" i="16" s="1" a="1"/>
  <c r="AB195" i="16" s="1"/>
  <c r="AC195" i="16" s="1" a="1"/>
  <c r="AC195" i="16" s="1"/>
  <c r="AD195" i="16" s="1" a="1"/>
  <c r="AD195" i="16" s="1"/>
  <c r="Z118" i="16" a="1"/>
  <c r="Z118" i="16" s="1"/>
  <c r="AA118" i="16" s="1" a="1"/>
  <c r="AA118" i="16" s="1"/>
  <c r="AB118" i="16" s="1" a="1"/>
  <c r="AB118" i="16" s="1"/>
  <c r="AC118" i="16" s="1" a="1"/>
  <c r="AC118" i="16" s="1"/>
  <c r="AD118" i="16" s="1" a="1"/>
  <c r="AD118" i="16" s="1"/>
  <c r="Z254" i="16" a="1"/>
  <c r="Z254" i="16" s="1"/>
  <c r="AA254" i="16" s="1" a="1"/>
  <c r="AA254" i="16" s="1"/>
  <c r="AB254" i="16" s="1" a="1"/>
  <c r="AB254" i="16" s="1"/>
  <c r="AC254" i="16" s="1" a="1"/>
  <c r="AC254" i="16" s="1"/>
  <c r="AD254" i="16" s="1" a="1"/>
  <c r="AD254" i="16" s="1"/>
  <c r="Z192" i="16" a="1"/>
  <c r="Z192" i="16" s="1"/>
  <c r="AA192" i="16" s="1" a="1"/>
  <c r="AA192" i="16" s="1"/>
  <c r="AB192" i="16" s="1" a="1"/>
  <c r="AB192" i="16" s="1"/>
  <c r="AC192" i="16" s="1" a="1"/>
  <c r="AC192" i="16" s="1"/>
  <c r="AD192" i="16" s="1" a="1"/>
  <c r="AD192" i="16" s="1"/>
  <c r="Z427" i="16" a="1"/>
  <c r="Z427" i="16" s="1"/>
  <c r="AA427" i="16" s="1" a="1"/>
  <c r="AA427" i="16" s="1"/>
  <c r="AB427" i="16" s="1" a="1"/>
  <c r="AB427" i="16" s="1"/>
  <c r="AC427" i="16" s="1" a="1"/>
  <c r="AC427" i="16" s="1"/>
  <c r="AD427" i="16" s="1" a="1"/>
  <c r="AD427" i="16" s="1"/>
  <c r="Z88" i="16" a="1"/>
  <c r="Z88" i="16" s="1"/>
  <c r="AA88" i="16" s="1" a="1"/>
  <c r="AA88" i="16" s="1"/>
  <c r="AB88" i="16" s="1" a="1"/>
  <c r="AB88" i="16" s="1"/>
  <c r="AC88" i="16" s="1" a="1"/>
  <c r="AC88" i="16" s="1"/>
  <c r="AD88" i="16" s="1" a="1"/>
  <c r="AD88" i="16" s="1"/>
  <c r="Z184" i="16" a="1"/>
  <c r="Z184" i="16" s="1"/>
  <c r="AA184" i="16" s="1" a="1"/>
  <c r="AA184" i="16" s="1"/>
  <c r="AB184" i="16" s="1" a="1"/>
  <c r="AB184" i="16" s="1"/>
  <c r="AC184" i="16" s="1" a="1"/>
  <c r="AC184" i="16" s="1"/>
  <c r="AD184" i="16" s="1" a="1"/>
  <c r="AD184" i="16" s="1"/>
  <c r="Y2" i="16" a="1"/>
  <c r="Y2" i="16" s="1"/>
  <c r="Z2" i="16" l="1" a="1"/>
  <c r="Z2" i="16" s="1"/>
  <c r="AA2" i="16" s="1" a="1"/>
  <c r="AA2" i="16" s="1"/>
  <c r="AB2" i="16" s="1" a="1"/>
  <c r="AB2" i="16" s="1"/>
  <c r="AC2" i="16" s="1" a="1"/>
  <c r="AC2" i="16" s="1"/>
  <c r="AD2" i="16" s="1" a="1"/>
  <c r="AD2" i="16" s="1"/>
  <c r="L156" i="102" l="1"/>
  <c r="L119" i="102"/>
  <c r="L34" i="102"/>
  <c r="L33" i="102"/>
  <c r="L157" i="102"/>
  <c r="L120" i="102"/>
  <c r="L118" i="102"/>
  <c r="L54" i="102"/>
  <c r="L109" i="102"/>
  <c r="L136" i="102"/>
  <c r="L152" i="102"/>
  <c r="L187" i="102"/>
  <c r="L69" i="102"/>
  <c r="L12" i="102"/>
  <c r="L37" i="102"/>
  <c r="L58" i="102"/>
  <c r="L80" i="102"/>
  <c r="L113" i="102"/>
  <c r="L137" i="102"/>
  <c r="L184" i="102"/>
  <c r="L24" i="102"/>
  <c r="L41" i="102"/>
  <c r="L88" i="102"/>
  <c r="L103" i="102"/>
  <c r="L128" i="102"/>
  <c r="L147" i="102"/>
  <c r="L185" i="102"/>
  <c r="L46" i="102"/>
  <c r="L89" i="102"/>
  <c r="L104" i="102"/>
  <c r="L135" i="102"/>
  <c r="L162" i="102"/>
  <c r="L186" i="102"/>
  <c r="L8" i="102"/>
  <c r="L76" i="102"/>
  <c r="L110" i="102"/>
  <c r="L153" i="102"/>
  <c r="L116" i="102"/>
  <c r="L139" i="102"/>
  <c r="L155" i="102"/>
  <c r="L191" i="102"/>
  <c r="L16" i="102"/>
  <c r="L66" i="102"/>
  <c r="L84" i="102"/>
  <c r="L121" i="102"/>
  <c r="L140" i="102"/>
  <c r="L170" i="102"/>
  <c r="L188" i="102"/>
  <c r="L42" i="102"/>
  <c r="L43" i="102"/>
  <c r="L28" i="102"/>
  <c r="L50" i="102"/>
  <c r="L77" i="102"/>
  <c r="L92" i="102"/>
  <c r="L114" i="102"/>
  <c r="L131" i="102"/>
  <c r="L158" i="102"/>
  <c r="L189" i="102"/>
  <c r="L25" i="102"/>
  <c r="L53" i="102"/>
  <c r="L93" i="102"/>
  <c r="L108" i="102"/>
  <c r="L145" i="102"/>
  <c r="L168" i="102"/>
  <c r="L190" i="102"/>
  <c r="L180" i="102"/>
  <c r="L196" i="102"/>
  <c r="L4" i="102"/>
  <c r="L17" i="102"/>
  <c r="L38" i="102"/>
  <c r="L85" i="102"/>
  <c r="L100" i="102"/>
  <c r="L125" i="102"/>
  <c r="L144" i="102"/>
  <c r="L181" i="102"/>
  <c r="L197" i="102"/>
  <c r="L123" i="102"/>
  <c r="L166" i="102"/>
  <c r="L195" i="102"/>
  <c r="L5" i="102"/>
  <c r="L20" i="102"/>
  <c r="L70" i="102"/>
  <c r="L124" i="102"/>
  <c r="L192" i="102"/>
  <c r="L48" i="102"/>
  <c r="L13" i="102"/>
  <c r="L32" i="102"/>
  <c r="L81" i="102"/>
  <c r="L96" i="102"/>
  <c r="L117" i="102"/>
  <c r="L141" i="102"/>
  <c r="L174" i="102"/>
  <c r="L193" i="102"/>
  <c r="L29" i="102"/>
  <c r="L56" i="102"/>
  <c r="L97" i="102"/>
  <c r="L129" i="102"/>
  <c r="L148" i="102"/>
  <c r="L178" i="102"/>
  <c r="L194" i="102"/>
  <c r="L39" i="102"/>
  <c r="L62" i="102"/>
  <c r="L101" i="102"/>
  <c r="L132" i="102"/>
  <c r="L151" i="102"/>
  <c r="L182" i="102"/>
  <c r="L105" i="102"/>
  <c r="L133" i="102"/>
  <c r="L149" i="102"/>
  <c r="L183" i="102"/>
  <c r="L169" i="102"/>
  <c r="L35" i="102"/>
  <c r="L27" i="102"/>
  <c r="L164" i="102"/>
  <c r="L176" i="102"/>
  <c r="L60" i="102"/>
  <c r="L127" i="102"/>
  <c r="L115" i="102"/>
  <c r="L6" i="102"/>
  <c r="L142" i="102"/>
  <c r="L40" i="102"/>
  <c r="L63" i="102"/>
  <c r="L47" i="102"/>
  <c r="L177" i="102"/>
  <c r="L21" i="102"/>
  <c r="L175" i="102"/>
  <c r="L102" i="102"/>
  <c r="L130" i="102"/>
  <c r="L59" i="102"/>
  <c r="L10" i="102"/>
  <c r="L95" i="102"/>
  <c r="L7" i="102"/>
  <c r="L122" i="102"/>
  <c r="L9" i="102"/>
  <c r="L79" i="102"/>
  <c r="L68" i="102"/>
  <c r="L143" i="102"/>
  <c r="L83" i="102"/>
  <c r="L52" i="102"/>
  <c r="L44" i="102"/>
  <c r="L173" i="102"/>
  <c r="L94" i="102"/>
  <c r="L26" i="102"/>
  <c r="L15" i="102"/>
  <c r="L72" i="102"/>
  <c r="L150" i="102"/>
  <c r="L82" i="102"/>
  <c r="L161" i="102"/>
  <c r="L171" i="102"/>
  <c r="L159" i="102"/>
  <c r="L71" i="102"/>
  <c r="L98" i="102"/>
  <c r="L91" i="102"/>
  <c r="L160" i="102"/>
  <c r="L106" i="102"/>
  <c r="L172" i="102"/>
  <c r="L67" i="102"/>
  <c r="L11" i="102"/>
  <c r="L87" i="102"/>
  <c r="L3" i="102"/>
  <c r="L165" i="102"/>
  <c r="L30" i="102"/>
  <c r="L138" i="102"/>
  <c r="L74" i="102"/>
  <c r="L14" i="102"/>
  <c r="L107" i="102"/>
  <c r="L112" i="102"/>
  <c r="L126" i="102"/>
  <c r="L23" i="102"/>
  <c r="L146" i="102"/>
  <c r="L154" i="102"/>
  <c r="L134" i="102"/>
  <c r="L36" i="102"/>
  <c r="L99" i="102"/>
  <c r="L45" i="102"/>
  <c r="L55" i="102"/>
  <c r="L75" i="102"/>
  <c r="L31" i="102"/>
  <c r="L61" i="102"/>
  <c r="L49" i="102"/>
  <c r="L64" i="102"/>
  <c r="L111" i="102"/>
  <c r="L18" i="102"/>
  <c r="L167" i="102"/>
  <c r="L86" i="102"/>
  <c r="L2" i="102"/>
  <c r="L57" i="102"/>
  <c r="L179" i="102"/>
  <c r="L51" i="102"/>
  <c r="L65" i="102"/>
  <c r="L90" i="102"/>
  <c r="L163" i="102"/>
  <c r="L78" i="102"/>
  <c r="L22" i="102"/>
  <c r="L19" i="102"/>
  <c r="L73" i="10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tc={7120472E-A5EB-4305-8229-8C5F3FC746E4}</author>
    <author>tc={73CCAAD3-AC1C-49C0-9839-2355E5ECDADB}</author>
  </authors>
  <commentList>
    <comment ref="I24" authorId="0" shapeId="0" xr:uid="{7120472E-A5EB-4305-8229-8C5F3FC746E4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Should be renamed to: oestroid_fly</t>
        </r>
      </text>
    </comment>
    <comment ref="D62" authorId="1" shapeId="0" xr:uid="{73CCAAD3-AC1C-49C0-9839-2355E5ECDADB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Plus Zygaenoidea, colorful moths that belong to heteroceta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<sst xmlns="http://schemas.openxmlformats.org/spreadsheetml/2006/main" count="8044" uniqueCount="1426">
  <si>
    <t>ID</t>
  </si>
  <si>
    <t>Date</t>
  </si>
  <si>
    <t>Video Name check in</t>
  </si>
  <si>
    <t>Video link</t>
  </si>
  <si>
    <t>Video check:in check</t>
  </si>
  <si>
    <t>Video Name check out</t>
  </si>
  <si>
    <t>Video check:out check</t>
  </si>
  <si>
    <t>Check:in</t>
  </si>
  <si>
    <t>Check:out</t>
  </si>
  <si>
    <t>Duration</t>
  </si>
  <si>
    <t>Flight event</t>
  </si>
  <si>
    <t>Way out</t>
  </si>
  <si>
    <t>No. Videos</t>
  </si>
  <si>
    <t>iNat Sharing</t>
  </si>
  <si>
    <t>Class</t>
  </si>
  <si>
    <t>Order</t>
  </si>
  <si>
    <t>Suborder</t>
  </si>
  <si>
    <t>Infraorder</t>
  </si>
  <si>
    <t>Superfamily</t>
  </si>
  <si>
    <t>Family</t>
  </si>
  <si>
    <t>Subfamily</t>
  </si>
  <si>
    <t>Genus</t>
  </si>
  <si>
    <t>Species</t>
  </si>
  <si>
    <t>Classification class</t>
  </si>
  <si>
    <t>Parent folder 1</t>
  </si>
  <si>
    <t>Parent folder 2</t>
  </si>
  <si>
    <t>Parent folder 3</t>
  </si>
  <si>
    <t>Parent folder 4</t>
  </si>
  <si>
    <t>Parent folder 5</t>
  </si>
  <si>
    <t>Key</t>
  </si>
  <si>
    <t>2021-07-12_14-01-54</t>
  </si>
  <si>
    <t>2021-07-12_14-03-48</t>
  </si>
  <si>
    <t>yes</t>
  </si>
  <si>
    <t>exit</t>
  </si>
  <si>
    <t>Tolmerus</t>
  </si>
  <si>
    <t>#N/C</t>
  </si>
  <si>
    <t>2021-07-12_14-59-17</t>
  </si>
  <si>
    <t>Insecta</t>
  </si>
  <si>
    <t>Diptera</t>
  </si>
  <si>
    <t>Brachycera</t>
  </si>
  <si>
    <t>2021-07-12_15-05-25</t>
  </si>
  <si>
    <t>Hymenoptera</t>
  </si>
  <si>
    <t>Apocrita</t>
  </si>
  <si>
    <t>2021-07-12_15-19-53</t>
  </si>
  <si>
    <t>no</t>
  </si>
  <si>
    <t>2021-07-12_15-36-07</t>
  </si>
  <si>
    <t>Syrphoidea</t>
  </si>
  <si>
    <t>Syrphidae</t>
  </si>
  <si>
    <t>Syrphinae</t>
  </si>
  <si>
    <t>Sphaerophoria</t>
  </si>
  <si>
    <t>2021-07-12_15-43-07</t>
  </si>
  <si>
    <t>2021-07-12_15-44-27</t>
  </si>
  <si>
    <t>2021-07-12_16-02-04</t>
  </si>
  <si>
    <t>2021-07-12_16-02-46</t>
  </si>
  <si>
    <t>2021-07-12_16-55-42</t>
  </si>
  <si>
    <t>?</t>
  </si>
  <si>
    <t>Lepidoptera</t>
  </si>
  <si>
    <t>Glossata</t>
  </si>
  <si>
    <t>Papilionoidea</t>
  </si>
  <si>
    <t>Hesperiidae</t>
  </si>
  <si>
    <t>Hesperiinae</t>
  </si>
  <si>
    <t>Thymelicus</t>
  </si>
  <si>
    <t>2021-07-12_17-03-54</t>
  </si>
  <si>
    <t>Ephydroidea</t>
  </si>
  <si>
    <t>Drosophilidae</t>
  </si>
  <si>
    <t>Drosophilinae</t>
  </si>
  <si>
    <t>Scaptomyza</t>
  </si>
  <si>
    <t>2021-07-12_17-14-40</t>
  </si>
  <si>
    <t>2021-07-12_17-18-47</t>
  </si>
  <si>
    <t>2021-07-12_17-30-04</t>
  </si>
  <si>
    <t>2021-07-12_17-30-55</t>
  </si>
  <si>
    <t>Ichneumonoidea</t>
  </si>
  <si>
    <t>Ichneumonidae</t>
  </si>
  <si>
    <t>2021-07-12_17-44-38</t>
  </si>
  <si>
    <t>2021-07-12_17-45-18</t>
  </si>
  <si>
    <t>2021-07-12_17-46-35</t>
  </si>
  <si>
    <t>Coleoptera</t>
  </si>
  <si>
    <t>Polyphaga</t>
  </si>
  <si>
    <t>Coccinelloidea</t>
  </si>
  <si>
    <t>Coccinellidae</t>
  </si>
  <si>
    <t>Coccinellinae</t>
  </si>
  <si>
    <t>Harmonia</t>
  </si>
  <si>
    <t>axyridis</t>
  </si>
  <si>
    <t>2021-07-12_18-11-44</t>
  </si>
  <si>
    <t>2021-07-12_18-15-13</t>
  </si>
  <si>
    <t>Diplazontinae</t>
  </si>
  <si>
    <t>Diplazon</t>
  </si>
  <si>
    <t>laetatorius</t>
  </si>
  <si>
    <t>2021-07-12_18-28-59</t>
  </si>
  <si>
    <t>2021-07-12_18-31-08</t>
  </si>
  <si>
    <t>2021-07-12_18-42-51</t>
  </si>
  <si>
    <t>2021-07-12_18-52-16</t>
  </si>
  <si>
    <t>2021-07-12_18-53-51</t>
  </si>
  <si>
    <t>2021-07-12_19-08-15</t>
  </si>
  <si>
    <t>2021-07-12_19-09-59</t>
  </si>
  <si>
    <t>2021-07-12_19-11-29</t>
  </si>
  <si>
    <t>2021-07-12_19-18-47</t>
  </si>
  <si>
    <t>2021-07-12_19-23-35</t>
  </si>
  <si>
    <t>2021-07-12_19-32-58</t>
  </si>
  <si>
    <t>2021-07-12_19-36-47</t>
  </si>
  <si>
    <t>2021-07-12_19-39-31</t>
  </si>
  <si>
    <t>2021-07-12_20-11-29</t>
  </si>
  <si>
    <t>2021-07-12_20-29-06</t>
  </si>
  <si>
    <t>2021-07-12_20-47-56</t>
  </si>
  <si>
    <t>2021-07-12_20-53-54</t>
  </si>
  <si>
    <t>2021-07-13_07-09-07</t>
  </si>
  <si>
    <t>2021-07-13_07-29-58</t>
  </si>
  <si>
    <t>2021-07-13_07-54-47</t>
  </si>
  <si>
    <t>2021-07-13_09-44-49</t>
  </si>
  <si>
    <t>2021-07-13_09-52-48</t>
  </si>
  <si>
    <t>Mecoptera</t>
  </si>
  <si>
    <t>Panorpoidea</t>
  </si>
  <si>
    <t>Panorpidae</t>
  </si>
  <si>
    <t>Panorpa</t>
  </si>
  <si>
    <t>2021-07-13_09-59-46</t>
  </si>
  <si>
    <t>2021-07-13_10-25-07</t>
  </si>
  <si>
    <t>2021-07-13_11-03-36</t>
  </si>
  <si>
    <t>2021-07-13_11-50-47</t>
  </si>
  <si>
    <t>entrance</t>
  </si>
  <si>
    <t>Vespoidea</t>
  </si>
  <si>
    <t>Formicidae</t>
  </si>
  <si>
    <t>Formicinae</t>
  </si>
  <si>
    <t>2021-07-13_11-11-57</t>
  </si>
  <si>
    <t>Orthoptera</t>
  </si>
  <si>
    <t>Caelifera</t>
  </si>
  <si>
    <t>Acridoidea</t>
  </si>
  <si>
    <t>Acrididae</t>
  </si>
  <si>
    <t>Psyllobora</t>
  </si>
  <si>
    <t>vigintiduopunctata</t>
  </si>
  <si>
    <t>2021-07-13_12-22-04</t>
  </si>
  <si>
    <t>2021-07-13_12-26-42</t>
  </si>
  <si>
    <t>Apoidea</t>
  </si>
  <si>
    <t>Apidae</t>
  </si>
  <si>
    <t>Apinae</t>
  </si>
  <si>
    <t>Bombus</t>
  </si>
  <si>
    <t>2021-07-13_12-39-07</t>
  </si>
  <si>
    <t>Pimplinae</t>
  </si>
  <si>
    <t>Pimpla</t>
  </si>
  <si>
    <t>rufipes</t>
  </si>
  <si>
    <t>2021-07-13_13-07-11</t>
  </si>
  <si>
    <t>2021-07-13_13-20-39</t>
  </si>
  <si>
    <t>2021-07-13_13-27-31</t>
  </si>
  <si>
    <t>2021-07-13_14-25-46</t>
  </si>
  <si>
    <t>Tenebrionoidea</t>
  </si>
  <si>
    <t>Oedemeridae</t>
  </si>
  <si>
    <t>Nacerdinae</t>
  </si>
  <si>
    <t>Chrysanthia</t>
  </si>
  <si>
    <t>viridissima</t>
  </si>
  <si>
    <t>2021-07-13_14-17-56</t>
  </si>
  <si>
    <t>Asiloidea</t>
  </si>
  <si>
    <t>Asilidae</t>
  </si>
  <si>
    <t>Asilinae</t>
  </si>
  <si>
    <t>2021-07-13_14-24-21</t>
  </si>
  <si>
    <t>2021-07-13_14-30-25</t>
  </si>
  <si>
    <t>2021-07-13_14-38-42</t>
  </si>
  <si>
    <t>2021-07-13_14-46-17</t>
  </si>
  <si>
    <t>2021-07-13_14-46-56</t>
  </si>
  <si>
    <t>2021-07-13_14-54-17</t>
  </si>
  <si>
    <t>2021-07-13_15-24-48</t>
  </si>
  <si>
    <t>2021-07-13_15-39-52</t>
  </si>
  <si>
    <t>2021-07-13_15-54-28</t>
  </si>
  <si>
    <t>Sciomyzoidea</t>
  </si>
  <si>
    <t>Sepsidae</t>
  </si>
  <si>
    <t>Sepsinae</t>
  </si>
  <si>
    <t>Sepsis</t>
  </si>
  <si>
    <t>2021-07-13_16-04-18</t>
  </si>
  <si>
    <t>2021-07-13_16-34-24</t>
  </si>
  <si>
    <t>2021-07-13_16-40-57</t>
  </si>
  <si>
    <t>2021-07-13_16-45-53</t>
  </si>
  <si>
    <t>2021-07-13_16-51-15</t>
  </si>
  <si>
    <t>2021-07-13_16-53-32</t>
  </si>
  <si>
    <t>2021-07-13_16-55-03</t>
  </si>
  <si>
    <t>2021-07-13_16-57-08</t>
  </si>
  <si>
    <t>Gomphocerinae</t>
  </si>
  <si>
    <t>Chorthippus</t>
  </si>
  <si>
    <t>Muscoidea</t>
  </si>
  <si>
    <t>Fanniidae</t>
  </si>
  <si>
    <t>Fannia</t>
  </si>
  <si>
    <t>2021-07-13_17-10-39</t>
  </si>
  <si>
    <t>Lasius</t>
  </si>
  <si>
    <t>fuliginosus</t>
  </si>
  <si>
    <t>2021-07-13_17-13-55</t>
  </si>
  <si>
    <t>Melanostoma</t>
  </si>
  <si>
    <t>2021-07-13_17-32-05</t>
  </si>
  <si>
    <t>2021-07-13_17-45-32</t>
  </si>
  <si>
    <t>Nematocera</t>
  </si>
  <si>
    <t>Sciaroidea</t>
  </si>
  <si>
    <t>Keroplatidae</t>
  </si>
  <si>
    <t>Macrocerinae</t>
  </si>
  <si>
    <t>Macrocera</t>
  </si>
  <si>
    <t>2021-07-13_17-56-52</t>
  </si>
  <si>
    <t>2021-07-13_17-59-20</t>
  </si>
  <si>
    <t>2021-07-13_18-03-08</t>
  </si>
  <si>
    <t>2021-07-13_18-42-56</t>
  </si>
  <si>
    <t>2021-07-13_18-46-29</t>
  </si>
  <si>
    <t>2021-07-13_18-47-51</t>
  </si>
  <si>
    <t>2021-07-13_19-04-35</t>
  </si>
  <si>
    <t>2021-07-13_19-07-17</t>
  </si>
  <si>
    <t>2021-07-13_19-18-51</t>
  </si>
  <si>
    <t>2021-07-13_19-47-05</t>
  </si>
  <si>
    <t>2021-07-13_20-12-12</t>
  </si>
  <si>
    <t>2021-07-13_20-30-00</t>
  </si>
  <si>
    <t>2021-07-13_20-37-35</t>
  </si>
  <si>
    <t>2021-07-13_20-49-25</t>
  </si>
  <si>
    <t>2021-07-21_21-34-16</t>
  </si>
  <si>
    <t>Dermaptera</t>
  </si>
  <si>
    <t>Forficulina</t>
  </si>
  <si>
    <t>Forficuloidea</t>
  </si>
  <si>
    <t>Forficulidae</t>
  </si>
  <si>
    <t>Forficulinae</t>
  </si>
  <si>
    <t>2021-07-14_08-36-49</t>
  </si>
  <si>
    <t>Banchinae</t>
  </si>
  <si>
    <t>Exetastes</t>
  </si>
  <si>
    <t>2021-07-14_09-16-05</t>
  </si>
  <si>
    <t>2021-07-15_18-28-14</t>
  </si>
  <si>
    <t>2021-07-15_18-30-34</t>
  </si>
  <si>
    <t>Zygaenoidea</t>
  </si>
  <si>
    <t>Zygaenidae</t>
  </si>
  <si>
    <t>Procridinae</t>
  </si>
  <si>
    <t>2021-07-15_18-53-14</t>
  </si>
  <si>
    <t>2021-07-15_19-10-27</t>
  </si>
  <si>
    <t>2021-07-15_19-15-02</t>
  </si>
  <si>
    <t>2021-07-15_19-20-29</t>
  </si>
  <si>
    <t>2021-07-15_19-28-52</t>
  </si>
  <si>
    <t>2021-07-15_19-30-59</t>
  </si>
  <si>
    <t>2021-07-15_19-53-41</t>
  </si>
  <si>
    <t>2021-07-15_20-02-02</t>
  </si>
  <si>
    <t>2021-07-15_20-28-09</t>
  </si>
  <si>
    <t>2021-07-15_20-46-08</t>
  </si>
  <si>
    <t>2021-07-15_21-00-23</t>
  </si>
  <si>
    <t>2021-07-15_21-05-52</t>
  </si>
  <si>
    <t>2021-07-15_21-09-05</t>
  </si>
  <si>
    <t>2021-07-15_21-18-46</t>
  </si>
  <si>
    <t>Opomyzoidea</t>
  </si>
  <si>
    <t>Opomyzidae</t>
  </si>
  <si>
    <t>2021-07-15_21-29-02</t>
  </si>
  <si>
    <t>Tipuloidea</t>
  </si>
  <si>
    <t>Tipulidae</t>
  </si>
  <si>
    <t>Tipulinae</t>
  </si>
  <si>
    <t>Nephrotoma</t>
  </si>
  <si>
    <t>2021-07-15_21-29-45</t>
  </si>
  <si>
    <t>2021-07-15_22-12-01</t>
  </si>
  <si>
    <t>2021-07-15_21-36-47</t>
  </si>
  <si>
    <t>Pyraloidea</t>
  </si>
  <si>
    <t>Pyralidae</t>
  </si>
  <si>
    <t>Phycitinae</t>
  </si>
  <si>
    <t>Ephestia</t>
  </si>
  <si>
    <t>2021-07-15_21-42-51</t>
  </si>
  <si>
    <t>2021-07-15_21-46-28</t>
  </si>
  <si>
    <t>2021-07-15_21-49-19</t>
  </si>
  <si>
    <t>Anthicidae</t>
  </si>
  <si>
    <t>Anthicinae</t>
  </si>
  <si>
    <t>Notoxus</t>
  </si>
  <si>
    <t>monoceros</t>
  </si>
  <si>
    <t>2021-07-15_21-54-09</t>
  </si>
  <si>
    <t>2021-07-15_21-57-07</t>
  </si>
  <si>
    <t>2021-07-15_21-59-26</t>
  </si>
  <si>
    <t>Gelechioidea</t>
  </si>
  <si>
    <t>2021-07-15_22-01-03</t>
  </si>
  <si>
    <t>2021-07-15_22-06-24</t>
  </si>
  <si>
    <t>Pyralinae</t>
  </si>
  <si>
    <t>Endotricha</t>
  </si>
  <si>
    <t>flammealis</t>
  </si>
  <si>
    <t>Drosophila</t>
  </si>
  <si>
    <t>2021-07-15_22-14-55</t>
  </si>
  <si>
    <t>Crambidae</t>
  </si>
  <si>
    <t>Crambinae</t>
  </si>
  <si>
    <t>Chrysoteuchia</t>
  </si>
  <si>
    <t>culmella</t>
  </si>
  <si>
    <t>2021-07-15_22-22-42</t>
  </si>
  <si>
    <t>2021-07-15_22-25-11</t>
  </si>
  <si>
    <t>Pseudochorthippus</t>
  </si>
  <si>
    <t>parallelus</t>
  </si>
  <si>
    <t>2021-07-14_07-36-10</t>
  </si>
  <si>
    <t>Hemiptera</t>
  </si>
  <si>
    <t>Heteroptera</t>
  </si>
  <si>
    <t>Miroidea</t>
  </si>
  <si>
    <t>Miridae</t>
  </si>
  <si>
    <t>Orthotylinae</t>
  </si>
  <si>
    <t>Orthotylus</t>
  </si>
  <si>
    <t>2021-07-15_22-41-36</t>
  </si>
  <si>
    <t>2021-07-15_22-49-23</t>
  </si>
  <si>
    <t>2021-07-15_23-01-17</t>
  </si>
  <si>
    <t>2021-07-15_22-52-45</t>
  </si>
  <si>
    <t>2021-07-15_23-03-03</t>
  </si>
  <si>
    <t>2021-07-15_00-05-30</t>
  </si>
  <si>
    <t>2021-07-16_00-05-30</t>
  </si>
  <si>
    <t>Ensifera</t>
  </si>
  <si>
    <t>Tettigonioidea</t>
  </si>
  <si>
    <t>Tettigoniidae</t>
  </si>
  <si>
    <t>Phaneropterinae</t>
  </si>
  <si>
    <t>Leptophyes</t>
  </si>
  <si>
    <t>punctatissima</t>
  </si>
  <si>
    <t>2021-07-16_00-11-15</t>
  </si>
  <si>
    <t>2021-07-16_00-17-38</t>
  </si>
  <si>
    <t>2021-07-16_01-57-09</t>
  </si>
  <si>
    <t>2021-07-16_02-03-41</t>
  </si>
  <si>
    <t>2021-07-16_02-37-24</t>
  </si>
  <si>
    <t>2021-07-16_02-58-22</t>
  </si>
  <si>
    <t>2021-07-16_02-59-49</t>
  </si>
  <si>
    <t>Gelechiidae</t>
  </si>
  <si>
    <t>2021-07-16_03-03-35</t>
  </si>
  <si>
    <t>2021-07-16_03-11-38</t>
  </si>
  <si>
    <t>2021-07-16_03-16-55</t>
  </si>
  <si>
    <t>2021-07-16_03-17-45</t>
  </si>
  <si>
    <t>2021-07-16_03-18-34</t>
  </si>
  <si>
    <t>2021-07-16_03-22-24</t>
  </si>
  <si>
    <t>2021-07-16_03-23-59</t>
  </si>
  <si>
    <t>2021-07-16_03-27-40</t>
  </si>
  <si>
    <t>2021-07-16_03-30-29</t>
  </si>
  <si>
    <t>2021-07-16_03-47-54</t>
  </si>
  <si>
    <t>Culicoidea</t>
  </si>
  <si>
    <t>Culicidae</t>
  </si>
  <si>
    <t>2021-07-16_04-09-37</t>
  </si>
  <si>
    <t>2021-07-16_04-15-20</t>
  </si>
  <si>
    <t>2021-07-16_05-02-29</t>
  </si>
  <si>
    <t>2021-07-16_06-13-44</t>
  </si>
  <si>
    <t>2021-07-16_08-28-59</t>
  </si>
  <si>
    <t>2021-07-16_12-07-21</t>
  </si>
  <si>
    <t>2021-07-16_12-50-53</t>
  </si>
  <si>
    <t>2021-07-16_13-31-12</t>
  </si>
  <si>
    <t>Formica</t>
  </si>
  <si>
    <t>2021-07-16_15-36-48</t>
  </si>
  <si>
    <t>2021-07-16_15-56-02</t>
  </si>
  <si>
    <t>2021-07-16_17-18-01</t>
  </si>
  <si>
    <t>Phygadeuontinae</t>
  </si>
  <si>
    <t>Gelis</t>
  </si>
  <si>
    <t>2021-07-19_20-46-08</t>
  </si>
  <si>
    <t>2021-07-19_21-00-23</t>
  </si>
  <si>
    <t>2021-07-19_21-05-52</t>
  </si>
  <si>
    <t>Lauxanioidea</t>
  </si>
  <si>
    <t>Lauxaniidae</t>
  </si>
  <si>
    <t>Lauxaniinae</t>
  </si>
  <si>
    <t>Sapromyza</t>
  </si>
  <si>
    <t>2021-07-19_21-09-05</t>
  </si>
  <si>
    <t>Oestroidea</t>
  </si>
  <si>
    <t>2021-07-19_21-31-47</t>
  </si>
  <si>
    <t>2021-07-19_21-54-30</t>
  </si>
  <si>
    <t>2021-07-19_22-12-09</t>
  </si>
  <si>
    <t>2021-07-19_22-41-51</t>
  </si>
  <si>
    <t>Notoxinae</t>
  </si>
  <si>
    <t>Auchenorrhyncha</t>
  </si>
  <si>
    <t>2021-07-19_22-28-59</t>
  </si>
  <si>
    <t>2021-07-20_04-06-10</t>
  </si>
  <si>
    <t>2021-07-20_12-55-36</t>
  </si>
  <si>
    <t>2021-07-20_13-28-18</t>
  </si>
  <si>
    <t>2021-07-20_14-01-00</t>
  </si>
  <si>
    <t>2021-07-20_15-02-02</t>
  </si>
  <si>
    <t>2021-07-20_16-19-11</t>
  </si>
  <si>
    <t>2021-07-20_16-24-27</t>
  </si>
  <si>
    <t>2021-07-20_16-25-10</t>
  </si>
  <si>
    <t>2021-07-21_19-27-03</t>
  </si>
  <si>
    <t>2021-07-21_19-41-34</t>
  </si>
  <si>
    <t>vulgaris</t>
  </si>
  <si>
    <t>2021-07-21_19-51-53</t>
  </si>
  <si>
    <t>2021-07-21_20-56-05</t>
  </si>
  <si>
    <t>2021-07-21_21-30-12</t>
  </si>
  <si>
    <t>scripta</t>
  </si>
  <si>
    <t>2021-07-19_22-25-48</t>
  </si>
  <si>
    <t>2021-07-19_22-57-41</t>
  </si>
  <si>
    <t>Neuroptera</t>
  </si>
  <si>
    <t>Hemerobiiformia</t>
  </si>
  <si>
    <t>Hemerobioidea</t>
  </si>
  <si>
    <t>Chrysopidae</t>
  </si>
  <si>
    <t>Chrysopinae</t>
  </si>
  <si>
    <t>Chrysoperla</t>
  </si>
  <si>
    <t>carnea</t>
  </si>
  <si>
    <t>2021-07-22_02-43-01</t>
  </si>
  <si>
    <t>2021-07-22_04-14-16</t>
  </si>
  <si>
    <t>2021-07-22_05-08-44</t>
  </si>
  <si>
    <t>2021-07-22_05-11-16</t>
  </si>
  <si>
    <t>2021-07-22_11-07-44</t>
  </si>
  <si>
    <t>2021-07-22_14-36-40</t>
  </si>
  <si>
    <t>2021-07-22_15-04-45</t>
  </si>
  <si>
    <t>2021-07-22_15-47-46</t>
  </si>
  <si>
    <t>Sarcophagidae</t>
  </si>
  <si>
    <t>Sarcophaginae</t>
  </si>
  <si>
    <t>Sarcophaga</t>
  </si>
  <si>
    <t>2021-07-22_17-23-29</t>
  </si>
  <si>
    <t>2021-07-22_18-29-49</t>
  </si>
  <si>
    <t>2021-07-23_00-22-17</t>
  </si>
  <si>
    <t>2021-07-23_09-15-22</t>
  </si>
  <si>
    <t>2021-07-23_09-46-30</t>
  </si>
  <si>
    <t>2021-07-23_16-38-11</t>
  </si>
  <si>
    <t>2021-07-23_16-39-58</t>
  </si>
  <si>
    <t>2021-07-23_17-30-02</t>
  </si>
  <si>
    <t>2021-07-23_18-23-10</t>
  </si>
  <si>
    <t>2021-07-24_10-04-52</t>
  </si>
  <si>
    <t>2021-07-24_10-16-18</t>
  </si>
  <si>
    <t>2021-07-24_10-17-27</t>
  </si>
  <si>
    <t>2021-07-24_10-32-18</t>
  </si>
  <si>
    <t>2021-07-24_10-50-09</t>
  </si>
  <si>
    <t>2021-07-24_11-01-09</t>
  </si>
  <si>
    <t>2021-07-24_11-12-39</t>
  </si>
  <si>
    <t>2021-07-24_12-16-19</t>
  </si>
  <si>
    <t>2021-07-24_12-40-34</t>
  </si>
  <si>
    <t>Crabronidae</t>
  </si>
  <si>
    <t>Astatinae</t>
  </si>
  <si>
    <t>Astata</t>
  </si>
  <si>
    <t>2021-07-24_12-56-07</t>
  </si>
  <si>
    <t>Xanthogramma</t>
  </si>
  <si>
    <t>dives</t>
  </si>
  <si>
    <t>2021-07-24_13-09-32</t>
  </si>
  <si>
    <t>2021-07-24_13-55-40</t>
  </si>
  <si>
    <t>2021-07-24_14-44-08</t>
  </si>
  <si>
    <t>Stratiomyoidea</t>
  </si>
  <si>
    <t>Xylomyidae</t>
  </si>
  <si>
    <t>Solva</t>
  </si>
  <si>
    <t>marginata</t>
  </si>
  <si>
    <t>2021-07-24_15-34-15</t>
  </si>
  <si>
    <t>2021-07-24_15-56-10</t>
  </si>
  <si>
    <t>2021-07-24_18-05-31</t>
  </si>
  <si>
    <t>2021-07-24_18-07-22</t>
  </si>
  <si>
    <t>2021-07-25_07-33-40</t>
  </si>
  <si>
    <t>2021-07-25_08-13-22</t>
  </si>
  <si>
    <t>2021-07-25_08-24-44</t>
  </si>
  <si>
    <t>2021-07-25_11-23-11</t>
  </si>
  <si>
    <t>2021-07-25_11-25-15</t>
  </si>
  <si>
    <t>2021-07-25_13-00-42</t>
  </si>
  <si>
    <t>Mycetophilidae</t>
  </si>
  <si>
    <t>2021-07-25_14-19-28</t>
  </si>
  <si>
    <t>Chrysomeloidea</t>
  </si>
  <si>
    <t>Chrysomelidae</t>
  </si>
  <si>
    <t>Chrysomelinae</t>
  </si>
  <si>
    <t>Chrysolina</t>
  </si>
  <si>
    <t>2021-07-25_14-44-16</t>
  </si>
  <si>
    <t>2021-07-25_15-20-26</t>
  </si>
  <si>
    <t>2021-07-25_15-31-07</t>
  </si>
  <si>
    <t>Curculionoidea</t>
  </si>
  <si>
    <t>Curculionidae</t>
  </si>
  <si>
    <t>Entiminae</t>
  </si>
  <si>
    <t>Sitona</t>
  </si>
  <si>
    <t>lineatus</t>
  </si>
  <si>
    <t>2021-07-25_15-39-14</t>
  </si>
  <si>
    <t>2021-07-25_15-45-45</t>
  </si>
  <si>
    <t>2021-07-25_17-05-06</t>
  </si>
  <si>
    <t>2021-07-25_17-35-21</t>
  </si>
  <si>
    <t>2021-07-25_17-39-05</t>
  </si>
  <si>
    <t>2021-07-25_18-15-09</t>
  </si>
  <si>
    <t>Empidoidea</t>
  </si>
  <si>
    <t>Dolichopodidae</t>
  </si>
  <si>
    <t>2021-07-25_18-25-07</t>
  </si>
  <si>
    <t>2021-07-25_18-28-23</t>
  </si>
  <si>
    <t>Criocerinae</t>
  </si>
  <si>
    <t>Oulema</t>
  </si>
  <si>
    <t>2021-07-26_06-06-15</t>
  </si>
  <si>
    <t>Synaphe</t>
  </si>
  <si>
    <t>punctalis</t>
  </si>
  <si>
    <t>2021-07-26_06-18-38</t>
  </si>
  <si>
    <t>2021-07-26_06-20-27</t>
  </si>
  <si>
    <t>2021-07-26_07-42-51</t>
  </si>
  <si>
    <t>2021-07-26_08-11-41</t>
  </si>
  <si>
    <t>Tephritoidea</t>
  </si>
  <si>
    <t>Pallopteridae</t>
  </si>
  <si>
    <t>2021-07-26_09-30-06</t>
  </si>
  <si>
    <t>2021-07-26_10-26-55</t>
  </si>
  <si>
    <t>2021-07-26_10-59-11</t>
  </si>
  <si>
    <t>2021-07-26_11-05-54</t>
  </si>
  <si>
    <t>2021-07-26_11-15-35</t>
  </si>
  <si>
    <t>2021-07-26_11-28-25</t>
  </si>
  <si>
    <t>2021-07-26_11-47-43</t>
  </si>
  <si>
    <t>Pompilidae</t>
  </si>
  <si>
    <t>2021-07-26_12-05-09</t>
  </si>
  <si>
    <t>2021-07-26_12-25-21</t>
  </si>
  <si>
    <t>2021-07-26_12-45-13</t>
  </si>
  <si>
    <t>Campopleginae</t>
  </si>
  <si>
    <t>Dusona</t>
  </si>
  <si>
    <t>2021-07-26_13-06-49</t>
  </si>
  <si>
    <t>2021-07-26_15-30-08</t>
  </si>
  <si>
    <t>2021-07-26_15-47-13</t>
  </si>
  <si>
    <t>Propylea</t>
  </si>
  <si>
    <t>quatuordecimpunctata</t>
  </si>
  <si>
    <t>2021-07-26_16-47-31</t>
  </si>
  <si>
    <t>2021-07-26_16-51-15</t>
  </si>
  <si>
    <t>2021-07-28_15-51-27</t>
  </si>
  <si>
    <t>2021-07-28_15-55-56</t>
  </si>
  <si>
    <t>2021-07-28_16-18-11</t>
  </si>
  <si>
    <t>2021-07-28_16-30-30</t>
  </si>
  <si>
    <t>Pipunculidae</t>
  </si>
  <si>
    <t>2021-07-28_17-01-40</t>
  </si>
  <si>
    <t>2021-07-28_17-07-40</t>
  </si>
  <si>
    <t>Brentidae</t>
  </si>
  <si>
    <t>Apioninae</t>
  </si>
  <si>
    <t>Apion</t>
  </si>
  <si>
    <t>2021-07-29_18-01-21</t>
  </si>
  <si>
    <t>2021-07-29_09-02-04</t>
  </si>
  <si>
    <t>2021-07-29_09-10-26</t>
  </si>
  <si>
    <t>Conocephalinae</t>
  </si>
  <si>
    <t>Conocephalus</t>
  </si>
  <si>
    <t>fuscus</t>
  </si>
  <si>
    <t>2021-07-29_14-46-31</t>
  </si>
  <si>
    <t>2021-07-29_16-36-05</t>
  </si>
  <si>
    <t>biguttulus</t>
  </si>
  <si>
    <t>2021-07-29_16-37-23</t>
  </si>
  <si>
    <t>2021-07-29_17-18-30</t>
  </si>
  <si>
    <t>Muscidae</t>
  </si>
  <si>
    <t>Muscinae</t>
  </si>
  <si>
    <t>Mesembrina</t>
  </si>
  <si>
    <t>meridiana</t>
  </si>
  <si>
    <t>2021-07-29_17-24-07</t>
  </si>
  <si>
    <t>2021-07-29_18-01-57</t>
  </si>
  <si>
    <t>2021-07-29_18-21-53</t>
  </si>
  <si>
    <t>2021-07-29_18-44-55</t>
  </si>
  <si>
    <t>2021-07-29_18-48-57</t>
  </si>
  <si>
    <t>2021-07-29_18-51-10</t>
  </si>
  <si>
    <t>2021-07-30_09-35-07</t>
  </si>
  <si>
    <t>2021-07-30_11-26-02</t>
  </si>
  <si>
    <t>2021-07-30_12-22-00</t>
  </si>
  <si>
    <t>2021-07-30_12-25-59</t>
  </si>
  <si>
    <t>2021-07-30_15-13-50</t>
  </si>
  <si>
    <t>2021-07-30_15-15-31</t>
  </si>
  <si>
    <t>2021-07-30_15-55-06</t>
  </si>
  <si>
    <t>2021-07-30_15-20-27</t>
  </si>
  <si>
    <t>2021-07-30_17-10-05</t>
  </si>
  <si>
    <t>2021-07-30_17-11-16</t>
  </si>
  <si>
    <t>2021-07-30_18-08-29</t>
  </si>
  <si>
    <t>2021-07-31_06-52-44</t>
  </si>
  <si>
    <t>2021-07-31_18-55-22</t>
  </si>
  <si>
    <t>Geometroidea</t>
  </si>
  <si>
    <t>Geometridae</t>
  </si>
  <si>
    <t>Larentiinae</t>
  </si>
  <si>
    <t>Epirrhoe</t>
  </si>
  <si>
    <t>alternata</t>
  </si>
  <si>
    <t>2021-07-31_12-29-55</t>
  </si>
  <si>
    <t>2021-07-31_13-02-03</t>
  </si>
  <si>
    <t>Tachinidae</t>
  </si>
  <si>
    <t>Phasiinae</t>
  </si>
  <si>
    <t>Gymnosoma</t>
  </si>
  <si>
    <t>2021-07-31_16-32-45</t>
  </si>
  <si>
    <t>2021-07-31_18-41-02</t>
  </si>
  <si>
    <t>frumentarium</t>
  </si>
  <si>
    <t>2021-07-31_17-12-18</t>
  </si>
  <si>
    <t>2021-07-31_11-50-22</t>
  </si>
  <si>
    <t>2021-07-31_18-17-06</t>
  </si>
  <si>
    <t>2021-08-01_07-43-05</t>
  </si>
  <si>
    <t>2021-08-01_11-07-07</t>
  </si>
  <si>
    <t>2021-08-01_14-01-18</t>
  </si>
  <si>
    <t>germanica</t>
  </si>
  <si>
    <t>2021-08-01_15-21-36</t>
  </si>
  <si>
    <t>2021-08-01_15-30-10</t>
  </si>
  <si>
    <t>2021-08-01_15-56-11</t>
  </si>
  <si>
    <t>2021-08-01_16-19-36</t>
  </si>
  <si>
    <t>Vespidae</t>
  </si>
  <si>
    <t>Vespinae</t>
  </si>
  <si>
    <t>Vespula</t>
  </si>
  <si>
    <t>2021-08-01_16-37-51</t>
  </si>
  <si>
    <t>2021-08-01_17-32-23</t>
  </si>
  <si>
    <t>Medeterinae</t>
  </si>
  <si>
    <t>Medetera</t>
  </si>
  <si>
    <t>2021-08-01_18-45-19</t>
  </si>
  <si>
    <t>canicularis</t>
  </si>
  <si>
    <t>2021-08-02_06-13-22</t>
  </si>
  <si>
    <t>2021-08-02_08-02-33</t>
  </si>
  <si>
    <t>2021-08-02_08-52-13</t>
  </si>
  <si>
    <t>2021-08-02_08-55-14</t>
  </si>
  <si>
    <t>2021-08-02_13-03-59</t>
  </si>
  <si>
    <t>2021-08-02_12-19-12</t>
  </si>
  <si>
    <t>2021-08-02_14-17-33</t>
  </si>
  <si>
    <t>Camponatus</t>
  </si>
  <si>
    <t>2021-08-02_14-39-21</t>
  </si>
  <si>
    <t>2021-08-02_14-49-05</t>
  </si>
  <si>
    <t>2021-08-02_15-38-22</t>
  </si>
  <si>
    <t>2021-08-02_15-05-43</t>
  </si>
  <si>
    <t>2021-08-02_15-20-52</t>
  </si>
  <si>
    <t>2021-08-02_15-43-03</t>
  </si>
  <si>
    <t>2021-08-02_15-58-20</t>
  </si>
  <si>
    <t>2021-08-02_16-13-40</t>
  </si>
  <si>
    <t>2021-08-02_16-17-58</t>
  </si>
  <si>
    <t>2021-08-02_16-31-44</t>
  </si>
  <si>
    <t>2021-08-02_16-38-34</t>
  </si>
  <si>
    <t>2021-08-02_16-39-37</t>
  </si>
  <si>
    <t>2021-08-02_17-17-04</t>
  </si>
  <si>
    <t>2021-08-02_17-57-16</t>
  </si>
  <si>
    <t>2021-08-02_18-06-20</t>
  </si>
  <si>
    <t>2021-08-02_18-13-37</t>
  </si>
  <si>
    <t>2021-08-02_18-48-16</t>
  </si>
  <si>
    <t>2021-08-02_18-59-10</t>
  </si>
  <si>
    <t>2021-08-03_06-05-56</t>
  </si>
  <si>
    <t>2021-08-03_10-38-49</t>
  </si>
  <si>
    <t>2021-08-03_09-13-38</t>
  </si>
  <si>
    <t>2021-08-03_10-52-42</t>
  </si>
  <si>
    <t>2021-08-03_11-50-22</t>
  </si>
  <si>
    <t>2021-08-03_11-34-25</t>
  </si>
  <si>
    <t>Pepsinae</t>
  </si>
  <si>
    <t>Priocnemis</t>
  </si>
  <si>
    <t>2021-08-03_12-12-21</t>
  </si>
  <si>
    <t>2021-08-03_12-43-54</t>
  </si>
  <si>
    <t>2021-08-03_12-26-13</t>
  </si>
  <si>
    <t>2021-08-10_15-49-27</t>
  </si>
  <si>
    <t>2021-08-10_16-13-49</t>
  </si>
  <si>
    <t>2021-08-10_16-14-15</t>
  </si>
  <si>
    <t>Dolichovespula</t>
  </si>
  <si>
    <t>media</t>
  </si>
  <si>
    <t>2021-08-10_16-21-59</t>
  </si>
  <si>
    <t>2021-08-10_16-37-43</t>
  </si>
  <si>
    <t>2021-08-10_16-40-34</t>
  </si>
  <si>
    <t>2021-08-10_17-13-36</t>
  </si>
  <si>
    <t>2021-08-10_17-36-02</t>
  </si>
  <si>
    <t>2021-08-10_17-46-28</t>
  </si>
  <si>
    <t>Strophosoma</t>
  </si>
  <si>
    <t>melanogrammum</t>
  </si>
  <si>
    <t>2021-08-10_17-50-38</t>
  </si>
  <si>
    <t>2021-08-10_17-54-22</t>
  </si>
  <si>
    <t>2021-08-10_17-55-32</t>
  </si>
  <si>
    <t>2021-08-10_18-12-20</t>
  </si>
  <si>
    <t>2021-08-10_18-13-52</t>
  </si>
  <si>
    <t>2021-08-10_18-37-06</t>
  </si>
  <si>
    <t>2021-08-10_18-58-00</t>
  </si>
  <si>
    <t>2021-08-10_19-19-03</t>
  </si>
  <si>
    <t>2021-08-10_19-36-26</t>
  </si>
  <si>
    <t>2021-08-10_19-53-16</t>
  </si>
  <si>
    <t>2021-08-10_20-00-35</t>
  </si>
  <si>
    <t>Anthomyiidae</t>
  </si>
  <si>
    <t>Anthomyiinae</t>
  </si>
  <si>
    <t>Fucellia</t>
  </si>
  <si>
    <t>2021-08-10_20-09-19</t>
  </si>
  <si>
    <t>2021-08-10_20-22-18</t>
  </si>
  <si>
    <t>2021-08-10_20-24-35</t>
  </si>
  <si>
    <t>2021-08-10_20-25-30</t>
  </si>
  <si>
    <t>2021-08-10_20-37-23</t>
  </si>
  <si>
    <t>2021-08-10_20-51-19</t>
  </si>
  <si>
    <t>2021-08-10_20-52-37</t>
  </si>
  <si>
    <t>2021-08-10_20-59-25</t>
  </si>
  <si>
    <t>2021-08-10_21-03-08</t>
  </si>
  <si>
    <t>2021-08-10_21-04-46</t>
  </si>
  <si>
    <t>2021-08-10_21-07-04</t>
  </si>
  <si>
    <t>Chymomyza</t>
  </si>
  <si>
    <t>amoena</t>
  </si>
  <si>
    <t>2021-08-10_21-10-02</t>
  </si>
  <si>
    <t>2021-08-10_21-12-38</t>
  </si>
  <si>
    <t>Musca</t>
  </si>
  <si>
    <t>domestica</t>
  </si>
  <si>
    <t>2021-08-10_21-17-09</t>
  </si>
  <si>
    <t>2021-08-10_21-19-57</t>
  </si>
  <si>
    <t>Hemerobiidae</t>
  </si>
  <si>
    <t>Microminae</t>
  </si>
  <si>
    <t>Micromus</t>
  </si>
  <si>
    <t>angulatus</t>
  </si>
  <si>
    <t>2021-08-10_21-20-57</t>
  </si>
  <si>
    <t>Sciomyzidae</t>
  </si>
  <si>
    <t>Sciomyzinae</t>
  </si>
  <si>
    <t>Tetanocera</t>
  </si>
  <si>
    <t>Rhagionoidea</t>
  </si>
  <si>
    <t>Rhagionidae</t>
  </si>
  <si>
    <t>Rhagioninae</t>
  </si>
  <si>
    <t>Rhagio</t>
  </si>
  <si>
    <t>tringarius</t>
  </si>
  <si>
    <t>2021-08-10_21-26-08</t>
  </si>
  <si>
    <t>2021-08-10_21-28-18</t>
  </si>
  <si>
    <t>2021-08-10_21-30-07</t>
  </si>
  <si>
    <t>2021-08-10_21-31-05</t>
  </si>
  <si>
    <t>2021-08-10_21-42-43</t>
  </si>
  <si>
    <t>2021-08-10_21-56-17</t>
  </si>
  <si>
    <t>2021-08-10_21-58-11</t>
  </si>
  <si>
    <t>2021-08-10_22-00-19</t>
  </si>
  <si>
    <t>2021-08-10_22-02-07</t>
  </si>
  <si>
    <t>2021-08-10_23-51-36</t>
  </si>
  <si>
    <t>2021-08-11_00-31-10</t>
  </si>
  <si>
    <t>Peleopodidae</t>
  </si>
  <si>
    <t>Peleopodinae</t>
  </si>
  <si>
    <t>Carcina</t>
  </si>
  <si>
    <t>quercana</t>
  </si>
  <si>
    <t>2021-08-11_09-42-18</t>
  </si>
  <si>
    <t>dorsatus</t>
  </si>
  <si>
    <t>2021-08-11_10-51-23</t>
  </si>
  <si>
    <t>Ichneumoninae</t>
  </si>
  <si>
    <t>2021-08-11_11-17-53</t>
  </si>
  <si>
    <t>Coenosiinae</t>
  </si>
  <si>
    <t>Coenosia</t>
  </si>
  <si>
    <t>2021-08-11_11-21-38</t>
  </si>
  <si>
    <t>2021-08-11_12-08-54</t>
  </si>
  <si>
    <t>2021-08-11_12-43-18</t>
  </si>
  <si>
    <t>2021-08-11_14-08-50</t>
  </si>
  <si>
    <t>2021-08-11_14-42-26</t>
  </si>
  <si>
    <t>2021-08-11_14-55-22</t>
  </si>
  <si>
    <t>2021-08-16_12-13-31</t>
  </si>
  <si>
    <t>2021-08-16_12-59-02</t>
  </si>
  <si>
    <t>2021-08-18_18-28-56</t>
  </si>
  <si>
    <t>2021-08-18_19-23-29</t>
  </si>
  <si>
    <t>2021-08-18_19-27-43</t>
  </si>
  <si>
    <t>2021-08-18_19-57-50</t>
  </si>
  <si>
    <t>2021-08-18_20-31-31</t>
  </si>
  <si>
    <t>2021-08-18_20-54-08</t>
  </si>
  <si>
    <t>2021-08-18_20-54-20</t>
  </si>
  <si>
    <t>2021-08-18_20-58-58</t>
  </si>
  <si>
    <t>2021-08-18_20-59-23</t>
  </si>
  <si>
    <t>2021-08-18_21-19-27</t>
  </si>
  <si>
    <t>2021-08-18_22-34-52</t>
  </si>
  <si>
    <t>Camptogramma</t>
  </si>
  <si>
    <t>bilineata</t>
  </si>
  <si>
    <t>2021-08-19_15-49-46</t>
  </si>
  <si>
    <t>2021-08-19_15-52-41</t>
  </si>
  <si>
    <t>2021-08-19_19-40-22</t>
  </si>
  <si>
    <t>2021-08-19_19-42-36</t>
  </si>
  <si>
    <t>2021-08-19_19-42-57</t>
  </si>
  <si>
    <t>2021-08-19_20-09-08</t>
  </si>
  <si>
    <t>2021-08-19_20-43-51</t>
  </si>
  <si>
    <t>2021-08-19_22-30-09</t>
  </si>
  <si>
    <t>Noctuoidea</t>
  </si>
  <si>
    <t>Noctuidae</t>
  </si>
  <si>
    <t>Plusiinae</t>
  </si>
  <si>
    <t>Autographa</t>
  </si>
  <si>
    <t>gamma</t>
  </si>
  <si>
    <t>2021-08-19_23-24-56</t>
  </si>
  <si>
    <t>Braconidae</t>
  </si>
  <si>
    <t>Macrocentrinae</t>
  </si>
  <si>
    <t>2021-08-20_02-48-01</t>
  </si>
  <si>
    <t>2021-08-20_03-23-07</t>
  </si>
  <si>
    <t>Noctuinae</t>
  </si>
  <si>
    <t>Xestia</t>
  </si>
  <si>
    <t>xanthographa</t>
  </si>
  <si>
    <t>2021-08-20_13-57-47</t>
  </si>
  <si>
    <t>Ectophasia</t>
  </si>
  <si>
    <t>2021-08-20_17-26-19</t>
  </si>
  <si>
    <t>2021-08-20_17-30-59</t>
  </si>
  <si>
    <t>2021-08-20_17-34-15</t>
  </si>
  <si>
    <t>2021-08-20_18-18-00</t>
  </si>
  <si>
    <t>2021-08-20_19-09-14</t>
  </si>
  <si>
    <t>2021-08-20_19-20-24</t>
  </si>
  <si>
    <t>2021-08-20_19-49-06</t>
  </si>
  <si>
    <t>2021-08-20_20-21-01</t>
  </si>
  <si>
    <t>2021-08-20_20-22-48</t>
  </si>
  <si>
    <t>2021-08-20_20-28-50</t>
  </si>
  <si>
    <t>2021-08-20_20-29-41</t>
  </si>
  <si>
    <t>Arachnida</t>
  </si>
  <si>
    <t>Araneae</t>
  </si>
  <si>
    <t>Arneomorphae</t>
  </si>
  <si>
    <t>Araneoidea</t>
  </si>
  <si>
    <t>Araneidae</t>
  </si>
  <si>
    <t>Araneinae</t>
  </si>
  <si>
    <t>Araneus</t>
  </si>
  <si>
    <t>Dictynoidea</t>
  </si>
  <si>
    <t>Anyphaenidae</t>
  </si>
  <si>
    <t>Anyphaeninae</t>
  </si>
  <si>
    <t>Anyphaena</t>
  </si>
  <si>
    <t>Alticinae</t>
  </si>
  <si>
    <t>Galerucinae</t>
  </si>
  <si>
    <t>Psylliodes</t>
  </si>
  <si>
    <t>Chilocorinae</t>
  </si>
  <si>
    <t>Coccinella</t>
  </si>
  <si>
    <t>Coccinellini</t>
  </si>
  <si>
    <t>Oenopia</t>
  </si>
  <si>
    <t>Polydrusus</t>
  </si>
  <si>
    <t>Forficula</t>
  </si>
  <si>
    <t>Laphriinae</t>
  </si>
  <si>
    <t>Carnoidea</t>
  </si>
  <si>
    <t>Chloropidae</t>
  </si>
  <si>
    <t>Chloropinae</t>
  </si>
  <si>
    <t>Thaumatomyia</t>
  </si>
  <si>
    <t>Hybotidae</t>
  </si>
  <si>
    <t>Tachydromiinae</t>
  </si>
  <si>
    <t>Tachydromia</t>
  </si>
  <si>
    <t>Ephydroidae</t>
  </si>
  <si>
    <t>Hydrelliinae</t>
  </si>
  <si>
    <t>Notiphila</t>
  </si>
  <si>
    <t>Calliopum</t>
  </si>
  <si>
    <t>Anthomyia</t>
  </si>
  <si>
    <t>Scathophagidae</t>
  </si>
  <si>
    <t>Scathophaginae</t>
  </si>
  <si>
    <t>Scathophaga</t>
  </si>
  <si>
    <t>Calliphoridae</t>
  </si>
  <si>
    <t>Calliphorinae</t>
  </si>
  <si>
    <t>Bellardia</t>
  </si>
  <si>
    <t>Rhinophoridae</t>
  </si>
  <si>
    <t>Paykullia</t>
  </si>
  <si>
    <t>Sacrophagidae</t>
  </si>
  <si>
    <t>Exoristinae</t>
  </si>
  <si>
    <t>Tachininae</t>
  </si>
  <si>
    <t>Tachina</t>
  </si>
  <si>
    <t>Geomyza</t>
  </si>
  <si>
    <t>tripunctata</t>
  </si>
  <si>
    <t>Phoroidea</t>
  </si>
  <si>
    <t>Lonchopteridae</t>
  </si>
  <si>
    <t>Lonchoptera</t>
  </si>
  <si>
    <t>Phoridae</t>
  </si>
  <si>
    <t>Metopininae</t>
  </si>
  <si>
    <t>Megaselia</t>
  </si>
  <si>
    <t>Parapalaeosepsis</t>
  </si>
  <si>
    <t>Sphaeroceroidea</t>
  </si>
  <si>
    <t>Heleomyzidae</t>
  </si>
  <si>
    <t>Sphaeroceridae</t>
  </si>
  <si>
    <t>Eristalinae</t>
  </si>
  <si>
    <t>Eristalis</t>
  </si>
  <si>
    <t>Dasysyrphus</t>
  </si>
  <si>
    <t>Episyrphus</t>
  </si>
  <si>
    <t>Eupeodes</t>
  </si>
  <si>
    <t>Scaeva</t>
  </si>
  <si>
    <t>Syrphini</t>
  </si>
  <si>
    <t>Palloptera</t>
  </si>
  <si>
    <t>Tephritidae</t>
  </si>
  <si>
    <t>Tephritinae</t>
  </si>
  <si>
    <t>Tephritis</t>
  </si>
  <si>
    <t>Trypetinae</t>
  </si>
  <si>
    <t>Anomoia</t>
  </si>
  <si>
    <t>Bibionoidea</t>
  </si>
  <si>
    <t>Bibioninae</t>
  </si>
  <si>
    <t>Dilophus</t>
  </si>
  <si>
    <t>Chironomoidea</t>
  </si>
  <si>
    <t>Chironomidae</t>
  </si>
  <si>
    <t>Chironominae</t>
  </si>
  <si>
    <t>Chironomus</t>
  </si>
  <si>
    <t>Tipula</t>
  </si>
  <si>
    <t>Membracoidea</t>
  </si>
  <si>
    <t>Cicadellidae</t>
  </si>
  <si>
    <t>Deltocephalinae</t>
  </si>
  <si>
    <t>Orientus</t>
  </si>
  <si>
    <t>Pentatomomorpha</t>
  </si>
  <si>
    <t>Lygaeoidea</t>
  </si>
  <si>
    <t>Rhyparochromidae</t>
  </si>
  <si>
    <t>Rhyparochrominae</t>
  </si>
  <si>
    <t>Rhyparochromus</t>
  </si>
  <si>
    <t>Mirinae</t>
  </si>
  <si>
    <t>Crabroninae</t>
  </si>
  <si>
    <t>Oxybelus</t>
  </si>
  <si>
    <t>Pemphredoninae</t>
  </si>
  <si>
    <t>Pemphredon</t>
  </si>
  <si>
    <t>Chalcidoidea</t>
  </si>
  <si>
    <t>Eulophidae</t>
  </si>
  <si>
    <t xml:space="preserve">	Banchinae</t>
  </si>
  <si>
    <t>Dolichomitus</t>
  </si>
  <si>
    <t>Xoridinae</t>
  </si>
  <si>
    <t>Xorides</t>
  </si>
  <si>
    <t>Ichneumonoidae</t>
  </si>
  <si>
    <t>niger</t>
  </si>
  <si>
    <t>Auplopus</t>
  </si>
  <si>
    <t>Eumeninae</t>
  </si>
  <si>
    <t>Ancistrocerus</t>
  </si>
  <si>
    <t>Symphyta</t>
  </si>
  <si>
    <t>Tenthredinoidea</t>
  </si>
  <si>
    <t>Tenthredinidae</t>
  </si>
  <si>
    <t>Athaliinae</t>
  </si>
  <si>
    <t>Athalia</t>
  </si>
  <si>
    <t>Oecophoridae</t>
  </si>
  <si>
    <t>Oecophorinae</t>
  </si>
  <si>
    <t>Hofmannophila</t>
  </si>
  <si>
    <t>Mythimna</t>
  </si>
  <si>
    <t>Tineoidea</t>
  </si>
  <si>
    <t>Tineidae</t>
  </si>
  <si>
    <t xml:space="preserve">	Nemapogoninae</t>
  </si>
  <si>
    <t>Nemapogon</t>
  </si>
  <si>
    <t>Yponomeutoidea</t>
  </si>
  <si>
    <t>Plutellidae</t>
  </si>
  <si>
    <t>Plutellinae</t>
  </si>
  <si>
    <t>Plutella</t>
  </si>
  <si>
    <t>xylostella</t>
  </si>
  <si>
    <t>Acrididea</t>
  </si>
  <si>
    <t>Tettigoniidea</t>
  </si>
  <si>
    <t>Tettigoniinae</t>
  </si>
  <si>
    <t>Tettigonia</t>
  </si>
  <si>
    <t>Trichoptera</t>
  </si>
  <si>
    <t>Integripalpia</t>
  </si>
  <si>
    <t>Plenitentoria</t>
  </si>
  <si>
    <t>Limnephiloidea</t>
  </si>
  <si>
    <t>Limnephilidae</t>
  </si>
  <si>
    <t>Limnephilinae</t>
  </si>
  <si>
    <t>Other aspect</t>
  </si>
  <si>
    <t>Classification Class</t>
  </si>
  <si>
    <t>Araneomorphae</t>
  </si>
  <si>
    <t>spider</t>
  </si>
  <si>
    <t>smaller than 4mm</t>
  </si>
  <si>
    <t>insect_small</t>
  </si>
  <si>
    <t>Cucujiformia</t>
  </si>
  <si>
    <t>ladybug</t>
  </si>
  <si>
    <t>weevil</t>
  </si>
  <si>
    <t>pollen_feeding_beetle</t>
  </si>
  <si>
    <t>beetle</t>
  </si>
  <si>
    <t>earwig</t>
  </si>
  <si>
    <t>Asilomorpha</t>
  </si>
  <si>
    <t>robber_fly</t>
  </si>
  <si>
    <t>dance_fly</t>
  </si>
  <si>
    <t>Muscomorpha</t>
  </si>
  <si>
    <t>fly</t>
  </si>
  <si>
    <t>fruit_fly</t>
  </si>
  <si>
    <t>dung_fly</t>
  </si>
  <si>
    <t>flesh_fly</t>
  </si>
  <si>
    <t>marsh_fly</t>
  </si>
  <si>
    <t>scavenger_fly</t>
  </si>
  <si>
    <t>hoverfly</t>
  </si>
  <si>
    <t>Stratiomyomorpha</t>
  </si>
  <si>
    <t>Stratiomyidae</t>
  </si>
  <si>
    <t>soldier_fly</t>
  </si>
  <si>
    <t>Tabanomorpha</t>
  </si>
  <si>
    <t>snipe_fly</t>
  </si>
  <si>
    <t>Bibionomorpha</t>
  </si>
  <si>
    <t>Anisopodoidea</t>
  </si>
  <si>
    <t> Anisopodidae</t>
  </si>
  <si>
    <t>gnat</t>
  </si>
  <si>
    <t>Bibionidae</t>
  </si>
  <si>
    <t>fever_fly</t>
  </si>
  <si>
    <t> Mycetophilidae</t>
  </si>
  <si>
    <t>Sciaridae</t>
  </si>
  <si>
    <t>Culicomorpha</t>
  </si>
  <si>
    <t>midge</t>
  </si>
  <si>
    <t>Tipulomorpha</t>
  </si>
  <si>
    <t>crane_fly</t>
  </si>
  <si>
    <t>Cicadomorpha</t>
  </si>
  <si>
    <t>Cicadoidea</t>
  </si>
  <si>
    <t>cicada</t>
  </si>
  <si>
    <t>leafhopper</t>
  </si>
  <si>
    <t>bug</t>
  </si>
  <si>
    <t>Aculeata</t>
  </si>
  <si>
    <t>bee</t>
  </si>
  <si>
    <t>Sphecidae</t>
  </si>
  <si>
    <t>digger_wasp</t>
  </si>
  <si>
    <t>Formicoidea</t>
  </si>
  <si>
    <t>ant</t>
  </si>
  <si>
    <t>Pompiloidea</t>
  </si>
  <si>
    <t>spider_wasp</t>
  </si>
  <si>
    <t>wasp</t>
  </si>
  <si>
    <t>Parasitica</t>
  </si>
  <si>
    <t>parasitoid_wasp_small</t>
  </si>
  <si>
    <t>parasitoid_wasp</t>
  </si>
  <si>
    <t>saw_fly</t>
  </si>
  <si>
    <t>Heterocera</t>
  </si>
  <si>
    <t>moth</t>
  </si>
  <si>
    <t>smaller than 10 mm</t>
  </si>
  <si>
    <t>moth_small</t>
  </si>
  <si>
    <t>Rhopalocera</t>
  </si>
  <si>
    <t>butterfly</t>
  </si>
  <si>
    <t>scorpion_fly</t>
  </si>
  <si>
    <t>Chrysopoidea</t>
  </si>
  <si>
    <t>grasshopper</t>
  </si>
  <si>
    <t>caddisfly</t>
  </si>
  <si>
    <t>Hour</t>
  </si>
  <si>
    <t>Date + Hour</t>
  </si>
  <si>
    <t>Folder</t>
  </si>
  <si>
    <t>Filename_orig</t>
  </si>
  <si>
    <t>Filename</t>
  </si>
  <si>
    <t>Size (bytes)</t>
  </si>
  <si>
    <t>Analized</t>
  </si>
  <si>
    <t>hyperlink</t>
  </si>
  <si>
    <t>2021-07-12_14-01-54.mp4</t>
  </si>
  <si>
    <t>2021-07-12_14-02-49.mp4</t>
  </si>
  <si>
    <t>2021-07-12_14-03-48.mp4</t>
  </si>
  <si>
    <t>2021-07-12_14-59-17.mp4</t>
  </si>
  <si>
    <t>2021-07-12_15-05-25.mp4</t>
  </si>
  <si>
    <t>2021-07-12_15-19-53.mp4</t>
  </si>
  <si>
    <t>2021-07-12_15-36-07.mp4</t>
  </si>
  <si>
    <t>2021-07-12_15-43-07.mp4</t>
  </si>
  <si>
    <t>2021-07-12_15-44-27.mp4</t>
  </si>
  <si>
    <t>2021-07-12_16-02-04.mp4</t>
  </si>
  <si>
    <t>2021-07-12_16-02-46.mp4</t>
  </si>
  <si>
    <t>2021-07-12_16-55-42.mp4</t>
  </si>
  <si>
    <t>2021-07-12_17-03-54.mp4</t>
  </si>
  <si>
    <t>2021-07-12_17-14-40.mp4</t>
  </si>
  <si>
    <t>2021-07-12_17-18-47.mp4</t>
  </si>
  <si>
    <t>2021-07-12_17-30-04.mp4</t>
  </si>
  <si>
    <t>2021-07-12_17-30-55.mp4</t>
  </si>
  <si>
    <t>2021-07-12_17-44-38.mp4</t>
  </si>
  <si>
    <t>2021-07-12_17-45-18.mp4</t>
  </si>
  <si>
    <t>2021-07-12_17-46-35.mp4</t>
  </si>
  <si>
    <t>2021-07-12_18-11-44.mp4</t>
  </si>
  <si>
    <t>2021-07-12_18-15-13.mp4</t>
  </si>
  <si>
    <t>2021-07-12_18-28-59.mp4</t>
  </si>
  <si>
    <t>2021-07-12_18-31-08.mp4</t>
  </si>
  <si>
    <t>2021-07-12_18-35-09.mp4</t>
  </si>
  <si>
    <t>2021-07-12_18-37-21.mp4</t>
  </si>
  <si>
    <t>2021-07-12_18-38-12.mp4</t>
  </si>
  <si>
    <t>2021-07-12_18-42-51.mp4</t>
  </si>
  <si>
    <t>2021-07-12_18-52-16.mp4</t>
  </si>
  <si>
    <t>2021-07-12_18-53-51.mp4</t>
  </si>
  <si>
    <t>2021-07-12_19-08-15.mp4</t>
  </si>
  <si>
    <t>2021-07-12_19-09-59.mp4</t>
  </si>
  <si>
    <t>2021-07-12_19-11-29.mp4</t>
  </si>
  <si>
    <t>2021-07-12_19-18-47.mp4</t>
  </si>
  <si>
    <t>2021-07-12_19-23-35.mp4</t>
  </si>
  <si>
    <t>2021-07-12_19-32-58.mp4</t>
  </si>
  <si>
    <t>2021-07-12_19-36-47.mp4</t>
  </si>
  <si>
    <t>2021-07-12_19-39-31.mp4</t>
  </si>
  <si>
    <t>2021-07-12_20-11-29.mp4</t>
  </si>
  <si>
    <t>2021-07-12_20-29-06.mp4</t>
  </si>
  <si>
    <t>2021-07-12_20-47-56.mp4</t>
  </si>
  <si>
    <t>2021-07-12_20-53-54.mp4</t>
  </si>
  <si>
    <t>2021-07-13_07-09-07.mp4</t>
  </si>
  <si>
    <t>2021-07-13_07-29-58.mp4</t>
  </si>
  <si>
    <t>2021-07-13_07-54-47.mp4</t>
  </si>
  <si>
    <t>2021-07-13_09-44-49.mp4</t>
  </si>
  <si>
    <t>2021-07-13_09-52-48.mp4</t>
  </si>
  <si>
    <t>2021-07-13_09-59-46.mp4</t>
  </si>
  <si>
    <t>2021-07-13_10-25-07.mp4</t>
  </si>
  <si>
    <t>2021-07-13_11-03-36.mp4</t>
  </si>
  <si>
    <t>2021-07-13_11-11-57.mp4</t>
  </si>
  <si>
    <t>2021-07-13_11-47-07.mp4</t>
  </si>
  <si>
    <t>2021-07-13_11-50-47.mp4</t>
  </si>
  <si>
    <t>2021-07-13_12-22-04.mp4</t>
  </si>
  <si>
    <t>2021-07-13_12-26-42.mp4</t>
  </si>
  <si>
    <t>2021-07-13_12-39-07.mp4</t>
  </si>
  <si>
    <t>2021-07-13_13-07-11.mp4</t>
  </si>
  <si>
    <t>2021-07-13_13-20-39.mp4</t>
  </si>
  <si>
    <t>2021-07-13_13-27-31.mp4</t>
  </si>
  <si>
    <t>2021-07-13_14-00-05.mp4</t>
  </si>
  <si>
    <t>2021-07-13_14-17-56.mp4</t>
  </si>
  <si>
    <t>2021-07-13_14-24-21.mp4</t>
  </si>
  <si>
    <t>2021-07-13_14-25-46.mp4</t>
  </si>
  <si>
    <t>2021-07-13_14-30-25.mp4</t>
  </si>
  <si>
    <t>2021-07-13_14-38-42.mp4</t>
  </si>
  <si>
    <t>2021-07-13_14-40-01.mp4</t>
  </si>
  <si>
    <t>2021-07-13_14-42-35.mp4</t>
  </si>
  <si>
    <t>2021-07-13_14-45-08.mp4</t>
  </si>
  <si>
    <t>2021-07-13_14-46-17.mp4</t>
  </si>
  <si>
    <t>2021-07-13_14-46-56.mp4</t>
  </si>
  <si>
    <t>2021-07-13_14-54-17.mp4</t>
  </si>
  <si>
    <t>2021-07-13_15-24-48.mp4</t>
  </si>
  <si>
    <t>2021-07-13_15-39-52.mp4</t>
  </si>
  <si>
    <t>2021-07-13_15-54-28.mp4</t>
  </si>
  <si>
    <t>2021-07-13_16-04-18.mp4</t>
  </si>
  <si>
    <t>2021-07-13_16-34-24.mp4</t>
  </si>
  <si>
    <t>2021-07-13_16-40-57.mp4</t>
  </si>
  <si>
    <t>2021-07-13_16-45-53.mp4</t>
  </si>
  <si>
    <t>2021-07-13_16-50-27.mp4</t>
  </si>
  <si>
    <t>2021-07-13_16-51-15.mp4</t>
  </si>
  <si>
    <t>2021-07-13_16-53-32.mp4</t>
  </si>
  <si>
    <t>2021-07-13_16-55-03.mp4</t>
  </si>
  <si>
    <t>2021-07-13_16-57-08.mp4</t>
  </si>
  <si>
    <t>2021-07-13_17-10-39.mp4</t>
  </si>
  <si>
    <t>2021-07-13_17-13-55.mp4</t>
  </si>
  <si>
    <t>2021-07-13_17-32-05.mp4</t>
  </si>
  <si>
    <t>2021-07-13_17-45-32.mp4</t>
  </si>
  <si>
    <t>2021-07-13_17-56-52.mp4</t>
  </si>
  <si>
    <t>2021-07-13_17-59-20.mp4</t>
  </si>
  <si>
    <t>2021-07-13_18-03-08.mp4</t>
  </si>
  <si>
    <t>2021-07-13_18-42-56.mp4</t>
  </si>
  <si>
    <t>2021-07-13_18-46-29.mp4</t>
  </si>
  <si>
    <t>2021-07-13_18-47-51.mp4</t>
  </si>
  <si>
    <t>2021-07-13_19-04-35.mp4</t>
  </si>
  <si>
    <t>2021-07-13_19-07-17.mp4</t>
  </si>
  <si>
    <t>2021-07-13_19-18-51.mp4</t>
  </si>
  <si>
    <t>2021-07-13_19-47-05.mp4</t>
  </si>
  <si>
    <t>2021-07-13_20-12-12.mp4</t>
  </si>
  <si>
    <t>2021-07-13_20-30-00.mp4</t>
  </si>
  <si>
    <t>2021-07-13_20-37-35.mp4</t>
  </si>
  <si>
    <t>2021-07-13_20-49-25.mp4</t>
  </si>
  <si>
    <t>2021-07-14_07-36-10.mp4</t>
  </si>
  <si>
    <t>2021-07-14_08-36-49.mp4</t>
  </si>
  <si>
    <t>2021-07-14_09-16-05.mp4</t>
  </si>
  <si>
    <t>2021-07-15_18-28-14.mp4</t>
  </si>
  <si>
    <t>2021-07-15_18-30-34.mp4</t>
  </si>
  <si>
    <t>2021-07-15_18-53-14.mp4</t>
  </si>
  <si>
    <t>2021-07-15_19-10-27.mp4</t>
  </si>
  <si>
    <t>2021-07-15_19-15-02.mp4</t>
  </si>
  <si>
    <t>2021-07-15_19-20-29.mp4</t>
  </si>
  <si>
    <t>2021-07-15_19-28-52.mp4</t>
  </si>
  <si>
    <t>2021-07-15_19-30-59.mp4</t>
  </si>
  <si>
    <t>2021-07-15_19-53-41.mp4</t>
  </si>
  <si>
    <t>2021-07-15_20-02-02.mp4</t>
  </si>
  <si>
    <t>2021-07-15_20-28-09.mp4</t>
  </si>
  <si>
    <t>2021-07-15_20-46-08.mp4</t>
  </si>
  <si>
    <t>2021-07-15_21-00-23.mp4</t>
  </si>
  <si>
    <t>2021-07-15_21-01-43.mp4</t>
  </si>
  <si>
    <t>2021-07-15_21-05-52.mp4</t>
  </si>
  <si>
    <t>2021-07-15_21-09-05.mp4</t>
  </si>
  <si>
    <t>2021-07-15_21-18-46.mp4</t>
  </si>
  <si>
    <t>2021-07-15_21-29-02.mp4</t>
  </si>
  <si>
    <t>2021-07-15_21-29-45.mp4</t>
  </si>
  <si>
    <t>2021-07-15_21-33-12.mp4</t>
  </si>
  <si>
    <t>2021-07-15_21-36-47.mp4</t>
  </si>
  <si>
    <t>2021-07-15_21-42-51.mp4</t>
  </si>
  <si>
    <t>2021-07-15_21-46-28.mp4</t>
  </si>
  <si>
    <t>2021-07-15_21-49-19.mp4</t>
  </si>
  <si>
    <t>2021-07-15_21-54-09.mp4</t>
  </si>
  <si>
    <t>2021-07-15_21-57-07.mp4</t>
  </si>
  <si>
    <t>2021-07-15_21-59-26.mp4</t>
  </si>
  <si>
    <t>2021-07-15_22-01-03.mp4</t>
  </si>
  <si>
    <t>2021-07-15_22-06-24.mp4</t>
  </si>
  <si>
    <t>2021-07-15_22-12-01.mp4</t>
  </si>
  <si>
    <t>2021-07-15_22-14-55.mp4</t>
  </si>
  <si>
    <t>2021-07-15_22-22-42.mp4</t>
  </si>
  <si>
    <t>2021-07-15_22-25-11.mp4</t>
  </si>
  <si>
    <t>2021-07-15_22-41-36.mp4</t>
  </si>
  <si>
    <t>2021-07-15_22-49-23.mp4</t>
  </si>
  <si>
    <t>2021-07-15_22-52-45.mp4</t>
  </si>
  <si>
    <t>2021-07-15_23-01-17.mp4</t>
  </si>
  <si>
    <t>2021-07-15_23-03-03.mp4</t>
  </si>
  <si>
    <t>2021-07-15_23-06-01.mp4</t>
  </si>
  <si>
    <t>2021-07-15_23-10-36.mp4</t>
  </si>
  <si>
    <t>2021-07-15_23-33-28.mp4</t>
  </si>
  <si>
    <t>2021-07-16_00-05-30.mp4</t>
  </si>
  <si>
    <t>2021-07-16_00-11-15.mp4</t>
  </si>
  <si>
    <t>2021-07-16_00-17-38.mp4</t>
  </si>
  <si>
    <t>2021-07-16_01-57-09.mp4</t>
  </si>
  <si>
    <t>2021-07-16_02-02-02.mp4</t>
  </si>
  <si>
    <t>2021-07-16_02-03-41.mp4</t>
  </si>
  <si>
    <t>2021-07-16_02-37-24.mp4</t>
  </si>
  <si>
    <t>2021-07-16_02-58-22.mp4</t>
  </si>
  <si>
    <t>2021-07-16_02-59-49.mp4</t>
  </si>
  <si>
    <t>2021-07-16_03-03-35.mp4</t>
  </si>
  <si>
    <t>2021-07-16_03-11-38.mp4</t>
  </si>
  <si>
    <t>2021-07-16_03-16-55.mp4</t>
  </si>
  <si>
    <t>2021-07-16_03-17-45.mp4</t>
  </si>
  <si>
    <t>2021-07-16_03-18-34.mp4</t>
  </si>
  <si>
    <t>2021-07-16_03-22-24.mp4</t>
  </si>
  <si>
    <t>2021-07-16_03-23-59.mp4</t>
  </si>
  <si>
    <t>2021-07-16_03-27-40.mp4</t>
  </si>
  <si>
    <t>2021-07-16_03-30-29.mp4</t>
  </si>
  <si>
    <t>2021-07-16_03-47-54.mp4</t>
  </si>
  <si>
    <t>2021-07-16_04-09-37.mp4</t>
  </si>
  <si>
    <t>2021-07-16_04-15-20.mp4</t>
  </si>
  <si>
    <t>2021-07-16_05-02-29.mp4</t>
  </si>
  <si>
    <t>2021-07-16_06-13-44.mp4</t>
  </si>
  <si>
    <t>2021-07-16_08-28-59.mp4</t>
  </si>
  <si>
    <t>2021-07-16_12-07-21.mp4</t>
  </si>
  <si>
    <t>2021-07-16_12-50-53.mp4</t>
  </si>
  <si>
    <t>2021-07-16_13-31-12.mp4</t>
  </si>
  <si>
    <t>2021-07-16_15-36-48.mp4</t>
  </si>
  <si>
    <t>2021-07-16_15-56-02.mp4</t>
  </si>
  <si>
    <t>2021-07-16_17-18-01.mp4</t>
  </si>
  <si>
    <t>2021-07-19_20-46-08.mp4</t>
  </si>
  <si>
    <t>2021-07-19_21-00-23.mp4</t>
  </si>
  <si>
    <t>2021-07-19_21-01-43.mp4</t>
  </si>
  <si>
    <t>2021-07-19_21-05-52.mp4</t>
  </si>
  <si>
    <t>2021-07-19_21-09-05.mp4</t>
  </si>
  <si>
    <t>2021-07-19_21-31-47.mp4</t>
  </si>
  <si>
    <t>2021-07-19_21-54-30.mp4</t>
  </si>
  <si>
    <t>2021-07-19_22-12-09.mp4</t>
  </si>
  <si>
    <t>2021-07-19_22-22-51.mp4</t>
  </si>
  <si>
    <t>2021-07-19_22-25-48.mp4</t>
  </si>
  <si>
    <t>2021-07-19_22-28-59.mp4</t>
  </si>
  <si>
    <t>2021-07-19_22-29-47.mp4</t>
  </si>
  <si>
    <t>2021-07-19_22-33-41.mp4</t>
  </si>
  <si>
    <t>2021-07-19_22-41-51.mp4</t>
  </si>
  <si>
    <t>2021-07-19_22-57-41.mp4</t>
  </si>
  <si>
    <t>2021-07-20_04-06-10.mp4</t>
  </si>
  <si>
    <t>2021-07-20_12-55-36.mp4</t>
  </si>
  <si>
    <t>2021-07-20_13-28-18.mp4</t>
  </si>
  <si>
    <t>2021-07-20_14-01-00.mp4</t>
  </si>
  <si>
    <t>2021-07-20_15-02-02.mp4</t>
  </si>
  <si>
    <t>2021-07-20_16-19-11.mp4</t>
  </si>
  <si>
    <t>2021-07-20_16-24-27.mp4</t>
  </si>
  <si>
    <t>2021-07-20_16-25-10.mp4</t>
  </si>
  <si>
    <t>2021-07-21_19-27-03.mp4</t>
  </si>
  <si>
    <t>2021-07-21_19-41-34.mp4</t>
  </si>
  <si>
    <t>2021-07-21_19-51-53.mp4</t>
  </si>
  <si>
    <t>2021-07-21_20-56-05.mp4</t>
  </si>
  <si>
    <t>2021-07-21_21-30-12.mp4</t>
  </si>
  <si>
    <t>2021-07-21_21-34-16.mp4</t>
  </si>
  <si>
    <t>2021-07-21_22-29-43.mp4</t>
  </si>
  <si>
    <t>2021-07-21_23-47-58.mp4</t>
  </si>
  <si>
    <t>2021-07-22_02-43-01.mp4</t>
  </si>
  <si>
    <t>2021-07-22_04-14-16.mp4</t>
  </si>
  <si>
    <t>2021-07-22_05-08-44.mp4</t>
  </si>
  <si>
    <t>2021-07-22_05-11-16.mp4</t>
  </si>
  <si>
    <t>2021-07-22_11-07-44.mp4</t>
  </si>
  <si>
    <t>2021-07-22_14-36-40.mp4</t>
  </si>
  <si>
    <t>2021-07-22_15-04-45.mp4</t>
  </si>
  <si>
    <t>2021-07-22_15-47-46.mp4</t>
  </si>
  <si>
    <t>2021-07-22_17-23-29.mp4</t>
  </si>
  <si>
    <t>2021-07-22_18-29-49.mp4</t>
  </si>
  <si>
    <t>2021-07-22_21-41-57.mp4</t>
  </si>
  <si>
    <t>2021-07-22_21-54-50.mp4</t>
  </si>
  <si>
    <t>2021-07-22_21-56-26.mp4</t>
  </si>
  <si>
    <t>2021-07-22_22-57-55.mp4</t>
  </si>
  <si>
    <t>2021-07-22_23-00-35.mp4</t>
  </si>
  <si>
    <t>2021-07-22_23-21-07.mp4</t>
  </si>
  <si>
    <t>2021-07-22_23-28-05.mp4</t>
  </si>
  <si>
    <t>2021-07-22_23-30-17.mp4</t>
  </si>
  <si>
    <t>2021-07-23_00-22-17.mp4</t>
  </si>
  <si>
    <t>2021-07-23_09-15-22.mp4</t>
  </si>
  <si>
    <t>2021-07-23_09-46-30.mp4</t>
  </si>
  <si>
    <t>2021-07-23_16-38-11.mp4</t>
  </si>
  <si>
    <t>2021-07-23_16-39-58.mp4</t>
  </si>
  <si>
    <t>2021-07-23_17-30-02.mp4</t>
  </si>
  <si>
    <t>2021-07-23_18-23-10.mp4</t>
  </si>
  <si>
    <t>2021-07-24_10-04-52.mp4</t>
  </si>
  <si>
    <t>2021-07-24_10-16-18.mp4</t>
  </si>
  <si>
    <t>2021-07-24_10-17-27.mp4</t>
  </si>
  <si>
    <t>2021-07-24_10-32-18.mp4</t>
  </si>
  <si>
    <t>2021-07-24_10-50-09.mp4</t>
  </si>
  <si>
    <t>2021-07-24_11-01-09.mp4</t>
  </si>
  <si>
    <t>2021-07-24_11-12-39.mp4</t>
  </si>
  <si>
    <t>2021-07-24_12-16-19.mp4</t>
  </si>
  <si>
    <t>2021-07-24_12-40-34.mp4</t>
  </si>
  <si>
    <t>2021-07-24_12-56-07.mp4</t>
  </si>
  <si>
    <t>2021-07-24_13-09-32.mp4</t>
  </si>
  <si>
    <t>2021-07-24_13-55-40.mp4</t>
  </si>
  <si>
    <t>2021-07-24_14-44-08.mp4</t>
  </si>
  <si>
    <t>2021-07-24_15-34-15.mp4</t>
  </si>
  <si>
    <t>2021-07-24_15-56-10.mp4</t>
  </si>
  <si>
    <t>2021-07-24_18-05-31.mp4</t>
  </si>
  <si>
    <t>2021-07-24_18-07-22.mp4</t>
  </si>
  <si>
    <t>2021-07-25_07-33-40.mp4</t>
  </si>
  <si>
    <t>2021-07-25_08-13-22.mp4</t>
  </si>
  <si>
    <t>2021-07-25_08-24-44.mp4</t>
  </si>
  <si>
    <t>2021-07-25_11-23-11.mp4</t>
  </si>
  <si>
    <t>2021-07-25_11-25-15.mp4</t>
  </si>
  <si>
    <t>2021-07-25_13-00-42.mp4</t>
  </si>
  <si>
    <t>2021-07-25_14-19-28.mp4</t>
  </si>
  <si>
    <t>2021-07-25_14-44-16.mp4</t>
  </si>
  <si>
    <t>2021-07-25_15-20-26.mp4</t>
  </si>
  <si>
    <t>2021-07-25_15-31-07.mp4</t>
  </si>
  <si>
    <t>2021-07-25_15-33-37.mp4</t>
  </si>
  <si>
    <t>2021-07-25_15-39-14.mp4</t>
  </si>
  <si>
    <t>2021-07-25_15-45-45.mp4</t>
  </si>
  <si>
    <t>2021-07-25_17-05-06.mp4</t>
  </si>
  <si>
    <t>2021-07-25_17-35-21.mp4</t>
  </si>
  <si>
    <t>2021-07-25_17-39-05.mp4</t>
  </si>
  <si>
    <t>2021-07-25_18-15-09.mp4</t>
  </si>
  <si>
    <t>2021-07-25_18-25-07.mp4</t>
  </si>
  <si>
    <t>2021-07-25_18-28-23.mp4</t>
  </si>
  <si>
    <t>2021-07-26_06-06-15.mp4</t>
  </si>
  <si>
    <t>2021-07-26_06-18-38.mp4</t>
  </si>
  <si>
    <t>2021-07-26_06-20-27.mp4</t>
  </si>
  <si>
    <t>2021-07-26_07-42-51.mp4</t>
  </si>
  <si>
    <t>2021-07-26_08-11-41.mp4</t>
  </si>
  <si>
    <t>2021-07-26_09-30-06.mp4</t>
  </si>
  <si>
    <t>2021-07-26_10-26-55.mp4</t>
  </si>
  <si>
    <t>2021-07-26_10-59-11.mp4</t>
  </si>
  <si>
    <t>2021-07-26_11-05-54.mp4</t>
  </si>
  <si>
    <t>2021-07-26_11-15-35.mp4</t>
  </si>
  <si>
    <t>2021-07-26_11-28-25.mp4</t>
  </si>
  <si>
    <t>2021-07-26_11-47-43.mp4</t>
  </si>
  <si>
    <t>2021-07-26_12-05-09.mp4</t>
  </si>
  <si>
    <t>2021-07-26_12-25-21.mp4</t>
  </si>
  <si>
    <t>2021-07-26_12-45-13.mp4</t>
  </si>
  <si>
    <t>2021-07-26_13-06-49.mp4</t>
  </si>
  <si>
    <t>2021-07-26_13-11-37.mp4</t>
  </si>
  <si>
    <t>2021-07-26_13-12-34.mp4</t>
  </si>
  <si>
    <t>2021-07-26_13-20-26.mp4</t>
  </si>
  <si>
    <t>2021-07-26_13-22-24.mp4</t>
  </si>
  <si>
    <t>2021-07-26_13-25-08.mp4</t>
  </si>
  <si>
    <t>2021-07-26_13-27-44.mp4</t>
  </si>
  <si>
    <t>2021-07-26_15-30-08.mp4</t>
  </si>
  <si>
    <t>2021-07-26_15-47-13.mp4</t>
  </si>
  <si>
    <t>2021-07-26_15-47-58.mp4</t>
  </si>
  <si>
    <t>2021-07-26_15-49-10.mp4</t>
  </si>
  <si>
    <t>2021-07-26_16-13-36.mp4</t>
  </si>
  <si>
    <t>2021-07-26_16-47-31.mp4</t>
  </si>
  <si>
    <t>2021-07-26_16-51-15.mp4</t>
  </si>
  <si>
    <t>2021-07-28_15-51-27.mp4</t>
  </si>
  <si>
    <t>2021-07-28_15-53-20.mp4</t>
  </si>
  <si>
    <t>2021-07-28_15-55-56.mp4</t>
  </si>
  <si>
    <t>2021-07-28_16-18-11.mp4</t>
  </si>
  <si>
    <t>2021-07-28_16-20-13.mp4</t>
  </si>
  <si>
    <t>2021-07-28_16-22-21.mp4</t>
  </si>
  <si>
    <t>2021-07-28_16-30-30.mp4</t>
  </si>
  <si>
    <t>2021-07-28_17-01-40.mp4</t>
  </si>
  <si>
    <t>2021-07-28_17-07-40.mp4</t>
  </si>
  <si>
    <t>2021-07-29_09-02-04.mp4</t>
  </si>
  <si>
    <t>2021-07-29_09-10-26.mp4</t>
  </si>
  <si>
    <t>2021-07-29_14-46-31.mp4</t>
  </si>
  <si>
    <t>2021-07-29_16-36-05.mp4</t>
  </si>
  <si>
    <t>2021-07-29_16-37-23.mp4</t>
  </si>
  <si>
    <t>2021-07-29_17-18-30.mp4</t>
  </si>
  <si>
    <t>2021-07-29_17-24-07.mp4</t>
  </si>
  <si>
    <t>2021-07-29_18-01-21.mp4</t>
  </si>
  <si>
    <t>2021-07-29_18-01-57.mp4</t>
  </si>
  <si>
    <t>2021-07-29_18-21-53.mp4</t>
  </si>
  <si>
    <t>2021-07-29_18-44-55.mp4</t>
  </si>
  <si>
    <t>2021-07-29_18-48-57.mp4</t>
  </si>
  <si>
    <t>2021-07-29_18-51-10.mp4</t>
  </si>
  <si>
    <t>2021-07-30_09-35-07.avi</t>
  </si>
  <si>
    <t>2021-07-30_11-26-02.avi</t>
  </si>
  <si>
    <t>2021-07-30_12-22-00.avi</t>
  </si>
  <si>
    <t>2021-07-30_12-25-59.avi</t>
  </si>
  <si>
    <t>2021-07-30_15-13-50.avi</t>
  </si>
  <si>
    <t>2021-07-30_15-15-31.avi</t>
  </si>
  <si>
    <t>2021-07-30_15-20-27.avi</t>
  </si>
  <si>
    <t>2021-07-30_15-55-06.avi</t>
  </si>
  <si>
    <t>2021-07-30_17-10-05.avi</t>
  </si>
  <si>
    <t>2021-07-30_17-11-16.avi</t>
  </si>
  <si>
    <t>2021-07-30_17-25-45.avi</t>
  </si>
  <si>
    <t>2021-07-30_18-05-16.avi</t>
  </si>
  <si>
    <t>2021-07-30_18-08-29.avi</t>
  </si>
  <si>
    <t>2021-07-30_18-36-48.avi</t>
  </si>
  <si>
    <t>2021-07-31_06-52-44.avi</t>
  </si>
  <si>
    <t>2021-07-31_16-32-45.avi</t>
  </si>
  <si>
    <t>2021-07-31_17-12-18.avi</t>
  </si>
  <si>
    <t>2021-07-31_18-17-06.avi</t>
  </si>
  <si>
    <t>2021-07-31_18-41-02.avi</t>
  </si>
  <si>
    <t>2021-07-31_18-55-22.avi</t>
  </si>
  <si>
    <t>2021-08-01_07-43-05.avi</t>
  </si>
  <si>
    <t>2021-08-01_11-07-07.avi</t>
  </si>
  <si>
    <t>2021-08-01_14-01-18.avi</t>
  </si>
  <si>
    <t>2021-08-01_15-21-36.avi</t>
  </si>
  <si>
    <t>2021-08-01_15-30-10.avi</t>
  </si>
  <si>
    <t>2021-08-01_15-41-48.avi</t>
  </si>
  <si>
    <t>2021-08-01_15-56-11.avi</t>
  </si>
  <si>
    <t>2021-08-01_16-19-36.avi</t>
  </si>
  <si>
    <t>2021-08-01_16-37-51.avi</t>
  </si>
  <si>
    <t>2021-08-01_17-32-23.avi</t>
  </si>
  <si>
    <t>2021-08-01_18-12-50.avi</t>
  </si>
  <si>
    <t>2021-08-01_18-45-19.avi</t>
  </si>
  <si>
    <t>2021-08-01_19-00-51.avi</t>
  </si>
  <si>
    <t>2021-08-02_06-13-22.avi</t>
  </si>
  <si>
    <t>2021-08-02_08-02-33.avi</t>
  </si>
  <si>
    <t>2021-08-02_08-52-13.avi</t>
  </si>
  <si>
    <t>2021-08-02_08-55-14.avi</t>
  </si>
  <si>
    <t>2021-08-02_12-19-12.avi</t>
  </si>
  <si>
    <t>2021-08-02_13-03-59.avi</t>
  </si>
  <si>
    <t>2021-08-02_14-17-33.avi</t>
  </si>
  <si>
    <t>2021-08-02_14-39-21.avi</t>
  </si>
  <si>
    <t>2021-08-02_14-49-05.avi</t>
  </si>
  <si>
    <t>2021-08-02_15-05-43.avi</t>
  </si>
  <si>
    <t>2021-08-02_15-20-52.avi</t>
  </si>
  <si>
    <t>2021-08-02_15-38-22.avi</t>
  </si>
  <si>
    <t>2021-08-02_15-43-03.avi</t>
  </si>
  <si>
    <t>2021-08-02_15-58-20.avi</t>
  </si>
  <si>
    <t>2021-08-02_16-13-40.avi</t>
  </si>
  <si>
    <t>2021-08-02_16-17-58.avi</t>
  </si>
  <si>
    <t>2021-08-02_16-31-44.avi</t>
  </si>
  <si>
    <t>2021-08-02_16-38-34.avi</t>
  </si>
  <si>
    <t>2021-08-02_16-39-37.avi</t>
  </si>
  <si>
    <t>2021-08-02_17-17-04.avi</t>
  </si>
  <si>
    <t>2021-08-02_17-57-16.avi</t>
  </si>
  <si>
    <t>2021-08-02_18-06-20.avi</t>
  </si>
  <si>
    <t>2021-08-02_18-13-37.avi</t>
  </si>
  <si>
    <t>2021-08-02_18-48-16.avi</t>
  </si>
  <si>
    <t>2021-08-02_18-59-10.avi</t>
  </si>
  <si>
    <t>2021-08-03_06-05-56.avi</t>
  </si>
  <si>
    <t>2021-08-03_09-13-38.avi</t>
  </si>
  <si>
    <t>2021-08-03_10-38-49.avi</t>
  </si>
  <si>
    <t>2021-08-03_10-44-57.avi</t>
  </si>
  <si>
    <t>2021-08-03_10-52-42.avi</t>
  </si>
  <si>
    <t>2021-08-03_11-34-25.avi</t>
  </si>
  <si>
    <t>2021-08-03_11-50-22.avi</t>
  </si>
  <si>
    <t>2021-08-03_12-12-21.avi</t>
  </si>
  <si>
    <t>2021-08-03_12-26-13.avi</t>
  </si>
  <si>
    <t>2021-08-06_17-02-42.mp4</t>
  </si>
  <si>
    <t>2021-08-10_15-49-27.mp4</t>
  </si>
  <si>
    <t>2021-08-10_16-13-49.mp4</t>
  </si>
  <si>
    <t>2021-08-10_16-14-15.mp4</t>
  </si>
  <si>
    <t>2021-08-10_16-21-59.mp4</t>
  </si>
  <si>
    <t>2021-08-10_16-37-43.mp4</t>
  </si>
  <si>
    <t>2021-08-10_16-40-34.mp4</t>
  </si>
  <si>
    <t>2021-08-10_17-13-36.mp4</t>
  </si>
  <si>
    <t>2021-08-10_17-36-02.mp4</t>
  </si>
  <si>
    <t>2021-08-10_17-46-28.mp4</t>
  </si>
  <si>
    <t>2021-08-10_17-50-38.mp4</t>
  </si>
  <si>
    <t>2021-08-10_17-54-22.mp4</t>
  </si>
  <si>
    <t>2021-08-10_17-55-32.mp4</t>
  </si>
  <si>
    <t>2021-08-10_18-12-20.mp4</t>
  </si>
  <si>
    <t>2021-08-10_18-13-52.mp4</t>
  </si>
  <si>
    <t>2021-08-10_18-37-06.mp4</t>
  </si>
  <si>
    <t>2021-08-10_18-58-00.mp4</t>
  </si>
  <si>
    <t>2021-08-10_19-19-03.mp4</t>
  </si>
  <si>
    <t>2021-08-10_19-36-26.mp4</t>
  </si>
  <si>
    <t>2021-08-10_19-53-16.mp4</t>
  </si>
  <si>
    <t>2021-08-10_20-00-35.mp4</t>
  </si>
  <si>
    <t>2021-08-10_20-09-19.mp4</t>
  </si>
  <si>
    <t>2021-08-10_20-22-18.mp4</t>
  </si>
  <si>
    <t>2021-08-10_20-24-35.mp4</t>
  </si>
  <si>
    <t>2021-08-10_20-25-30.mp4</t>
  </si>
  <si>
    <t>2021-08-10_20-26-13.mp4</t>
  </si>
  <si>
    <t>2021-08-10_20-37-23.mp4</t>
  </si>
  <si>
    <t>2021-08-10_20-51-19.mp4</t>
  </si>
  <si>
    <t>2021-08-10_20-52-37.mp4</t>
  </si>
  <si>
    <t>2021-08-10_20-59-25.mp4</t>
  </si>
  <si>
    <t>2021-08-10_21-03-08.mp4</t>
  </si>
  <si>
    <t>2021-08-10_21-04-46.mp4</t>
  </si>
  <si>
    <t>2021-08-10_21-07-04.mp4</t>
  </si>
  <si>
    <t>2021-08-10_21-09-26.mp4</t>
  </si>
  <si>
    <t>2021-08-10_21-10-02.mp4</t>
  </si>
  <si>
    <t>2021-08-10_21-10-25.mp4</t>
  </si>
  <si>
    <t>2021-08-10_21-12-38.mp4</t>
  </si>
  <si>
    <t>2021-08-10_21-17-09.mp4</t>
  </si>
  <si>
    <t>2021-08-10_21-19-57.mp4</t>
  </si>
  <si>
    <t>2021-08-10_21-20-57.mp4</t>
  </si>
  <si>
    <t>2021-08-10_21-26-08.mp4</t>
  </si>
  <si>
    <t>2021-08-10_21-28-18.mp4</t>
  </si>
  <si>
    <t>2021-08-10_21-30-07.mp4</t>
  </si>
  <si>
    <t>2021-08-10_21-31-05.mp4</t>
  </si>
  <si>
    <t>2021-08-10_21-42-43.mp4</t>
  </si>
  <si>
    <t>2021-08-10_21-56-17.mp4</t>
  </si>
  <si>
    <t>2021-08-10_21-58-11.mp4</t>
  </si>
  <si>
    <t>2021-08-10_22-00-19.mp4</t>
  </si>
  <si>
    <t>2021-08-10_22-02-07.mp4</t>
  </si>
  <si>
    <t>2021-08-10_23-51-36.mp4</t>
  </si>
  <si>
    <t>2021-08-11_00-31-10.mp4</t>
  </si>
  <si>
    <t>2021-08-11_09-42-18.mp4</t>
  </si>
  <si>
    <t>2021-08-11_10-51-23.mp4</t>
  </si>
  <si>
    <t>2021-08-11_11-17-53.mp4</t>
  </si>
  <si>
    <t>2021-08-11_11-21-38.mp4</t>
  </si>
  <si>
    <t>2021-08-11_12-08-54.mp4</t>
  </si>
  <si>
    <t>2021-08-11_12-43-18.mp4</t>
  </si>
  <si>
    <t>2021-08-11_14-08-50.mp4</t>
  </si>
  <si>
    <t>2021-08-11_14-42-26.mp4</t>
  </si>
  <si>
    <t>2021-08-11_14-55-22.mp4</t>
  </si>
  <si>
    <t>2021-08-16_03-11-38.mp4</t>
  </si>
  <si>
    <t>2021-08-16_12-13-31.mp4</t>
  </si>
  <si>
    <t>2021-08-16_12-59-02.mp4</t>
  </si>
  <si>
    <t>2021-08-16_12-59-20.mp4</t>
  </si>
  <si>
    <t>2021-08-18_18-28-56.mp4</t>
  </si>
  <si>
    <t>2021-08-18_19-23-29.mp4</t>
  </si>
  <si>
    <t>2021-08-18_19-27-43.mp4</t>
  </si>
  <si>
    <t>2021-08-18_19-57-50.mp4</t>
  </si>
  <si>
    <t>2021-08-18_20-31-31.mp4</t>
  </si>
  <si>
    <t>2021-08-18_20-54-08.mp4</t>
  </si>
  <si>
    <t>2021-08-18_20-54-20.mp4</t>
  </si>
  <si>
    <t>2021-08-18_20-58-58.mp4</t>
  </si>
  <si>
    <t>2021-08-18_20-59-23.mp4</t>
  </si>
  <si>
    <t>2021-08-18_21-19-27.mp4</t>
  </si>
  <si>
    <t>2021-08-18_22-34-52.mp4</t>
  </si>
  <si>
    <t>2021-08-19_15-49-46.mp4</t>
  </si>
  <si>
    <t>2021-08-19_15-52-41.mp4</t>
  </si>
  <si>
    <t>2021-08-19_19-40-22.mp4</t>
  </si>
  <si>
    <t>2021-08-19_19-42-36.mp4</t>
  </si>
  <si>
    <t>2021-08-19_19-42-57.mp4</t>
  </si>
  <si>
    <t>2021-08-19_20-09-08.mp4</t>
  </si>
  <si>
    <t>2021-08-19_20-43-51.mp4</t>
  </si>
  <si>
    <t>2021-08-19_20-56-32.mp4</t>
  </si>
  <si>
    <t>2021-08-19_22-30-09.mp4</t>
  </si>
  <si>
    <t>2021-08-19_23-24-56.mp4</t>
  </si>
  <si>
    <t>2021-08-20_02-48-01.mp4</t>
  </si>
  <si>
    <t>2021-08-20_03-23-07.mp4</t>
  </si>
  <si>
    <t>2021-08-20_13-57-47.mp4</t>
  </si>
  <si>
    <t>2021-08-20_17-26-19.mp4</t>
  </si>
  <si>
    <t>2021-08-20_17-30-59.mp4</t>
  </si>
  <si>
    <t>2021-08-20_17-34-15.mp4</t>
  </si>
  <si>
    <t>2021-08-20_18-18-00.mp4</t>
  </si>
  <si>
    <t>2021-08-20_19-09-14.mp4</t>
  </si>
  <si>
    <t>2021-08-20_19-20-24.mp4</t>
  </si>
  <si>
    <t>2021-08-20_19-49-06.mp4</t>
  </si>
  <si>
    <t>2021-08-20_19-50-30.mp4</t>
  </si>
  <si>
    <t>2021-08-20_20-21-01.mp4</t>
  </si>
  <si>
    <t>2021-08-20_20-22-48.mp4</t>
  </si>
  <si>
    <t>2021-08-20_20-28-50.mp4</t>
  </si>
  <si>
    <t>2021-08-20_20-29-23.mp4</t>
  </si>
  <si>
    <t>2021-08-20_20-29-41.mp4</t>
  </si>
  <si>
    <t>Operation Days</t>
  </si>
  <si>
    <t>Operation Start</t>
  </si>
  <si>
    <t>Operation Finish</t>
  </si>
  <si>
    <t>Operating time</t>
  </si>
  <si>
    <t>2021-08-03_12-43-54.avi</t>
  </si>
  <si>
    <t>2021-07-31_13-02-03.avi</t>
  </si>
  <si>
    <t>leaf_beetle</t>
  </si>
  <si>
    <t>lacewing</t>
  </si>
  <si>
    <t>ant_beetle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</si>
</sst>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]:mm:ss;@"/>
    <numFmt numFmtId="166" formatCode="h:mm;@"/>
    <numFmt numFmtId="167" formatCode="m/d/yyyy"/>
  </numFmts>
  <fonts count="19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</font>
    <font>
      <sz val="10"/>
      <color theme="1"/>
      <name val="Liberation Sans"/>
      <family val="2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name val="Aptos Narrow"/>
      <family val="2"/>
      <charset val="1"/>
    </font>
    <font>
      <sz val="11"/>
      <name val="Aptos Narrow"/>
      <family val="2"/>
      <charset val="1"/>
    </font>
    <font>
      <i/>
      <sz val="11"/>
      <name val="Aptos Narrow"/>
      <family val="2"/>
      <charset val="1"/>
    </font>
    <font>
      <sz val="11"/>
      <color rgb="FF000000"/>
      <name val="Calibri"/>
      <family val="2"/>
    </font>
    <font>
      <u/>
      <sz val="11"/>
      <color rgb="FF467886"/>
      <name val="Aptos Narrow"/>
      <family val="2"/>
      <charset val="1"/>
    </font>
    <font>
      <i/>
      <sz val="11"/>
      <color rgb="FF000000"/>
      <name val="Aptos Narrow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rgb="FFD9F2D0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theme="9" tint="0.79998168889431442"/>
        <bgColor rgb="FFE2EFDA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rgb="FF000000"/>
      </bottom>
      <diagonal/>
    </border>
  </borders>
  <cellStyleXfs count="7">
    <xf numFmtId="0" fontId="0" fillId="0" borderId="0"/>
    <xf numFmtId="0" fontId="2" fillId="0" borderId="0" applyNumberFormat="0" applyFont="0" applyFill="0" applyBorder="0" applyAlignment="0" applyProtection="0"/>
    <xf numFmtId="0" fontId="9" fillId="0" borderId="0" applyNumberFormat="0" applyFill="0" applyBorder="0" applyAlignment="0" applyProtection="0"/>
    <xf numFmtId="0" fontId="11" fillId="0" borderId="0"/>
    <xf numFmtId="0" fontId="11" fillId="0" borderId="0"/>
    <xf numFmtId="0" fontId="17" fillId="0" borderId="0" applyBorder="0" applyProtection="0"/>
    <xf numFmtId="0" fontId="2" fillId="0" borderId="0"/>
  </cellStyleXfs>
  <cellXfs count="121">
    <xf numFmtId="0" fontId="0" fillId="0" borderId="0" xfId="0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 vertical="center" wrapText="1"/>
    </xf>
    <xf numFmtId="164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165" fontId="4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 wrapText="1"/>
    </xf>
    <xf numFmtId="166" fontId="4" fillId="0" borderId="0" xfId="0" applyNumberFormat="1" applyFont="1" applyAlignment="1">
      <alignment horizontal="center" vertical="center"/>
    </xf>
    <xf numFmtId="0" fontId="0" fillId="0" borderId="0" xfId="1" applyFont="1" applyAlignment="1">
      <alignment horizontal="center"/>
    </xf>
    <xf numFmtId="0" fontId="5" fillId="3" borderId="3" xfId="0" applyFont="1" applyFill="1" applyBorder="1" applyAlignment="1">
      <alignment horizontal="center" vertical="center" wrapText="1"/>
    </xf>
    <xf numFmtId="2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4" borderId="6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21" fontId="0" fillId="3" borderId="7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1" fontId="0" fillId="4" borderId="7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1" fontId="0" fillId="4" borderId="5" xfId="0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21" fontId="5" fillId="0" borderId="3" xfId="0" applyNumberFormat="1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3" fontId="7" fillId="0" borderId="0" xfId="0" applyNumberFormat="1" applyFont="1" applyAlignment="1">
      <alignment horizontal="left" vertical="center" wrapText="1"/>
    </xf>
    <xf numFmtId="0" fontId="7" fillId="0" borderId="0" xfId="0" applyFont="1" applyAlignment="1">
      <alignment horizontal="right" vertical="center" wrapText="1"/>
    </xf>
    <xf numFmtId="49" fontId="8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2" fillId="0" borderId="0" xfId="3" applyFont="1" applyAlignment="1">
      <alignment horizontal="center" vertical="center" wrapText="1"/>
    </xf>
    <xf numFmtId="0" fontId="13" fillId="0" borderId="0" xfId="3" applyFont="1" applyAlignment="1">
      <alignment horizontal="center" vertical="center" wrapText="1"/>
    </xf>
    <xf numFmtId="0" fontId="11" fillId="0" borderId="0" xfId="3" applyAlignment="1">
      <alignment horizontal="center"/>
    </xf>
    <xf numFmtId="0" fontId="11" fillId="0" borderId="0" xfId="3"/>
    <xf numFmtId="0" fontId="14" fillId="0" borderId="0" xfId="3" applyFont="1" applyAlignment="1">
      <alignment horizontal="center"/>
    </xf>
    <xf numFmtId="0" fontId="14" fillId="0" borderId="0" xfId="3" applyFont="1" applyAlignment="1">
      <alignment horizontal="center" vertical="center"/>
    </xf>
    <xf numFmtId="0" fontId="15" fillId="0" borderId="0" xfId="3" applyFont="1" applyAlignment="1">
      <alignment horizontal="center"/>
    </xf>
    <xf numFmtId="0" fontId="15" fillId="0" borderId="0" xfId="3" applyFont="1" applyAlignment="1">
      <alignment horizontal="center" vertical="center"/>
    </xf>
    <xf numFmtId="0" fontId="14" fillId="2" borderId="0" xfId="3" applyFont="1" applyFill="1" applyAlignment="1">
      <alignment horizontal="center"/>
    </xf>
    <xf numFmtId="0" fontId="14" fillId="2" borderId="0" xfId="3" applyFont="1" applyFill="1" applyAlignment="1">
      <alignment horizontal="center" vertical="center"/>
    </xf>
    <xf numFmtId="0" fontId="11" fillId="0" borderId="0" xfId="3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0" fillId="0" borderId="0" xfId="3" applyFont="1"/>
    <xf numFmtId="0" fontId="10" fillId="0" borderId="10" xfId="6" applyFont="1" applyBorder="1" applyAlignment="1">
      <alignment horizontal="center" vertical="center"/>
    </xf>
    <xf numFmtId="0" fontId="10" fillId="0" borderId="11" xfId="6" applyFont="1" applyBorder="1" applyAlignment="1">
      <alignment horizontal="center" vertical="center"/>
    </xf>
    <xf numFmtId="0" fontId="2" fillId="0" borderId="0" xfId="6" applyAlignment="1">
      <alignment horizontal="left"/>
    </xf>
    <xf numFmtId="0" fontId="2" fillId="0" borderId="0" xfId="6" applyAlignment="1">
      <alignment horizontal="center"/>
    </xf>
    <xf numFmtId="0" fontId="14" fillId="0" borderId="10" xfId="3" applyFont="1" applyBorder="1" applyAlignment="1">
      <alignment horizontal="center"/>
    </xf>
    <xf numFmtId="0" fontId="14" fillId="0" borderId="11" xfId="3" applyFont="1" applyBorder="1" applyAlignment="1">
      <alignment horizontal="center"/>
    </xf>
    <xf numFmtId="0" fontId="14" fillId="0" borderId="11" xfId="3" applyFont="1" applyBorder="1" applyAlignment="1">
      <alignment horizontal="center" vertical="center"/>
    </xf>
    <xf numFmtId="0" fontId="2" fillId="0" borderId="11" xfId="6" applyBorder="1" applyAlignment="1">
      <alignment horizontal="center" vertical="center"/>
    </xf>
    <xf numFmtId="0" fontId="2" fillId="0" borderId="10" xfId="6" applyBorder="1" applyAlignment="1">
      <alignment horizontal="center" vertical="center"/>
    </xf>
    <xf numFmtId="0" fontId="14" fillId="0" borderId="10" xfId="3" applyFont="1" applyBorder="1" applyAlignment="1">
      <alignment horizontal="center" vertical="center"/>
    </xf>
    <xf numFmtId="0" fontId="2" fillId="0" borderId="0" xfId="6" applyAlignment="1">
      <alignment horizontal="center" vertical="center"/>
    </xf>
    <xf numFmtId="0" fontId="0" fillId="0" borderId="11" xfId="3" applyFont="1" applyBorder="1" applyAlignment="1">
      <alignment horizontal="center"/>
    </xf>
    <xf numFmtId="0" fontId="16" fillId="2" borderId="9" xfId="0" applyFont="1" applyFill="1" applyBorder="1" applyAlignment="1">
      <alignment horizontal="center"/>
    </xf>
    <xf numFmtId="167" fontId="0" fillId="0" borderId="0" xfId="0" applyNumberFormat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0" fontId="9" fillId="0" borderId="0" xfId="2"/>
    <xf numFmtId="0" fontId="12" fillId="0" borderId="3" xfId="0" applyFont="1" applyBorder="1" applyAlignment="1">
      <alignment horizontal="center" vertical="center" wrapText="1"/>
    </xf>
    <xf numFmtId="0" fontId="12" fillId="6" borderId="3" xfId="0" applyFont="1" applyFill="1" applyBorder="1" applyAlignment="1">
      <alignment horizontal="center" vertical="center" wrapText="1"/>
    </xf>
    <xf numFmtId="0" fontId="12" fillId="2" borderId="12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/>
    </xf>
    <xf numFmtId="14" fontId="4" fillId="0" borderId="3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0" borderId="3" xfId="2" applyBorder="1" applyAlignment="1">
      <alignment horizontal="center"/>
    </xf>
    <xf numFmtId="0" fontId="0" fillId="5" borderId="3" xfId="0" applyFill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21" fontId="4" fillId="0" borderId="3" xfId="0" applyNumberFormat="1" applyFont="1" applyBorder="1" applyAlignment="1">
      <alignment horizontal="center" vertical="center"/>
    </xf>
    <xf numFmtId="14" fontId="0" fillId="5" borderId="3" xfId="0" applyNumberFormat="1" applyFill="1" applyBorder="1" applyAlignment="1">
      <alignment horizontal="center" vertical="center"/>
    </xf>
    <xf numFmtId="21" fontId="0" fillId="3" borderId="6" xfId="0" applyNumberForma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9" fillId="0" borderId="0" xfId="2" applyBorder="1" applyAlignment="1">
      <alignment horizontal="center"/>
    </xf>
    <xf numFmtId="0" fontId="0" fillId="5" borderId="0" xfId="0" applyFill="1" applyAlignment="1">
      <alignment horizontal="center" vertical="center"/>
    </xf>
    <xf numFmtId="21" fontId="4" fillId="0" borderId="0" xfId="0" applyNumberFormat="1" applyFont="1" applyAlignment="1">
      <alignment horizontal="center" vertical="center"/>
    </xf>
    <xf numFmtId="14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65" fontId="4" fillId="2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66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2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4" fontId="0" fillId="5" borderId="4" xfId="0" applyNumberForma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/>
    </xf>
    <xf numFmtId="0" fontId="12" fillId="2" borderId="14" xfId="0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/>
    </xf>
    <xf numFmtId="0" fontId="16" fillId="2" borderId="15" xfId="0" applyFont="1" applyFill="1" applyBorder="1" applyAlignment="1">
      <alignment horizontal="center"/>
    </xf>
    <xf numFmtId="0" fontId="15" fillId="0" borderId="0" xfId="2" applyFont="1" applyBorder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4" borderId="0" xfId="0" applyFill="1" applyAlignment="1">
      <alignment horizontal="center"/>
    </xf>
  </cellXfs>
  <cellStyles count="7">
    <cellStyle name="Default" xfId="1" xr:uid="{00000000-0005-0000-0000-000000000000}"/>
    <cellStyle name="Hipervínculo" xfId="2" builtinId="8"/>
    <cellStyle name="Hyperlink 2" xfId="5" xr:uid="{0A0DE20F-9FB0-41B4-A2A6-A2896D7DD5B8}"/>
    <cellStyle name="Normal" xfId="0" builtinId="0"/>
    <cellStyle name="Normal 2" xfId="4" xr:uid="{5EEA308D-86F3-4CA2-8953-D9685CC2D775}"/>
    <cellStyle name="Normal 2 2" xfId="6" xr:uid="{ACB15904-EC98-4391-BA4F-BBA3338F002A}"/>
    <cellStyle name="Standard 2" xfId="3" xr:uid="{786D3345-81CD-4879-8DFC-BA44C44A83F7}"/>
  </cellStyles>
  <dxfs count="35"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theme="0" tint="-4.9989318521683403E-2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FF0000"/>
        </patternFill>
      </fill>
    </dxf>
    <dxf>
      <font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 patternType="solid">
          <fgColor theme="0" tint="-0.14996795556505021"/>
          <bgColor theme="0" tint="-0.14996795556505021"/>
        </patternFill>
      </fill>
    </dxf>
    <dxf>
      <fill>
        <patternFill>
          <bgColor rgb="FFD9D9D9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6BC182"/>
      </font>
    </dxf>
    <dxf>
      <font>
        <b/>
        <i val="0"/>
        <color indexed="2"/>
      </font>
    </dxf>
    <dxf>
      <font>
        <b/>
        <i val="0"/>
        <color indexed="2"/>
      </font>
    </dxf>
    <dxf>
      <font>
        <b/>
        <i val="0"/>
        <color rgb="FF00B050"/>
      </font>
    </dxf>
    <dxf>
      <font>
        <b/>
        <i val="0"/>
        <color indexed="2"/>
      </font>
    </dxf>
    <dxf>
      <font>
        <b/>
        <i val="0"/>
        <color rgb="FF00B050"/>
      </font>
    </dxf>
    <dxf>
      <numFmt numFmtId="0" formatCode="General"/>
      <alignment horizontal="left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charset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B8E2C3"/>
      <color rgb="FFFFF5C1"/>
      <color rgb="FFFCC4C5"/>
      <color rgb="FFCC3300"/>
      <color rgb="FFCC99FF"/>
      <color rgb="FFFFFF00"/>
      <color rgb="FF009999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FAIR_Device_data\Experiment_AugSep_2023\Monitoring2023_FAIR-Device_2.xlsx" TargetMode="External"/><Relationship Id="rId1" Type="http://schemas.openxmlformats.org/officeDocument/2006/relationships/externalLinkPath" Target="file:///Z:\FAIR_Device_data\Experiment_AugSep_2023\Monitoring2023_FAIR-Device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nitoring"/>
      <sheetName val="Taxonomy_UniqueValues"/>
      <sheetName val="ClassificationClasses"/>
      <sheetName val="Hoja1"/>
      <sheetName val="Video_List"/>
    </sheetNames>
    <sheetDataSet>
      <sheetData sheetId="0">
        <row r="1">
          <cell r="AN1" t="str">
            <v>Key</v>
          </cell>
        </row>
        <row r="2">
          <cell r="AN2" t="str">
            <v>Insecta.Diptera.Brachycera.Muscomorpha.Muscoidea.#N/C.#N/C.#N/C.#N/C</v>
          </cell>
        </row>
        <row r="3">
          <cell r="AN3" t="str">
            <v>Insecta.Diptera.Brachycera.Muscomorpha.Muscoidea.Fanniidae.0.Fannia.#N/C</v>
          </cell>
        </row>
        <row r="4">
          <cell r="AN4" t="str">
            <v>Insecta.Diptera.Brachycera.Muscomorpha.Muscoidea.Fanniidae.0.Fannia.#N/C</v>
          </cell>
        </row>
        <row r="5">
          <cell r="AN5" t="str">
            <v>Insecta.Diptera.Brachycera.Muscomorpha.Syrphoidea.Syrphidae.Syrphinae.Syrphini.#N/C</v>
          </cell>
        </row>
        <row r="6">
          <cell r="AN6" t="str">
            <v>Insecta.Diptera.Brachycera.Muscomorpha.Muscoidea.Fanniidae.0.Fannia.#N/C</v>
          </cell>
        </row>
        <row r="7">
          <cell r="AN7" t="str">
            <v>Insecta.Diptera.Brachycera.Muscomorpha.Muscoidea.Fanniidae.0.Fannia.#N/C</v>
          </cell>
        </row>
        <row r="8">
          <cell r="AN8" t="str">
            <v>Insecta.Diptera.Brachycera.#N/C.#N/C.#N/C.#N/C.#N/C.#N/C</v>
          </cell>
        </row>
        <row r="9">
          <cell r="AN9" t="str">
            <v>Insecta.Diptera.Brachycera.Muscomorpha.Muscoidea.Fanniidae.0.Fannia.#N/C</v>
          </cell>
        </row>
        <row r="10">
          <cell r="AN10" t="str">
            <v>Insecta.Diptera.Brachycera.Muscomorpha.Muscoidea.Fanniidae.0.Fannia.#N/C</v>
          </cell>
        </row>
        <row r="11">
          <cell r="AN11" t="str">
            <v>Insecta.Diptera.Brachycera.Muscomorpha.Muscoidea.Fanniidae.0.Fannia.#N/C</v>
          </cell>
        </row>
        <row r="12">
          <cell r="AN12" t="str">
            <v>Insecta.Diptera.Brachycera.Muscomorpha.Syrphoidea.Syrphidae.Syrphinae.Syrphini.#N/C</v>
          </cell>
        </row>
        <row r="13">
          <cell r="AN13" t="str">
            <v>Insecta.Diptera.Brachycera.Muscomorpha.Muscoidea.#N/C.#N/C.#N/C.#N/C</v>
          </cell>
        </row>
        <row r="14">
          <cell r="AN14" t="str">
            <v>Insecta.Hymenoptera.Apocrita.Aculeata.Vespoidea.Vespidae.Vespinae.Vespula.#N/C</v>
          </cell>
        </row>
        <row r="15">
          <cell r="AN15" t="str">
            <v>Insecta.Diptera.Brachycera.Muscomorpha.Muscoidea.Fanniidae.0.Fannia.#N/C</v>
          </cell>
        </row>
        <row r="16">
          <cell r="AN16" t="str">
            <v>Insecta.Diptera.Brachycera.Muscomorpha.Muscoidea.Fanniidae.0.Fannia.#N/C</v>
          </cell>
        </row>
        <row r="17">
          <cell r="AN17" t="str">
            <v>Insecta.Diptera.Brachycera.Muscomorpha.Muscoidea.Fanniidae.0.Fannia.#N/C</v>
          </cell>
        </row>
        <row r="18">
          <cell r="AN18" t="str">
            <v>Insecta.Diptera.Brachycera.Muscomorpha.Muscoidea.Fanniidae.0.Fannia.#N/C</v>
          </cell>
        </row>
        <row r="19">
          <cell r="AN19" t="str">
            <v>Insecta.Diptera.Brachycera.Muscomorpha.Muscoidea.Fanniidae.0.Fannia.#N/C</v>
          </cell>
        </row>
        <row r="20">
          <cell r="AN20" t="str">
            <v>Insecta.Diptera.Brachycera.#N/C.#N/C.#N/C.#N/C.#N/C.#N/C</v>
          </cell>
        </row>
        <row r="21">
          <cell r="AN21" t="str">
            <v>Insecta.Diptera.Brachycera.Muscomorpha.Oestroidea.Tachinidae.Exoristinae.#N/C.#N/C</v>
          </cell>
        </row>
        <row r="22">
          <cell r="AN22" t="str">
            <v>Insecta.Diptera.Brachycera.Muscomorpha.Muscoidea.Fanniidae.0.Fannia.#N/C</v>
          </cell>
        </row>
        <row r="23">
          <cell r="AN23" t="str">
            <v>Insecta.Diptera.Brachycera.Muscomorpha.Muscoidea.Fanniidae.0.Fannia.#N/C</v>
          </cell>
        </row>
        <row r="24">
          <cell r="AN24" t="str">
            <v>Insecta.Diptera.Brachycera.Muscomorpha.Muscoidea.Fanniidae.0.Fannia.#N/C</v>
          </cell>
        </row>
        <row r="25">
          <cell r="AN25" t="str">
            <v>Insecta.Hymenoptera.Apocrita.Aculeata.Vespoidea.Vespidae.Vespinae.Vespula.#N/C</v>
          </cell>
        </row>
        <row r="26">
          <cell r="AN26" t="str">
            <v>Insecta.Diptera.Brachycera.Muscomorpha.Muscoidea.#N/C.#N/C.#N/C.#N/C</v>
          </cell>
        </row>
        <row r="27">
          <cell r="AN27" t="str">
            <v>Insecta.Diptera.Brachycera.Muscomorpha.Muscoidea.Fanniidae.0.Fannia.#N/C</v>
          </cell>
        </row>
        <row r="28">
          <cell r="AN28" t="str">
            <v>Insecta.Diptera.Brachycera.Muscomorpha.Muscoidea.Fanniidae.0.Fannia.#N/C</v>
          </cell>
        </row>
        <row r="29">
          <cell r="AN29" t="str">
            <v>Insecta.Diptera.Brachycera.Muscomorpha.Muscoidea.#N/C.#N/C.#N/C.#N/C</v>
          </cell>
        </row>
        <row r="30">
          <cell r="AN30" t="str">
            <v>Insecta.Diptera.Brachycera.Muscomorpha.Muscoidea.Fanniidae.0.Fannia.#N/C</v>
          </cell>
        </row>
        <row r="31">
          <cell r="AN31" t="str">
            <v>Insecta.Diptera.Brachycera.Muscomorpha.Muscoidea.Fanniidae.0.Fannia.#N/C</v>
          </cell>
        </row>
        <row r="32">
          <cell r="AN32" t="str">
            <v>Insecta.Diptera.Brachycera.Muscomorpha.Muscoidea.#N/C.#N/C.#N/C.#N/C</v>
          </cell>
        </row>
        <row r="33">
          <cell r="AN33" t="str">
            <v>Insecta.Diptera.Brachycera.Muscomorpha.Sciomyzoidea.Sepsidae.Sepsinae.Parapalaeosepsis.#N/C</v>
          </cell>
        </row>
        <row r="34">
          <cell r="AN34" t="str">
            <v>Insecta.Diptera.Brachycera.Muscomorpha.Muscoidea.Fanniidae.0.Fannia.#N/C</v>
          </cell>
        </row>
        <row r="35">
          <cell r="AN35" t="str">
            <v>Insecta.Diptera.Brachycera.#N/C.#N/C.#N/C.#N/C.#N/C.#N/C</v>
          </cell>
        </row>
        <row r="36">
          <cell r="AN36" t="str">
            <v>Insecta.Diptera.Brachycera.Muscomorpha.Muscoidea.#N/C.#N/C.#N/C.#N/C</v>
          </cell>
        </row>
        <row r="37">
          <cell r="AN37" t="str">
            <v>Insecta.Diptera.Brachycera.Muscomorpha.Muscoidea.#N/C.#N/C.#N/C.#N/C</v>
          </cell>
        </row>
        <row r="38">
          <cell r="AN38" t="str">
            <v>Insecta.Diptera.Brachycera.#N/C.#N/C.#N/C.#N/C.#N/C.#N/C</v>
          </cell>
        </row>
        <row r="39">
          <cell r="AN39" t="str">
            <v>Insecta.Diptera.Brachycera.#N/C.#N/C.#N/C.#N/C.#N/C.#N/C</v>
          </cell>
        </row>
        <row r="40">
          <cell r="AN40" t="str">
            <v>Insecta.Diptera.Brachycera.Muscomorpha.Muscoidea.Fanniidae.0.Fannia.#N/C</v>
          </cell>
        </row>
        <row r="41">
          <cell r="AN41" t="str">
            <v>Insecta.#N/C.#N/C.#N/C.#N/C.#N/C.#N/C.#N/C.#N/C</v>
          </cell>
        </row>
        <row r="42">
          <cell r="AN42" t="str">
            <v>Insecta.Diptera.Brachycera.#N/C.#N/C.#N/C.#N/C.#N/C.#N/C</v>
          </cell>
        </row>
        <row r="43">
          <cell r="AN43" t="str">
            <v>Insecta.Diptera.Brachycera.#N/C.#N/C.#N/C.#N/C.#N/C.#N/C</v>
          </cell>
        </row>
        <row r="44">
          <cell r="AN44" t="str">
            <v>Insecta.Diptera.Brachycera.Muscomorpha.Muscoidea.Fanniidae.0.Fannia.#N/C</v>
          </cell>
        </row>
        <row r="45">
          <cell r="AN45" t="str">
            <v>Insecta.#N/C.#N/C.#N/C.#N/C.#N/C.#N/C.#N/C.#N/C</v>
          </cell>
        </row>
        <row r="46">
          <cell r="AN46" t="str">
            <v>Insecta.Diptera.Brachycera.Muscomorpha.Muscoidea.Fanniidae.0.Fannia.#N/C</v>
          </cell>
        </row>
        <row r="47">
          <cell r="AN47" t="str">
            <v>Insecta.Diptera.Brachycera.#N/C.#N/C.#N/C.#N/C.#N/C.#N/C</v>
          </cell>
        </row>
        <row r="48">
          <cell r="AN48" t="str">
            <v>Insecta.Diptera.Brachycera.Muscomorpha.Muscoidea.#N/C.#N/C.#N/C.#N/C</v>
          </cell>
        </row>
        <row r="49">
          <cell r="AN49" t="str">
            <v>Insecta.Diptera.Brachycera.Muscomorpha.Muscoidea.Fanniidae.0.Fannia.#N/C</v>
          </cell>
        </row>
        <row r="50">
          <cell r="AN50" t="str">
            <v>Insecta.Diptera.Brachycera.Muscomorpha.Muscoidea.#N/C.#N/C.#N/C.#N/C</v>
          </cell>
        </row>
        <row r="51">
          <cell r="AN51" t="str">
            <v>Insecta.Diptera.Brachycera.Muscomorpha.Muscoidea.#N/C.#N/C.#N/C.#N/C</v>
          </cell>
        </row>
        <row r="52">
          <cell r="AN52" t="str">
            <v>Insecta.Diptera.Brachycera.Muscomorpha.Muscoidea.#N/C.#N/C.#N/C.#N/C</v>
          </cell>
        </row>
        <row r="53">
          <cell r="AN53" t="str">
            <v>Insecta.Diptera.Brachycera.Muscomorpha.Muscoidea.Fanniidae.0.Fannia.#N/C</v>
          </cell>
        </row>
        <row r="54">
          <cell r="AN54" t="str">
            <v>Insecta.Diptera.Brachycera.Muscomorpha.Muscoidea.Fanniidae.0.Fannia.#N/C</v>
          </cell>
        </row>
        <row r="55">
          <cell r="AN55" t="str">
            <v>Insecta.Diptera.Brachycera.Muscomorpha.Muscoidea.#N/C.#N/C.#N/C.#N/C</v>
          </cell>
        </row>
        <row r="56">
          <cell r="AN56" t="str">
            <v>Insecta.Diptera.Brachycera.Muscomorpha.Muscoidea.Fanniidae.0.Fannia.#N/C</v>
          </cell>
        </row>
        <row r="57">
          <cell r="AN57" t="str">
            <v>Insecta.Diptera.Brachycera.Muscomorpha.Muscoidea.Fanniidae.0.Fannia.#N/C</v>
          </cell>
        </row>
        <row r="58">
          <cell r="AN58" t="str">
            <v>Insecta.#N/C.#N/C.#N/C.#N/C.#N/C.#N/C.#N/C.#N/C</v>
          </cell>
        </row>
        <row r="59">
          <cell r="AN59" t="str">
            <v>Insecta.Diptera.Brachycera.Muscomorpha.Muscoidea.Fanniidae.0.Fannia.#N/C</v>
          </cell>
        </row>
        <row r="60">
          <cell r="AN60" t="str">
            <v>Insecta.Diptera.Brachycera.Muscomorpha.Muscoidea.Fanniidae.0.Fannia.#N/C</v>
          </cell>
        </row>
        <row r="61">
          <cell r="AN61" t="str">
            <v>Insecta.#N/C.#N/C.#N/C.#N/C.#N/C.#N/C.#N/C.#N/C</v>
          </cell>
        </row>
        <row r="62">
          <cell r="AN62" t="str">
            <v>#N/C.#N/C.#N/C.#N/C.#N/C.#N/C.#N/C.#N/C.#N/C</v>
          </cell>
        </row>
        <row r="63">
          <cell r="AN63" t="str">
            <v>Insecta.Diptera.Brachycera.Muscomorpha.Muscoidea.#N/C.#N/C.#N/C.#N/C</v>
          </cell>
        </row>
        <row r="64">
          <cell r="AN64" t="str">
            <v>Insecta.Diptera.Brachycera.#N/C.#N/C.#N/C.#N/C.#N/C.#N/C</v>
          </cell>
        </row>
        <row r="65">
          <cell r="AN65" t="str">
            <v>Insecta.Diptera.Brachycera.Muscomorpha.Muscoidea.#N/C.#N/C.#N/C.#N/C</v>
          </cell>
        </row>
        <row r="66">
          <cell r="AN66" t="str">
            <v>Insecta.Diptera.Brachycera.#N/C.#N/C.#N/C.#N/C.#N/C.#N/C</v>
          </cell>
        </row>
        <row r="67">
          <cell r="AN67" t="str">
            <v>Insecta.Hymenoptera.Apocrita.Aculeata.Vespoidea.Vespidae.Vespinae.Vespula.#N/C</v>
          </cell>
        </row>
        <row r="68">
          <cell r="AN68" t="str">
            <v>Insecta.Diptera.Brachycera.Muscomorpha.Muscoidea.Fanniidae.0.Fannia.#N/C</v>
          </cell>
        </row>
        <row r="69">
          <cell r="AN69" t="str">
            <v>Insecta.Diptera.Brachycera.#N/C.#N/C.#N/C.#N/C.#N/C.#N/C</v>
          </cell>
        </row>
        <row r="70">
          <cell r="AN70" t="str">
            <v>#N/C.#N/C.#N/C.#N/C.#N/C.#N/C.#N/C.#N/C.#N/C</v>
          </cell>
        </row>
        <row r="71">
          <cell r="AN71" t="str">
            <v>Insecta.Diptera.Brachycera.#N/C.#N/C.#N/C.#N/C.#N/C.#N/C</v>
          </cell>
        </row>
        <row r="72">
          <cell r="AN72" t="str">
            <v>#N/C.#N/C.#N/C.#N/C.#N/C.#N/C.#N/C.#N/C.#N/C</v>
          </cell>
        </row>
        <row r="73">
          <cell r="AN73" t="str">
            <v>Insecta.Diptera.Brachycera.Muscomorpha.Muscoidea.#N/C.#N/C.#N/C.#N/C</v>
          </cell>
        </row>
        <row r="74">
          <cell r="AN74" t="str">
            <v>#N/C.#N/C.#N/C.#N/C.#N/C.#N/C.#N/C.#N/C.#N/C</v>
          </cell>
        </row>
        <row r="75">
          <cell r="AN75" t="str">
            <v>Insecta.Diptera.Brachycera.#N/C.#N/C.#N/C.#N/C.#N/C.#N/C</v>
          </cell>
        </row>
        <row r="76">
          <cell r="AN76" t="str">
            <v>Insecta.Diptera.Brachycera.#N/C.#N/C.#N/C.#N/C.#N/C.#N/C</v>
          </cell>
        </row>
        <row r="77">
          <cell r="AN77" t="str">
            <v>Insecta.Diptera.Brachycera.#N/C.#N/C.#N/C.#N/C.#N/C.#N/C</v>
          </cell>
        </row>
        <row r="78">
          <cell r="AN78" t="str">
            <v>Insecta.Diptera.Brachycera.Muscomorpha.Muscoidea.Fanniidae.0.Fannia.#N/C</v>
          </cell>
        </row>
        <row r="79">
          <cell r="AN79" t="str">
            <v>Insecta.Diptera.Brachycera.#N/C.#N/C.#N/C.#N/C.#N/C.#N/C</v>
          </cell>
        </row>
        <row r="80">
          <cell r="AN80" t="str">
            <v>Insecta.Diptera.Brachycera.Muscomorpha.Muscoidea.Fanniidae.0.Fannia.#N/C</v>
          </cell>
        </row>
        <row r="81">
          <cell r="AN81" t="str">
            <v>Insecta.Diptera.Brachycera.Muscomorpha.Oestroidea.Sacrophagidae.#N/C.#N/C.#N/C</v>
          </cell>
        </row>
        <row r="82">
          <cell r="AN82" t="str">
            <v>#N/C.#N/C.#N/C.#N/C.#N/C.#N/C.#N/C.#N/C.#N/C</v>
          </cell>
        </row>
        <row r="83">
          <cell r="AN83" t="str">
            <v>Insecta.Diptera.Brachycera.Muscomorpha.Muscoidea.Fanniidae.0.Fannia.#N/C</v>
          </cell>
        </row>
        <row r="84">
          <cell r="AN84" t="str">
            <v>#N/C.#N/C.#N/C.#N/C.#N/C.#N/C.#N/C.#N/C.#N/C</v>
          </cell>
        </row>
        <row r="85">
          <cell r="AN85" t="str">
            <v>Insecta.Diptera.Brachycera.Muscomorpha.Muscoidea.#N/C.#N/C.#N/C.#N/C</v>
          </cell>
        </row>
        <row r="86">
          <cell r="AN86" t="str">
            <v>Insecta.Diptera.Brachycera.Muscomorpha.Muscoidea.Fanniidae.0.Fannia.#N/C</v>
          </cell>
        </row>
        <row r="87">
          <cell r="AN87" t="str">
            <v>Insecta.Diptera.Brachycera.Muscomorpha.Muscoidea.#N/C.#N/C.#N/C.#N/C</v>
          </cell>
        </row>
        <row r="88">
          <cell r="AN88" t="str">
            <v>Insecta.Diptera.Brachycera.Muscomorpha.Muscoidea.Fanniidae.0.Fannia.#N/C</v>
          </cell>
        </row>
        <row r="89">
          <cell r="AN89" t="str">
            <v>Insecta.Diptera.Brachycera.#N/C.#N/C.#N/C.#N/C.#N/C.#N/C</v>
          </cell>
        </row>
        <row r="90">
          <cell r="AN90" t="str">
            <v>Insecta.Diptera.Brachycera.Muscomorpha.Muscoidea.Fanniidae.0.Fannia.#N/C</v>
          </cell>
        </row>
        <row r="91">
          <cell r="AN91" t="str">
            <v>Insecta.Diptera.Brachycera.Muscomorpha.Muscoidea.Fanniidae.0.Fannia.#N/C</v>
          </cell>
        </row>
        <row r="92">
          <cell r="AN92" t="str">
            <v>Insecta.Diptera.Brachycera.#N/C.#N/C.#N/C.#N/C.#N/C.#N/C</v>
          </cell>
        </row>
        <row r="93">
          <cell r="AN93" t="str">
            <v>#N/C.#N/C.#N/C.#N/C.#N/C.#N/C.#N/C.#N/C.#N/C</v>
          </cell>
        </row>
        <row r="94">
          <cell r="AN94" t="str">
            <v>#N/C.#N/C.#N/C.#N/C.#N/C.#N/C.#N/C.#N/C.#N/C</v>
          </cell>
        </row>
        <row r="95">
          <cell r="AN95" t="str">
            <v>Insecta.Diptera.Brachycera.Muscomorpha.Muscoidea.#N/C.#N/C.#N/C.#N/C</v>
          </cell>
        </row>
        <row r="96">
          <cell r="AN96" t="str">
            <v>Insecta.Diptera.Brachycera.#N/C.#N/C.#N/C.#N/C.#N/C.#N/C</v>
          </cell>
        </row>
        <row r="97">
          <cell r="AN97" t="str">
            <v>Insecta.Diptera.Brachycera.Muscomorpha.Muscoidea.Fanniidae.0.Fannia.#N/C</v>
          </cell>
        </row>
        <row r="98">
          <cell r="AN98" t="str">
            <v>#N/C.#N/C.#N/C.#N/C.#N/C.#N/C.#N/C.#N/C.#N/C</v>
          </cell>
        </row>
        <row r="99">
          <cell r="AN99" t="str">
            <v>#N/C.#N/C.#N/C.#N/C.#N/C.#N/C.#N/C.#N/C.#N/C</v>
          </cell>
        </row>
        <row r="100">
          <cell r="AN100" t="str">
            <v>#N/C.#N/C.#N/C.#N/C.#N/C.#N/C.#N/C.#N/C.#N/C</v>
          </cell>
        </row>
        <row r="101">
          <cell r="AN101" t="str">
            <v>Insecta.Diptera.Brachycera.Muscomorpha.Muscoidea.Fanniidae.0.Fannia.#N/C</v>
          </cell>
        </row>
        <row r="102">
          <cell r="AN102" t="str">
            <v>Insecta.Diptera.Brachycera.Muscomorpha.Muscoidea.Fanniidae.0.Fannia.#N/C</v>
          </cell>
        </row>
        <row r="103">
          <cell r="AN103" t="str">
            <v>Insecta.Diptera.Brachycera.Muscomorpha.Muscoidea.Fanniidae.0.Fannia.#N/C</v>
          </cell>
        </row>
        <row r="104">
          <cell r="AN104" t="str">
            <v>Insecta.Diptera.Brachycera.Muscomorpha.Muscoidea.Fanniidae.0.Fannia.#N/C</v>
          </cell>
        </row>
        <row r="105">
          <cell r="AN105" t="str">
            <v>Insecta.Diptera.Brachycera.#N/C.#N/C.#N/C.#N/C.#N/C.#N/C</v>
          </cell>
        </row>
        <row r="106">
          <cell r="AN106" t="str">
            <v>Insecta.Diptera.Brachycera.Muscomorpha.Muscoidea.Fanniidae.0.Fannia.#N/C</v>
          </cell>
        </row>
        <row r="107">
          <cell r="AN107" t="str">
            <v>Insecta.Hymenoptera.Apocrita.Aculeata.Apoidea.Apidae.Apinae.#N/C.#N/C</v>
          </cell>
        </row>
        <row r="108">
          <cell r="AN108" t="str">
            <v>#N/C.#N/C.#N/C.#N/C.#N/C.#N/C.#N/C.#N/C.#N/C</v>
          </cell>
        </row>
        <row r="109">
          <cell r="AN109" t="str">
            <v>Insecta.Diptera.Brachycera.Muscomorpha.Muscoidea.Fanniidae.0.Fannia.#N/C</v>
          </cell>
        </row>
        <row r="110">
          <cell r="AN110" t="str">
            <v>Insecta.Diptera.Brachycera.#N/C.#N/C.#N/C.#N/C.#N/C.#N/C</v>
          </cell>
        </row>
        <row r="111">
          <cell r="AN111" t="str">
            <v>Insecta.Diptera.Brachycera.#N/C.#N/C.#N/C.#N/C.#N/C.#N/C</v>
          </cell>
        </row>
        <row r="112">
          <cell r="AN112" t="str">
            <v>#N/C.#N/C.#N/C.#N/C.#N/C.#N/C.#N/C.#N/C.#N/C</v>
          </cell>
        </row>
        <row r="113">
          <cell r="AN113" t="str">
            <v>#N/C.#N/C.#N/C.#N/C.#N/C.#N/C.#N/C.#N/C.#N/C</v>
          </cell>
        </row>
        <row r="114">
          <cell r="AN114" t="str">
            <v>Insecta.Diptera.Brachycera.Muscomorpha.Muscoidea.Fanniidae.0.Fannia.#N/C</v>
          </cell>
        </row>
        <row r="115">
          <cell r="AN115" t="str">
            <v>Insecta.Diptera.Brachycera.Muscomorpha.Muscoidea.#N/C.#N/C.#N/C.#N/C</v>
          </cell>
        </row>
        <row r="116">
          <cell r="AN116" t="str">
            <v>Insecta.Diptera.Brachycera.Muscomorpha.Muscoidea.Fanniidae.0.Fannia.#N/C</v>
          </cell>
        </row>
        <row r="117">
          <cell r="AN117" t="str">
            <v>Insecta.Diptera.Brachycera.#N/C.#N/C.#N/C.#N/C.#N/C.#N/C</v>
          </cell>
        </row>
        <row r="118">
          <cell r="AN118" t="str">
            <v>Insecta.Diptera.Brachycera.Muscomorpha.Muscoidea.#N/C.#N/C.#N/C.#N/C</v>
          </cell>
        </row>
        <row r="119">
          <cell r="AN119" t="str">
            <v>Insecta.Diptera.Brachycera.Muscomorpha.Muscoidea.#N/C.#N/C.#N/C.#N/C</v>
          </cell>
        </row>
        <row r="120">
          <cell r="AN120" t="str">
            <v>Insecta.Diptera.Brachycera.Muscomorpha.Muscoidea.Fanniidae.0.Fannia.#N/C</v>
          </cell>
        </row>
        <row r="121">
          <cell r="AN121" t="str">
            <v>Insecta.Diptera.Brachycera.Muscomorpha.Muscoidea.#N/C.#N/C.#N/C.#N/C</v>
          </cell>
        </row>
        <row r="122">
          <cell r="AN122" t="str">
            <v>Insecta.Diptera.Brachycera.Muscomorpha.Muscoidea.#N/C.#N/C.#N/C.#N/C</v>
          </cell>
        </row>
        <row r="123">
          <cell r="AN123" t="str">
            <v>Insecta.Diptera.Brachycera.Muscomorpha.Muscoidea.Fanniidae.0.Fannia.#N/C</v>
          </cell>
        </row>
        <row r="124">
          <cell r="AN124" t="str">
            <v>Insecta.Diptera.Brachycera.Muscomorpha.Muscoidea.Fanniidae.0.Fannia.#N/C</v>
          </cell>
        </row>
        <row r="125">
          <cell r="AN125" t="str">
            <v>Insecta.Diptera.Brachycera.Muscomorpha.Muscoidea.Fanniidae.0.Fannia.#N/C</v>
          </cell>
        </row>
        <row r="126">
          <cell r="AN126" t="str">
            <v>Insecta.Diptera.Brachycera.Muscomorpha.Muscoidea.Fanniidae.0.Fannia.#N/C</v>
          </cell>
        </row>
        <row r="127">
          <cell r="AN127" t="str">
            <v>Insecta.Diptera.Brachycera.Muscomorpha.Muscoidea.#N/C.#N/C.#N/C.#N/C</v>
          </cell>
        </row>
        <row r="128">
          <cell r="AN128" t="str">
            <v>Insecta.Diptera.Brachycera.Muscomorpha.Muscoidea.Fanniidae.0.Fannia.#N/C</v>
          </cell>
        </row>
        <row r="129">
          <cell r="AN129" t="str">
            <v>#N/C.#N/C.#N/C.#N/C.#N/C.#N/C.#N/C.#N/C.#N/C</v>
          </cell>
        </row>
        <row r="130">
          <cell r="AN130" t="str">
            <v>Insecta.Diptera.Brachycera.#N/C.#N/C.#N/C.#N/C.#N/C.#N/C</v>
          </cell>
        </row>
        <row r="131">
          <cell r="AN131" t="str">
            <v>Insecta.Diptera.Brachycera.Muscomorpha.Muscoidea.Fanniidae.0.Fannia.#N/C</v>
          </cell>
        </row>
        <row r="132">
          <cell r="AN132" t="str">
            <v>Insecta.Diptera.Brachycera.Muscomorpha.Muscoidea.Fanniidae.0.Fannia.#N/C</v>
          </cell>
        </row>
        <row r="133">
          <cell r="AN133" t="str">
            <v>#N/C.#N/C.#N/C.#N/C.#N/C.#N/C.#N/C.#N/C.#N/C</v>
          </cell>
        </row>
        <row r="134">
          <cell r="AN134" t="str">
            <v>Insecta.Diptera.Brachycera.Muscomorpha.Muscoidea.Fanniidae.0.Fannia.#N/C</v>
          </cell>
        </row>
        <row r="135">
          <cell r="AN135" t="str">
            <v>Insecta.Diptera.Brachycera.Muscomorpha.Muscoidea.Fanniidae.0.Fannia.#N/C</v>
          </cell>
        </row>
        <row r="136">
          <cell r="AN136" t="str">
            <v>Insecta.Diptera.Brachycera.#N/C.#N/C.#N/C.#N/C.#N/C.#N/C</v>
          </cell>
        </row>
        <row r="137">
          <cell r="AN137" t="str">
            <v>#N/C.#N/C.#N/C.#N/C.#N/C.#N/C.#N/C.#N/C.#N/C</v>
          </cell>
        </row>
        <row r="138">
          <cell r="AN138" t="str">
            <v>Insecta.Diptera.Brachycera.Muscomorpha.Muscoidea.#N/C.#N/C.#N/C.#N/C</v>
          </cell>
        </row>
        <row r="139">
          <cell r="AN139" t="str">
            <v>#N/C.#N/C.#N/C.#N/C.#N/C.#N/C.#N/C.#N/C.#N/C</v>
          </cell>
        </row>
        <row r="140">
          <cell r="AN140" t="str">
            <v>Insecta.Diptera.Brachycera.Muscomorpha.Muscoidea.#N/C.#N/C.#N/C.#N/C</v>
          </cell>
        </row>
        <row r="141">
          <cell r="AN141" t="str">
            <v>Insecta.Diptera.Brachycera.#N/C.#N/C.#N/C.#N/C.#N/C.#N/C</v>
          </cell>
        </row>
        <row r="142">
          <cell r="AN142" t="str">
            <v>Insecta.Diptera.Brachycera.Muscomorpha.Muscoidea.Fanniidae.0.Fannia.#N/C</v>
          </cell>
        </row>
        <row r="143">
          <cell r="AN143" t="str">
            <v>Insecta.Diptera.Brachycera.Muscomorpha.Muscoidea.Fanniidae.0.Fannia.#N/C</v>
          </cell>
        </row>
        <row r="144">
          <cell r="AN144" t="str">
            <v>Insecta.Diptera.Brachycera.Muscomorpha.Muscoidea.Fanniidae.0.Fannia.#N/C</v>
          </cell>
        </row>
        <row r="145">
          <cell r="AN145" t="str">
            <v>Insecta.Diptera.Brachycera.Muscomorpha.Muscoidea.Fanniidae.0.Fannia.#N/C</v>
          </cell>
        </row>
        <row r="146">
          <cell r="AN146" t="str">
            <v>Insecta.Diptera.Brachycera.Muscomorpha.Muscoidea.#N/C.#N/C.#N/C.#N/C</v>
          </cell>
        </row>
        <row r="147">
          <cell r="AN147" t="str">
            <v>Insecta.Diptera.Brachycera.Muscomorpha.Muscoidea.#N/C.#N/C.#N/C.#N/C</v>
          </cell>
        </row>
        <row r="148">
          <cell r="AN148" t="str">
            <v>Insecta.Diptera.Brachycera.Muscomorpha.Muscoidea.#N/C.#N/C.#N/C.#N/C</v>
          </cell>
        </row>
        <row r="149">
          <cell r="AN149" t="str">
            <v>Insecta.Diptera.Brachycera.Muscomorpha.Muscoidea.#N/C.#N/C.#N/C.#N/C</v>
          </cell>
        </row>
        <row r="150">
          <cell r="AN150" t="str">
            <v>Insecta.Diptera.Brachycera.Muscomorpha.Muscoidea.Fanniidae.0.Fannia.#N/C</v>
          </cell>
        </row>
        <row r="151">
          <cell r="AN151" t="str">
            <v>#N/C.#N/C.#N/C.#N/C.#N/C.#N/C.#N/C.#N/C.#N/C</v>
          </cell>
        </row>
        <row r="152">
          <cell r="AN152" t="str">
            <v>Insecta.Diptera.Brachycera.Muscomorpha.Muscoidea.Fanniidae.0.Fannia.#N/C</v>
          </cell>
        </row>
        <row r="153">
          <cell r="AN153" t="str">
            <v>Insecta.Diptera.Brachycera.Muscomorpha.Muscoidea.Fanniidae.0.Fannia.#N/C</v>
          </cell>
        </row>
        <row r="154">
          <cell r="AN154" t="str">
            <v>Insecta.Diptera.Brachycera.Muscomorpha.Muscoidea.#N/C.#N/C.#N/C.#N/C</v>
          </cell>
        </row>
        <row r="155">
          <cell r="AN155" t="str">
            <v>Insecta.Diptera.Brachycera.Muscomorpha.Muscoidea.Fanniidae.0.Fannia.#N/C</v>
          </cell>
        </row>
        <row r="156">
          <cell r="AN156" t="str">
            <v>Insecta.Diptera.Brachycera.Muscomorpha.Muscoidea.Fanniidae.0.Fannia.#N/C</v>
          </cell>
        </row>
        <row r="157">
          <cell r="AN157" t="str">
            <v>Insecta.Diptera.Brachycera.Muscomorpha.Muscoidea.Fanniidae.0.Fannia.#N/C</v>
          </cell>
        </row>
        <row r="158">
          <cell r="AN158" t="str">
            <v>Insecta.Diptera.Brachycera.Muscomorpha.Muscoidea.Fanniidae.0.Fannia.#N/C</v>
          </cell>
        </row>
        <row r="159">
          <cell r="AN159" t="str">
            <v>Insecta.#N/C.#N/C.#N/C.#N/C.#N/C.#N/C.#N/C.#N/C</v>
          </cell>
        </row>
        <row r="160">
          <cell r="AN160" t="str">
            <v>Insecta.Diptera.Brachycera.#N/C.#N/C.#N/C.#N/C.#N/C.#N/C</v>
          </cell>
        </row>
        <row r="161">
          <cell r="AN161" t="str">
            <v>#N/C.#N/C.#N/C.#N/C.#N/C.#N/C.#N/C.#N/C.#N/C</v>
          </cell>
        </row>
        <row r="162">
          <cell r="AN162" t="str">
            <v>#N/C.#N/C.#N/C.#N/C.#N/C.#N/C.#N/C.#N/C.#N/C</v>
          </cell>
        </row>
        <row r="163">
          <cell r="AN163" t="str">
            <v>Insecta.Diptera.Brachycera.Muscomorpha.Muscoidea.Fanniidae.0.Fannia.#N/C</v>
          </cell>
        </row>
        <row r="164">
          <cell r="AN164" t="str">
            <v>Insecta.Diptera.Brachycera.Muscomorpha.Muscoidea.Fanniidae.0.Fannia.#N/C</v>
          </cell>
        </row>
        <row r="165">
          <cell r="AN165" t="str">
            <v>Insecta.Hymenoptera.Apocrita.Aculeata.Vespoidea.Vespidae.Vespinae.Vespula.#N/C</v>
          </cell>
        </row>
        <row r="166">
          <cell r="AN166" t="str">
            <v>#N/C.#N/C.#N/C.#N/C.#N/C.#N/C.#N/C.#N/C.#N/C</v>
          </cell>
        </row>
        <row r="167">
          <cell r="AN167" t="str">
            <v>Insecta.Diptera.Brachycera.Muscomorpha.Muscoidea.#N/C.#N/C.#N/C.#N/C</v>
          </cell>
        </row>
        <row r="168">
          <cell r="AN168" t="str">
            <v>Insecta.Diptera.Brachycera.Muscomorpha.Muscoidea.Fanniidae.0.Fannia.#N/C</v>
          </cell>
        </row>
        <row r="169">
          <cell r="AN169" t="str">
            <v>#N/C.#N/C.#N/C.#N/C.#N/C.#N/C.#N/C.#N/C.#N/C</v>
          </cell>
        </row>
        <row r="170">
          <cell r="AN170" t="str">
            <v>Insecta.Diptera.Brachycera.#N/C.#N/C.#N/C.#N/C.#N/C.#N/C</v>
          </cell>
        </row>
        <row r="171">
          <cell r="AN171" t="str">
            <v>Insecta.Diptera.Brachycera.#N/C.#N/C.#N/C.#N/C.#N/C.#N/C</v>
          </cell>
        </row>
        <row r="172">
          <cell r="AN172" t="str">
            <v>Insecta.Diptera.Brachycera.Muscomorpha.Muscoidea.Fanniidae.0.Fannia.#N/C</v>
          </cell>
        </row>
        <row r="173">
          <cell r="AN173" t="str">
            <v>Insecta.Diptera.Brachycera.#N/C.#N/C.#N/C.#N/C.#N/C.#N/C</v>
          </cell>
        </row>
        <row r="174">
          <cell r="AN174" t="str">
            <v>Insecta.Diptera.Brachycera.Muscomorpha.Muscoidea.Fanniidae.0.Fannia.#N/C</v>
          </cell>
        </row>
        <row r="175">
          <cell r="AN175" t="str">
            <v>Insecta.Diptera.Brachycera.#N/C.#N/C.#N/C.#N/C.#N/C.#N/C</v>
          </cell>
        </row>
        <row r="176">
          <cell r="AN176" t="str">
            <v>Insecta.Diptera.Brachycera.Muscomorpha.Muscoidea.Fanniidae.0.Fannia.#N/C</v>
          </cell>
        </row>
        <row r="177">
          <cell r="AN177" t="str">
            <v>#N/C.#N/C.#N/C.#N/C.#N/C.#N/C.#N/C.#N/C.#N/C</v>
          </cell>
        </row>
        <row r="178">
          <cell r="AN178" t="str">
            <v>#N/C.#N/C.#N/C.#N/C.#N/C.#N/C.#N/C.#N/C.#N/C</v>
          </cell>
        </row>
        <row r="179">
          <cell r="AN179" t="str">
            <v>Insecta.#N/C.#N/C.#N/C.#N/C.#N/C.#N/C.#N/C.#N/C</v>
          </cell>
        </row>
        <row r="180">
          <cell r="AN180" t="str">
            <v>Insecta.Diptera.Brachycera.Muscomorpha.Muscoidea.#N/C.#N/C.#N/C.#N/C</v>
          </cell>
        </row>
        <row r="181">
          <cell r="AN181" t="str">
            <v>Insecta.Diptera.Brachycera.Muscomorpha.Muscoidea.Fanniidae.0.Fannia.#N/C</v>
          </cell>
        </row>
        <row r="182">
          <cell r="AN182" t="str">
            <v>#N/C.#N/C.#N/C.#N/C.#N/C.#N/C.#N/C.#N/C.#N/C</v>
          </cell>
        </row>
        <row r="183">
          <cell r="AN183" t="str">
            <v>Insecta.Coleoptera.Polyphaga.Cucujiformia.Coccinelloidea.Coccinellidae.Coccinellinae.#N/C.#N/C</v>
          </cell>
        </row>
        <row r="184">
          <cell r="AN184" t="str">
            <v>Insecta.Diptera.Brachycera.Muscomorpha.Muscoidea.#N/C.#N/C.#N/C.#N/C</v>
          </cell>
        </row>
        <row r="185">
          <cell r="AN185" t="str">
            <v>Insecta.Diptera.Brachycera.Muscomorpha.Muscoidea.Fanniidae.0.Fannia.#N/C</v>
          </cell>
        </row>
        <row r="186">
          <cell r="AN186" t="str">
            <v>Insecta.Diptera.Brachycera.Muscomorpha.Muscoidea.Fanniidae.0.Fannia.#N/C</v>
          </cell>
        </row>
        <row r="187">
          <cell r="AN187" t="str">
            <v>Insecta.Diptera.Brachycera.Muscomorpha.Muscoidea.Fanniidae.0.Fannia.#N/C</v>
          </cell>
        </row>
        <row r="188">
          <cell r="AN188" t="str">
            <v>Arachnida.Araneae.Arneomorphae.Araneomorphae.Araneoidea.Araneidae.Araneinae.#N/C.#N/C</v>
          </cell>
        </row>
        <row r="189">
          <cell r="AN189" t="str">
            <v>Insecta.Coleoptera.Polyphaga.Cucujiformia.Coccinelloidea.Coccinellidae.Coccinellinae.Coccinellini.#N/C</v>
          </cell>
        </row>
        <row r="190">
          <cell r="AN190" t="str">
            <v>Insecta.Diptera.Brachycera.Muscomorpha.Muscoidea.Fanniidae.0.Fannia.#N/C</v>
          </cell>
        </row>
        <row r="191">
          <cell r="AN191" t="str">
            <v>Arachnida.Araneae.Arneomorphae.Araneomorphae.Araneoidea.#N/C.#N/C.#N/C.#N/C</v>
          </cell>
        </row>
        <row r="192">
          <cell r="AN192" t="str">
            <v>Insecta.Diptera.Brachycera.Muscomorpha.Muscoidea.Fanniidae.0.Fannia.#N/C</v>
          </cell>
        </row>
        <row r="193">
          <cell r="AN193" t="str">
            <v>Insecta.Diptera.Brachycera.Muscomorpha.Lauxanioidea.Lauxaniidae.Lauxaniinae.#N/C.#N/C</v>
          </cell>
        </row>
        <row r="194">
          <cell r="AN194" t="str">
            <v>Insecta.Diptera.Brachycera.#N/C.#N/C.#N/C.#N/C.#N/C.#N/C</v>
          </cell>
        </row>
        <row r="195">
          <cell r="AN195" t="str">
            <v>Arachnida.Araneae.Arneomorphae.Araneomorphae.Araneoidea.Araneidae.Araneinae.Araneus.#N/C</v>
          </cell>
        </row>
        <row r="196">
          <cell r="AN196" t="str">
            <v>Arachnida.Araneae.Arneomorphae.Araneomorphae.Araneoidea.#N/C.#N/C.#N/C.#N/C</v>
          </cell>
        </row>
        <row r="197">
          <cell r="AN197" t="str">
            <v>Insecta.Diptera.Brachycera.Muscomorpha.Oestroidea.Sacrophagidae.#N/C.#N/C.#N/C</v>
          </cell>
        </row>
        <row r="198">
          <cell r="AN198" t="str">
            <v>Arachnida.Araneae.Arneomorphae.Araneomorphae.Araneoidea.#N/C.#N/C.#N/C.#N/C</v>
          </cell>
        </row>
        <row r="199">
          <cell r="AN199" t="str">
            <v>Insecta.Diptera.Brachycera.Muscomorpha.Muscoidea.Fanniidae.0.Fannia.#N/C</v>
          </cell>
        </row>
        <row r="200">
          <cell r="AN200" t="str">
            <v>Insecta.Diptera.Brachycera.Muscomorpha.Muscoidea.Fanniidae.0.Fannia.#N/C</v>
          </cell>
        </row>
        <row r="201">
          <cell r="AN201" t="str">
            <v>Insecta.Diptera.Brachycera.Muscomorpha.Muscoidea.Fanniidae.0.Fannia.#N/C</v>
          </cell>
        </row>
        <row r="202">
          <cell r="AN202" t="str">
            <v>Insecta.Diptera.Brachycera.#N/C.#N/C.#N/C.#N/C.#N/C.#N/C</v>
          </cell>
        </row>
        <row r="203">
          <cell r="AN203" t="str">
            <v>Insecta.Diptera.Brachycera.Muscomorpha.Syrphoidea.Syrphidae.Syrphinae.Episyrphus.#N/C</v>
          </cell>
        </row>
        <row r="204">
          <cell r="AN204" t="str">
            <v>Insecta.Diptera.Brachycera.Muscomorpha.Muscoidea.#N/C.#N/C.#N/C.#N/C</v>
          </cell>
        </row>
        <row r="205">
          <cell r="AN205" t="str">
            <v>Insecta.Diptera.Brachycera.Muscomorpha.Muscoidea.Fanniidae.0.Fannia.#N/C</v>
          </cell>
        </row>
        <row r="206">
          <cell r="AN206" t="str">
            <v>Arachnida.Araneae.Arneomorphae.Araneomorphae.Araneoidea.Araneidae.Araneinae.#N/C.#N/C</v>
          </cell>
        </row>
        <row r="207">
          <cell r="AN207" t="str">
            <v>Insecta.Diptera.Brachycera.#N/C.#N/C.#N/C.#N/C.#N/C.#N/C</v>
          </cell>
        </row>
        <row r="208">
          <cell r="AN208" t="str">
            <v>#N/C.#N/C.#N/C.#N/C.#N/C.#N/C.#N/C.#N/C.#N/C</v>
          </cell>
        </row>
        <row r="209">
          <cell r="AN209" t="str">
            <v>Insecta.Diptera.Brachycera.Muscomorpha.Muscoidea.Fanniidae.0.Fannia.#N/C</v>
          </cell>
        </row>
        <row r="210">
          <cell r="AN210" t="str">
            <v>#N/C.#N/C.#N/C.#N/C.#N/C.#N/C.#N/C.#N/C.#N/C</v>
          </cell>
        </row>
        <row r="211">
          <cell r="AN211" t="str">
            <v>Insecta.Diptera.Brachycera.Muscomorpha.Muscoidea.Fanniidae.0.Fannia.#N/C</v>
          </cell>
        </row>
        <row r="212">
          <cell r="AN212" t="str">
            <v>Insecta.Diptera.Brachycera.#N/C.#N/C.#N/C.#N/C.#N/C.#N/C</v>
          </cell>
        </row>
        <row r="213">
          <cell r="AN213" t="str">
            <v>#N/C.#N/C.#N/C.#N/C.#N/C.#N/C.#N/C.#N/C.#N/C</v>
          </cell>
        </row>
        <row r="214">
          <cell r="AN214" t="str">
            <v>#N/C.#N/C.#N/C.#N/C.#N/C.#N/C.#N/C.#N/C.#N/C</v>
          </cell>
        </row>
        <row r="215">
          <cell r="AN215" t="str">
            <v>#N/C.#N/C.#N/C.#N/C.#N/C.#N/C.#N/C.#N/C.#N/C</v>
          </cell>
        </row>
        <row r="216">
          <cell r="AN216" t="str">
            <v>#N/C.#N/C.#N/C.#N/C.#N/C.#N/C.#N/C.#N/C.#N/C</v>
          </cell>
        </row>
        <row r="217">
          <cell r="AN217" t="str">
            <v>Insecta.Hymenoptera.Apocrita.Aculeata.Vespoidea.Vespidae.Vespinae.Vespula.#N/C</v>
          </cell>
        </row>
        <row r="218">
          <cell r="AN218" t="str">
            <v>Insecta.Diptera.Brachycera.Muscomorpha.Muscoidea.#N/C.#N/C.#N/C.#N/C</v>
          </cell>
        </row>
        <row r="219">
          <cell r="AN219" t="str">
            <v>Insecta.Diptera.Brachycera.#N/C.#N/C.#N/C.#N/C.#N/C.#N/C</v>
          </cell>
        </row>
        <row r="220">
          <cell r="AN220" t="str">
            <v>Insecta.Diptera.Brachycera.Muscomorpha.Muscoidea.Fanniidae.0.Fannia.#N/C</v>
          </cell>
        </row>
        <row r="221">
          <cell r="AN221" t="str">
            <v>Insecta.Diptera.Brachycera.#N/C.#N/C.#N/C.#N/C.#N/C.#N/C</v>
          </cell>
        </row>
        <row r="222">
          <cell r="AN222" t="str">
            <v>#N/C.#N/C.#N/C.#N/C.#N/C.#N/C.#N/C.#N/C.#N/C</v>
          </cell>
        </row>
        <row r="223">
          <cell r="AN223" t="str">
            <v>Insecta.Diptera.Brachycera.Muscomorpha.Muscoidea.Fanniidae.0.Fannia.#N/C</v>
          </cell>
        </row>
        <row r="224">
          <cell r="AN224" t="str">
            <v>Insecta.Diptera.Brachycera.Muscomorpha.Muscoidea.Fanniidae.0.Fannia.#N/C</v>
          </cell>
        </row>
        <row r="225">
          <cell r="AN225" t="str">
            <v>Insecta.Diptera.Brachycera.Muscomorpha.Muscoidea.Fanniidae.0.Fannia.#N/C</v>
          </cell>
        </row>
        <row r="226">
          <cell r="AN226" t="str">
            <v>Insecta.Diptera.Brachycera.Muscomorpha.Muscoidea.#N/C.#N/C.#N/C.#N/C</v>
          </cell>
        </row>
        <row r="227">
          <cell r="AN227" t="str">
            <v>Insecta.Diptera.Brachycera.Muscomorpha.Muscoidea.#N/C.#N/C.#N/C.#N/C</v>
          </cell>
        </row>
        <row r="228">
          <cell r="AN228" t="str">
            <v>Insecta.Diptera.Brachycera.#N/C.#N/C.#N/C.#N/C.#N/C.#N/C</v>
          </cell>
        </row>
        <row r="229">
          <cell r="AN229" t="str">
            <v>Insecta.Diptera.Brachycera.Muscomorpha.Muscoidea.#N/C.#N/C.#N/C.#N/C</v>
          </cell>
        </row>
        <row r="230">
          <cell r="AN230" t="str">
            <v>Insecta.Diptera.Brachycera.#N/C.#N/C.#N/C.#N/C.#N/C.#N/C</v>
          </cell>
        </row>
        <row r="231">
          <cell r="AN231" t="str">
            <v>Insecta.Hymenoptera.Apocrita.Parasitica.Ichneumonoidea.Ichneumonoidae.#N/C.#N/C.#N/C</v>
          </cell>
        </row>
        <row r="232">
          <cell r="AN232" t="str">
            <v>#N/C.#N/C.#N/C.#N/C.#N/C.#N/C.#N/C.#N/C.#N/C</v>
          </cell>
        </row>
        <row r="233">
          <cell r="AN233" t="str">
            <v>Insecta.Hymenoptera.Apocrita.Aculeata.Vespoidea.Vespidae.Vespinae.Vespula.#N/C</v>
          </cell>
        </row>
        <row r="234">
          <cell r="AN234" t="str">
            <v>Insecta.Diptera.Brachycera.#N/C.#N/C.#N/C.#N/C.#N/C.#N/C</v>
          </cell>
        </row>
        <row r="235">
          <cell r="AN235" t="str">
            <v>Insecta.Diptera.Brachycera.Muscomorpha.Muscoidea.#N/C.#N/C.#N/C.#N/C</v>
          </cell>
        </row>
        <row r="236">
          <cell r="AN236" t="str">
            <v>Insecta.Diptera.Brachycera.Muscomorpha.Muscoidea.Fanniidae.0.Fannia.#N/C</v>
          </cell>
        </row>
        <row r="237">
          <cell r="AN237" t="str">
            <v>Insecta.Diptera.Brachycera.Muscomorpha.Muscoidea.Fanniidae.0.Fannia.#N/C</v>
          </cell>
        </row>
        <row r="238">
          <cell r="AN238" t="str">
            <v>Insecta.Diptera.Brachycera.#N/C.#N/C.#N/C.#N/C.#N/C.#N/C</v>
          </cell>
        </row>
        <row r="239">
          <cell r="AN239" t="str">
            <v>Insecta.Diptera.Brachycera.Muscomorpha.Muscoidea.Fanniidae.0.Fannia.#N/C</v>
          </cell>
        </row>
        <row r="240">
          <cell r="AN240" t="str">
            <v>Insecta.Diptera.Brachycera.Muscomorpha.Muscoidea.Fanniidae.0.Fannia.#N/C</v>
          </cell>
        </row>
        <row r="241">
          <cell r="AN241" t="str">
            <v>Insecta.#N/C.#N/C.#N/C.#N/C.#N/C.#N/C.#N/C.#N/C</v>
          </cell>
        </row>
        <row r="242">
          <cell r="AN242" t="str">
            <v>Insecta.Diptera.Brachycera.#N/C.#N/C.#N/C.#N/C.#N/C.#N/C</v>
          </cell>
        </row>
        <row r="243">
          <cell r="AN243" t="str">
            <v>Insecta.Diptera.Brachycera.Muscomorpha.Muscoidea.#N/C.#N/C.#N/C.#N/C</v>
          </cell>
        </row>
        <row r="244">
          <cell r="AN244" t="str">
            <v>Insecta.Diptera.Brachycera.Muscomorpha.Muscoidea.Fanniidae.0.Fannia.#N/C</v>
          </cell>
        </row>
        <row r="245">
          <cell r="AN245" t="str">
            <v>Insecta.Diptera.Brachycera.Muscomorpha.Muscoidea.Fanniidae.0.Fannia.#N/C</v>
          </cell>
        </row>
        <row r="246">
          <cell r="AN246" t="str">
            <v>Insecta.Diptera.Brachycera.#N/C.#N/C.#N/C.#N/C.#N/C.#N/C</v>
          </cell>
        </row>
        <row r="247">
          <cell r="AN247" t="str">
            <v>Insecta.Diptera.Brachycera.Muscomorpha.Muscoidea.Fanniidae.0.Fannia.#N/C</v>
          </cell>
        </row>
        <row r="248">
          <cell r="AN248" t="str">
            <v>Insecta.Diptera.Brachycera.Muscomorpha.Muscoidea.Fanniidae.0.Fannia.#N/C</v>
          </cell>
        </row>
        <row r="249">
          <cell r="AN249" t="str">
            <v>#N/C.#N/C.#N/C.#N/C.#N/C.#N/C.#N/C.#N/C.#N/C</v>
          </cell>
        </row>
        <row r="250">
          <cell r="AN250" t="str">
            <v>Insecta.Hymenoptera.Apocrita.Aculeata.Vespoidea.Vespidae.Vespinae.Vespula.#N/C</v>
          </cell>
        </row>
        <row r="251">
          <cell r="AN251" t="str">
            <v>Insecta.Diptera.Brachycera.Muscomorpha.Muscoidea.Fanniidae.0.Fannia.#N/C</v>
          </cell>
        </row>
        <row r="252">
          <cell r="AN252" t="str">
            <v>Insecta.Diptera.Brachycera.Muscomorpha.Muscoidea.Fanniidae.0.Fannia.#N/C</v>
          </cell>
        </row>
        <row r="253">
          <cell r="AN253" t="str">
            <v>Insecta.Diptera.Brachycera.Muscomorpha.Muscoidea.Fanniidae.0.Fannia.#N/C</v>
          </cell>
        </row>
        <row r="254">
          <cell r="AN254" t="str">
            <v>Insecta.Diptera.Brachycera.Muscomorpha.Muscoidea.#N/C.#N/C.#N/C.#N/C</v>
          </cell>
        </row>
        <row r="255">
          <cell r="AN255" t="str">
            <v>Insecta.Diptera.Brachycera.#N/C.#N/C.#N/C.#N/C.#N/C.#N/C</v>
          </cell>
        </row>
        <row r="256">
          <cell r="AN256" t="str">
            <v>Insecta.Diptera.Brachycera.#N/C.#N/C.#N/C.#N/C.#N/C.#N/C</v>
          </cell>
        </row>
        <row r="257">
          <cell r="AN257" t="str">
            <v>Insecta.Diptera.Brachycera.Muscomorpha.Muscoidea.#N/C.#N/C.#N/C.#N/C</v>
          </cell>
        </row>
        <row r="258">
          <cell r="AN258" t="str">
            <v>Insecta.Diptera.Brachycera.Muscomorpha.Muscoidea.Fanniidae.0.Fannia.#N/C</v>
          </cell>
        </row>
        <row r="259">
          <cell r="AN259" t="str">
            <v>#N/C.#N/C.#N/C.#N/C.#N/C.#N/C.#N/C.#N/C.#N/C</v>
          </cell>
        </row>
        <row r="260">
          <cell r="AN260" t="str">
            <v>Insecta.Diptera.Brachycera.#N/C.#N/C.#N/C.#N/C.#N/C.#N/C</v>
          </cell>
        </row>
        <row r="261">
          <cell r="AN261" t="str">
            <v>Insecta.Diptera.Brachycera.Muscomorpha.Muscoidea.Fanniidae.0.Fannia.#N/C</v>
          </cell>
        </row>
        <row r="262">
          <cell r="AN262" t="str">
            <v>#N/C.#N/C.#N/C.#N/C.#N/C.#N/C.#N/C.#N/C.#N/C</v>
          </cell>
        </row>
        <row r="263">
          <cell r="AN263" t="str">
            <v>Insecta.Diptera.Brachycera.Muscomorpha.Muscoidea.#N/C.#N/C.#N/C.#N/C</v>
          </cell>
        </row>
        <row r="264">
          <cell r="AN264" t="str">
            <v>Insecta.Diptera.Brachycera.Muscomorpha.Muscoidea.Fanniidae.0.Fannia.#N/C</v>
          </cell>
        </row>
        <row r="265">
          <cell r="AN265" t="str">
            <v>Insecta.Diptera.Brachycera.#N/C.#N/C.#N/C.#N/C.#N/C.#N/C</v>
          </cell>
        </row>
        <row r="266">
          <cell r="AN266" t="str">
            <v>Insecta.Diptera.Brachycera.#N/C.#N/C.#N/C.#N/C.#N/C.#N/C</v>
          </cell>
        </row>
        <row r="267">
          <cell r="AN267" t="str">
            <v>Insecta.Diptera.Brachycera.Muscomorpha.Muscoidea.Fanniidae.0.Fannia.#N/C</v>
          </cell>
        </row>
        <row r="268">
          <cell r="AN268" t="str">
            <v>Insecta.Diptera.Brachycera.Muscomorpha.Muscoidea.Fanniidae.0.Fannia.#N/C</v>
          </cell>
        </row>
        <row r="269">
          <cell r="AN269" t="str">
            <v>Insecta.Diptera.Brachycera.Muscomorpha.Muscoidea.Fanniidae.0.Fannia.#N/C</v>
          </cell>
        </row>
        <row r="270">
          <cell r="AN270" t="str">
            <v>Insecta.Diptera.Brachycera.Muscomorpha.Oestroidea.#N/C.#N/C.#N/C.#N/C</v>
          </cell>
        </row>
        <row r="271">
          <cell r="AN271" t="str">
            <v>Insecta.Hymenoptera.Apocrita.Aculeata.Vespoidea.Vespidae.Vespinae.Vespula.#N/C</v>
          </cell>
        </row>
        <row r="272">
          <cell r="AN272" t="str">
            <v>Insecta.Hymenoptera.Apocrita.Aculeata.Vespoidea.Vespidae.Vespinae.Vespula.#N/C</v>
          </cell>
        </row>
        <row r="273">
          <cell r="AN273" t="str">
            <v>Insecta.Lepidoptera.Glossata.Heterocera.Noctuoidea.#N/C.#N/C.#N/C.#N/C</v>
          </cell>
        </row>
        <row r="274">
          <cell r="AN274" t="str">
            <v>Insecta.Diptera.Brachycera.Muscomorpha.Muscoidea.Fanniidae.0.Fannia.#N/C</v>
          </cell>
        </row>
        <row r="275">
          <cell r="AN275" t="str">
            <v>Insecta.Diptera.Brachycera.Muscomorpha.Muscoidea.Fanniidae.0.Fannia.#N/C</v>
          </cell>
        </row>
        <row r="276">
          <cell r="AN276" t="str">
            <v>Insecta.Diptera.Brachycera.Muscomorpha.Muscoidea.Fanniidae.0.Fannia.#N/C</v>
          </cell>
        </row>
        <row r="277">
          <cell r="AN277" t="str">
            <v>Insecta.Diptera.Brachycera.Muscomorpha.Muscoidea.#N/C.#N/C.#N/C.#N/C</v>
          </cell>
        </row>
        <row r="278">
          <cell r="AN278" t="str">
            <v>Insecta.Diptera.Brachycera.Muscomorpha.Muscoidea.Fanniidae.0.Fannia.#N/C</v>
          </cell>
        </row>
        <row r="279">
          <cell r="AN279" t="str">
            <v>Insecta.Diptera.Brachycera.#N/C.#N/C.#N/C.#N/C.#N/C.#N/C</v>
          </cell>
        </row>
        <row r="280">
          <cell r="AN280" t="str">
            <v>Insecta.Diptera.Brachycera.Muscomorpha.Muscoidea.#N/C.#N/C.#N/C.#N/C</v>
          </cell>
        </row>
        <row r="281">
          <cell r="AN281" t="str">
            <v>Insecta.Diptera.Brachycera.#N/C.#N/C.#N/C.#N/C.#N/C.#N/C</v>
          </cell>
        </row>
        <row r="282">
          <cell r="AN282" t="str">
            <v>Insecta.Diptera.Brachycera.Muscomorpha.Muscoidea.#N/C.#N/C.#N/C.#N/C</v>
          </cell>
        </row>
        <row r="283">
          <cell r="AN283" t="str">
            <v>Insecta.Diptera.Brachycera.Muscomorpha.Muscoidea.Fanniidae.0.Fannia.#N/C</v>
          </cell>
        </row>
        <row r="284">
          <cell r="AN284" t="str">
            <v>Insecta.Diptera.Brachycera.Muscomorpha.Muscoidea.#N/C.#N/C.#N/C.#N/C</v>
          </cell>
        </row>
        <row r="285">
          <cell r="AN285" t="str">
            <v>Insecta.Diptera.Brachycera.Muscomorpha.Muscoidea.#N/C.#N/C.#N/C.#N/C</v>
          </cell>
        </row>
        <row r="286">
          <cell r="AN286" t="str">
            <v>Insecta.Diptera.Brachycera.Muscomorpha.Oestroidea.Sarcophagidae.Sarcophaginae.#N/C.#N/C</v>
          </cell>
        </row>
        <row r="287">
          <cell r="AN287" t="str">
            <v>Insecta.Diptera.Brachycera.Muscomorpha.Muscoidea.Fanniidae.0.Fannia.#N/C</v>
          </cell>
        </row>
        <row r="288">
          <cell r="AN288" t="str">
            <v>Insecta.Hymenoptera.Apocrita.Aculeata.Vespoidea.Vespidae.Vespinae.Vespula.#N/C</v>
          </cell>
        </row>
        <row r="289">
          <cell r="AN289" t="str">
            <v>Insecta.Diptera.Brachycera.#N/C.#N/C.#N/C.#N/C.#N/C.#N/C</v>
          </cell>
        </row>
        <row r="290">
          <cell r="AN290" t="str">
            <v>Insecta.Diptera.Brachycera.#N/C.#N/C.#N/C.#N/C.#N/C.#N/C</v>
          </cell>
        </row>
        <row r="291">
          <cell r="AN291" t="str">
            <v>Insecta.Diptera.Brachycera.Muscomorpha.Muscoidea.#N/C.#N/C.#N/C.#N/C</v>
          </cell>
        </row>
        <row r="292">
          <cell r="AN292" t="str">
            <v>Insecta.Diptera.Brachycera.Muscomorpha.Muscoidea.#N/C.#N/C.#N/C.#N/C</v>
          </cell>
        </row>
        <row r="293">
          <cell r="AN293" t="str">
            <v>Insecta.Diptera.Brachycera.#N/C.#N/C.#N/C.#N/C.#N/C.#N/C</v>
          </cell>
        </row>
        <row r="294">
          <cell r="AN294" t="str">
            <v>Insecta.Diptera.Brachycera.Muscomorpha.Muscoidea.Fanniidae.0.Fannia.#N/C</v>
          </cell>
        </row>
        <row r="295">
          <cell r="AN295" t="str">
            <v>Insecta.Diptera.Brachycera.Muscomorpha.Oestroidea.Sarcophagidae.Sarcophaginae.Sarcophaga.#N/C</v>
          </cell>
        </row>
        <row r="296">
          <cell r="AN296" t="str">
            <v>Insecta.Diptera.Brachycera.Muscomorpha.Muscoidea.#N/C.#N/C.#N/C.#N/C</v>
          </cell>
        </row>
        <row r="297">
          <cell r="AN297" t="str">
            <v>Insecta.Diptera.Brachycera.Muscomorpha.Muscoidea.Fanniidae.0.Fannia.#N/C</v>
          </cell>
        </row>
        <row r="298">
          <cell r="AN298" t="str">
            <v>Insecta.Diptera.Brachycera.#N/C.#N/C.#N/C.#N/C.#N/C.#N/C</v>
          </cell>
        </row>
        <row r="299">
          <cell r="AN299" t="str">
            <v>Insecta.Diptera.Brachycera.Muscomorpha.Muscoidea.Fanniidae.0.Fannia.#N/C</v>
          </cell>
        </row>
        <row r="300">
          <cell r="AN300" t="str">
            <v>Insecta.Diptera.Brachycera.Muscomorpha.Muscoidea.#N/C.#N/C.#N/C.#N/C</v>
          </cell>
        </row>
        <row r="301">
          <cell r="AN301" t="str">
            <v>Insecta.Diptera.Brachycera.Muscomorpha.Muscoidea.#N/C.#N/C.#N/C.#N/C</v>
          </cell>
        </row>
        <row r="302">
          <cell r="AN302" t="str">
            <v>Insecta.Coleoptera.Polyphaga.Cucujiformia.Coccinelloidea.Coccinellidae.Coccinellinae.Harmonia.#N/C</v>
          </cell>
        </row>
        <row r="303">
          <cell r="AN303" t="str">
            <v>Insecta.Diptera.Brachycera.Muscomorpha.Syrphoidea.Syrphidae.Syrphinae.Sphaerophoria.#N/C</v>
          </cell>
        </row>
        <row r="304">
          <cell r="AN304" t="str">
            <v>Insecta.Diptera.Brachycera.Muscomorpha.Muscoidea.Fanniidae.0.Fannia.#N/C</v>
          </cell>
        </row>
        <row r="305">
          <cell r="AN305" t="str">
            <v>Insecta.Diptera.Brachycera.Muscomorpha.Muscoidea.Fanniidae.0.Fannia.#N/C</v>
          </cell>
        </row>
        <row r="306">
          <cell r="AN306" t="str">
            <v>Insecta.Diptera.Brachycera.Muscomorpha.Muscoidea.#N/C.#N/C.#N/C.#N/C</v>
          </cell>
        </row>
        <row r="307">
          <cell r="AN307" t="str">
            <v>Insecta.Diptera.Brachycera.Muscomorpha.Muscoidea.Fanniidae.0.Fannia.#N/C</v>
          </cell>
        </row>
        <row r="308">
          <cell r="AN308" t="str">
            <v>Insecta.Diptera.Brachycera.Muscomorpha.Muscoidea.Fanniidae.0.Fannia.#N/C</v>
          </cell>
        </row>
        <row r="309">
          <cell r="AN309" t="str">
            <v>Insecta.Diptera.Brachycera.Muscomorpha.Muscoidea.#N/C.#N/C.#N/C.#N/C</v>
          </cell>
        </row>
        <row r="310">
          <cell r="AN310" t="str">
            <v>#N/C.#N/C.#N/C.#N/C.#N/C.#N/C.#N/C.#N/C.#N/C</v>
          </cell>
        </row>
        <row r="311">
          <cell r="AN311" t="str">
            <v>Insecta.Diptera.Brachycera.Muscomorpha.Muscoidea.Fanniidae.0.Fannia.#N/C</v>
          </cell>
        </row>
        <row r="312">
          <cell r="AN312" t="str">
            <v>Insecta.Diptera.Brachycera.#N/C.#N/C.#N/C.#N/C.#N/C.#N/C</v>
          </cell>
        </row>
        <row r="313">
          <cell r="AN313" t="str">
            <v>Insecta.Diptera.Brachycera.Muscomorpha.Muscoidea.Fanniidae.0.Fannia.#N/C</v>
          </cell>
        </row>
        <row r="314">
          <cell r="AN314" t="str">
            <v>Insecta.Coleoptera.Polyphaga.Cucujiformia.Coccinelloidea.Coccinellidae.Coccinellinae.Harmonia.#N/C</v>
          </cell>
        </row>
        <row r="315">
          <cell r="AN315" t="str">
            <v>Insecta.Diptera.Brachycera.#N/C.#N/C.#N/C.#N/C.#N/C.#N/C</v>
          </cell>
        </row>
        <row r="316">
          <cell r="AN316" t="str">
            <v>Insecta.Diptera.Brachycera.Muscomorpha.Muscoidea.#N/C.#N/C.#N/C.#N/C</v>
          </cell>
        </row>
        <row r="317">
          <cell r="AN317" t="str">
            <v>Insecta.Diptera.Brachycera.#N/C.#N/C.#N/C.#N/C.#N/C.#N/C</v>
          </cell>
        </row>
        <row r="318">
          <cell r="AN318" t="str">
            <v>Insecta.Diptera.Brachycera.Muscomorpha.Muscoidea.Fanniidae.0.Fannia.#N/C</v>
          </cell>
        </row>
        <row r="319">
          <cell r="AN319" t="str">
            <v>Insecta.Diptera.Brachycera.Muscomorpha.Muscoidea.#N/C.#N/C.#N/C.#N/C</v>
          </cell>
        </row>
        <row r="320">
          <cell r="AN320" t="str">
            <v>Insecta.Orthoptera.Ensifera.Tettigoniidea.Tettigonioidea.Tettigoniidae.Tettigoniinae.Tettigonia.#N/C</v>
          </cell>
        </row>
        <row r="321">
          <cell r="AN321" t="str">
            <v>#N/C.#N/C.#N/C.#N/C.#N/C.#N/C.#N/C.#N/C.#N/C</v>
          </cell>
        </row>
        <row r="322">
          <cell r="AN322" t="str">
            <v>Insecta.Diptera.Brachycera.Muscomorpha.Muscoidea.Fanniidae.0.Fannia.#N/C</v>
          </cell>
        </row>
        <row r="323">
          <cell r="AN323" t="str">
            <v>Insecta.Diptera.Brachycera.Muscomorpha.Muscoidea.Fanniidae.0.Fannia.#N/C</v>
          </cell>
        </row>
        <row r="324">
          <cell r="AN324" t="str">
            <v>Insecta.Diptera.Brachycera.Muscomorpha.Muscoidea.#N/C.#N/C.#N/C.#N/C</v>
          </cell>
        </row>
        <row r="325">
          <cell r="AN325" t="str">
            <v>Insecta.Diptera.Brachycera.Muscomorpha.Muscoidea.#N/C.#N/C.#N/C.#N/C</v>
          </cell>
        </row>
        <row r="326">
          <cell r="AN326" t="str">
            <v>Insecta.Diptera.Brachycera.Muscomorpha.Muscoidea.Fanniidae.0.Fannia.#N/C</v>
          </cell>
        </row>
        <row r="327">
          <cell r="AN327" t="str">
            <v>Insecta.Diptera.Brachycera.Muscomorpha.Muscoidea.#N/C.#N/C.#N/C.#N/C</v>
          </cell>
        </row>
        <row r="328">
          <cell r="AN328" t="str">
            <v>Insecta.Diptera.Brachycera.Muscomorpha.Muscoidea.#N/C.#N/C.#N/C.#N/C</v>
          </cell>
        </row>
        <row r="329">
          <cell r="AN329" t="str">
            <v>#N/C.#N/C.#N/C.#N/C.#N/C.#N/C.#N/C.#N/C.#N/C</v>
          </cell>
        </row>
        <row r="330">
          <cell r="AN330" t="str">
            <v>Insecta.Diptera.Brachycera.Muscomorpha.Muscoidea.Fanniidae.0.Fannia.#N/C</v>
          </cell>
        </row>
        <row r="331">
          <cell r="AN331" t="str">
            <v>#N/C.#N/C.#N/C.#N/C.#N/C.#N/C.#N/C.#N/C.#N/C</v>
          </cell>
        </row>
        <row r="332">
          <cell r="AN332" t="str">
            <v>#N/C.#N/C.#N/C.#N/C.#N/C.#N/C.#N/C.#N/C.#N/C</v>
          </cell>
        </row>
        <row r="333">
          <cell r="AN333" t="str">
            <v>#N/C.#N/C.#N/C.#N/C.#N/C.#N/C.#N/C.#N/C.#N/C</v>
          </cell>
        </row>
        <row r="334">
          <cell r="AN334" t="str">
            <v>Insecta.Diptera.Brachycera.Muscomorpha.Muscoidea.#N/C.#N/C.#N/C.#N/C</v>
          </cell>
        </row>
        <row r="335">
          <cell r="AN335" t="str">
            <v>Insecta.Diptera.Brachycera.Muscomorpha.#N/C.#N/C.#N/C.#N/C.#N/C</v>
          </cell>
        </row>
        <row r="336">
          <cell r="AN336" t="str">
            <v>#N/C.#N/C.#N/C.#N/C.#N/C.#N/C.#N/C.#N/C.#N/C</v>
          </cell>
        </row>
        <row r="337">
          <cell r="AN337" t="str">
            <v>Insecta.Diptera.Brachycera.#N/C.#N/C.#N/C.#N/C.#N/C.#N/C</v>
          </cell>
        </row>
        <row r="338">
          <cell r="AN338" t="str">
            <v>Insecta.Diptera.Brachycera.Muscomorpha.Muscoidea.Fanniidae.0.Fannia.#N/C</v>
          </cell>
        </row>
        <row r="339">
          <cell r="AN339" t="str">
            <v>#N/C.#N/C.#N/C.#N/C.#N/C.#N/C.#N/C.#N/C.#N/C</v>
          </cell>
        </row>
        <row r="340">
          <cell r="AN340" t="str">
            <v>Insecta.Diptera.Brachycera.Muscomorpha.Muscoidea.Fanniidae.0.Fannia.#N/C</v>
          </cell>
        </row>
        <row r="341">
          <cell r="AN341" t="str">
            <v>#N/C.#N/C.#N/C.#N/C.#N/C.#N/C.#N/C.#N/C.#N/C</v>
          </cell>
        </row>
        <row r="342">
          <cell r="AN342" t="str">
            <v>Insecta.Diptera.Brachycera.Muscomorpha.Muscoidea.#N/C.#N/C.#N/C.#N/C</v>
          </cell>
        </row>
        <row r="343">
          <cell r="AN343" t="str">
            <v>Insecta.Diptera.Brachycera.Muscomorpha.Muscoidea.#N/C.#N/C.#N/C.#N/C</v>
          </cell>
        </row>
        <row r="344">
          <cell r="AN344" t="str">
            <v>Insecta.Diptera.Brachycera.Muscomorpha.Muscoidea.Fanniidae.0.Fannia.#N/C</v>
          </cell>
        </row>
        <row r="345">
          <cell r="AN345" t="str">
            <v>#N/C.#N/C.#N/C.#N/C.#N/C.#N/C.#N/C.#N/C.#N/C</v>
          </cell>
        </row>
        <row r="346">
          <cell r="AN346" t="str">
            <v>Insecta.Diptera.Brachycera.#N/C.#N/C.#N/C.#N/C.#N/C.#N/C</v>
          </cell>
        </row>
        <row r="347">
          <cell r="AN347" t="str">
            <v>Insecta.Diptera.Brachycera.#N/C.#N/C.#N/C.#N/C.#N/C.#N/C</v>
          </cell>
        </row>
        <row r="348">
          <cell r="AN348" t="str">
            <v>Insecta.Diptera.Brachycera.#N/C.#N/C.#N/C.#N/C.#N/C.#N/C</v>
          </cell>
        </row>
        <row r="349">
          <cell r="AN349" t="str">
            <v>Insecta.Diptera.Brachycera.Muscomorpha.Muscoidea.Fanniidae.0.Fannia.#N/C</v>
          </cell>
        </row>
        <row r="350">
          <cell r="AN350" t="str">
            <v>Insecta.Diptera.Brachycera.#N/C.#N/C.#N/C.#N/C.#N/C.#N/C</v>
          </cell>
        </row>
        <row r="351">
          <cell r="AN351" t="str">
            <v>#N/C.#N/C.#N/C.#N/C.#N/C.#N/C.#N/C.#N/C.#N/C</v>
          </cell>
        </row>
        <row r="352">
          <cell r="AN352" t="str">
            <v>Insecta.Diptera.Brachycera.#N/C.#N/C.#N/C.#N/C.#N/C.#N/C</v>
          </cell>
        </row>
        <row r="353">
          <cell r="AN353" t="str">
            <v>Insecta.Diptera.Brachycera.Muscomorpha.Muscoidea.Fanniidae.0.Fannia.#N/C</v>
          </cell>
        </row>
        <row r="354">
          <cell r="AN354" t="str">
            <v>Insecta.Diptera.Brachycera.Muscomorpha.Muscoidea.Fanniidae.0.Fannia.#N/C</v>
          </cell>
        </row>
        <row r="355">
          <cell r="AN355" t="str">
            <v>Insecta.Diptera.Brachycera.#N/C.#N/C.#N/C.#N/C.#N/C.#N/C</v>
          </cell>
        </row>
        <row r="356">
          <cell r="AN356" t="str">
            <v>#N/C.#N/C.#N/C.#N/C.#N/C.#N/C.#N/C.#N/C.#N/C</v>
          </cell>
        </row>
        <row r="357">
          <cell r="AN357" t="str">
            <v>#N/C.#N/C.#N/C.#N/C.#N/C.#N/C.#N/C.#N/C.#N/C</v>
          </cell>
        </row>
        <row r="358">
          <cell r="AN358" t="str">
            <v>#N/C.#N/C.#N/C.#N/C.#N/C.#N/C.#N/C.#N/C.#N/C</v>
          </cell>
        </row>
        <row r="359">
          <cell r="AN359" t="str">
            <v>Insecta.Diptera.Brachycera.Muscomorpha.Muscoidea.#N/C.#N/C.#N/C.#N/C</v>
          </cell>
        </row>
        <row r="360">
          <cell r="AN360" t="str">
            <v>Insecta.Diptera.Brachycera.#N/C.#N/C.#N/C.#N/C.#N/C.#N/C</v>
          </cell>
        </row>
        <row r="361">
          <cell r="AN361" t="str">
            <v>Insecta.Diptera.Brachycera.Muscomorpha.Ephydroidea.Drosophilidae.Drosophilinae.Drosophila.#N/C</v>
          </cell>
        </row>
        <row r="362">
          <cell r="AN362" t="str">
            <v>Insecta.Diptera.Brachycera.Muscomorpha.Muscoidea.Fanniidae.0.Fannia.#N/C</v>
          </cell>
        </row>
        <row r="363">
          <cell r="AN363" t="str">
            <v>Insecta.Diptera.Brachycera.#N/C.#N/C.#N/C.#N/C.#N/C.#N/C</v>
          </cell>
        </row>
        <row r="364">
          <cell r="AN364" t="str">
            <v>Insecta.Diptera.Brachycera.Muscomorpha.Muscoidea.Fanniidae.0.Fannia.#N/C</v>
          </cell>
        </row>
        <row r="365">
          <cell r="AN365" t="str">
            <v>Insecta.Diptera.Brachycera.#N/C.#N/C.#N/C.#N/C.#N/C.#N/C</v>
          </cell>
        </row>
        <row r="366">
          <cell r="AN366" t="str">
            <v>Insecta.Diptera.Brachycera.#N/C.#N/C.#N/C.#N/C.#N/C.#N/C</v>
          </cell>
        </row>
        <row r="367">
          <cell r="AN367" t="str">
            <v>Insecta.Diptera.Brachycera.#N/C.#N/C.#N/C.#N/C.#N/C.#N/C</v>
          </cell>
        </row>
        <row r="368">
          <cell r="AN368" t="str">
            <v>Insecta.Diptera.Brachycera.Muscomorpha.Muscoidea.Fanniidae.0.Fannia.#N/C</v>
          </cell>
        </row>
        <row r="369">
          <cell r="AN369" t="str">
            <v>Insecta.Diptera.Brachycera.#N/C.#N/C.#N/C.#N/C.#N/C.#N/C</v>
          </cell>
        </row>
        <row r="370">
          <cell r="AN370" t="str">
            <v>Insecta.Diptera.Brachycera.#N/C.#N/C.#N/C.#N/C.#N/C.#N/C</v>
          </cell>
        </row>
        <row r="371">
          <cell r="AN371" t="str">
            <v>Insecta.Diptera.Brachycera.#N/C.#N/C.#N/C.#N/C.#N/C.#N/C</v>
          </cell>
        </row>
        <row r="372">
          <cell r="AN372" t="str">
            <v>Insecta.Diptera.Brachycera.Muscomorpha.Muscoidea.Fanniidae.0.Fannia.#N/C</v>
          </cell>
        </row>
        <row r="373">
          <cell r="AN373" t="str">
            <v>Insecta.Diptera.Brachycera.#N/C.#N/C.#N/C.#N/C.#N/C.#N/C</v>
          </cell>
        </row>
        <row r="374">
          <cell r="AN374" t="str">
            <v>Insecta.Diptera.Brachycera.#N/C.#N/C.#N/C.#N/C.#N/C.#N/C</v>
          </cell>
        </row>
        <row r="375">
          <cell r="AN375" t="str">
            <v>Insecta.Diptera.Brachycera.#N/C.#N/C.#N/C.#N/C.#N/C.#N/C</v>
          </cell>
        </row>
        <row r="376">
          <cell r="AN376" t="str">
            <v>Insecta.Diptera.Brachycera.#N/C.#N/C.#N/C.#N/C.#N/C.#N/C</v>
          </cell>
        </row>
        <row r="377">
          <cell r="AN377" t="str">
            <v>Insecta.Diptera.Brachycera.Muscomorpha.Muscoidea.#N/C.#N/C.#N/C.#N/C</v>
          </cell>
        </row>
        <row r="378">
          <cell r="AN378" t="str">
            <v>Insecta.Diptera.Brachycera.Muscomorpha.Muscoidea.Fanniidae.0.Fannia.#N/C</v>
          </cell>
        </row>
        <row r="379">
          <cell r="AN379" t="str">
            <v>#N/C.#N/C.#N/C.#N/C.#N/C.#N/C.#N/C.#N/C.#N/C</v>
          </cell>
        </row>
        <row r="380">
          <cell r="AN380" t="str">
            <v>#N/C.#N/C.#N/C.#N/C.#N/C.#N/C.#N/C.#N/C.#N/C</v>
          </cell>
        </row>
        <row r="381">
          <cell r="AN381" t="str">
            <v>Insecta.Diptera.Brachycera.Muscomorpha.Muscoidea.#N/C.#N/C.#N/C.#N/C</v>
          </cell>
        </row>
        <row r="382">
          <cell r="AN382" t="str">
            <v>#N/C.#N/C.#N/C.#N/C.#N/C.#N/C.#N/C.#N/C.#N/C</v>
          </cell>
        </row>
        <row r="383">
          <cell r="AN383" t="str">
            <v>Insecta.Diptera.Brachycera.Muscomorpha.Muscoidea.Fanniidae.0.Fannia.#N/C</v>
          </cell>
        </row>
        <row r="384">
          <cell r="AN384" t="str">
            <v>Insecta.Diptera.Brachycera.Muscomorpha.Muscoidea.Fanniidae.0.Fannia.#N/C</v>
          </cell>
        </row>
        <row r="385">
          <cell r="AN385" t="str">
            <v>Insecta.Diptera.Brachycera.Muscomorpha.Muscoidea.#N/C.#N/C.#N/C.#N/C</v>
          </cell>
        </row>
        <row r="386">
          <cell r="AN386" t="str">
            <v>#N/C.#N/C.#N/C.#N/C.#N/C.#N/C.#N/C.#N/C.#N/C</v>
          </cell>
        </row>
        <row r="387">
          <cell r="AN387" t="str">
            <v>Insecta.Diptera.Brachycera.Muscomorpha.Muscoidea.Fanniidae.0.Fannia.#N/C</v>
          </cell>
        </row>
        <row r="388">
          <cell r="AN388" t="str">
            <v>Insecta.Diptera.Brachycera.Muscomorpha.Muscoidea.Fanniidae.0.Fannia.#N/C</v>
          </cell>
        </row>
        <row r="389">
          <cell r="AN389" t="str">
            <v>#N/C.#N/C.#N/C.#N/C.#N/C.#N/C.#N/C.#N/C.#N/C</v>
          </cell>
        </row>
        <row r="390">
          <cell r="AN390" t="str">
            <v>Insecta.Diptera.Brachycera.Muscomorpha.Muscoidea.#N/C.#N/C.#N/C.#N/C</v>
          </cell>
        </row>
        <row r="391">
          <cell r="AN391" t="str">
            <v>Insecta.Diptera.Brachycera.Muscomorpha.Muscoidea.#N/C.#N/C.#N/C.#N/C</v>
          </cell>
        </row>
        <row r="392">
          <cell r="AN392" t="str">
            <v>Insecta.Diptera.Brachycera.#N/C.#N/C.#N/C.#N/C.#N/C.#N/C</v>
          </cell>
        </row>
        <row r="393">
          <cell r="AN393" t="str">
            <v>Insecta.Diptera.Brachycera.Muscomorpha.Muscoidea.#N/C.#N/C.#N/C.#N/C</v>
          </cell>
        </row>
        <row r="394">
          <cell r="AN394" t="str">
            <v>Insecta.Diptera.Brachycera.#N/C.#N/C.#N/C.#N/C.#N/C.#N/C</v>
          </cell>
        </row>
        <row r="395">
          <cell r="AN395" t="str">
            <v>Insecta.Diptera.Brachycera.#N/C.#N/C.#N/C.#N/C.#N/C.#N/C</v>
          </cell>
        </row>
        <row r="396">
          <cell r="AN396" t="str">
            <v>#N/C.#N/C.#N/C.#N/C.#N/C.#N/C.#N/C.#N/C.#N/C</v>
          </cell>
        </row>
        <row r="397">
          <cell r="AN397" t="str">
            <v>Insecta.Diptera.Brachycera.Muscomorpha.Muscoidea.#N/C.#N/C.#N/C.#N/C</v>
          </cell>
        </row>
        <row r="398">
          <cell r="AN398" t="str">
            <v>Insecta.Diptera.Brachycera.#N/C.#N/C.#N/C.#N/C.#N/C.#N/C</v>
          </cell>
        </row>
        <row r="399">
          <cell r="AN399" t="str">
            <v>Insecta.Diptera.Brachycera.#N/C.#N/C.#N/C.#N/C.#N/C.#N/C</v>
          </cell>
        </row>
        <row r="400">
          <cell r="AN400" t="str">
            <v>Insecta.Diptera.Brachycera.Muscomorpha.Muscoidea.Fanniidae.0.Fannia.#N/C</v>
          </cell>
        </row>
        <row r="401">
          <cell r="AN401" t="str">
            <v>Insecta.Diptera.Brachycera.#N/C.#N/C.#N/C.#N/C.#N/C.#N/C</v>
          </cell>
        </row>
        <row r="402">
          <cell r="AN402" t="str">
            <v>#N/C.#N/C.#N/C.#N/C.#N/C.#N/C.#N/C.#N/C.#N/C</v>
          </cell>
        </row>
        <row r="403">
          <cell r="AN403" t="str">
            <v>#N/C.#N/C.#N/C.#N/C.#N/C.#N/C.#N/C.#N/C.#N/C</v>
          </cell>
        </row>
        <row r="404">
          <cell r="AN404" t="str">
            <v>Insecta.Diptera.Brachycera.#N/C.#N/C.#N/C.#N/C.#N/C.#N/C</v>
          </cell>
        </row>
        <row r="405">
          <cell r="AN405" t="str">
            <v>Insecta.Diptera.Brachycera.#N/C.#N/C.#N/C.#N/C.#N/C.#N/C</v>
          </cell>
        </row>
        <row r="406">
          <cell r="AN406" t="str">
            <v>Insecta.Diptera.Brachycera.Muscomorpha.Muscoidea.Fanniidae.0.Fannia.#N/C</v>
          </cell>
        </row>
        <row r="407">
          <cell r="AN407" t="str">
            <v>#N/C.#N/C.#N/C.#N/C.#N/C.#N/C.#N/C.#N/C.#N/C</v>
          </cell>
        </row>
        <row r="408">
          <cell r="AN408" t="str">
            <v>Insecta.Diptera.Brachycera.#N/C.#N/C.#N/C.#N/C.#N/C.#N/C</v>
          </cell>
        </row>
        <row r="409">
          <cell r="AN409" t="str">
            <v>Insecta.Diptera.Brachycera.#N/C.#N/C.#N/C.#N/C.#N/C.#N/C</v>
          </cell>
        </row>
        <row r="410">
          <cell r="AN410" t="str">
            <v>Insecta.#N/C.#N/C.#N/C.#N/C.#N/C.#N/C.#N/C.#N/C</v>
          </cell>
        </row>
        <row r="411">
          <cell r="AN411" t="str">
            <v>#N/C.#N/C.#N/C.#N/C.#N/C.#N/C.#N/C.#N/C.#N/C</v>
          </cell>
        </row>
        <row r="412">
          <cell r="AN412" t="str">
            <v>Insecta.Diptera.Brachycera.#N/C.#N/C.#N/C.#N/C.#N/C.#N/C</v>
          </cell>
        </row>
        <row r="413">
          <cell r="AN413" t="str">
            <v>Insecta.Diptera.Brachycera.Muscomorpha.Muscoidea.#N/C.#N/C.#N/C.#N/C</v>
          </cell>
        </row>
        <row r="414">
          <cell r="AN414" t="str">
            <v>Insecta.Diptera.Brachycera.Muscomorpha.Muscoidea.#N/C.#N/C.#N/C.#N/C</v>
          </cell>
        </row>
        <row r="415">
          <cell r="AN415" t="str">
            <v>Insecta.Diptera.Brachycera.Muscomorpha.Muscoidea.#N/C.#N/C.#N/C.#N/C</v>
          </cell>
        </row>
        <row r="416">
          <cell r="AN416" t="str">
            <v>Insecta.Diptera.Brachycera.Muscomorpha.Muscoidea.#N/C.#N/C.#N/C.#N/C</v>
          </cell>
        </row>
        <row r="417">
          <cell r="AN417" t="str">
            <v>#N/C.#N/C.#N/C.#N/C.#N/C.#N/C.#N/C.#N/C.#N/C</v>
          </cell>
        </row>
        <row r="418">
          <cell r="AN418" t="str">
            <v>Insecta.Diptera.Brachycera.Muscomorpha.Muscoidea.Fanniidae.0.Fannia.#N/C</v>
          </cell>
        </row>
        <row r="419">
          <cell r="AN419" t="str">
            <v>Insecta.Diptera.Brachycera.Muscomorpha.Muscoidea.Fanniidae.0.Fannia.#N/C</v>
          </cell>
        </row>
        <row r="420">
          <cell r="AN420" t="str">
            <v>Insecta.#N/C.#N/C.#N/C.#N/C.#N/C.#N/C.#N/C.#N/C</v>
          </cell>
        </row>
        <row r="421">
          <cell r="AN421" t="str">
            <v>#N/C.#N/C.#N/C.#N/C.#N/C.#N/C.#N/C.#N/C.#N/C</v>
          </cell>
        </row>
        <row r="422">
          <cell r="AN422" t="str">
            <v>Insecta.Diptera.Brachycera.Muscomorpha.Muscoidea.Fanniidae.0.Fannia.#N/C</v>
          </cell>
        </row>
        <row r="423">
          <cell r="AN423" t="str">
            <v>Insecta.Diptera.Brachycera.#N/C.#N/C.#N/C.#N/C.#N/C.#N/C</v>
          </cell>
        </row>
        <row r="424">
          <cell r="AN424" t="str">
            <v>Insecta.Diptera.Brachycera.Muscomorpha.Muscoidea.Fanniidae.0.Fannia.#N/C</v>
          </cell>
        </row>
        <row r="425">
          <cell r="AN425" t="str">
            <v>Insecta.Diptera.Brachycera.Muscomorpha.Muscoidea.Fanniidae.0.Fannia.#N/C</v>
          </cell>
        </row>
        <row r="426">
          <cell r="AN426" t="str">
            <v>Insecta.Diptera.Brachycera.Muscomorpha.Muscoidea.Fanniidae.0.Fannia.#N/C</v>
          </cell>
        </row>
        <row r="427">
          <cell r="AN427" t="str">
            <v>Insecta.Diptera.Brachycera.Muscomorpha.Muscoidea.Fanniidae.0.Fannia.#N/C</v>
          </cell>
        </row>
        <row r="428">
          <cell r="AN428" t="str">
            <v>#N/C.#N/C.#N/C.#N/C.#N/C.#N/C.#N/C.#N/C.#N/C</v>
          </cell>
        </row>
        <row r="429">
          <cell r="AN429" t="str">
            <v>Insecta.Diptera.Brachycera.Muscomorpha.Muscoidea.Fanniidae.0.Fannia.#N/C</v>
          </cell>
        </row>
        <row r="430">
          <cell r="AN430" t="str">
            <v>Insecta.Diptera.Brachycera.Muscomorpha.Muscoidea.Fanniidae.0.Fannia.#N/C</v>
          </cell>
        </row>
        <row r="431">
          <cell r="AN431" t="str">
            <v>Insecta.Diptera.Brachycera.#N/C.#N/C.#N/C.#N/C.#N/C.#N/C</v>
          </cell>
        </row>
        <row r="432">
          <cell r="AN432" t="str">
            <v>Insecta.Diptera.Brachycera.Muscomorpha.Muscoidea.Fanniidae.0.Fannia.#N/C</v>
          </cell>
        </row>
        <row r="433">
          <cell r="AN433" t="str">
            <v>Insecta.Diptera.Brachycera.Muscomorpha.Muscoidea.Fanniidae.0.Fannia.#N/C</v>
          </cell>
        </row>
        <row r="434">
          <cell r="AN434" t="str">
            <v>Insecta.Diptera.Brachycera.Muscomorpha.Muscoidea.Fanniidae.0.Fannia.#N/C</v>
          </cell>
        </row>
        <row r="435">
          <cell r="AN435" t="str">
            <v>Insecta.Diptera.Brachycera.#N/C.#N/C.#N/C.#N/C.#N/C.#N/C</v>
          </cell>
        </row>
        <row r="436">
          <cell r="AN436" t="str">
            <v>#N/C.#N/C.#N/C.#N/C.#N/C.#N/C.#N/C.#N/C.#N/C</v>
          </cell>
        </row>
        <row r="437">
          <cell r="AN437" t="str">
            <v>Insecta.Diptera.Brachycera.#N/C.#N/C.#N/C.#N/C.#N/C.#N/C</v>
          </cell>
        </row>
        <row r="438">
          <cell r="AN438" t="str">
            <v>Insecta.Diptera.Brachycera.#N/C.#N/C.#N/C.#N/C.#N/C.#N/C</v>
          </cell>
        </row>
        <row r="439">
          <cell r="AN439" t="str">
            <v>Insecta.Diptera.#N/C.#N/C.#N/C.#N/C.#N/C.#N/C.#N/C</v>
          </cell>
        </row>
        <row r="440">
          <cell r="AN440" t="str">
            <v>#N/C.#N/C.#N/C.#N/C.#N/C.#N/C.#N/C.#N/C.#N/C</v>
          </cell>
        </row>
        <row r="441">
          <cell r="AN441" t="str">
            <v>Insecta.Diptera.Brachycera.Muscomorpha.Muscoidea.#N/C.#N/C.#N/C.#N/C</v>
          </cell>
        </row>
        <row r="442">
          <cell r="AN442" t="str">
            <v>Insecta.Diptera.Brachycera.#N/C.#N/C.#N/C.#N/C.#N/C.#N/C</v>
          </cell>
        </row>
        <row r="443">
          <cell r="AN443" t="str">
            <v>Insecta.Diptera.Brachycera.Muscomorpha.Muscoidea.Fanniidae.0.Fannia.#N/C</v>
          </cell>
        </row>
        <row r="444">
          <cell r="AN444" t="str">
            <v>Insecta.Diptera.Brachycera.Muscomorpha.Muscoidea.Fanniidae.0.Fannia.#N/C</v>
          </cell>
        </row>
        <row r="445">
          <cell r="AN445" t="str">
            <v>Insecta.Diptera.Brachycera.Muscomorpha.Muscoidea.Fanniidae.0.Fannia.#N/C</v>
          </cell>
        </row>
        <row r="446">
          <cell r="AN446" t="str">
            <v>Insecta.Diptera.Brachycera.Muscomorpha.Muscoidea.Fanniidae.0.Fannia.#N/C</v>
          </cell>
        </row>
        <row r="447">
          <cell r="AN447" t="str">
            <v>Insecta.Diptera.Brachycera.Muscomorpha.Muscoidea.#N/C.#N/C.#N/C.#N/C</v>
          </cell>
        </row>
        <row r="448">
          <cell r="AN448" t="str">
            <v>Insecta.Diptera.Brachycera.Muscomorpha.Muscoidea.Fanniidae.0.Fannia.#N/C</v>
          </cell>
        </row>
        <row r="449">
          <cell r="AN449" t="str">
            <v>Insecta.Diptera.Brachycera.#N/C.#N/C.#N/C.#N/C.#N/C.#N/C</v>
          </cell>
        </row>
        <row r="450">
          <cell r="AN450" t="str">
            <v>Insecta.Diptera.Brachycera.#N/C.#N/C.#N/C.#N/C.#N/C.#N/C</v>
          </cell>
        </row>
        <row r="451">
          <cell r="AN451" t="str">
            <v>Insecta.Diptera.Brachycera.Muscomorpha.Muscoidea.Fanniidae.0.Fannia.#N/C</v>
          </cell>
        </row>
        <row r="452">
          <cell r="AN452" t="str">
            <v>#N/C.#N/C.#N/C.#N/C.#N/C.#N/C.#N/C.#N/C.#N/C</v>
          </cell>
        </row>
        <row r="453">
          <cell r="AN453" t="str">
            <v>#N/C.#N/C.#N/C.#N/C.#N/C.#N/C.#N/C.#N/C.#N/C</v>
          </cell>
        </row>
        <row r="454">
          <cell r="AN454" t="str">
            <v>Insecta.Diptera.Brachycera.Muscomorpha.Muscoidea.Fanniidae.0.Fannia.#N/C</v>
          </cell>
        </row>
        <row r="455">
          <cell r="AN455" t="str">
            <v>#N/C.#N/C.#N/C.#N/C.#N/C.#N/C.#N/C.#N/C.#N/C</v>
          </cell>
        </row>
        <row r="456">
          <cell r="AN456" t="str">
            <v>Insecta.Diptera.Brachycera.#N/C.#N/C.#N/C.#N/C.#N/C.#N/C</v>
          </cell>
        </row>
        <row r="457">
          <cell r="AN457" t="str">
            <v>Insecta.Diptera.Brachycera.Muscomorpha.Muscoidea.Fanniidae.0.Fannia.#N/C</v>
          </cell>
        </row>
        <row r="458">
          <cell r="AN458" t="str">
            <v>Insecta.Diptera.Brachycera.#N/C.#N/C.#N/C.#N/C.#N/C.#N/C</v>
          </cell>
        </row>
        <row r="459">
          <cell r="AN459" t="str">
            <v>Insecta.Diptera.Brachycera.#N/C.#N/C.#N/C.#N/C.#N/C.#N/C</v>
          </cell>
        </row>
        <row r="460">
          <cell r="AN460" t="str">
            <v>Insecta.Diptera.Brachycera.Muscomorpha.Muscoidea.Fanniidae.0.Fannia.#N/C</v>
          </cell>
        </row>
        <row r="461">
          <cell r="AN461" t="str">
            <v>#N/C.#N/C.#N/C.#N/C.#N/C.#N/C.#N/C.#N/C.#N/C</v>
          </cell>
        </row>
        <row r="462">
          <cell r="AN462" t="str">
            <v>Insecta.Diptera.Brachycera.#N/C.#N/C.#N/C.#N/C.#N/C.#N/C</v>
          </cell>
        </row>
        <row r="463">
          <cell r="AN463" t="str">
            <v>Insecta.Diptera.Brachycera.#N/C.#N/C.#N/C.#N/C.#N/C.#N/C</v>
          </cell>
        </row>
        <row r="464">
          <cell r="AN464" t="str">
            <v>Insecta.Diptera.Brachycera.Muscomorpha.Muscoidea.Scathophagidae.Scathophaginae.Scathophaga.#N/C</v>
          </cell>
        </row>
        <row r="465">
          <cell r="AN465" t="str">
            <v>#N/C.#N/C.#N/C.#N/C.#N/C.#N/C.#N/C.#N/C.#N/C</v>
          </cell>
        </row>
        <row r="466">
          <cell r="AN466" t="str">
            <v>Insecta.Diptera.Brachycera.#N/C.#N/C.#N/C.#N/C.#N/C.#N/C</v>
          </cell>
        </row>
        <row r="467">
          <cell r="AN467" t="str">
            <v>Insecta.Diptera.Brachycera.Muscomorpha.Syrphoidea.Syrphidae.Syrphinae.Episyrphus.#N/C</v>
          </cell>
        </row>
        <row r="468">
          <cell r="AN468" t="str">
            <v>Insecta.Diptera.Brachycera.#N/C.#N/C.#N/C.#N/C.#N/C.#N/C</v>
          </cell>
        </row>
        <row r="469">
          <cell r="AN469" t="str">
            <v>Insecta.Diptera.Brachycera.#N/C.#N/C.#N/C.#N/C.#N/C.#N/C</v>
          </cell>
        </row>
        <row r="470">
          <cell r="AN470" t="str">
            <v>Insecta.Diptera.Brachycera.Muscomorpha.Muscoidea.Fanniidae.0.Fannia.#N/C</v>
          </cell>
        </row>
        <row r="471">
          <cell r="AN471" t="str">
            <v>#N/C.#N/C.#N/C.#N/C.#N/C.#N/C.#N/C.#N/C.#N/C</v>
          </cell>
        </row>
        <row r="472">
          <cell r="AN472" t="str">
            <v>#N/C.#N/C.#N/C.#N/C.#N/C.#N/C.#N/C.#N/C.#N/C</v>
          </cell>
        </row>
        <row r="473">
          <cell r="AN473" t="str">
            <v>#N/C.#N/C.#N/C.#N/C.#N/C.#N/C.#N/C.#N/C.#N/C</v>
          </cell>
        </row>
        <row r="474">
          <cell r="AN474" t="str">
            <v>Insecta.Diptera.Brachycera.Muscomorpha.Muscoidea.Fanniidae.0.Fannia.#N/C</v>
          </cell>
        </row>
        <row r="475">
          <cell r="AN475" t="str">
            <v>Insecta.Coleoptera.Polyphaga.Cucujiformia.Coccinelloidea.Coccinellidae.Coccinellinae.Harmonia.#N/C</v>
          </cell>
        </row>
        <row r="476">
          <cell r="AN476" t="str">
            <v>#N/C.#N/C.#N/C.#N/C.#N/C.#N/C.#N/C.#N/C.#N/C</v>
          </cell>
        </row>
        <row r="477">
          <cell r="AN477" t="str">
            <v>Insecta.Coleoptera.Polyphaga.Cucujiformia.Coccinelloidea.Coccinellidae.Coccinellinae.Harmonia.#N/C</v>
          </cell>
        </row>
        <row r="478">
          <cell r="AN478" t="str">
            <v>Insecta.Diptera.Brachycera.#N/C.#N/C.#N/C.#N/C.#N/C.#N/C</v>
          </cell>
        </row>
        <row r="479">
          <cell r="AN479" t="str">
            <v>Insecta.Diptera.Brachycera.#N/C.#N/C.#N/C.#N/C.#N/C.#N/C</v>
          </cell>
        </row>
        <row r="480">
          <cell r="AN480" t="str">
            <v>#N/C.#N/C.#N/C.#N/C.#N/C.#N/C.#N/C.#N/C.#N/C</v>
          </cell>
        </row>
        <row r="481">
          <cell r="AN481" t="str">
            <v>#N/C.#N/C.#N/C.#N/C.#N/C.#N/C.#N/C.#N/C.#N/C</v>
          </cell>
        </row>
        <row r="482">
          <cell r="AN482" t="str">
            <v>#N/C.#N/C.#N/C.#N/C.#N/C.#N/C.#N/C.#N/C.#N/C</v>
          </cell>
        </row>
        <row r="483">
          <cell r="AN483" t="str">
            <v>Insecta.Diptera.Brachycera.#N/C.#N/C.#N/C.#N/C.#N/C.#N/C</v>
          </cell>
        </row>
        <row r="484">
          <cell r="AN484" t="str">
            <v>Insecta.Diptera.Brachycera.#N/C.#N/C.#N/C.#N/C.#N/C.#N/C</v>
          </cell>
        </row>
        <row r="485">
          <cell r="AN485" t="str">
            <v>Insecta.Diptera.Brachycera.#N/C.#N/C.#N/C.#N/C.#N/C.#N/C</v>
          </cell>
        </row>
        <row r="486">
          <cell r="AN486" t="str">
            <v>Insecta.Diptera.Brachycera.Muscomorpha.Muscoidea.#N/C.#N/C.#N/C.#N/C</v>
          </cell>
        </row>
        <row r="487">
          <cell r="AN487" t="str">
            <v>Insecta.Diptera.Brachycera.Muscomorpha.Muscoidea.Fanniidae.0.Fannia.#N/C</v>
          </cell>
        </row>
        <row r="488">
          <cell r="AN488" t="str">
            <v>Insecta.Diptera.Brachycera.#N/C.#N/C.#N/C.#N/C.#N/C.#N/C</v>
          </cell>
        </row>
        <row r="489">
          <cell r="AN489" t="str">
            <v>Insecta.Diptera.Brachycera.#N/C.#N/C.#N/C.#N/C.#N/C.#N/C</v>
          </cell>
        </row>
        <row r="490">
          <cell r="AN490" t="str">
            <v>Insecta.Diptera.Brachycera.Muscomorpha.Muscoidea.Fanniidae.0.Fannia.#N/C</v>
          </cell>
        </row>
        <row r="491">
          <cell r="AN491" t="str">
            <v>Insecta.Diptera.Brachycera.#N/C.#N/C.#N/C.#N/C.#N/C.#N/C</v>
          </cell>
        </row>
        <row r="492">
          <cell r="AN492" t="str">
            <v>Insecta.Diptera.Brachycera.Muscomorpha.Syrphoidea.Syrphidae.Syrphinae.Episyrphus.#N/C</v>
          </cell>
        </row>
        <row r="493">
          <cell r="AN493" t="str">
            <v>Insecta.Diptera.Brachycera.Muscomorpha.Ephydroidea.Drosophilidae.Drosophilinae.Drosophila.#N/C</v>
          </cell>
        </row>
        <row r="494">
          <cell r="AN494" t="str">
            <v>Insecta.Diptera.Brachycera.Muscomorpha.Muscoidea.Fanniidae.0.Fannia.#N/C</v>
          </cell>
        </row>
        <row r="495">
          <cell r="AN495" t="str">
            <v>Insecta.Diptera.Brachycera.#N/C.#N/C.#N/C.#N/C.#N/C.#N/C</v>
          </cell>
        </row>
        <row r="496">
          <cell r="AN496" t="str">
            <v>Insecta.Diptera.Brachycera.#N/C.#N/C.#N/C.#N/C.#N/C.#N/C</v>
          </cell>
        </row>
        <row r="497">
          <cell r="AN497" t="str">
            <v>Insecta.Diptera.Brachycera.#N/C.#N/C.#N/C.#N/C.#N/C.#N/C</v>
          </cell>
        </row>
        <row r="498">
          <cell r="AN498" t="str">
            <v>Insecta.Diptera.Brachycera.Muscomorpha.Muscoidea.Fanniidae.0.Fannia.#N/C</v>
          </cell>
        </row>
        <row r="499">
          <cell r="AN499" t="str">
            <v>Insecta.Diptera.Brachycera.#N/C.#N/C.#N/C.#N/C.#N/C.#N/C</v>
          </cell>
        </row>
        <row r="500">
          <cell r="AN500" t="str">
            <v>Insecta.Diptera.Brachycera.#N/C.#N/C.#N/C.#N/C.#N/C.#N/C</v>
          </cell>
        </row>
        <row r="501">
          <cell r="AN501" t="str">
            <v>Insecta.Diptera.Brachycera.#N/C.#N/C.#N/C.#N/C.#N/C.#N/C</v>
          </cell>
        </row>
        <row r="502">
          <cell r="AN502" t="str">
            <v>Insecta.Diptera.Brachycera.#N/C.#N/C.#N/C.#N/C.#N/C.#N/C</v>
          </cell>
        </row>
        <row r="503">
          <cell r="AN503" t="str">
            <v>Insecta.Diptera.Brachycera.Muscomorpha.Muscoidea.#N/C.#N/C.#N/C.#N/C</v>
          </cell>
        </row>
        <row r="504">
          <cell r="AN504" t="str">
            <v>Insecta.Diptera.Brachycera.#N/C.#N/C.#N/C.#N/C.#N/C.#N/C</v>
          </cell>
        </row>
        <row r="505">
          <cell r="AN505" t="str">
            <v>Insecta.Diptera.Brachycera.#N/C.#N/C.#N/C.#N/C.#N/C.#N/C</v>
          </cell>
        </row>
        <row r="506">
          <cell r="AN506" t="str">
            <v>Insecta.Diptera.Brachycera.#N/C.#N/C.#N/C.#N/C.#N/C.#N/C</v>
          </cell>
        </row>
        <row r="507">
          <cell r="AN507" t="str">
            <v>Insecta.Diptera.Brachycera.#N/C.#N/C.#N/C.#N/C.#N/C.#N/C</v>
          </cell>
        </row>
        <row r="508">
          <cell r="AN508" t="str">
            <v>Insecta.Diptera.Brachycera.#N/C.#N/C.#N/C.#N/C.#N/C.#N/C</v>
          </cell>
        </row>
        <row r="509">
          <cell r="AN509" t="str">
            <v>Insecta.Diptera.Brachycera.#N/C.#N/C.#N/C.#N/C.#N/C.#N/C</v>
          </cell>
        </row>
        <row r="510">
          <cell r="AN510" t="str">
            <v>Insecta.Diptera.Brachycera.#N/C.#N/C.#N/C.#N/C.#N/C.#N/C</v>
          </cell>
        </row>
        <row r="511">
          <cell r="AN511" t="str">
            <v>Insecta.Diptera.Brachycera.#N/C.#N/C.#N/C.#N/C.#N/C.#N/C</v>
          </cell>
        </row>
        <row r="512">
          <cell r="AN512" t="str">
            <v>Insecta.Diptera.Brachycera.#N/C.#N/C.#N/C.#N/C.#N/C.#N/C</v>
          </cell>
        </row>
        <row r="513">
          <cell r="AN513" t="str">
            <v>Insecta.Diptera.Brachycera.#N/C.#N/C.#N/C.#N/C.#N/C.#N/C</v>
          </cell>
        </row>
        <row r="514">
          <cell r="AN514" t="str">
            <v>Insecta.Diptera.Brachycera.#N/C.#N/C.#N/C.#N/C.#N/C.#N/C</v>
          </cell>
        </row>
        <row r="515">
          <cell r="AN515" t="str">
            <v>Insecta.Diptera.Brachycera.#N/C.#N/C.#N/C.#N/C.#N/C.#N/C</v>
          </cell>
        </row>
        <row r="516">
          <cell r="AN516" t="str">
            <v>Insecta.Diptera.Brachycera.#N/C.#N/C.#N/C.#N/C.#N/C.#N/C</v>
          </cell>
        </row>
        <row r="517">
          <cell r="AN517" t="str">
            <v>Insecta.Diptera.Brachycera.#N/C.#N/C.#N/C.#N/C.#N/C.#N/C</v>
          </cell>
        </row>
        <row r="518">
          <cell r="AN518" t="str">
            <v>Insecta.Diptera.Brachycera.#N/C.#N/C.#N/C.#N/C.#N/C.#N/C</v>
          </cell>
        </row>
        <row r="519">
          <cell r="AN519" t="str">
            <v>Insecta.Coleoptera.Polyphaga.Cucujiformia.Coccinelloidea.Coccinellidae.Coccinellinae.Harmonia.#N/C</v>
          </cell>
        </row>
        <row r="520">
          <cell r="AN520" t="str">
            <v>Insecta.Diptera.Brachycera.Muscomorpha.Muscoidea.#N/C.#N/C.#N/C.#N/C</v>
          </cell>
        </row>
        <row r="521">
          <cell r="AN521" t="str">
            <v>Insecta.Diptera.Brachycera.#N/C.#N/C.#N/C.#N/C.#N/C.#N/C</v>
          </cell>
        </row>
        <row r="522">
          <cell r="AN522" t="str">
            <v>Insecta.Diptera.Brachycera.Muscomorpha.Muscoidea.Fanniidae.0.Fannia.#N/C</v>
          </cell>
        </row>
        <row r="523">
          <cell r="AN523" t="str">
            <v>Insecta.Diptera.Brachycera.Muscomorpha.Muscoidea.Fanniidae.0.Fannia.#N/C</v>
          </cell>
        </row>
        <row r="524">
          <cell r="AN524" t="str">
            <v>Insecta.Diptera.Brachycera.#N/C.#N/C.#N/C.#N/C.#N/C.#N/C</v>
          </cell>
        </row>
        <row r="525">
          <cell r="AN525" t="str">
            <v>Insecta.Diptera.Brachycera.Muscomorpha.Muscoidea.Fanniidae.0.Fannia.#N/C</v>
          </cell>
        </row>
        <row r="526">
          <cell r="AN526" t="str">
            <v>Insecta.Diptera.Brachycera.#N/C.#N/C.#N/C.#N/C.#N/C.#N/C</v>
          </cell>
        </row>
        <row r="527">
          <cell r="AN527" t="str">
            <v>Insecta.Diptera.Brachycera.#N/C.#N/C.#N/C.#N/C.#N/C.#N/C</v>
          </cell>
        </row>
        <row r="528">
          <cell r="AN528" t="str">
            <v>Insecta.Coleoptera.Polyphaga.Cucujiformia.Coccinelloidea.Coccinellidae.Coccinellinae.Harmonia.#N/C</v>
          </cell>
        </row>
        <row r="529">
          <cell r="AN529" t="str">
            <v>Insecta.Diptera.Brachycera.#N/C.#N/C.#N/C.#N/C.#N/C.#N/C</v>
          </cell>
        </row>
        <row r="530">
          <cell r="AN530" t="str">
            <v>Insecta.Diptera.Brachycera.#N/C.#N/C.#N/C.#N/C.#N/C.#N/C</v>
          </cell>
        </row>
        <row r="531">
          <cell r="AN531" t="str">
            <v>Insecta.Diptera.Brachycera.Muscomorpha.Muscoidea.#N/C.#N/C.#N/C.#N/C</v>
          </cell>
        </row>
        <row r="532">
          <cell r="AN532" t="str">
            <v>Insecta.Diptera.Brachycera.Muscomorpha.Muscoidea.#N/C.#N/C.#N/C.#N/C</v>
          </cell>
        </row>
        <row r="533">
          <cell r="AN533" t="str">
            <v>Insecta.Diptera.Brachycera.Muscomorpha.Oestroidea.#N/C.#N/C.#N/C.#N/C</v>
          </cell>
        </row>
        <row r="534">
          <cell r="AN534" t="str">
            <v>Insecta.Diptera.Brachycera.Muscomorpha.Muscoidea.#N/C.#N/C.#N/C.#N/C</v>
          </cell>
        </row>
        <row r="535">
          <cell r="AN535" t="str">
            <v>Insecta.Diptera.Brachycera.Muscomorpha.Muscoidea.Fanniidae.0.Fannia.#N/C</v>
          </cell>
        </row>
        <row r="536">
          <cell r="AN536" t="str">
            <v>Insecta.Diptera.Brachycera.Muscomorpha.Muscoidea.#N/C.#N/C.#N/C.#N/C</v>
          </cell>
        </row>
        <row r="537">
          <cell r="AN537" t="str">
            <v>Insecta.Diptera.Brachycera.Muscomorpha.Oestroidea.Sarcophagidae.Sarcophaginae.Sarcophaga.#N/C</v>
          </cell>
        </row>
        <row r="538">
          <cell r="AN538" t="str">
            <v>Insecta.Diptera.Brachycera.Muscomorpha.Muscoidea.#N/C.#N/C.#N/C.#N/C</v>
          </cell>
        </row>
        <row r="539">
          <cell r="AN539" t="str">
            <v>Insecta.Diptera.Brachycera.Muscomorpha.Muscoidea.Fanniidae.0.Fannia.#N/C</v>
          </cell>
        </row>
        <row r="540">
          <cell r="AN540" t="str">
            <v>Insecta.Diptera.Brachycera.Muscomorpha.Muscoidea.#N/C.#N/C.#N/C.#N/C</v>
          </cell>
        </row>
        <row r="541">
          <cell r="AN541" t="str">
            <v>Insecta.Diptera.Brachycera.Muscomorpha.Muscoidea.#N/C.#N/C.#N/C.#N/C</v>
          </cell>
        </row>
        <row r="542">
          <cell r="AN542" t="str">
            <v>Insecta.Diptera.Brachycera.Muscomorpha.Muscoidea.Fanniidae.0.Fannia.#N/C</v>
          </cell>
        </row>
        <row r="543">
          <cell r="AN543" t="str">
            <v>Insecta.Diptera.Brachycera.Muscomorpha.Muscoidea.#N/C.#N/C.#N/C.#N/C</v>
          </cell>
        </row>
        <row r="544">
          <cell r="AN544" t="str">
            <v>Insecta.Hymenoptera.Apocrita.Parasitica.Ichneumonoidea.Ichneumonidae.#N/C.#N/C.#N/C</v>
          </cell>
        </row>
        <row r="545">
          <cell r="AN545" t="str">
            <v>Insecta.Coleoptera.Polyphaga.Cucujiformia.Coccinelloidea.Coccinellidae.Coccinellinae.Harmonia.#N/C</v>
          </cell>
        </row>
        <row r="546">
          <cell r="AN546" t="str">
            <v>Insecta.Coleoptera.Polyphaga.Cucujiformia.Coccinelloidea.Coccinellidae.Coccinellinae.Harmonia.#N/C</v>
          </cell>
        </row>
        <row r="547">
          <cell r="AN547" t="str">
            <v>Insecta.Diptera.Brachycera.Muscomorpha.Muscoidea.#N/C.#N/C.#N/C.#N/C</v>
          </cell>
        </row>
        <row r="548">
          <cell r="AN548" t="str">
            <v>Insecta.Diptera.Brachycera.Muscomorpha.Muscoidea.Fanniidae.0.Fannia.#N/C</v>
          </cell>
        </row>
        <row r="549">
          <cell r="AN549" t="str">
            <v>Insecta.Diptera.Brachycera.Muscomorpha.Muscoidea.#N/C.#N/C.#N/C.#N/C</v>
          </cell>
        </row>
        <row r="550">
          <cell r="AN550" t="str">
            <v>Insecta.Coleoptera.Polyphaga.Cucujiformia.Coccinelloidea.Coccinellidae.Coccinellinae.Harmonia.#N/C</v>
          </cell>
        </row>
        <row r="551">
          <cell r="AN551" t="str">
            <v>Insecta.Diptera.Brachycera.Muscomorpha.Muscoidea.#N/C.#N/C.#N/C.#N/C</v>
          </cell>
        </row>
        <row r="552">
          <cell r="AN552" t="str">
            <v>Insecta.Diptera.Brachycera.Asilomorpha.Asiloidea.Asilidae.Asilinae.Tolmerus.#N/C</v>
          </cell>
        </row>
        <row r="553">
          <cell r="AN553" t="str">
            <v>Insecta.Coleoptera.Polyphaga.Cucujiformia.Coccinelloidea.Coccinellidae.Coccinellinae.Harmonia.#N/C</v>
          </cell>
        </row>
        <row r="554">
          <cell r="AN554" t="str">
            <v>Insecta.Diptera.Brachycera.#N/C.#N/C.#N/C.#N/C.#N/C.#N/C</v>
          </cell>
        </row>
        <row r="555">
          <cell r="AN555" t="str">
            <v>Insecta.Diptera.Brachycera.Muscomorpha.Muscoidea.#N/C.#N/C.#N/C.#N/C</v>
          </cell>
        </row>
        <row r="556">
          <cell r="AN556" t="str">
            <v>Insecta.Diptera.Brachycera.Muscomorpha.Muscoidea.#N/C.#N/C.#N/C.#N/C</v>
          </cell>
        </row>
        <row r="557">
          <cell r="AN557" t="str">
            <v>Insecta.Coleoptera.Polyphaga.Cucujiformia.Coccinelloidea.Coccinellidae.Coccinellinae.Harmonia.#N/C</v>
          </cell>
        </row>
        <row r="558">
          <cell r="AN558" t="str">
            <v>Insecta.Diptera.Brachycera.#N/C.#N/C.#N/C.#N/C.#N/C.#N/C</v>
          </cell>
        </row>
        <row r="559">
          <cell r="AN559" t="str">
            <v>Insecta.Diptera.Nematocera.Bibionomorpha.Bibionoidea.Bibionoidea.Bibioninae.Dilophus.#N/C</v>
          </cell>
        </row>
        <row r="560">
          <cell r="AN560" t="str">
            <v>Insecta.Diptera.Brachycera.Muscomorpha.Muscoidea.#N/C.#N/C.#N/C.#N/C</v>
          </cell>
        </row>
        <row r="561">
          <cell r="AN561" t="str">
            <v>Insecta.Diptera.Brachycera.#N/C.#N/C.#N/C.#N/C.#N/C.#N/C</v>
          </cell>
        </row>
        <row r="562">
          <cell r="AN562" t="str">
            <v>Insecta.Diptera.Brachycera.Muscomorpha.Muscoidea.#N/C.#N/C.#N/C.#N/C</v>
          </cell>
        </row>
        <row r="563">
          <cell r="AN563" t="str">
            <v>Insecta.Diptera.Brachycera.Muscomorpha.Muscoidea.Fanniidae.0.Fannia.#N/C</v>
          </cell>
        </row>
        <row r="564">
          <cell r="AN564" t="str">
            <v>Insecta.Diptera.Brachycera.#N/C.#N/C.#N/C.#N/C.#N/C.#N/C</v>
          </cell>
        </row>
        <row r="565">
          <cell r="AN565" t="str">
            <v>Insecta.Diptera.Brachycera.Muscomorpha.Oestroidea.#N/C.#N/C.#N/C.#N/C</v>
          </cell>
        </row>
        <row r="566">
          <cell r="AN566" t="str">
            <v>Insecta.Diptera.Brachycera.Muscomorpha.Oestroidea.Sarcophagidae.#N/C.#N/C.#N/C</v>
          </cell>
        </row>
        <row r="567">
          <cell r="AN567" t="str">
            <v>Insecta.Hemiptera.Auchenorrhyncha.Cicadomorpha.Membracoidea.Cicadellidae.Deltocephalinae.Orientus.#N/C</v>
          </cell>
        </row>
        <row r="568">
          <cell r="AN568" t="str">
            <v>Insecta.Diptera.Brachycera.Muscomorpha.Muscoidea.Fanniidae.0.Fannia.#N/C</v>
          </cell>
        </row>
        <row r="569">
          <cell r="AN569" t="str">
            <v>Insecta.Diptera.Brachycera.Muscomorpha.Muscoidea.#N/C.#N/C.#N/C.#N/C</v>
          </cell>
        </row>
        <row r="570">
          <cell r="AN570" t="str">
            <v>Insecta.Diptera.Brachycera.Muscomorpha.Muscoidea.Fanniidae.0.Fannia.#N/C</v>
          </cell>
        </row>
        <row r="571">
          <cell r="AN571" t="str">
            <v>Insecta.Diptera.Brachycera.#N/C.#N/C.#N/C.#N/C.#N/C.#N/C</v>
          </cell>
        </row>
        <row r="572">
          <cell r="AN572" t="str">
            <v>Insecta.Diptera.Brachycera.#N/C.#N/C.#N/C.#N/C.#N/C.#N/C</v>
          </cell>
        </row>
        <row r="573">
          <cell r="AN573" t="str">
            <v>Insecta.Diptera.Brachycera.Muscomorpha.Syrphoidea.Syrphidae.Syrphinae.Episyrphus.#N/C</v>
          </cell>
        </row>
        <row r="574">
          <cell r="AN574" t="str">
            <v>Insecta.Diptera.Brachycera.Muscomorpha.Muscoidea.#N/C.#N/C.#N/C.#N/C</v>
          </cell>
        </row>
        <row r="575">
          <cell r="AN575" t="str">
            <v>Insecta.Diptera.Brachycera.#N/C.#N/C.#N/C.#N/C.#N/C.#N/C</v>
          </cell>
        </row>
        <row r="576">
          <cell r="AN576" t="str">
            <v>Insecta.Diptera.Brachycera.Muscomorpha.Oestroidea.Tachinidae.#N/C.#N/C.#N/C</v>
          </cell>
        </row>
        <row r="577">
          <cell r="AN577" t="str">
            <v>Insecta.Diptera.Brachycera.Muscomorpha.Oestroidea.Sarcophagidae.Sarcophaginae.Sarcophaga.#N/C</v>
          </cell>
        </row>
        <row r="578">
          <cell r="AN578" t="str">
            <v>Insecta.Diptera.Brachycera.Muscomorpha.Phoroidea.Lonchopteridae.0.Lonchoptera.#N/C</v>
          </cell>
        </row>
        <row r="579">
          <cell r="AN579" t="str">
            <v>Insecta.Diptera.#N/C.#N/C.#N/C.#N/C.#N/C.#N/C.#N/C</v>
          </cell>
        </row>
        <row r="580">
          <cell r="AN580" t="str">
            <v>Insecta.Coleoptera.Polyphaga.Cucujiformia.Coccinelloidea.Coccinellidae.Coccinellinae.Harmonia.#N/C</v>
          </cell>
        </row>
        <row r="581">
          <cell r="AN581" t="str">
            <v>Insecta.Diptera.Brachycera.Muscomorpha.Muscoidea.#N/C.#N/C.#N/C.#N/C</v>
          </cell>
        </row>
        <row r="582">
          <cell r="AN582" t="str">
            <v>Insecta.Diptera.Brachycera.Muscomorpha.Muscoidea.Fanniidae.0.Fannia.#N/C</v>
          </cell>
        </row>
        <row r="583">
          <cell r="AN583" t="str">
            <v>Insecta.Diptera.Brachycera.Muscomorpha.Muscoidea.Anthomyiidae.Anthomyiinae.Anthomyia.#N/C</v>
          </cell>
        </row>
        <row r="584">
          <cell r="AN584" t="str">
            <v>Insecta.Coleoptera.Polyphaga.Cucujiformia.Coccinelloidea.Coccinellidae.Coccinellinae.Harmonia.#N/C</v>
          </cell>
        </row>
        <row r="585">
          <cell r="AN585" t="str">
            <v>Insecta.Diptera.Brachycera.#N/C.#N/C.#N/C.#N/C.#N/C.#N/C</v>
          </cell>
        </row>
        <row r="586">
          <cell r="AN586" t="str">
            <v>Insecta.Diptera.Brachycera.Muscomorpha.Muscoidea.#N/C.#N/C.#N/C.#N/C</v>
          </cell>
        </row>
        <row r="587">
          <cell r="AN587" t="str">
            <v>Insecta.Diptera.Brachycera.#N/C.#N/C.#N/C.#N/C.#N/C.#N/C</v>
          </cell>
        </row>
        <row r="588">
          <cell r="AN588" t="str">
            <v>Insecta.Diptera.Brachycera.Muscomorpha.Oestroidea.Sarcophagidae.#N/C.#N/C.#N/C</v>
          </cell>
        </row>
        <row r="589">
          <cell r="AN589" t="str">
            <v>Insecta.Diptera.Brachycera.Muscomorpha.Muscoidea.#N/C.#N/C.#N/C.#N/C</v>
          </cell>
        </row>
        <row r="590">
          <cell r="AN590" t="str">
            <v>Insecta.Diptera.Brachycera.Muscomorpha.Oestroidea.#N/C.#N/C.#N/C.#N/C</v>
          </cell>
        </row>
        <row r="591">
          <cell r="AN591" t="str">
            <v>Insecta.Diptera.Brachycera.Muscomorpha.Muscoidea.#N/C.#N/C.#N/C.#N/C</v>
          </cell>
        </row>
        <row r="592">
          <cell r="AN592" t="str">
            <v>Insecta.Diptera.Brachycera.Muscomorpha.Oestroidea.#N/C.#N/C.#N/C.#N/C</v>
          </cell>
        </row>
        <row r="593">
          <cell r="AN593" t="str">
            <v>Insecta.Hymenoptera.Apocrita.Aculeata.Vespoidea.Vespidae.Vespinae.#N/C.#N/C</v>
          </cell>
        </row>
        <row r="594">
          <cell r="AN594" t="str">
            <v>Insecta.Hymenoptera.Apocrita.Aculeata.Vespoidea.Vespidae.Vespinae.Vespula.#N/C</v>
          </cell>
        </row>
        <row r="595">
          <cell r="AN595" t="str">
            <v>Insecta.Hymenoptera.Apocrita.Aculeata.Vespoidea.Vespidae.Vespinae.Vespula.#N/C</v>
          </cell>
        </row>
        <row r="596">
          <cell r="AN596" t="str">
            <v>Insecta.Diptera.Brachycera.Muscomorpha.Oestroidea.Sarcophagidae.Sarcophaginae.#N/C.#N/C</v>
          </cell>
        </row>
        <row r="597">
          <cell r="AN597" t="str">
            <v>Insecta.Diptera.Brachycera.#N/C.#N/C.#N/C.#N/C.#N/C.#N/C</v>
          </cell>
        </row>
        <row r="598">
          <cell r="AN598" t="str">
            <v>Insecta.Diptera.Brachycera.#N/C.#N/C.#N/C.#N/C.#N/C.#N/C</v>
          </cell>
        </row>
        <row r="599">
          <cell r="AN599" t="str">
            <v>Insecta.Diptera.Brachycera.#N/C.#N/C.#N/C.#N/C.#N/C.#N/C</v>
          </cell>
        </row>
        <row r="600">
          <cell r="AN600" t="str">
            <v>Insecta.Diptera.Brachycera.Muscomorpha.Muscoidea.#N/C.#N/C.#N/C.#N/C</v>
          </cell>
        </row>
        <row r="601">
          <cell r="AN601" t="str">
            <v>Insecta.Diptera.Brachycera.Muscomorpha.Muscoidea.#N/C.#N/C.#N/C.#N/C</v>
          </cell>
        </row>
        <row r="602">
          <cell r="AN602" t="str">
            <v>Insecta.Diptera.Brachycera.#N/C.#N/C.#N/C.#N/C.#N/C.#N/C</v>
          </cell>
        </row>
        <row r="603">
          <cell r="AN603" t="str">
            <v>Insecta.Diptera.Brachycera.#N/C.#N/C.#N/C.#N/C.#N/C.#N/C</v>
          </cell>
        </row>
        <row r="604">
          <cell r="AN604" t="str">
            <v>Insecta.Diptera.Brachycera.#N/C.#N/C.#N/C.#N/C.#N/C.#N/C</v>
          </cell>
        </row>
        <row r="605">
          <cell r="AN605" t="str">
            <v>Insecta.Diptera.Brachycera.Muscomorpha.Muscoidea.#N/C.#N/C.#N/C.#N/C</v>
          </cell>
        </row>
        <row r="606">
          <cell r="AN606" t="str">
            <v>Insecta.Diptera.Brachycera.#N/C.#N/C.#N/C.#N/C.#N/C.#N/C</v>
          </cell>
        </row>
        <row r="607">
          <cell r="AN607" t="str">
            <v>Insecta.Diptera.Brachycera.#N/C.#N/C.#N/C.#N/C.#N/C.#N/C</v>
          </cell>
        </row>
        <row r="608">
          <cell r="AN608" t="str">
            <v>Insecta.Diptera.Brachycera.Muscomorpha.Muscoidea.Fanniidae.0.Fannia.#N/C</v>
          </cell>
        </row>
        <row r="609">
          <cell r="AN609" t="str">
            <v>Insecta.Diptera.Brachycera.#N/C.#N/C.#N/C.#N/C.#N/C.#N/C</v>
          </cell>
        </row>
        <row r="610">
          <cell r="AN610" t="str">
            <v>Insecta.Diptera.Brachycera.#N/C.#N/C.#N/C.#N/C.#N/C.#N/C</v>
          </cell>
        </row>
        <row r="611">
          <cell r="AN611" t="str">
            <v>Insecta.Diptera.Brachycera.Muscomorpha.Muscoidea.#N/C.#N/C.#N/C.#N/C</v>
          </cell>
        </row>
        <row r="612">
          <cell r="AN612" t="str">
            <v>Insecta.Diptera.Brachycera.#N/C.#N/C.#N/C.#N/C.#N/C.#N/C</v>
          </cell>
        </row>
        <row r="613">
          <cell r="AN613" t="str">
            <v>Insecta.Hymenoptera.Apocrita.Aculeata.Vespoidea.Vespidae.Vespinae.Vespula.#N/C</v>
          </cell>
        </row>
        <row r="614">
          <cell r="AN614" t="str">
            <v>Insecta.Diptera.Brachycera.Muscomorpha.Muscoidea.#N/C.#N/C.#N/C.#N/C</v>
          </cell>
        </row>
        <row r="615">
          <cell r="AN615" t="str">
            <v>Insecta.Diptera.Brachycera.Muscomorpha.Muscoidea.#N/C.#N/C.#N/C.#N/C</v>
          </cell>
        </row>
        <row r="616">
          <cell r="AN616" t="str">
            <v>Insecta.Diptera.Brachycera.Muscomorpha.Muscoidea.Fanniidae.0.Fannia.#N/C</v>
          </cell>
        </row>
        <row r="617">
          <cell r="AN617" t="str">
            <v>Insecta.Diptera.Brachycera.#N/C.#N/C.#N/C.#N/C.#N/C.#N/C</v>
          </cell>
        </row>
        <row r="618">
          <cell r="AN618" t="str">
            <v>Insecta.Diptera.Brachycera.Muscomorpha.Muscoidea.#N/C.#N/C.#N/C.#N/C</v>
          </cell>
        </row>
        <row r="619">
          <cell r="AN619" t="str">
            <v>Insecta.Diptera.Brachycera.#N/C.#N/C.#N/C.#N/C.#N/C.#N/C</v>
          </cell>
        </row>
        <row r="620">
          <cell r="AN620" t="str">
            <v>Insecta.Diptera.Brachycera.Muscomorpha.Muscoidea.#N/C.#N/C.#N/C.#N/C</v>
          </cell>
        </row>
        <row r="621">
          <cell r="AN621" t="str">
            <v>Insecta.Diptera.Brachycera.Muscomorpha.Oestroidea.Tachinidae.Tachininae.Tachina.#N/C</v>
          </cell>
        </row>
        <row r="622">
          <cell r="AN622" t="str">
            <v>Insecta.Diptera.Brachycera.Muscomorpha.Muscoidea.#N/C.#N/C.#N/C.#N/C</v>
          </cell>
        </row>
        <row r="623">
          <cell r="AN623" t="str">
            <v>Insecta.Diptera.Brachycera.Muscomorpha.Ephydroidea.Drosophilidae.Drosophilinae.Drosophila.#N/C</v>
          </cell>
        </row>
        <row r="624">
          <cell r="AN624" t="str">
            <v>Insecta.Hymenoptera.Apocrita.Aculeata.Vespoidea.Vespidae.Vespinae.Vespula.#N/C</v>
          </cell>
        </row>
        <row r="625">
          <cell r="AN625" t="str">
            <v>Insecta.Diptera.Brachycera.#N/C.#N/C.#N/C.#N/C.#N/C.#N/C</v>
          </cell>
        </row>
        <row r="626">
          <cell r="AN626" t="str">
            <v>Insecta.Diptera.Brachycera.Muscomorpha.Oestroidea.Tachinidae.Tachininae.Tachina.#N/C</v>
          </cell>
        </row>
        <row r="627">
          <cell r="AN627" t="str">
            <v>Insecta.Diptera.Brachycera.Muscomorpha.Muscoidea.Fanniidae.0.Fannia.#N/C</v>
          </cell>
        </row>
        <row r="628">
          <cell r="AN628" t="str">
            <v>Insecta.Diptera.Brachycera.Muscomorpha.Muscoidea.Fanniidae.0.Fannia.#N/C</v>
          </cell>
        </row>
        <row r="629">
          <cell r="AN629" t="str">
            <v>Insecta.Diptera.Brachycera.Muscomorpha.Muscoidea.Fanniidae.0.Fannia.#N/C</v>
          </cell>
        </row>
        <row r="630">
          <cell r="AN630" t="str">
            <v>Insecta.Diptera.Brachycera.Muscomorpha.Muscoidea.#N/C.#N/C.#N/C.#N/C</v>
          </cell>
        </row>
        <row r="631">
          <cell r="AN631" t="str">
            <v>Insecta.Diptera.Brachycera.#N/C.#N/C.#N/C.#N/C.#N/C.#N/C</v>
          </cell>
        </row>
        <row r="632">
          <cell r="AN632" t="str">
            <v>Insecta.Hymenoptera.Apocrita.Aculeata.Vespoidea.Vespidae.Vespinae.Vespula.#N/C</v>
          </cell>
        </row>
        <row r="633">
          <cell r="AN633" t="str">
            <v>Insecta.Diptera.Brachycera.Muscomorpha.Muscoidea.#N/C.#N/C.#N/C.#N/C</v>
          </cell>
        </row>
        <row r="634">
          <cell r="AN634" t="str">
            <v>Insecta.Diptera.Brachycera.Muscomorpha.Muscoidea.Fanniidae.0.Fannia.#N/C</v>
          </cell>
        </row>
        <row r="635">
          <cell r="AN635" t="str">
            <v>Insecta.Diptera.Brachycera.#N/C.#N/C.#N/C.#N/C.#N/C.#N/C</v>
          </cell>
        </row>
        <row r="636">
          <cell r="AN636" t="str">
            <v>Insecta.Hymenoptera.Apocrita.Aculeata.Vespoidea.Vespidae.Vespinae.Vespula.#N/C</v>
          </cell>
        </row>
        <row r="637">
          <cell r="AN637" t="str">
            <v>Insecta.Diptera.Brachycera.Muscomorpha.Muscoidea.Fanniidae.0.Fannia.#N/C</v>
          </cell>
        </row>
        <row r="638">
          <cell r="AN638" t="str">
            <v>Insecta.Diptera.Brachycera.Muscomorpha.Muscoidea.#N/C.#N/C.#N/C.#N/C</v>
          </cell>
        </row>
        <row r="639">
          <cell r="AN639" t="str">
            <v>Insecta.Diptera.Brachycera.#N/C.#N/C.#N/C.#N/C.#N/C.#N/C</v>
          </cell>
        </row>
        <row r="640">
          <cell r="AN640" t="str">
            <v>Insecta.Diptera.Brachycera.#N/C.#N/C.#N/C.#N/C.#N/C.#N/C</v>
          </cell>
        </row>
        <row r="641">
          <cell r="AN641" t="str">
            <v>Insecta.Diptera.Brachycera.#N/C.#N/C.#N/C.#N/C.#N/C.#N/C</v>
          </cell>
        </row>
        <row r="642">
          <cell r="AN642" t="str">
            <v>Insecta.Diptera.Brachycera.#N/C.#N/C.#N/C.#N/C.#N/C.#N/C</v>
          </cell>
        </row>
        <row r="643">
          <cell r="AN643" t="str">
            <v>Insecta.Diptera.Brachycera.#N/C.#N/C.#N/C.#N/C.#N/C.#N/C</v>
          </cell>
        </row>
        <row r="644">
          <cell r="AN644" t="str">
            <v>Insecta.Diptera.Brachycera.#N/C.#N/C.#N/C.#N/C.#N/C.#N/C</v>
          </cell>
        </row>
        <row r="645">
          <cell r="AN645" t="str">
            <v>Insecta.Diptera.Brachycera.Muscomorpha.Muscoidea.#N/C.#N/C.#N/C.#N/C</v>
          </cell>
        </row>
        <row r="646">
          <cell r="AN646" t="str">
            <v>Insecta.Diptera.Brachycera.Muscomorpha.Muscoidea.Fanniidae.0.Fannia.#N/C</v>
          </cell>
        </row>
        <row r="647">
          <cell r="AN647" t="str">
            <v>Insecta.Diptera.Brachycera.#N/C.#N/C.#N/C.#N/C.#N/C.#N/C</v>
          </cell>
        </row>
        <row r="648">
          <cell r="AN648" t="str">
            <v>Insecta.Diptera.Brachycera.#N/C.#N/C.#N/C.#N/C.#N/C.#N/C</v>
          </cell>
        </row>
        <row r="649">
          <cell r="AN649" t="str">
            <v>Insecta.Diptera.Brachycera.#N/C.#N/C.#N/C.#N/C.#N/C.#N/C</v>
          </cell>
        </row>
        <row r="650">
          <cell r="AN650" t="str">
            <v>Insecta.Diptera.Brachycera.Muscomorpha.Muscoidea.Fanniidae.0.Fannia.#N/C</v>
          </cell>
        </row>
        <row r="651">
          <cell r="AN651" t="str">
            <v>Insecta.Diptera.Brachycera.Muscomorpha.Tephritoidea.Tephritidae.Tephritinae.Tephritis.#N/C</v>
          </cell>
        </row>
        <row r="652">
          <cell r="AN652" t="str">
            <v>Insecta.Diptera.Brachycera.Muscomorpha.Muscoidea.Fanniidae.0.Fannia.#N/C</v>
          </cell>
        </row>
        <row r="653">
          <cell r="AN653" t="str">
            <v>Insecta.Diptera.Brachycera.Muscomorpha.Muscoidea.#N/C.#N/C.#N/C.#N/C</v>
          </cell>
        </row>
        <row r="654">
          <cell r="AN654" t="str">
            <v>Insecta.Diptera.Brachycera.Muscomorpha.Muscoidea.Fanniidae.0.Fannia.#N/C</v>
          </cell>
        </row>
        <row r="655">
          <cell r="AN655" t="str">
            <v>Insecta.Diptera.Brachycera.#N/C.#N/C.#N/C.#N/C.#N/C.#N/C</v>
          </cell>
        </row>
        <row r="656">
          <cell r="AN656" t="str">
            <v>Insecta.Diptera.Brachycera.#N/C.#N/C.#N/C.#N/C.#N/C.#N/C</v>
          </cell>
        </row>
        <row r="657">
          <cell r="AN657" t="str">
            <v>Insecta.Diptera.Brachycera.#N/C.#N/C.#N/C.#N/C.#N/C.#N/C</v>
          </cell>
        </row>
        <row r="658">
          <cell r="AN658" t="str">
            <v>Insecta.Diptera.Brachycera.Muscomorpha.Muscoidea.Fanniidae.0.Fannia.#N/C</v>
          </cell>
        </row>
        <row r="659">
          <cell r="AN659" t="str">
            <v>Insecta.Diptera.Brachycera.#N/C.#N/C.#N/C.#N/C.#N/C.#N/C</v>
          </cell>
        </row>
        <row r="660">
          <cell r="AN660" t="str">
            <v>Insecta.Diptera.Brachycera.#N/C.#N/C.#N/C.#N/C.#N/C.#N/C</v>
          </cell>
        </row>
        <row r="661">
          <cell r="AN661" t="str">
            <v>Insecta.Diptera.Brachycera.Muscomorpha.Muscoidea.#N/C.#N/C.#N/C.#N/C</v>
          </cell>
        </row>
        <row r="662">
          <cell r="AN662" t="str">
            <v>Insecta.Diptera.Brachycera.Muscomorpha.Muscoidea.#N/C.#N/C.#N/C.#N/C</v>
          </cell>
        </row>
        <row r="663">
          <cell r="AN663" t="str">
            <v>Insecta.Hymenoptera.Apocrita.Aculeata.Vespoidea.Vespidae.Vespinae.Vespula.#N/C</v>
          </cell>
        </row>
        <row r="664">
          <cell r="AN664" t="str">
            <v>Insecta.Diptera.Brachycera.#N/C.#N/C.#N/C.#N/C.#N/C.#N/C</v>
          </cell>
        </row>
        <row r="665">
          <cell r="AN665" t="str">
            <v>Insecta.Diptera.Brachycera.#N/C.#N/C.#N/C.#N/C.#N/C.#N/C</v>
          </cell>
        </row>
        <row r="666">
          <cell r="AN666" t="str">
            <v>Insecta.Diptera.Brachycera.#N/C.#N/C.#N/C.#N/C.#N/C.#N/C</v>
          </cell>
        </row>
        <row r="667">
          <cell r="AN667" t="str">
            <v>Insecta.Diptera.Brachycera.Muscomorpha.Muscoidea.Fanniidae.0.Fannia.#N/C</v>
          </cell>
        </row>
        <row r="668">
          <cell r="AN668" t="str">
            <v>Insecta.Diptera.Brachycera.Muscomorpha.Muscoidea.#N/C.#N/C.#N/C.#N/C</v>
          </cell>
        </row>
        <row r="669">
          <cell r="AN669" t="str">
            <v>Insecta.Diptera.Brachycera.#N/C.#N/C.#N/C.#N/C.#N/C.#N/C</v>
          </cell>
        </row>
        <row r="670">
          <cell r="AN670" t="str">
            <v>Insecta.Diptera.Brachycera.#N/C.#N/C.#N/C.#N/C.#N/C.#N/C</v>
          </cell>
        </row>
        <row r="671">
          <cell r="AN671" t="str">
            <v>Insecta.Diptera.Brachycera.Muscomorpha.Muscoidea.Fanniidae.0.Fannia.#N/C</v>
          </cell>
        </row>
        <row r="672">
          <cell r="AN672" t="str">
            <v>Insecta.Diptera.Brachycera.Muscomorpha.Muscoidea.#N/C.#N/C.#N/C.#N/C</v>
          </cell>
        </row>
        <row r="673">
          <cell r="AN673" t="str">
            <v>Insecta.Diptera.Brachycera.Muscomorpha.Muscoidea.#N/C.#N/C.#N/C.#N/C</v>
          </cell>
        </row>
        <row r="674">
          <cell r="AN674" t="str">
            <v>Insecta.Diptera.Brachycera.#N/C.#N/C.#N/C.#N/C.#N/C.#N/C</v>
          </cell>
        </row>
        <row r="675">
          <cell r="AN675" t="str">
            <v>Insecta.Diptera.Brachycera.Muscomorpha.Muscoidea.#N/C.#N/C.#N/C.#N/C</v>
          </cell>
        </row>
        <row r="676">
          <cell r="AN676" t="str">
            <v>Insecta.Diptera.Brachycera.#N/C.#N/C.#N/C.#N/C.#N/C.#N/C</v>
          </cell>
        </row>
        <row r="677">
          <cell r="AN677" t="str">
            <v>Insecta.Coleoptera.Polyphaga.Cucujiformia.Coccinelloidea.Coccinellidae.Coccinellinae.Harmonia.#N/C</v>
          </cell>
        </row>
        <row r="678">
          <cell r="AN678" t="str">
            <v>Insecta.Diptera.Brachycera.Muscomorpha.Oestroidea.Sarcophagidae.#N/C.#N/C.#N/C</v>
          </cell>
        </row>
        <row r="679">
          <cell r="AN679" t="str">
            <v>Insecta.Coleoptera.Polyphaga.Cucujiformia.Coccinelloidea.Coccinellidae.Coccinellinae.Harmonia.#N/C</v>
          </cell>
        </row>
        <row r="680">
          <cell r="AN680" t="str">
            <v>Insecta.Diptera.Brachycera.Muscomorpha.Muscoidea.Fanniidae.0.Fannia.#N/C</v>
          </cell>
        </row>
        <row r="681">
          <cell r="AN681" t="str">
            <v>Insecta.Diptera.Brachycera.Muscomorpha.Ephydroidea.Ephydroidae.Hydrelliinae.Notiphila.#N/C</v>
          </cell>
        </row>
        <row r="682">
          <cell r="AN682" t="str">
            <v>Insecta.Coleoptera.Polyphaga.Cucujiformia.Coccinelloidea.Coccinellidae.Coccinellinae.Oenopia.#N/C</v>
          </cell>
        </row>
        <row r="683">
          <cell r="AN683" t="str">
            <v>Insecta.Diptera.Brachycera.Muscomorpha.Muscoidea.Fanniidae.0.Fannia.#N/C</v>
          </cell>
        </row>
        <row r="684">
          <cell r="AN684" t="str">
            <v>Insecta.Diptera.Brachycera.Muscomorpha.Muscoidea.#N/C.#N/C.#N/C.#N/C</v>
          </cell>
        </row>
        <row r="685">
          <cell r="AN685" t="str">
            <v>Insecta.Diptera.Brachycera.Muscomorpha.Muscoidea.Muscidae.Muscinae.Musca.#N/C</v>
          </cell>
        </row>
        <row r="686">
          <cell r="AN686" t="str">
            <v>Insecta.Diptera.Brachycera.Asilomorpha.Asiloidea.Asilidae.Asilinae.Tolmerus.#N/C</v>
          </cell>
        </row>
        <row r="687">
          <cell r="AN687" t="str">
            <v>Insecta.Diptera.Brachycera.#N/C.#N/C.#N/C.#N/C.#N/C.#N/C</v>
          </cell>
        </row>
        <row r="688">
          <cell r="AN688" t="str">
            <v>Arachnida.Araneae.Arneomorphae.Araneomorphae.Dictynoidea.Anyphaenidae.Anyphaeninae.Anyphaena.#N/C</v>
          </cell>
        </row>
        <row r="689">
          <cell r="AN689" t="str">
            <v>Insecta.Diptera.Brachycera.Muscomorpha.Lauxanioidea.Lauxaniidae.Lauxaniinae.Calliopum.#N/C</v>
          </cell>
        </row>
        <row r="690">
          <cell r="AN690" t="str">
            <v>Insecta.Diptera.Brachycera.#N/C.#N/C.#N/C.#N/C.#N/C.#N/C</v>
          </cell>
        </row>
        <row r="691">
          <cell r="AN691" t="str">
            <v>Insecta.Hymenoptera.Apocrita.Parasitica.Ichneumonoidea.Ichneumonidae.Xoridinae.Xorides.#N/C</v>
          </cell>
        </row>
        <row r="692">
          <cell r="AN692" t="str">
            <v>Insecta.Diptera.Brachycera.#N/C.#N/C.#N/C.#N/C.#N/C.#N/C</v>
          </cell>
        </row>
        <row r="693">
          <cell r="AN693" t="str">
            <v>Insecta.Diptera.Nematocera.Culicomorpha.Chironomoidea.Chironomidae.Chironominae.Chironomus.#N/C</v>
          </cell>
        </row>
        <row r="694">
          <cell r="AN694" t="str">
            <v>Insecta.Diptera.Brachycera.Muscomorpha.Oestroidea.#N/C.#N/C.#N/C.#N/C</v>
          </cell>
        </row>
        <row r="695">
          <cell r="AN695" t="str">
            <v>Insecta.Coleoptera.Polyphaga.Cucujiformia.Coccinelloidea.Coccinellidae.Coccinellinae.Harmonia.#N/C</v>
          </cell>
        </row>
        <row r="696">
          <cell r="AN696" t="str">
            <v>Insecta.Hemiptera.Heteroptera.Pentatomomorpha.Lygaeoidea.Rhyparochromidae.Rhyparochrominae.Rhyparochromus.#N/C</v>
          </cell>
        </row>
        <row r="697">
          <cell r="AN697" t="str">
            <v>Insecta.Diptera.Brachycera.Muscomorpha.Muscoidea.Fanniidae.0.Fannia.#N/C</v>
          </cell>
        </row>
        <row r="698">
          <cell r="AN698" t="str">
            <v>Insecta.Diptera.Brachycera.Muscomorpha.Oestroidea.Sarcophagidae.#N/C.#N/C.#N/C</v>
          </cell>
        </row>
        <row r="699">
          <cell r="AN699" t="str">
            <v>Insecta.Coleoptera.Polyphaga.Cucujiformia.Coccinelloidea.Coccinellidae.Coccinellinae.Coccinella.#N/C</v>
          </cell>
        </row>
        <row r="700">
          <cell r="AN700" t="str">
            <v>Insecta.Diptera.Brachycera.Muscomorpha.Muscoidea.#N/C.#N/C.#N/C.#N/C</v>
          </cell>
        </row>
        <row r="701">
          <cell r="AN701" t="str">
            <v>Insecta.Hymenoptera.Apocrita.Parasitica.Ichneumonoidea.Ichneumonidae.Campopleginae.Dusona.#N/C</v>
          </cell>
        </row>
        <row r="702">
          <cell r="AN702" t="str">
            <v>Insecta.Hemiptera.Auchenorrhyncha.Cicadomorpha.Membracoidea.Cicadellidae.Deltocephalinae.Orientus.#N/C</v>
          </cell>
        </row>
        <row r="703">
          <cell r="AN703" t="str">
            <v>Insecta.Diptera.Brachycera.Muscomorpha.Muscoidea.#N/C.#N/C.#N/C.#N/C</v>
          </cell>
        </row>
        <row r="704">
          <cell r="AN704" t="str">
            <v>Insecta.Coleoptera.Polyphaga.Cucujiformia.Coccinelloidea.Coccinellidae.Coccinellinae.Harmonia.#N/C</v>
          </cell>
        </row>
        <row r="705">
          <cell r="AN705" t="str">
            <v>Insecta.Diptera.Brachycera.#N/C.#N/C.#N/C.#N/C.#N/C.#N/C</v>
          </cell>
        </row>
        <row r="706">
          <cell r="AN706" t="str">
            <v>Insecta.Diptera.Brachycera.Muscomorpha.Oestroidea.Tachinidae.#N/C.#N/C.#N/C</v>
          </cell>
        </row>
        <row r="707">
          <cell r="AN707" t="str">
            <v>Insecta.Diptera.Brachycera.#N/C.#N/C.#N/C.#N/C.#N/C.#N/C</v>
          </cell>
        </row>
        <row r="708">
          <cell r="AN708" t="str">
            <v>Insecta.Coleoptera.Polyphaga.Cucujiformia.Coccinelloidea.Coccinellidae.Coccinellinae.Harmonia.#N/C</v>
          </cell>
        </row>
        <row r="709">
          <cell r="AN709" t="str">
            <v>Insecta.Diptera.Brachycera.Muscomorpha.Muscoidea.#N/C.#N/C.#N/C.#N/C</v>
          </cell>
        </row>
        <row r="710">
          <cell r="AN710" t="str">
            <v>Insecta.Diptera.Brachycera.#N/C.#N/C.#N/C.#N/C.#N/C.#N/C</v>
          </cell>
        </row>
        <row r="711">
          <cell r="AN711" t="str">
            <v>Insecta.Diptera.Brachycera.#N/C.#N/C.#N/C.#N/C.#N/C.#N/C</v>
          </cell>
        </row>
        <row r="712">
          <cell r="AN712" t="str">
            <v>Insecta.Diptera.Brachycera.#N/C.#N/C.#N/C.#N/C.#N/C.#N/C</v>
          </cell>
        </row>
        <row r="713">
          <cell r="AN713" t="str">
            <v>Insecta.Diptera.Brachycera.Muscomorpha.Muscoidea.#N/C.#N/C.#N/C.#N/C</v>
          </cell>
        </row>
        <row r="714">
          <cell r="AN714" t="str">
            <v>Insecta.Diptera.Brachycera.Muscomorpha.Muscoidea.Fanniidae.0.Fannia.#N/C</v>
          </cell>
        </row>
        <row r="715">
          <cell r="AN715" t="str">
            <v>Insecta.Diptera.Brachycera.#N/C.#N/C.#N/C.#N/C.#N/C.#N/C</v>
          </cell>
        </row>
        <row r="716">
          <cell r="AN716" t="str">
            <v>Insecta.Diptera.Brachycera.#N/C.#N/C.#N/C.#N/C.#N/C.#N/C</v>
          </cell>
        </row>
        <row r="717">
          <cell r="AN717" t="str">
            <v>Insecta.Diptera.Brachycera.#N/C.#N/C.#N/C.#N/C.#N/C.#N/C</v>
          </cell>
        </row>
        <row r="718">
          <cell r="AN718" t="str">
            <v>Insecta.Diptera.Brachycera.#N/C.#N/C.#N/C.#N/C.#N/C.#N/C</v>
          </cell>
        </row>
        <row r="719">
          <cell r="AN719" t="str">
            <v>Insecta.Diptera.Brachycera.Muscomorpha.Muscoidea.Fanniidae.0.Fannia.#N/C</v>
          </cell>
        </row>
        <row r="720">
          <cell r="AN720" t="str">
            <v>Insecta.Diptera.Brachycera.#N/C.#N/C.#N/C.#N/C.#N/C.#N/C</v>
          </cell>
        </row>
        <row r="721">
          <cell r="AN721" t="str">
            <v>Insecta.Diptera.Brachycera.#N/C.#N/C.#N/C.#N/C.#N/C.#N/C</v>
          </cell>
        </row>
        <row r="722">
          <cell r="AN722" t="str">
            <v>Insecta.Diptera.Brachycera.Muscomorpha.Muscoidea.#N/C.#N/C.#N/C.#N/C</v>
          </cell>
        </row>
        <row r="723">
          <cell r="AN723" t="str">
            <v>Insecta.Diptera.Brachycera.Muscomorpha.Sciomyzoidea.Sepsidae.#N/C.#N/C.#N/C</v>
          </cell>
        </row>
        <row r="724">
          <cell r="AN724" t="str">
            <v>Insecta.Diptera.Brachycera.#N/C.#N/C.#N/C.#N/C.#N/C.#N/C</v>
          </cell>
        </row>
        <row r="725">
          <cell r="AN725" t="str">
            <v>Insecta.Diptera.Brachycera.Muscomorpha.Muscoidea.#N/C.#N/C.#N/C.#N/C</v>
          </cell>
        </row>
        <row r="726">
          <cell r="AN726" t="str">
            <v>Insecta.Hymenoptera.Symphyta.0.Tenthredinoidea.Tenthredinidae.Athaliinae.Athalia.#N/C</v>
          </cell>
        </row>
        <row r="727">
          <cell r="AN727" t="str">
            <v>Insecta.Diptera.Brachycera.#N/C.#N/C.#N/C.#N/C.#N/C.#N/C</v>
          </cell>
        </row>
        <row r="728">
          <cell r="AN728" t="str">
            <v>Insecta.Diptera.Brachycera.#N/C.#N/C.#N/C.#N/C.#N/C.#N/C</v>
          </cell>
        </row>
        <row r="729">
          <cell r="AN729" t="str">
            <v>Insecta.Diptera.Brachycera.Muscomorpha.Muscoidea.#N/C.#N/C.#N/C.#N/C</v>
          </cell>
        </row>
        <row r="730">
          <cell r="AN730" t="str">
            <v>Insecta.Diptera.Brachycera.Muscomorpha.Muscoidea.Fanniidae.0.Fannia.#N/C</v>
          </cell>
        </row>
        <row r="731">
          <cell r="AN731" t="str">
            <v>Insecta.Diptera.Brachycera.#N/C.#N/C.#N/C.#N/C.#N/C.#N/C</v>
          </cell>
        </row>
        <row r="732">
          <cell r="AN732" t="str">
            <v>Insecta.Diptera.Brachycera.Muscomorpha.Muscoidea.Fanniidae.0.Fannia.#N/C</v>
          </cell>
        </row>
        <row r="733">
          <cell r="AN733" t="str">
            <v>Insecta.Diptera.Brachycera.#N/C.#N/C.#N/C.#N/C.#N/C.#N/C</v>
          </cell>
        </row>
        <row r="734">
          <cell r="AN734" t="str">
            <v>Insecta.Diptera.Brachycera.#N/C.#N/C.#N/C.#N/C.#N/C.#N/C</v>
          </cell>
        </row>
        <row r="735">
          <cell r="AN735" t="str">
            <v>Insecta.Diptera.Brachycera.Muscomorpha.Muscoidea.#N/C.#N/C.#N/C.#N/C</v>
          </cell>
        </row>
        <row r="736">
          <cell r="AN736" t="str">
            <v>Insecta.Diptera.Brachycera.#N/C.#N/C.#N/C.#N/C.#N/C.#N/C</v>
          </cell>
        </row>
        <row r="737">
          <cell r="AN737" t="str">
            <v>Insecta.Diptera.Brachycera.Muscomorpha.Muscoidea.Fanniidae.0.Fannia.#N/C</v>
          </cell>
        </row>
        <row r="738">
          <cell r="AN738" t="str">
            <v>Insecta.Hymenoptera.Apocrita.Aculeata.Vespoidea.Vespidae.Vespinae.Vespula.#N/C</v>
          </cell>
        </row>
        <row r="739">
          <cell r="AN739" t="str">
            <v>Insecta.Diptera.#N/C.#N/C.#N/C.#N/C.#N/C.#N/C.#N/C</v>
          </cell>
        </row>
        <row r="740">
          <cell r="AN740" t="str">
            <v>Insecta.Hymenoptera.Apocrita.Aculeata.Vespoidea.Vespidae.Vespinae.Vespula.#N/C</v>
          </cell>
        </row>
        <row r="741">
          <cell r="AN741" t="str">
            <v>Insecta.Hymenoptera.Symphyta.0.Tenthredinoidea.Tenthredinidae.Athaliinae.Athalia.#N/C</v>
          </cell>
        </row>
        <row r="742">
          <cell r="AN742" t="str">
            <v>Insecta.Diptera.Brachycera.Muscomorpha.Oestroidea.Tachinidae.Tachininae.Tachina.#N/C</v>
          </cell>
        </row>
        <row r="743">
          <cell r="AN743" t="str">
            <v>Insecta.Diptera.Brachycera.Muscomorpha.Muscoidea.Fanniidae.0.Fannia.#N/C</v>
          </cell>
        </row>
        <row r="744">
          <cell r="AN744" t="str">
            <v>Insecta.Diptera.Brachycera.Muscomorpha.Syrphoidea.Syrphidae.Eristalinae.Eristalis.#N/C</v>
          </cell>
        </row>
        <row r="745">
          <cell r="AN745" t="str">
            <v>Insecta.Diptera.Brachycera.#N/C.#N/C.#N/C.#N/C.#N/C.#N/C</v>
          </cell>
        </row>
        <row r="746">
          <cell r="AN746" t="str">
            <v>Insecta.Diptera.Brachycera.#N/C.#N/C.#N/C.#N/C.#N/C.#N/C</v>
          </cell>
        </row>
        <row r="747">
          <cell r="AN747" t="str">
            <v>Insecta.Diptera.Brachycera.#N/C.#N/C.#N/C.#N/C.#N/C.#N/C</v>
          </cell>
        </row>
        <row r="748">
          <cell r="AN748" t="str">
            <v>Insecta.Diptera.Nematocera.Bibionomorpha.Bibionoidea.Bibionoidea.Bibioninae.Dilophus.#N/C</v>
          </cell>
        </row>
        <row r="749">
          <cell r="AN749" t="str">
            <v>Insecta.Diptera.Brachycera.Muscomorpha.Muscoidea.Fanniidae.0.Fannia.#N/C</v>
          </cell>
        </row>
        <row r="750">
          <cell r="AN750" t="str">
            <v>Insecta.Diptera.Brachycera.Muscomorpha.Lauxanioidea.Lauxaniidae.Lauxaniinae.#N/C.#N/C</v>
          </cell>
        </row>
        <row r="751">
          <cell r="AN751" t="str">
            <v>Insecta.Diptera.Brachycera.Muscomorpha.Muscoidea.Fanniidae.0.Fannia.#N/C</v>
          </cell>
        </row>
        <row r="752">
          <cell r="AN752" t="str">
            <v>Insecta.Diptera.Brachycera.#N/C.#N/C.#N/C.#N/C.#N/C.#N/C</v>
          </cell>
        </row>
        <row r="753">
          <cell r="AN753" t="str">
            <v>Insecta.Diptera.Brachycera.Muscomorpha.Muscoidea.#N/C.#N/C.#N/C.#N/C</v>
          </cell>
        </row>
        <row r="754">
          <cell r="AN754" t="str">
            <v>Insecta.Diptera.Brachycera.#N/C.#N/C.#N/C.#N/C.#N/C.#N/C</v>
          </cell>
        </row>
        <row r="755">
          <cell r="AN755" t="str">
            <v>Insecta.Diptera.Brachycera.Muscomorpha.Muscoidea.Fanniidae.0.Fannia.#N/C</v>
          </cell>
        </row>
        <row r="756">
          <cell r="AN756" t="str">
            <v>Insecta.Diptera.Brachycera.#N/C.#N/C.#N/C.#N/C.#N/C.#N/C</v>
          </cell>
        </row>
        <row r="757">
          <cell r="AN757" t="str">
            <v>Insecta.Diptera.Brachycera.#N/C.#N/C.#N/C.#N/C.#N/C.#N/C</v>
          </cell>
        </row>
        <row r="758">
          <cell r="AN758" t="str">
            <v>Insecta.Diptera.Brachycera.#N/C.#N/C.#N/C.#N/C.#N/C.#N/C</v>
          </cell>
        </row>
        <row r="759">
          <cell r="AN759" t="str">
            <v>Insecta.Diptera.Brachycera.#N/C.#N/C.#N/C.#N/C.#N/C.#N/C</v>
          </cell>
        </row>
        <row r="760">
          <cell r="AN760" t="str">
            <v>Insecta.Lepidoptera.Glossata.Heterocera.Noctuoidea.Noctuidae.#N/C.#N/C.#N/C</v>
          </cell>
        </row>
        <row r="761">
          <cell r="AN761" t="str">
            <v>Insecta.Diptera.Brachycera.#N/C.#N/C.#N/C.#N/C.#N/C.#N/C</v>
          </cell>
        </row>
        <row r="762">
          <cell r="AN762" t="str">
            <v>Insecta.#N/C.#N/C.#N/C.#N/C.#N/C.#N/C.#N/C.#N/C</v>
          </cell>
        </row>
        <row r="763">
          <cell r="AN763" t="str">
            <v>Insecta.Diptera.Brachycera.#N/C.#N/C.#N/C.#N/C.#N/C.#N/C</v>
          </cell>
        </row>
        <row r="764">
          <cell r="AN764" t="str">
            <v>Insecta.Diptera.Brachycera.#N/C.#N/C.#N/C.#N/C.#N/C.#N/C</v>
          </cell>
        </row>
        <row r="765">
          <cell r="AN765" t="str">
            <v>Insecta.Diptera.Brachycera.#N/C.#N/C.#N/C.#N/C.#N/C.#N/C</v>
          </cell>
        </row>
        <row r="766">
          <cell r="AN766" t="str">
            <v>Insecta.#N/C.#N/C.#N/C.#N/C.#N/C.#N/C.#N/C.#N/C</v>
          </cell>
        </row>
        <row r="767">
          <cell r="AN767" t="str">
            <v>Insecta.Diptera.Brachycera.#N/C.#N/C.#N/C.#N/C.#N/C.#N/C</v>
          </cell>
        </row>
        <row r="768">
          <cell r="AN768" t="str">
            <v>Insecta.Diptera.Brachycera.Muscomorpha.Muscoidea.#N/C.#N/C.#N/C.#N/C</v>
          </cell>
        </row>
        <row r="769">
          <cell r="AN769" t="str">
            <v>Insecta.Diptera.Brachycera.#N/C.#N/C.#N/C.#N/C.#N/C.#N/C</v>
          </cell>
        </row>
        <row r="770">
          <cell r="AN770" t="str">
            <v>Insecta.Diptera.Brachycera.Muscomorpha.Lauxanioidea.Lauxaniidae.Lauxaniinae.Calliopum.#N/C</v>
          </cell>
        </row>
        <row r="771">
          <cell r="AN771" t="str">
            <v>Insecta.Diptera.Brachycera.Muscomorpha.Oestroidea.Sarcophagidae.#N/C.#N/C.#N/C</v>
          </cell>
        </row>
        <row r="772">
          <cell r="AN772" t="str">
            <v>Insecta.Diptera.Brachycera.#N/C.#N/C.#N/C.#N/C.#N/C.#N/C</v>
          </cell>
        </row>
        <row r="773">
          <cell r="AN773" t="str">
            <v>Insecta.Diptera.Brachycera.Muscomorpha.Sphaeroceroidea.Sphaeroceridae.#N/C.#N/C.#N/C</v>
          </cell>
        </row>
        <row r="774">
          <cell r="AN774" t="str">
            <v>Insecta.Diptera.Brachycera.#N/C.#N/C.#N/C.#N/C.#N/C.#N/C</v>
          </cell>
        </row>
        <row r="775">
          <cell r="AN775" t="str">
            <v>Insecta.Diptera.Brachycera.Muscomorpha.Oestroidea.Calliphoridae.Calliphorinae.Bellardia.#N/C</v>
          </cell>
        </row>
        <row r="776">
          <cell r="AN776" t="str">
            <v>Insecta.Diptera.Brachycera.#N/C.#N/C.#N/C.#N/C.#N/C.#N/C</v>
          </cell>
        </row>
        <row r="777">
          <cell r="AN777" t="str">
            <v>Insecta.Diptera.Brachycera.Muscomorpha.Muscoidea.Fanniidae.0.Fannia.#N/C</v>
          </cell>
        </row>
        <row r="778">
          <cell r="AN778" t="str">
            <v>Insecta.Diptera.Brachycera.Muscomorpha.Muscoidea.Fanniidae.0.Fannia.#N/C</v>
          </cell>
        </row>
        <row r="779">
          <cell r="AN779" t="str">
            <v>Insecta.Coleoptera.Polyphaga.Cucujiformia.Coccinelloidea.Coccinellidae.Coccinellinae.Harmonia.#N/C</v>
          </cell>
        </row>
        <row r="780">
          <cell r="AN780" t="str">
            <v>Insecta.Diptera.Brachycera.Muscomorpha.Oestroidea.Sarcophagidae.Sarcophaginae.#N/C.#N/C</v>
          </cell>
        </row>
        <row r="781">
          <cell r="AN781" t="str">
            <v>Insecta.Coleoptera.Polyphaga.Cucujiformia.Coccinelloidea.Coccinellidae.Coccinellinae.Harmonia.#N/C</v>
          </cell>
        </row>
        <row r="782">
          <cell r="AN782" t="str">
            <v>Insecta.Coleoptera.Polyphaga.Cucujiformia.Coccinelloidea.Coccinellidae.Coccinellinae.Harmonia.#N/C</v>
          </cell>
        </row>
        <row r="783">
          <cell r="AN783" t="str">
            <v>Insecta.Diptera.Brachycera.Muscomorpha.Muscoidea.Fanniidae.0.Fannia.#N/C</v>
          </cell>
        </row>
        <row r="784">
          <cell r="AN784" t="str">
            <v>Insecta.Diptera.Brachycera.Muscomorpha.Muscoidea.Fanniidae.0.Fannia.#N/C</v>
          </cell>
        </row>
        <row r="785">
          <cell r="AN785" t="str">
            <v>Insecta.Diptera.Brachycera.Muscomorpha.Oestroidea.#N/C.#N/C.#N/C.#N/C</v>
          </cell>
        </row>
        <row r="786">
          <cell r="AN786" t="str">
            <v>Insecta.Hymenoptera.Apocrita.Parasitica.Ichneumonoidea.Ichneumonidae.#N/C.#N/C.#N/C</v>
          </cell>
        </row>
        <row r="787">
          <cell r="AN787" t="str">
            <v>Insecta.Diptera.Brachycera.Muscomorpha.Oestroidea.Tachinidae.Tachininae.Tachina.#N/C</v>
          </cell>
        </row>
        <row r="788">
          <cell r="AN788" t="str">
            <v>Insecta.Coleoptera.Polyphaga.Cucujiformia.Coccinelloidea.Coccinellidae.Coccinellinae.Coccinella.#N/C</v>
          </cell>
        </row>
        <row r="789">
          <cell r="AN789" t="str">
            <v>Insecta.#N/C.#N/C.#N/C.#N/C.#N/C.#N/C.#N/C.#N/C</v>
          </cell>
        </row>
        <row r="790">
          <cell r="AN790" t="str">
            <v>Insecta.Diptera.Brachycera.Muscomorpha.Oestroidea.Sarcophagidae.Sarcophaginae.Sarcophaga.#N/C</v>
          </cell>
        </row>
        <row r="791">
          <cell r="AN791" t="str">
            <v>Insecta.Diptera.Brachycera.#N/C.#N/C.#N/C.#N/C.#N/C.#N/C</v>
          </cell>
        </row>
        <row r="792">
          <cell r="AN792" t="str">
            <v>Insecta.Diptera.Brachycera.Muscomorpha.Syrphoidea.Syrphidae.Syrphinae.Scaeva.#N/C</v>
          </cell>
        </row>
        <row r="793">
          <cell r="AN793" t="str">
            <v>Insecta.Diptera.Brachycera.Muscomorpha.Muscoidea.#N/C.#N/C.#N/C.#N/C</v>
          </cell>
        </row>
        <row r="794">
          <cell r="AN794" t="str">
            <v>Insecta.Diptera.Brachycera.Asilomorpha.Asiloidea.Asilidae.Asilinae.#N/C.#N/C</v>
          </cell>
        </row>
        <row r="795">
          <cell r="AN795" t="str">
            <v>Insecta.Diptera.Brachycera.#N/C.#N/C.#N/C.#N/C.#N/C.#N/C</v>
          </cell>
        </row>
        <row r="796">
          <cell r="AN796" t="str">
            <v>Insecta.Diptera.Brachycera.Muscomorpha.Sphaeroceroidea.Heleomyzidae.#N/C.#N/C.#N/C</v>
          </cell>
        </row>
        <row r="797">
          <cell r="AN797" t="str">
            <v>Insecta.Diptera.Brachycera.Muscomorpha.Oestroidea.Sarcophagidae.Sarcophaginae.Sarcophaga.#N/C</v>
          </cell>
        </row>
        <row r="798">
          <cell r="AN798" t="str">
            <v>Insecta.Coleoptera.Polyphaga.Cucujiformia.Coccinelloidea.Coccinellidae.Chilocorinae.#N/C.#N/C</v>
          </cell>
        </row>
        <row r="799">
          <cell r="AN799" t="str">
            <v>Insecta.Lepidoptera.Glossata.Heterocera.Noctuoidea.Noctuidae.Noctuinae.Mythimna.#N/C</v>
          </cell>
        </row>
        <row r="800">
          <cell r="AN800" t="str">
            <v>Insecta.Diptera.Brachycera.Muscomorpha.Muscoidea.#N/C.#N/C.#N/C.#N/C</v>
          </cell>
        </row>
        <row r="801">
          <cell r="AN801" t="str">
            <v>Insecta.Diptera.Brachycera.Muscomorpha.Oestroidea.#N/C.#N/C.#N/C.#N/C</v>
          </cell>
        </row>
        <row r="802">
          <cell r="AN802" t="str">
            <v>Insecta.Diptera.Brachycera.#N/C.#N/C.#N/C.#N/C.#N/C.#N/C</v>
          </cell>
        </row>
        <row r="803">
          <cell r="AN803" t="str">
            <v>Insecta.Diptera.Brachycera.Muscomorpha.Muscoidea.#N/C.#N/C.#N/C.#N/C</v>
          </cell>
        </row>
        <row r="804">
          <cell r="AN804" t="str">
            <v>Insecta.Coleoptera.Polyphaga.Cucujiformia.Coccinelloidea.Coccinellidae.Coccinellinae.Harmonia.#N/C</v>
          </cell>
        </row>
        <row r="805">
          <cell r="AN805" t="str">
            <v>Insecta.Diptera.Brachycera.Muscomorpha.Oestroidea.Sarcophagidae.Sarcophaginae.Sarcophaga.#N/C</v>
          </cell>
        </row>
        <row r="806">
          <cell r="AN806" t="str">
            <v>Insecta.Diptera.Brachycera.Muscomorpha.Sciomyzoidea.Sepsidae.#N/C.#N/C.#N/C</v>
          </cell>
        </row>
        <row r="807">
          <cell r="AN807" t="str">
            <v>Insecta.Diptera.Brachycera.Muscomorpha.Oestroidea.Sarcophagidae.#N/C.#N/C.#N/C</v>
          </cell>
        </row>
        <row r="808">
          <cell r="AN808" t="str">
            <v>Insecta.Diptera.Brachycera.#N/C.#N/C.#N/C.#N/C.#N/C.#N/C</v>
          </cell>
        </row>
        <row r="809">
          <cell r="AN809" t="str">
            <v>Insecta.Diptera.Brachycera.#N/C.#N/C.#N/C.#N/C.#N/C.#N/C</v>
          </cell>
        </row>
        <row r="810">
          <cell r="AN810" t="str">
            <v>Insecta.Diptera.Brachycera.Muscomorpha.Syrphoidea.Syrphidae.Syrphinae.Episyrphus.#N/C</v>
          </cell>
        </row>
        <row r="811">
          <cell r="AN811" t="str">
            <v>Insecta.Diptera.Brachycera.Muscomorpha.Muscoidea.#N/C.#N/C.#N/C.#N/C</v>
          </cell>
        </row>
        <row r="812">
          <cell r="AN812" t="str">
            <v>Insecta.Diptera.Brachycera.Muscomorpha.Muscoidea.Fanniidae.0.Fannia.#N/C</v>
          </cell>
        </row>
        <row r="813">
          <cell r="AN813" t="str">
            <v>Insecta.Diptera.Brachycera.Muscomorpha.Muscoidea.Fanniidae.0.Fannia.#N/C</v>
          </cell>
        </row>
        <row r="814">
          <cell r="AN814" t="str">
            <v>Insecta.Diptera.Brachycera.Muscomorpha.Syrphoidea.Syrphidae.Syrphinae.Eupeodes.#N/C</v>
          </cell>
        </row>
        <row r="815">
          <cell r="AN815" t="str">
            <v>Insecta.Diptera.Brachycera.Muscomorpha.Muscoidea.Fanniidae.0.Fannia.#N/C</v>
          </cell>
        </row>
        <row r="816">
          <cell r="AN816" t="str">
            <v>Insecta.Diptera.Brachycera.#N/C.#N/C.#N/C.#N/C.#N/C.#N/C</v>
          </cell>
        </row>
        <row r="817">
          <cell r="AN817" t="str">
            <v>Insecta.Diptera.Brachycera.Muscomorpha.Syrphoidea.Syrphidae.Syrphinae.Sphaerophoria.#N/C</v>
          </cell>
        </row>
        <row r="818">
          <cell r="AN818" t="str">
            <v>Insecta.Coleoptera.Polyphaga.Cucujiformia.Chrysomeloidea.Chrysomelidae.Galerucinae.Psylliodes.#N/C</v>
          </cell>
        </row>
        <row r="819">
          <cell r="AN819" t="str">
            <v>Insecta.Coleoptera.Polyphaga.Cucujiformia.Coccinelloidea.Coccinellidae.Coccinellinae.#N/C.#N/C</v>
          </cell>
        </row>
        <row r="820">
          <cell r="AN820" t="str">
            <v>Insecta.Neuroptera.Hemerobiiformia.0.Hemerobioidea.Chrysopidae.Chrysopinae.Chrysoperla.#N/C</v>
          </cell>
        </row>
        <row r="821">
          <cell r="AN821" t="str">
            <v>Insecta.Diptera.Brachycera.Muscomorpha.Muscoidea.#N/C.#N/C.#N/C.#N/C</v>
          </cell>
        </row>
        <row r="822">
          <cell r="AN822" t="str">
            <v>Insecta.Diptera.Brachycera.Muscomorpha.Muscoidea.Fanniidae.0.Fannia.#N/C</v>
          </cell>
        </row>
        <row r="823">
          <cell r="AN823" t="str">
            <v>Insecta.Diptera.Brachycera.Muscomorpha.Muscoidea.Fanniidae.0.Fannia.#N/C</v>
          </cell>
        </row>
        <row r="824">
          <cell r="AN824" t="str">
            <v>Insecta.Hymenoptera.Apocrita.Aculeata.Apoidea.Crabronidae.Crabroninae.Oxybelus.#N/C</v>
          </cell>
        </row>
        <row r="825">
          <cell r="AN825" t="str">
            <v>Insecta.Coleoptera.Polyphaga.Cucujiformia.Coccinelloidea.Coccinellidae.Coccinellinae.#N/C.#N/C</v>
          </cell>
        </row>
        <row r="826">
          <cell r="AN826" t="str">
            <v>Insecta.Diptera.Brachycera.Muscomorpha.Muscoidea.Fanniidae.0.Fannia.#N/C</v>
          </cell>
        </row>
        <row r="827">
          <cell r="AN827" t="str">
            <v>Insecta.Coleoptera.Polyphaga.Cucujiformia.Coccinelloidea.Coccinellidae.Coccinellinae.#N/C.#N/C</v>
          </cell>
        </row>
        <row r="828">
          <cell r="AN828" t="str">
            <v>Insecta.Coleoptera.Polyphaga.Cucujiformia.Coccinelloidea.Coccinellidae.Coccinellinae.#N/C.#N/C</v>
          </cell>
        </row>
        <row r="829">
          <cell r="AN829" t="str">
            <v>Insecta.Diptera.Brachycera.Muscomorpha.Muscoidea.Fanniidae.0.Fannia.#N/C</v>
          </cell>
        </row>
        <row r="830">
          <cell r="AN830" t="str">
            <v>Insecta.Diptera.Brachycera.Muscomorpha.Oestroidea.Sarcophagidae.Sarcophaginae.Sarcophaga.#N/C</v>
          </cell>
        </row>
        <row r="831">
          <cell r="AN831" t="str">
            <v>Insecta.Coleoptera.Polyphaga.Cucujiformia.Chrysomeloidea.Chrysomelidae.Alticinae.#N/C.#N/C</v>
          </cell>
        </row>
        <row r="832">
          <cell r="AN832" t="str">
            <v>Insecta.Coleoptera.Polyphaga.Cucujiformia.Curculionoidea.Curculionidae.Entiminae.Sitona.#N/C</v>
          </cell>
        </row>
        <row r="833">
          <cell r="AN833" t="str">
            <v>Insecta.Diptera.Brachycera.Muscomorpha.Muscoidea.Fanniidae.0.Fannia.#N/C</v>
          </cell>
        </row>
        <row r="834">
          <cell r="AN834" t="str">
            <v>Insecta.Diptera.Brachycera.Muscomorpha.Muscoidea.Fanniidae.0.Fannia.#N/C</v>
          </cell>
        </row>
        <row r="835">
          <cell r="AN835" t="str">
            <v>Insecta.Diptera.Brachycera.Muscomorpha.Muscoidea.Fanniidae.0.Fannia.#N/C</v>
          </cell>
        </row>
        <row r="836">
          <cell r="AN836" t="str">
            <v>Insecta.Diptera.Brachycera.Muscomorpha.Muscoidea.Fanniidae.0.Fannia.#N/C</v>
          </cell>
        </row>
        <row r="837">
          <cell r="AN837" t="str">
            <v>Insecta.Diptera.Brachycera.Asilomorpha.Asiloidea.Asilidae.Asilinae.Tolmerus.#N/C</v>
          </cell>
        </row>
        <row r="838">
          <cell r="AN838" t="str">
            <v>Insecta.Diptera.Brachycera.Muscomorpha.Lauxanioidea.Lauxaniidae.Lauxaniinae.Calliopum.#N/C</v>
          </cell>
        </row>
        <row r="839">
          <cell r="AN839" t="str">
            <v>Insecta.Diptera.Brachycera.Muscomorpha.Syrphoidea.Syrphidae.Syrphinae.Syrphini.#N/C</v>
          </cell>
        </row>
        <row r="840">
          <cell r="AN840" t="str">
            <v>Insecta.Coleoptera.Polyphaga.Cucujiformia.Coccinelloidea.Coccinellidae.Coccinellinae.#N/C.#N/C</v>
          </cell>
        </row>
        <row r="841">
          <cell r="AN841" t="str">
            <v>Insecta.Diptera.Brachycera.Muscomorpha.Muscoidea.#N/C.#N/C.#N/C.#N/C</v>
          </cell>
        </row>
        <row r="842">
          <cell r="AN842" t="str">
            <v>Insecta.Diptera.Brachycera.Asilomorpha.Asiloidea.Asilidae.Asilinae.#N/C.#N/C</v>
          </cell>
        </row>
        <row r="843">
          <cell r="AN843" t="str">
            <v>Insecta.Coleoptera.Polyphaga.Cucujiformia.Coccinelloidea.Coccinellidae.#N/C.#N/C.#N/C</v>
          </cell>
        </row>
        <row r="844">
          <cell r="AN844" t="str">
            <v>Insecta.Coleoptera.Polyphaga.Cucujiformia.Coccinelloidea.Coccinellidae.#N/C.#N/C.#N/C</v>
          </cell>
        </row>
        <row r="845">
          <cell r="AN845" t="str">
            <v>Insecta.Hemiptera.Heteroptera.Pentatomomorpha.Lygaeoidea.Rhyparochromidae.Rhyparochrominae.Rhyparochromus.#N/C</v>
          </cell>
        </row>
        <row r="846">
          <cell r="AN846" t="str">
            <v>Insecta.Diptera.Brachycera.Muscomorpha.Muscoidea.Fanniidae.0.Fannia.#N/C</v>
          </cell>
        </row>
        <row r="847">
          <cell r="AN847" t="str">
            <v>Insecta.Diptera.Brachycera.Muscomorpha.Muscoidea.Fanniidae.0.Fannia.#N/C</v>
          </cell>
        </row>
        <row r="848">
          <cell r="AN848" t="str">
            <v>Insecta.Diptera.Brachycera.Muscomorpha.Muscoidea.Fanniidae.0.Fannia.#N/C</v>
          </cell>
        </row>
        <row r="849">
          <cell r="AN849" t="str">
            <v>Insecta.Coleoptera.Polyphaga.Cucujiformia.Coccinelloidea.Coccinellidae.Coccinellinae.#N/C.#N/C</v>
          </cell>
        </row>
        <row r="850">
          <cell r="AN850" t="str">
            <v>Insecta.Diptera.Brachycera.Muscomorpha.Muscoidea.#N/C.#N/C.#N/C.#N/C</v>
          </cell>
        </row>
        <row r="851">
          <cell r="AN851" t="str">
            <v>Insecta.Diptera.Brachycera.Muscomorpha.Muscoidea.#N/C.#N/C.#N/C.#N/C</v>
          </cell>
        </row>
        <row r="852">
          <cell r="AN852" t="str">
            <v>Insecta.Diptera.Brachycera.Muscomorpha.Muscoidea.Fanniidae.0.Fannia.#N/C</v>
          </cell>
        </row>
        <row r="853">
          <cell r="AN853" t="str">
            <v>Insecta.Diptera.Brachycera.Muscomorpha.Muscoidea.Fanniidae.0.Fannia.#N/C</v>
          </cell>
        </row>
        <row r="854">
          <cell r="AN854" t="str">
            <v>Insecta.Diptera.Brachycera.Muscomorpha.Muscoidea.Fanniidae.0.Fannia.#N/C</v>
          </cell>
        </row>
        <row r="855">
          <cell r="AN855" t="str">
            <v>Insecta.Diptera.Brachycera.Muscomorpha.Oestroidea.Sarcophagidae.Sarcophaginae.#N/C.#N/C</v>
          </cell>
        </row>
        <row r="856">
          <cell r="AN856" t="str">
            <v>Insecta.Diptera.Brachycera.Muscomorpha.Muscoidea.Fanniidae.0.Fannia.#N/C</v>
          </cell>
        </row>
        <row r="857">
          <cell r="AN857" t="str">
            <v>Insecta.Diptera.Brachycera.#N/C.#N/C.#N/C.#N/C.#N/C.#N/C</v>
          </cell>
        </row>
        <row r="858">
          <cell r="AN858" t="str">
            <v>Insecta.Diptera.Brachycera.#N/C.#N/C.#N/C.#N/C.#N/C.#N/C</v>
          </cell>
        </row>
        <row r="859">
          <cell r="AN859" t="str">
            <v>Insecta.Diptera.Brachycera.Muscomorpha.Muscoidea.Fanniidae.0.Fannia.#N/C</v>
          </cell>
        </row>
        <row r="860">
          <cell r="AN860" t="str">
            <v>Insecta.Diptera.Brachycera.Muscomorpha.Muscoidea.Fanniidae.0.Fannia.#N/C</v>
          </cell>
        </row>
        <row r="861">
          <cell r="AN861" t="str">
            <v>Insecta.Hymenoptera.Apocrita.Aculeata.Vespoidea.Vespidae.Vespinae.Vespula.#N/C</v>
          </cell>
        </row>
        <row r="862">
          <cell r="AN862" t="str">
            <v>Insecta.Diptera.Brachycera.Muscomorpha.Muscoidea.Fanniidae.0.Fannia.#N/C</v>
          </cell>
        </row>
        <row r="863">
          <cell r="AN863" t="str">
            <v>Insecta.Diptera.Brachycera.Muscomorpha.Muscoidea.#N/C.#N/C.#N/C.#N/C</v>
          </cell>
        </row>
        <row r="864">
          <cell r="AN864" t="str">
            <v>Insecta.Diptera.Brachycera.#N/C.#N/C.#N/C.#N/C.#N/C.#N/C</v>
          </cell>
        </row>
        <row r="865">
          <cell r="AN865" t="str">
            <v>Insecta.Diptera.Brachycera.#N/C.#N/C.#N/C.#N/C.#N/C.#N/C</v>
          </cell>
        </row>
        <row r="866">
          <cell r="AN866" t="str">
            <v>Insecta.Hymenoptera.Apocrita.Aculeata.Vespoidea.Vespidae.Vespinae.Vespula.#N/C</v>
          </cell>
        </row>
        <row r="867">
          <cell r="AN867" t="str">
            <v>Insecta.Diptera.Brachycera.#N/C.#N/C.#N/C.#N/C.#N/C.#N/C</v>
          </cell>
        </row>
        <row r="868">
          <cell r="AN868" t="str">
            <v>Insecta.Hymenoptera.Apocrita.Aculeata.Vespoidea.Vespidae.Vespinae.Vespula.#N/C</v>
          </cell>
        </row>
        <row r="869">
          <cell r="AN869" t="str">
            <v>Insecta.Diptera.Brachycera.Muscomorpha.Muscoidea.#N/C.#N/C.#N/C.#N/C</v>
          </cell>
        </row>
        <row r="870">
          <cell r="AN870" t="str">
            <v>Insecta.Diptera.Brachycera.Muscomorpha.Oestroidea.Sarcophagidae.#N/C.#N/C.#N/C</v>
          </cell>
        </row>
        <row r="871">
          <cell r="AN871" t="str">
            <v>Insecta.Diptera.Brachycera.#N/C.#N/C.#N/C.#N/C.#N/C.#N/C</v>
          </cell>
        </row>
        <row r="872">
          <cell r="AN872" t="str">
            <v>Insecta.Diptera.Brachycera.Muscomorpha.Muscoidea.Fanniidae.0.Fannia.#N/C</v>
          </cell>
        </row>
        <row r="873">
          <cell r="AN873" t="str">
            <v>Insecta.Diptera.Brachycera.Muscomorpha.Syrphoidea.Syrphidae.Syrphinae.Sphaerophoria.#N/C</v>
          </cell>
        </row>
        <row r="874">
          <cell r="AN874" t="str">
            <v>Insecta.Diptera.Brachycera.Muscomorpha.Muscoidea.Fanniidae.0.Fannia.#N/C</v>
          </cell>
        </row>
        <row r="875">
          <cell r="AN875" t="str">
            <v>Insecta.Diptera.Brachycera.#N/C.#N/C.#N/C.#N/C.#N/C.#N/C</v>
          </cell>
        </row>
        <row r="876">
          <cell r="AN876" t="str">
            <v>Insecta.Diptera.Brachycera.#N/C.#N/C.#N/C.#N/C.#N/C.#N/C</v>
          </cell>
        </row>
        <row r="877">
          <cell r="AN877" t="str">
            <v>Insecta.Diptera.Brachycera.Muscomorpha.Muscoidea.Fanniidae.0.Fannia.#N/C</v>
          </cell>
        </row>
        <row r="878">
          <cell r="AN878" t="str">
            <v>Insecta.Hymenoptera.Apocrita.Aculeata.Vespoidea.Vespidae.Vespinae.Vespula.#N/C</v>
          </cell>
        </row>
        <row r="879">
          <cell r="AN879" t="str">
            <v>Insecta.Diptera.Brachycera.#N/C.#N/C.#N/C.#N/C.#N/C.#N/C</v>
          </cell>
        </row>
        <row r="880">
          <cell r="AN880" t="str">
            <v>Insecta.Diptera.Brachycera.#N/C.#N/C.#N/C.#N/C.#N/C.#N/C</v>
          </cell>
        </row>
        <row r="881">
          <cell r="AN881" t="str">
            <v>Insecta.Diptera.Brachycera.#N/C.#N/C.#N/C.#N/C.#N/C.#N/C</v>
          </cell>
        </row>
        <row r="882">
          <cell r="AN882" t="str">
            <v>Insecta.Diptera.Brachycera.Muscomorpha.Muscoidea.#N/C.#N/C.#N/C.#N/C</v>
          </cell>
        </row>
        <row r="883">
          <cell r="AN883" t="str">
            <v>Insecta.Diptera.Brachycera.Muscomorpha.Ephydroidea.Drosophilidae.Drosophilinae.Drosophila.#N/C</v>
          </cell>
        </row>
        <row r="884">
          <cell r="AN884" t="str">
            <v>Insecta.Diptera.Brachycera.Muscomorpha.Muscoidea.#N/C.#N/C.#N/C.#N/C</v>
          </cell>
        </row>
        <row r="885">
          <cell r="AN885" t="str">
            <v>Insecta.Diptera.Brachycera.Muscomorpha.Muscoidea.Fanniidae.0.Fannia.#N/C</v>
          </cell>
        </row>
        <row r="886">
          <cell r="AN886" t="str">
            <v>Insecta.Diptera.Brachycera.#N/C.#N/C.#N/C.#N/C.#N/C.#N/C</v>
          </cell>
        </row>
        <row r="887">
          <cell r="AN887" t="str">
            <v>Insecta.Diptera.Brachycera.#N/C.#N/C.#N/C.#N/C.#N/C.#N/C</v>
          </cell>
        </row>
        <row r="888">
          <cell r="AN888" t="str">
            <v>Insecta.Diptera.Brachycera.#N/C.#N/C.#N/C.#N/C.#N/C.#N/C</v>
          </cell>
        </row>
        <row r="889">
          <cell r="AN889" t="str">
            <v>Insecta.Diptera.Brachycera.#N/C.#N/C.#N/C.#N/C.#N/C.#N/C</v>
          </cell>
        </row>
        <row r="890">
          <cell r="AN890" t="str">
            <v>Insecta.Diptera.Brachycera.Muscomorpha.Ephydroidea.Drosophilidae.Drosophilinae.Drosophila.#N/C</v>
          </cell>
        </row>
        <row r="891">
          <cell r="AN891" t="str">
            <v>Insecta.Diptera.Brachycera.#N/C.#N/C.#N/C.#N/C.#N/C.#N/C</v>
          </cell>
        </row>
        <row r="892">
          <cell r="AN892" t="str">
            <v>Insecta.Diptera.Brachycera.Muscomorpha.Muscoidea.#N/C.#N/C.#N/C.#N/C</v>
          </cell>
        </row>
        <row r="893">
          <cell r="AN893" t="str">
            <v>Insecta.Diptera.Brachycera.Muscomorpha.Tephritoidea.Tephritidae.Tephritinae.#N/C.#N/C</v>
          </cell>
        </row>
        <row r="894">
          <cell r="AN894" t="str">
            <v>Insecta.#N/C.#N/C.#N/C.#N/C.#N/C.#N/C.#N/C.#N/C</v>
          </cell>
        </row>
        <row r="895">
          <cell r="AN895" t="str">
            <v>Insecta.Diptera.Brachycera.Muscomorpha.Oestroidea.#N/C.#N/C.#N/C.#N/C</v>
          </cell>
        </row>
        <row r="896">
          <cell r="AN896" t="str">
            <v>Insecta.Diptera.Brachycera.Muscomorpha.Ephydroidea.Drosophilidae.Drosophilinae.Drosophila.#N/C</v>
          </cell>
        </row>
        <row r="897">
          <cell r="AN897" t="str">
            <v>Insecta.Diptera.Brachycera.Muscomorpha.Ephydroidea.Drosophilidae.Drosophilinae.#N/C.#N/C</v>
          </cell>
        </row>
        <row r="898">
          <cell r="AN898" t="str">
            <v>Insecta.Diptera.Brachycera.#N/C.#N/C.#N/C.#N/C.#N/C.#N/C</v>
          </cell>
        </row>
        <row r="899">
          <cell r="AN899" t="str">
            <v>Insecta.Hymenoptera.Apocrita.Parasitica.Ichneumonoidea.Ichneumonidae.#N/C.#N/C.#N/C</v>
          </cell>
        </row>
        <row r="900">
          <cell r="AN900" t="str">
            <v>Insecta.Diptera.Brachycera.#N/C.#N/C.#N/C.#N/C.#N/C.#N/C</v>
          </cell>
        </row>
        <row r="901">
          <cell r="AN901" t="str">
            <v>Insecta.Diptera.Brachycera.Muscomorpha.Muscoidea.Fanniidae.0.Fannia.#N/C</v>
          </cell>
        </row>
        <row r="902">
          <cell r="AN902" t="str">
            <v>Insecta.Diptera.Brachycera.Muscomorpha.Oestroidea.Tachinidae.Tachininae.Tachina.#N/C</v>
          </cell>
        </row>
        <row r="903">
          <cell r="AN903" t="str">
            <v>Insecta.Diptera.Brachycera.#N/C.#N/C.#N/C.#N/C.#N/C.#N/C</v>
          </cell>
        </row>
        <row r="904">
          <cell r="AN904" t="str">
            <v>Insecta.Diptera.Brachycera.Muscomorpha.Muscoidea.Fanniidae.0.Fannia.#N/C</v>
          </cell>
        </row>
        <row r="905">
          <cell r="AN905" t="str">
            <v>Insecta.Diptera.Brachycera.Muscomorpha.Ephydroidea.Drosophilidae.Drosophilinae.Drosophila.#N/C</v>
          </cell>
        </row>
        <row r="906">
          <cell r="AN906" t="str">
            <v>Insecta.Diptera.Brachycera.#N/C.#N/C.#N/C.#N/C.#N/C.#N/C</v>
          </cell>
        </row>
        <row r="907">
          <cell r="AN907" t="str">
            <v>Insecta.Diptera.Brachycera.#N/C.#N/C.#N/C.#N/C.#N/C.#N/C</v>
          </cell>
        </row>
        <row r="908">
          <cell r="AN908" t="str">
            <v>Insecta.Diptera.Brachycera.Muscomorpha.Muscoidea.Fanniidae.0.Fannia.#N/C</v>
          </cell>
        </row>
        <row r="909">
          <cell r="AN909" t="str">
            <v>Insecta.Diptera.Brachycera.Muscomorpha.Muscoidea.Fanniidae.0.Fannia.#N/C</v>
          </cell>
        </row>
        <row r="910">
          <cell r="AN910" t="str">
            <v>Insecta.Diptera.Brachycera.Muscomorpha.Muscoidea.Fanniidae.0.Fannia.#N/C</v>
          </cell>
        </row>
        <row r="911">
          <cell r="AN911" t="str">
            <v>Insecta.Diptera.Brachycera.#N/C.#N/C.#N/C.#N/C.#N/C.#N/C</v>
          </cell>
        </row>
        <row r="912">
          <cell r="AN912" t="str">
            <v>Insecta.Diptera.Brachycera.#N/C.#N/C.#N/C.#N/C.#N/C.#N/C</v>
          </cell>
        </row>
        <row r="913">
          <cell r="AN913" t="str">
            <v>Insecta.Diptera.Brachycera.Muscomorpha.Muscoidea.Fanniidae.0.Fannia.#N/C</v>
          </cell>
        </row>
        <row r="914">
          <cell r="AN914" t="str">
            <v>Insecta.Diptera.Brachycera.Muscomorpha.Muscoidea.Fanniidae.0.Fannia.#N/C</v>
          </cell>
        </row>
        <row r="915">
          <cell r="AN915" t="str">
            <v>Insecta.Diptera.Brachycera.Muscomorpha.Ephydroidea.Drosophilidae.Drosophilinae.#N/C.#N/C</v>
          </cell>
        </row>
        <row r="916">
          <cell r="AN916" t="str">
            <v>Insecta.Diptera.Brachycera.Muscomorpha.Muscoidea.Fanniidae.0.Fannia.#N/C</v>
          </cell>
        </row>
        <row r="917">
          <cell r="AN917" t="str">
            <v>Insecta.Hymenoptera.Apocrita.Aculeata.Vespoidea.Vespidae.Vespinae.Vespula.#N/C</v>
          </cell>
        </row>
        <row r="918">
          <cell r="AN918" t="str">
            <v>Insecta.Diptera.Brachycera.#N/C.#N/C.#N/C.#N/C.#N/C.#N/C</v>
          </cell>
        </row>
        <row r="919">
          <cell r="AN919" t="str">
            <v>Insecta.Diptera.Brachycera.Muscomorpha.Muscoidea.Fanniidae.0.Fannia.#N/C</v>
          </cell>
        </row>
        <row r="920">
          <cell r="AN920" t="str">
            <v>Insecta.Diptera.Brachycera.Muscomorpha.Muscoidea.#N/C.#N/C.#N/C.#N/C</v>
          </cell>
        </row>
        <row r="921">
          <cell r="AN921" t="str">
            <v>Insecta.Diptera.Brachycera.Muscomorpha.Muscoidea.Fanniidae.0.Fannia.#N/C</v>
          </cell>
        </row>
        <row r="922">
          <cell r="AN922" t="str">
            <v>Insecta.Diptera.Brachycera.Muscomorpha.Muscoidea.Fanniidae.0.Fannia.#N/C</v>
          </cell>
        </row>
        <row r="923">
          <cell r="AN923" t="str">
            <v>Insecta.Diptera.Brachycera.Muscomorpha.Muscoidea.Fanniidae.0.Fannia.#N/C</v>
          </cell>
        </row>
        <row r="924">
          <cell r="AN924" t="str">
            <v>Insecta.Hemiptera.Heteroptera.Pentatomomorpha.Miroidea.Miridae.Mirinae.#N/C.#N/C</v>
          </cell>
        </row>
        <row r="925">
          <cell r="AN925" t="str">
            <v>Insecta.Diptera.Brachycera.#N/C.#N/C.#N/C.#N/C.#N/C.#N/C</v>
          </cell>
        </row>
        <row r="926">
          <cell r="AN926" t="str">
            <v>Insecta.Diptera.Brachycera.Muscomorpha.Muscoidea.Fanniidae.0.Fannia.#N/C</v>
          </cell>
        </row>
        <row r="927">
          <cell r="AN927" t="str">
            <v>Insecta.Hymenoptera.Apocrita.Aculeata.Vespoidea.Vespidae.Vespinae.Vespula.#N/C</v>
          </cell>
        </row>
        <row r="928">
          <cell r="AN928" t="str">
            <v>Insecta.Diptera.Brachycera.Muscomorpha.Muscoidea.Fanniidae.0.Fannia.#N/C</v>
          </cell>
        </row>
        <row r="929">
          <cell r="AN929" t="str">
            <v>Insecta.Diptera.Brachycera.Muscomorpha.Muscoidea.#N/C.#N/C.#N/C.#N/C</v>
          </cell>
        </row>
        <row r="930">
          <cell r="AN930" t="str">
            <v>Insecta.Diptera.Brachycera.#N/C.#N/C.#N/C.#N/C.#N/C.#N/C</v>
          </cell>
        </row>
        <row r="931">
          <cell r="AN931" t="str">
            <v>Insecta.Diptera.Brachycera.Muscomorpha.Muscoidea.Fanniidae.0.Fannia.#N/C</v>
          </cell>
        </row>
        <row r="932">
          <cell r="AN932" t="str">
            <v>Insecta.Diptera.Brachycera.Muscomorpha.Oestroidea.Sarcophagidae.Sarcophaginae.Sarcophaga.#N/C</v>
          </cell>
        </row>
        <row r="933">
          <cell r="AN933" t="str">
            <v>Insecta.Diptera.Brachycera.#N/C.#N/C.#N/C.#N/C.#N/C.#N/C</v>
          </cell>
        </row>
        <row r="934">
          <cell r="AN934" t="str">
            <v>Insecta.Diptera.Brachycera.Muscomorpha.Muscoidea.Fanniidae.0.Fannia.#N/C</v>
          </cell>
        </row>
        <row r="935">
          <cell r="AN935" t="str">
            <v>Insecta.Diptera.Brachycera.#N/C.#N/C.#N/C.#N/C.#N/C.#N/C</v>
          </cell>
        </row>
        <row r="936">
          <cell r="AN936" t="str">
            <v>Insecta.Diptera.Brachycera.Muscomorpha.Oestroidea.#N/C.#N/C.#N/C.#N/C</v>
          </cell>
        </row>
        <row r="937">
          <cell r="AN937" t="str">
            <v>Insecta.Diptera.Brachycera.#N/C.#N/C.#N/C.#N/C.#N/C.#N/C</v>
          </cell>
        </row>
        <row r="938">
          <cell r="AN938" t="str">
            <v>Insecta.Diptera.Brachycera.Muscomorpha.Tephritoidea.Tephritidae.Trypetinae.Anomoia.#N/C</v>
          </cell>
        </row>
        <row r="939">
          <cell r="AN939" t="str">
            <v>Insecta.Diptera.Brachycera.Muscomorpha.Muscoidea.#N/C.#N/C.#N/C.#N/C</v>
          </cell>
        </row>
        <row r="940">
          <cell r="AN940" t="str">
            <v>Insecta.Diptera.Brachycera.Muscomorpha.Muscoidea.#N/C.#N/C.#N/C.#N/C</v>
          </cell>
        </row>
        <row r="941">
          <cell r="AN941" t="str">
            <v>Insecta.Diptera.Brachycera.Muscomorpha.Muscoidea.Fanniidae.0.Fannia.#N/C</v>
          </cell>
        </row>
        <row r="942">
          <cell r="AN942" t="str">
            <v>Insecta.Diptera.Brachycera.#N/C.#N/C.#N/C.#N/C.#N/C.#N/C</v>
          </cell>
        </row>
        <row r="943">
          <cell r="AN943" t="str">
            <v>Insecta.Diptera.Brachycera.Muscomorpha.Muscoidea.Fanniidae.0.Fannia.#N/C</v>
          </cell>
        </row>
        <row r="944">
          <cell r="AN944" t="str">
            <v>Insecta.Diptera.Brachycera.Muscomorpha.Muscoidea.Fanniidae.0.Fannia.#N/C</v>
          </cell>
        </row>
        <row r="945">
          <cell r="AN945" t="str">
            <v>Insecta.Diptera.Brachycera.Asilomorpha.Asiloidea.Asilidae.Asilinae.#N/C.#N/C</v>
          </cell>
        </row>
        <row r="946">
          <cell r="AN946" t="str">
            <v>Insecta.Diptera.Brachycera.#N/C.#N/C.#N/C.#N/C.#N/C.#N/C</v>
          </cell>
        </row>
        <row r="947">
          <cell r="AN947" t="str">
            <v>Insecta.Diptera.Brachycera.Muscomorpha.Muscoidea.#N/C.#N/C.#N/C.#N/C</v>
          </cell>
        </row>
        <row r="948">
          <cell r="AN948" t="str">
            <v>Insecta.Diptera.Brachycera.#N/C.#N/C.#N/C.#N/C.#N/C.#N/C</v>
          </cell>
        </row>
        <row r="949">
          <cell r="AN949" t="str">
            <v>Insecta.Diptera.Brachycera.#N/C.#N/C.#N/C.#N/C.#N/C.#N/C</v>
          </cell>
        </row>
        <row r="950">
          <cell r="AN950" t="str">
            <v>Insecta.Diptera.Brachycera.#N/C.#N/C.#N/C.#N/C.#N/C.#N/C</v>
          </cell>
        </row>
        <row r="951">
          <cell r="AN951" t="str">
            <v>Insecta.Diptera.Brachycera.Muscomorpha.Muscoidea.Fanniidae.0.Fannia.#N/C</v>
          </cell>
        </row>
        <row r="952">
          <cell r="AN952" t="str">
            <v>Insecta.Diptera.Brachycera.#N/C.#N/C.#N/C.#N/C.#N/C.#N/C</v>
          </cell>
        </row>
        <row r="953">
          <cell r="AN953" t="str">
            <v>Insecta.Diptera.Brachycera.Muscomorpha.Muscoidea.Fanniidae.0.Fannia.#N/C</v>
          </cell>
        </row>
        <row r="954">
          <cell r="AN954" t="str">
            <v>Insecta.Diptera.Brachycera.#N/C.#N/C.#N/C.#N/C.#N/C.#N/C</v>
          </cell>
        </row>
        <row r="955">
          <cell r="AN955" t="str">
            <v>Insecta.Diptera.Brachycera.Muscomorpha.Muscoidea.Fanniidae.0.Fannia.#N/C</v>
          </cell>
        </row>
        <row r="956">
          <cell r="AN956" t="str">
            <v>Insecta.Diptera.Brachycera.Muscomorpha.Muscoidea.#N/C.#N/C.#N/C.#N/C</v>
          </cell>
        </row>
        <row r="957">
          <cell r="AN957" t="str">
            <v>Insecta.Diptera.Brachycera.Muscomorpha.Muscoidea.Fanniidae.0.Fannia.#N/C</v>
          </cell>
        </row>
        <row r="958">
          <cell r="AN958" t="str">
            <v>Insecta.Diptera.Brachycera.#N/C.#N/C.#N/C.#N/C.#N/C.#N/C</v>
          </cell>
        </row>
        <row r="959">
          <cell r="AN959" t="str">
            <v>Insecta.Diptera.Brachycera.#N/C.#N/C.#N/C.#N/C.#N/C.#N/C</v>
          </cell>
        </row>
        <row r="960">
          <cell r="AN960" t="str">
            <v>Insecta.Diptera.Brachycera.Muscomorpha.Muscoidea.#N/C.#N/C.#N/C.#N/C</v>
          </cell>
        </row>
        <row r="961">
          <cell r="AN961" t="str">
            <v>Insecta.Diptera.Brachycera.Muscomorpha.Muscoidea.Fanniidae.0.Fannia.#N/C</v>
          </cell>
        </row>
        <row r="962">
          <cell r="AN962" t="str">
            <v>Insecta.Diptera.Brachycera.Muscomorpha.Muscoidea.Fanniidae.0.Fannia.#N/C</v>
          </cell>
        </row>
        <row r="963">
          <cell r="AN963" t="str">
            <v>Insecta.Diptera.Brachycera.Muscomorpha.Muscoidea.Fanniidae.0.Fannia.#N/C</v>
          </cell>
        </row>
        <row r="964">
          <cell r="AN964" t="str">
            <v>Insecta.Diptera.Brachycera.Muscomorpha.Muscoidea.Fanniidae.0.Fannia.#N/C</v>
          </cell>
        </row>
        <row r="965">
          <cell r="AN965" t="str">
            <v>Insecta.Diptera.Brachycera.Muscomorpha.Muscoidea.Fanniidae.0.Fannia.#N/C</v>
          </cell>
        </row>
        <row r="966">
          <cell r="AN966" t="str">
            <v>Insecta.Diptera.Brachycera.#N/C.#N/C.#N/C.#N/C.#N/C.#N/C</v>
          </cell>
        </row>
        <row r="967">
          <cell r="AN967" t="str">
            <v>Insecta.#N/C.#N/C.#N/C.#N/C.#N/C.#N/C.#N/C.#N/C</v>
          </cell>
        </row>
        <row r="968">
          <cell r="AN968" t="str">
            <v>Insecta.Diptera.Brachycera.#N/C.#N/C.#N/C.#N/C.#N/C.#N/C</v>
          </cell>
        </row>
        <row r="969">
          <cell r="AN969" t="str">
            <v>Insecta.Diptera.Brachycera.Muscomorpha.Muscoidea.#N/C.#N/C.#N/C.#N/C</v>
          </cell>
        </row>
        <row r="970">
          <cell r="AN970" t="str">
            <v>Insecta.Diptera.Brachycera.Muscomorpha.Muscoidea.Fanniidae.0.Fannia.#N/C</v>
          </cell>
        </row>
        <row r="971">
          <cell r="AN971" t="str">
            <v>Insecta.Diptera.Brachycera.Muscomorpha.Tephritoidea.Tephritidae.Trypetinae.Anomoia.#N/C</v>
          </cell>
        </row>
        <row r="972">
          <cell r="AN972" t="str">
            <v>Insecta.Diptera.Brachycera.#N/C.#N/C.#N/C.#N/C.#N/C.#N/C</v>
          </cell>
        </row>
        <row r="973">
          <cell r="AN973" t="str">
            <v>Insecta.Diptera.Brachycera.Muscomorpha.Muscoidea.Fanniidae.0.Fannia.#N/C</v>
          </cell>
        </row>
        <row r="974">
          <cell r="AN974" t="str">
            <v>Insecta.#N/C.#N/C.#N/C.#N/C.#N/C.#N/C.#N/C.#N/C</v>
          </cell>
        </row>
        <row r="975">
          <cell r="AN975" t="str">
            <v>Insecta.Diptera.Brachycera.#N/C.#N/C.#N/C.#N/C.#N/C.#N/C</v>
          </cell>
        </row>
        <row r="976">
          <cell r="AN976" t="str">
            <v>Insecta.Diptera.Brachycera.Muscomorpha.Muscoidea.#N/C.#N/C.#N/C.#N/C</v>
          </cell>
        </row>
        <row r="977">
          <cell r="AN977" t="str">
            <v>Insecta.Diptera.Brachycera.Muscomorpha.Muscoidea.Fanniidae.0.Fannia.#N/C</v>
          </cell>
        </row>
        <row r="978">
          <cell r="AN978" t="str">
            <v>Insecta.Diptera.Brachycera.Muscomorpha.Muscoidea.#N/C.#N/C.#N/C.#N/C</v>
          </cell>
        </row>
        <row r="979">
          <cell r="AN979" t="str">
            <v>Insecta.Diptera.Brachycera.Muscomorpha.Muscoidea.Fanniidae.0.Fannia.#N/C</v>
          </cell>
        </row>
        <row r="980">
          <cell r="AN980" t="str">
            <v>Insecta.Diptera.Brachycera.Muscomorpha.Muscoidea.Fanniidae.0.Fannia.#N/C</v>
          </cell>
        </row>
        <row r="981">
          <cell r="AN981" t="str">
            <v>Insecta.Diptera.Brachycera.Muscomorpha.Muscoidea.#N/C.#N/C.#N/C.#N/C</v>
          </cell>
        </row>
        <row r="982">
          <cell r="AN982" t="str">
            <v>Insecta.Diptera.Brachycera.#N/C.#N/C.#N/C.#N/C.#N/C.#N/C</v>
          </cell>
        </row>
        <row r="983">
          <cell r="AN983" t="str">
            <v>Insecta.Diptera.Brachycera.Muscomorpha.Syrphoidea.Syrphidae.Syrphinae.Episyrphus.#N/C</v>
          </cell>
        </row>
        <row r="984">
          <cell r="AN984" t="str">
            <v>Insecta.Diptera.Brachycera.Muscomorpha.Muscoidea.Fanniidae.0.Fannia.#N/C</v>
          </cell>
        </row>
        <row r="985">
          <cell r="AN985" t="str">
            <v>Insecta.Diptera.Brachycera.Muscomorpha.Ephydroidea.Drosophilidae.Drosophilinae.Drosophila.#N/C</v>
          </cell>
        </row>
        <row r="986">
          <cell r="AN986" t="str">
            <v>Insecta.Diptera.Brachycera.Muscomorpha.Muscoidea.Fanniidae.0.Fannia.#N/C</v>
          </cell>
        </row>
        <row r="987">
          <cell r="AN987" t="str">
            <v>Insecta.Diptera.Brachycera.#N/C.#N/C.#N/C.#N/C.#N/C.#N/C</v>
          </cell>
        </row>
        <row r="988">
          <cell r="AN988" t="str">
            <v>Insecta.Diptera.Brachycera.Muscomorpha.Muscoidea.#N/C.#N/C.#N/C.#N/C</v>
          </cell>
        </row>
        <row r="989">
          <cell r="AN989" t="str">
            <v>Insecta.#N/C.#N/C.#N/C.#N/C.#N/C.#N/C.#N/C.#N/C</v>
          </cell>
        </row>
        <row r="990">
          <cell r="AN990" t="str">
            <v>Insecta.#N/C.#N/C.#N/C.#N/C.#N/C.#N/C.#N/C.#N/C</v>
          </cell>
        </row>
        <row r="991">
          <cell r="AN991" t="str">
            <v>Insecta.Diptera.Brachycera.Muscomorpha.Muscoidea.#N/C.#N/C.#N/C.#N/C</v>
          </cell>
        </row>
        <row r="992">
          <cell r="AN992" t="str">
            <v>Insecta.Diptera.Brachycera.#N/C.#N/C.#N/C.#N/C.#N/C.#N/C</v>
          </cell>
        </row>
        <row r="993">
          <cell r="AN993" t="str">
            <v>Insecta.Diptera.Brachycera.Muscomorpha.Muscoidea.Fanniidae.0.Fannia.#N/C</v>
          </cell>
        </row>
        <row r="994">
          <cell r="AN994" t="str">
            <v>Insecta.#N/C.#N/C.#N/C.#N/C.#N/C.#N/C.#N/C.#N/C</v>
          </cell>
        </row>
        <row r="995">
          <cell r="AN995" t="str">
            <v>Insecta.#N/C.#N/C.#N/C.#N/C.#N/C.#N/C.#N/C.#N/C</v>
          </cell>
        </row>
        <row r="996">
          <cell r="AN996" t="str">
            <v>Insecta.Diptera.Brachycera.Muscomorpha.Phoroidea.Phoridae.#N/C.#N/C.#N/C</v>
          </cell>
        </row>
        <row r="997">
          <cell r="AN997" t="str">
            <v>Insecta.#N/C.#N/C.#N/C.#N/C.#N/C.#N/C.#N/C.#N/C</v>
          </cell>
        </row>
        <row r="998">
          <cell r="AN998" t="str">
            <v>Insecta.Diptera.Brachycera.#N/C.#N/C.#N/C.#N/C.#N/C.#N/C</v>
          </cell>
        </row>
        <row r="999">
          <cell r="AN999" t="str">
            <v>Insecta.Diptera.Brachycera.Muscomorpha.Muscoidea.#N/C.#N/C.#N/C.#N/C</v>
          </cell>
        </row>
        <row r="1000">
          <cell r="AN1000" t="str">
            <v>Insecta.#N/C.#N/C.#N/C.#N/C.#N/C.#N/C.#N/C.#N/C</v>
          </cell>
        </row>
        <row r="1001">
          <cell r="AN1001" t="str">
            <v>Insecta.Diptera.Brachycera.#N/C.#N/C.#N/C.#N/C.#N/C.#N/C</v>
          </cell>
        </row>
        <row r="1002">
          <cell r="AN1002" t="str">
            <v>Insecta.Diptera.Brachycera.Muscomorpha.Muscoidea.#N/C.#N/C.#N/C.#N/C</v>
          </cell>
        </row>
        <row r="1003">
          <cell r="AN1003" t="str">
            <v>insecta.#N/C.#N/C.#N/C.#N/C.#N/C.#N/C.#N/C.#N/C</v>
          </cell>
        </row>
        <row r="1004">
          <cell r="AN1004" t="str">
            <v>Insecta.Diptera.Brachycera.Muscomorpha.Muscoidea.Fanniidae.0.Fannia.#N/C</v>
          </cell>
        </row>
        <row r="1005">
          <cell r="AN1005" t="str">
            <v>Insecta.Diptera.Brachycera.Muscomorpha.Muscoidea.Fanniidae.0.Fannia.#N/C</v>
          </cell>
        </row>
        <row r="1006">
          <cell r="AN1006" t="str">
            <v>Insecta.Diptera.Brachycera.Muscomorpha.Muscoidea.#N/C.#N/C.#N/C.#N/C</v>
          </cell>
        </row>
        <row r="1007">
          <cell r="AN1007" t="str">
            <v>Insecta.Diptera.Brachycera.#N/C.#N/C.#N/C.#N/C.#N/C.#N/C</v>
          </cell>
        </row>
        <row r="1008">
          <cell r="AN1008" t="str">
            <v>Insecta.Diptera.Brachycera.#N/C.#N/C.#N/C.#N/C.#N/C.#N/C</v>
          </cell>
        </row>
        <row r="1009">
          <cell r="AN1009" t="str">
            <v>Insecta.Diptera.Brachycera.Muscomorpha.Sciomyzoidea.Sepsidae.Sepsinae.Parapalaeosepsis.#N/C</v>
          </cell>
        </row>
        <row r="1010">
          <cell r="AN1010" t="str">
            <v>Insecta.Diptera.Brachycera.Muscomorpha.Muscoidea.#N/C.#N/C.#N/C.#N/C</v>
          </cell>
        </row>
        <row r="1011">
          <cell r="AN1011" t="str">
            <v>Insecta.Diptera.Brachycera.#N/C.#N/C.#N/C.#N/C.#N/C.#N/C</v>
          </cell>
        </row>
        <row r="1012">
          <cell r="AN1012" t="str">
            <v>Insecta.Diptera.Brachycera.Muscomorpha.Muscoidea.Fanniidae.0.Fannia.#N/C</v>
          </cell>
        </row>
        <row r="1013">
          <cell r="AN1013" t="str">
            <v>Insecta.Diptera.Brachycera.#N/C.#N/C.#N/C.#N/C.#N/C.#N/C</v>
          </cell>
        </row>
        <row r="1014">
          <cell r="AN1014" t="str">
            <v>Insecta.Diptera.Brachycera.Muscomorpha.Muscoidea.#N/C.#N/C.#N/C.#N/C</v>
          </cell>
        </row>
        <row r="1015">
          <cell r="AN1015" t="str">
            <v>Insecta.Diptera.Brachycera.Muscomorpha.Muscoidea.Fanniidae.0.Fannia.#N/C</v>
          </cell>
        </row>
        <row r="1016">
          <cell r="AN1016" t="str">
            <v>Insecta.Diptera.Brachycera.Muscomorpha.Muscoidea.Fanniidae.0.Fannia.#N/C</v>
          </cell>
        </row>
        <row r="1017">
          <cell r="AN1017" t="str">
            <v>Insecta.Diptera.Brachycera.Muscomorpha.Muscoidea.Fanniidae.0.Fannia.#N/C</v>
          </cell>
        </row>
        <row r="1018">
          <cell r="AN1018" t="str">
            <v>Insecta.Diptera.Brachycera.#N/C.#N/C.#N/C.#N/C.#N/C.#N/C</v>
          </cell>
        </row>
        <row r="1019">
          <cell r="AN1019" t="str">
            <v>Insecta.Diptera.Brachycera.Muscomorpha.Muscoidea.#N/C.#N/C.#N/C.#N/C</v>
          </cell>
        </row>
        <row r="1020">
          <cell r="AN1020" t="str">
            <v>Insecta.Diptera.Brachycera.#N/C.#N/C.#N/C.#N/C.#N/C.#N/C</v>
          </cell>
        </row>
        <row r="1021">
          <cell r="AN1021" t="str">
            <v>Insecta.Diptera.Brachycera.Muscomorpha.Muscoidea.#N/C.#N/C.#N/C.#N/C</v>
          </cell>
        </row>
        <row r="1022">
          <cell r="AN1022" t="str">
            <v>Insecta.Diptera.Brachycera.#N/C.#N/C.#N/C.#N/C.#N/C.#N/C</v>
          </cell>
        </row>
        <row r="1023">
          <cell r="AN1023" t="str">
            <v>Insecta.Diptera.Brachycera.#N/C.#N/C.#N/C.#N/C.#N/C.#N/C</v>
          </cell>
        </row>
        <row r="1024">
          <cell r="AN1024" t="str">
            <v>Insecta.Diptera.Brachycera.#N/C.#N/C.#N/C.#N/C.#N/C.#N/C</v>
          </cell>
        </row>
        <row r="1025">
          <cell r="AN1025" t="str">
            <v>Insecta.Diptera.Brachycera.#N/C.#N/C.#N/C.#N/C.#N/C.#N/C</v>
          </cell>
        </row>
        <row r="1026">
          <cell r="AN1026" t="str">
            <v>Insecta.Diptera.Brachycera.#N/C.#N/C.#N/C.#N/C.#N/C.#N/C</v>
          </cell>
        </row>
        <row r="1027">
          <cell r="AN1027" t="str">
            <v>Insecta.Diptera.Brachycera.Muscomorpha.Muscoidea.Fanniidae.0.Fannia.#N/C</v>
          </cell>
        </row>
        <row r="1028">
          <cell r="AN1028" t="str">
            <v>Insecta.Diptera.Brachycera.Muscomorpha.Muscoidea.Fanniidae.0.Fannia.#N/C</v>
          </cell>
        </row>
        <row r="1029">
          <cell r="AN1029" t="str">
            <v>Insecta.Diptera.Brachycera.#N/C.#N/C.#N/C.#N/C.#N/C.#N/C</v>
          </cell>
        </row>
        <row r="1030">
          <cell r="AN1030" t="str">
            <v>Insecta.Diptera.Brachycera.Muscomorpha.Muscoidea.Fanniidae.0.Fannia.#N/C</v>
          </cell>
        </row>
        <row r="1031">
          <cell r="AN1031" t="str">
            <v>Insecta.Diptera.Brachycera.Muscomorpha.Muscoidea.#N/C.#N/C.#N/C.#N/C</v>
          </cell>
        </row>
        <row r="1032">
          <cell r="AN1032" t="str">
            <v>Insecta.Diptera.Brachycera.Muscomorpha.Muscoidea.Fanniidae.0.Fannia.#N/C</v>
          </cell>
        </row>
        <row r="1033">
          <cell r="AN1033" t="str">
            <v>Insecta.Diptera.Brachycera.Muscomorpha.Muscoidea.Fanniidae.0.Fannia.#N/C</v>
          </cell>
        </row>
        <row r="1034">
          <cell r="AN1034" t="str">
            <v>Insecta.Diptera.Brachycera.#N/C.#N/C.#N/C.#N/C.#N/C.#N/C</v>
          </cell>
        </row>
        <row r="1035">
          <cell r="AN1035" t="str">
            <v>Insecta.Diptera.Brachycera.Muscomorpha.Muscoidea.Fanniidae.0.Fannia.#N/C</v>
          </cell>
        </row>
        <row r="1036">
          <cell r="AN1036" t="str">
            <v>Insecta.Diptera.Brachycera.#N/C.#N/C.#N/C.#N/C.#N/C.#N/C</v>
          </cell>
        </row>
        <row r="1037">
          <cell r="AN1037" t="str">
            <v>#N/C.#N/C.#N/C.#N/C.#N/C.#N/C.#N/C.#N/C.#N/C</v>
          </cell>
        </row>
        <row r="1038">
          <cell r="AN1038" t="str">
            <v>Insecta.Diptera.Brachycera.#N/C.#N/C.#N/C.#N/C.#N/C.#N/C</v>
          </cell>
        </row>
        <row r="1039">
          <cell r="AN1039" t="str">
            <v>Insecta.Diptera.Brachycera.#N/C.#N/C.#N/C.#N/C.#N/C.#N/C</v>
          </cell>
        </row>
        <row r="1040">
          <cell r="AN1040" t="str">
            <v>Insecta.Diptera.Brachycera.Muscomorpha.Muscoidea.#N/C.#N/C.#N/C.#N/C</v>
          </cell>
        </row>
        <row r="1041">
          <cell r="AN1041" t="str">
            <v>Insecta.Diptera.Brachycera.#N/C.#N/C.#N/C.#N/C.#N/C.#N/C</v>
          </cell>
        </row>
        <row r="1042">
          <cell r="AN1042" t="str">
            <v>Insecta.Diptera.Brachycera.#N/C.#N/C.#N/C.#N/C.#N/C.#N/C</v>
          </cell>
        </row>
        <row r="1043">
          <cell r="AN1043" t="str">
            <v>Insecta.Diptera.Brachycera.Muscomorpha.Muscoidea.Fanniidae.0.Fannia.#N/C</v>
          </cell>
        </row>
        <row r="1044">
          <cell r="AN1044" t="str">
            <v>Insecta.Diptera.Brachycera.#N/C.#N/C.#N/C.#N/C.#N/C.#N/C</v>
          </cell>
        </row>
        <row r="1045">
          <cell r="AN1045" t="str">
            <v>Insecta.Diptera.Brachycera.#N/C.#N/C.#N/C.#N/C.#N/C.#N/C</v>
          </cell>
        </row>
        <row r="1046">
          <cell r="AN1046" t="str">
            <v>Insecta.Diptera.Brachycera.Muscomorpha.Phoroidea.Phoridae.Metopininae.Megaselia.#N/C</v>
          </cell>
        </row>
        <row r="1047">
          <cell r="AN1047" t="str">
            <v>Insecta.#N/C.#N/C.#N/C.#N/C.#N/C.#N/C.#N/C.#N/C</v>
          </cell>
        </row>
        <row r="1048">
          <cell r="AN1048" t="str">
            <v>Insecta.Diptera.Brachycera.Muscomorpha.Muscoidea.Fanniidae.0.Fannia.#N/C</v>
          </cell>
        </row>
        <row r="1049">
          <cell r="AN1049" t="str">
            <v>Insecta.Diptera.Brachycera.Muscomorpha.Lauxanioidea.Lauxaniidae.Lauxaniinae.Calliopum.#N/C</v>
          </cell>
        </row>
        <row r="1050">
          <cell r="AN1050" t="str">
            <v>Insecta.Diptera.Brachycera.Muscomorpha.Muscoidea.#N/C.#N/C.#N/C.#N/C</v>
          </cell>
        </row>
        <row r="1051">
          <cell r="AN1051" t="str">
            <v>Insecta.Diptera.Brachycera.Muscomorpha.Muscoidea.#N/C.#N/C.#N/C.#N/C</v>
          </cell>
        </row>
        <row r="1052">
          <cell r="AN1052" t="str">
            <v>Insecta.Hymenoptera.Apocrita.Aculeata.Vespoidea.Vespidae.Vespinae.Vespula.#N/C</v>
          </cell>
        </row>
        <row r="1053">
          <cell r="AN1053" t="str">
            <v>Insecta.Diptera.Brachycera.#N/C.#N/C.#N/C.#N/C.#N/C.#N/C</v>
          </cell>
        </row>
        <row r="1054">
          <cell r="AN1054" t="str">
            <v>Insecta.Diptera.Brachycera.#N/C.#N/C.#N/C.#N/C.#N/C.#N/C</v>
          </cell>
        </row>
        <row r="1055">
          <cell r="AN1055" t="str">
            <v>Insecta.Diptera.Brachycera.Muscomorpha.Muscoidea.Fanniidae.0.Fannia.#N/C</v>
          </cell>
        </row>
        <row r="1056">
          <cell r="AN1056" t="str">
            <v>Insecta.Diptera.Brachycera.Muscomorpha.Muscoidea.Fanniidae.0.Fannia.#N/C</v>
          </cell>
        </row>
        <row r="1057">
          <cell r="AN1057" t="str">
            <v>Insecta.Diptera.Brachycera.Muscomorpha.Oestroidea.Sarcophagidae.#N/C.#N/C.#N/C</v>
          </cell>
        </row>
        <row r="1058">
          <cell r="AN1058" t="str">
            <v>Insecta.Diptera.Brachycera.Muscomorpha.Muscoidea.Fanniidae.0.Fannia.#N/C</v>
          </cell>
        </row>
        <row r="1059">
          <cell r="AN1059" t="str">
            <v>Insecta.Diptera.Brachycera.#N/C.#N/C.#N/C.#N/C.#N/C.#N/C</v>
          </cell>
        </row>
        <row r="1060">
          <cell r="AN1060" t="str">
            <v>Insecta.Diptera.Brachycera.#N/C.#N/C.#N/C.#N/C.#N/C.#N/C</v>
          </cell>
        </row>
        <row r="1061">
          <cell r="AN1061" t="str">
            <v>Insecta.Diptera.Brachycera.Muscomorpha.Muscoidea.Fanniidae.0.Fannia.#N/C</v>
          </cell>
        </row>
        <row r="1062">
          <cell r="AN1062" t="str">
            <v>Insecta.Diptera.Brachycera.Muscomorpha.Muscoidea.Fanniidae.0.Fannia.#N/C</v>
          </cell>
        </row>
        <row r="1063">
          <cell r="AN1063" t="str">
            <v>Insecta.Hymenoptera.Apocrita.Aculeata.Formicoidea.Formicidae.#N/C.#N/C.#N/C</v>
          </cell>
        </row>
        <row r="1064">
          <cell r="AN1064" t="str">
            <v>Insecta.Diptera.Brachycera.Muscomorpha.Muscoidea.#N/C.#N/C.#N/C.#N/C</v>
          </cell>
        </row>
        <row r="1065">
          <cell r="AN1065" t="str">
            <v>Insecta.Diptera.Brachycera.Muscomorpha.Oestroidea.Sarcophagidae.Sarcophaginae.#N/C.#N/C</v>
          </cell>
        </row>
        <row r="1066">
          <cell r="AN1066" t="str">
            <v>Insecta.Diptera.Brachycera.Muscomorpha.Muscoidea.Fanniidae.0.Fannia.#N/C</v>
          </cell>
        </row>
        <row r="1067">
          <cell r="AN1067" t="str">
            <v>Insecta.Diptera.Brachycera.Muscomorpha.Muscoidea.#N/C.#N/C.#N/C.#N/C</v>
          </cell>
        </row>
        <row r="1068">
          <cell r="AN1068" t="str">
            <v>Insecta.Diptera.Brachycera.Muscomorpha.Muscoidea.Fanniidae.0.Fannia.#N/C</v>
          </cell>
        </row>
        <row r="1069">
          <cell r="AN1069" t="str">
            <v>Insecta.Diptera.Brachycera.Muscomorpha.Oestroidea.Tachinidae.Tachininae.Tachina.#N/C</v>
          </cell>
        </row>
        <row r="1070">
          <cell r="AN1070" t="str">
            <v>Insecta.Diptera.Brachycera.Muscomorpha.Oestroidea.Calliphoridae.#N/C.#N/C.#N/C</v>
          </cell>
        </row>
        <row r="1071">
          <cell r="AN1071" t="str">
            <v>Insecta.Diptera.Brachycera.Muscomorpha.Oestroidea.Sarcophagidae.#N/C.#N/C.#N/C</v>
          </cell>
        </row>
        <row r="1072">
          <cell r="AN1072" t="str">
            <v>Insecta.Diptera.Brachycera.Muscomorpha.Muscoidea.Fanniidae.0.Fannia.#N/C</v>
          </cell>
        </row>
        <row r="1073">
          <cell r="AN1073" t="str">
            <v>Insecta.Diptera.Brachycera.Muscomorpha.Muscoidea.Fanniidae.0.Fannia.#N/C</v>
          </cell>
        </row>
        <row r="1074">
          <cell r="AN1074" t="str">
            <v>Insecta.Diptera.Brachycera.#N/C.#N/C.#N/C.#N/C.#N/C.#N/C</v>
          </cell>
        </row>
        <row r="1075">
          <cell r="AN1075" t="str">
            <v>Insecta.Diptera.Brachycera.Muscomorpha.Muscoidea.Fanniidae.0.Fannia.#N/C</v>
          </cell>
        </row>
        <row r="1076">
          <cell r="AN1076" t="str">
            <v>Insecta.Diptera.Brachycera.Muscomorpha.Muscoidea.Fanniidae.0.Fannia.#N/C</v>
          </cell>
        </row>
        <row r="1077">
          <cell r="AN1077" t="str">
            <v>Insecta.Diptera.Brachycera.Muscomorpha.Muscoidea.Fanniidae.0.Fannia.#N/C</v>
          </cell>
        </row>
        <row r="1078">
          <cell r="AN1078" t="str">
            <v>Insecta.Diptera.Brachycera.#N/C.#N/C.#N/C.#N/C.#N/C.#N/C</v>
          </cell>
        </row>
        <row r="1079">
          <cell r="AN1079" t="str">
            <v>Insecta.Diptera.Brachycera.Muscomorpha.Oestroidea.Sarcophagidae.#N/C.#N/C.#N/C</v>
          </cell>
        </row>
        <row r="1080">
          <cell r="AN1080" t="str">
            <v>Insecta.Diptera.Brachycera.Muscomorpha.Muscoidea.Fanniidae.0.Fannia.#N/C</v>
          </cell>
        </row>
        <row r="1081">
          <cell r="AN1081" t="str">
            <v>Insecta.Diptera.Brachycera.#N/C.#N/C.#N/C.#N/C.#N/C.#N/C</v>
          </cell>
        </row>
        <row r="1082">
          <cell r="AN1082" t="str">
            <v>Insecta.Diptera.Brachycera.Muscomorpha.Muscoidea.#N/C.#N/C.#N/C.#N/C</v>
          </cell>
        </row>
        <row r="1083">
          <cell r="AN1083" t="str">
            <v>Insecta.Diptera.Brachycera.Muscomorpha.Carnoidea.Chloropidae.Chloropinae.Thaumatomyia.#N/C</v>
          </cell>
        </row>
        <row r="1084">
          <cell r="AN1084" t="str">
            <v>Insecta.Diptera.Brachycera.#N/C.#N/C.#N/C.#N/C.#N/C.#N/C</v>
          </cell>
        </row>
        <row r="1085">
          <cell r="AN1085" t="str">
            <v>Insecta.Diptera.Brachycera.#N/C.#N/C.#N/C.#N/C.#N/C.#N/C</v>
          </cell>
        </row>
        <row r="1086">
          <cell r="AN1086" t="str">
            <v>Insecta.Diptera.Brachycera.Muscomorpha.Muscoidea.#N/C.#N/C.#N/C.#N/C</v>
          </cell>
        </row>
        <row r="1087">
          <cell r="AN1087" t="str">
            <v>Insecta.Diptera.Brachycera.Muscomorpha.Muscoidea.Fanniidae.0.Fannia.#N/C</v>
          </cell>
        </row>
        <row r="1088">
          <cell r="AN1088" t="str">
            <v>Insecta.Diptera.Brachycera.Muscomorpha.Muscoidea.Fanniidae.0.Fannia.#N/C</v>
          </cell>
        </row>
        <row r="1089">
          <cell r="AN1089" t="str">
            <v>Insecta.Diptera.Brachycera.Muscomorpha.Muscoidea.Fanniidae.0.Fannia.#N/C</v>
          </cell>
        </row>
        <row r="1090">
          <cell r="AN1090" t="str">
            <v>Insecta.Diptera.Brachycera.Muscomorpha.Muscoidea.Fanniidae.0.Fannia.#N/C</v>
          </cell>
        </row>
        <row r="1091">
          <cell r="AN1091" t="str">
            <v>Insecta.Diptera.Brachycera.#N/C.#N/C.#N/C.#N/C.#N/C.#N/C</v>
          </cell>
        </row>
        <row r="1092">
          <cell r="AN1092" t="str">
            <v>Insecta.Diptera.Brachycera.Muscomorpha.Muscoidea.#N/C.#N/C.#N/C.#N/C</v>
          </cell>
        </row>
        <row r="1093">
          <cell r="AN1093" t="str">
            <v>Insecta.Diptera.Brachycera.Muscomorpha.Muscoidea.#N/C.#N/C.#N/C.#N/C</v>
          </cell>
        </row>
        <row r="1094">
          <cell r="AN1094" t="str">
            <v>Insecta.Diptera.Brachycera.Muscomorpha.Muscoidea.#N/C.#N/C.#N/C.#N/C</v>
          </cell>
        </row>
        <row r="1095">
          <cell r="AN1095" t="str">
            <v>Insecta.Diptera.Brachycera.#N/C.#N/C.#N/C.#N/C.#N/C.#N/C</v>
          </cell>
        </row>
        <row r="1096">
          <cell r="AN1096" t="str">
            <v>Insecta.Diptera.Brachycera.Muscomorpha.Muscoidea.Fanniidae.0.Fannia.#N/C</v>
          </cell>
        </row>
        <row r="1097">
          <cell r="AN1097" t="str">
            <v>Insecta.Diptera.Brachycera.#N/C.#N/C.#N/C.#N/C.#N/C.#N/C</v>
          </cell>
        </row>
        <row r="1098">
          <cell r="AN1098" t="str">
            <v>Insecta.Diptera.Brachycera.#N/C.#N/C.#N/C.#N/C.#N/C.#N/C</v>
          </cell>
        </row>
        <row r="1099">
          <cell r="AN1099" t="str">
            <v>Insecta.Diptera.Brachycera.Muscomorpha.Muscoidea.#N/C.#N/C.#N/C.#N/C</v>
          </cell>
        </row>
        <row r="1100">
          <cell r="AN1100" t="str">
            <v>Insecta.Diptera.Brachycera.Muscomorpha.Muscoidea.#N/C.#N/C.#N/C.#N/C</v>
          </cell>
        </row>
        <row r="1101">
          <cell r="AN1101" t="str">
            <v>Insecta.Diptera.Brachycera.#N/C.#N/C.#N/C.#N/C.#N/C.#N/C</v>
          </cell>
        </row>
        <row r="1102">
          <cell r="AN1102" t="str">
            <v>Insecta.Diptera.Brachycera.Muscomorpha.Muscoidea.#N/C.#N/C.#N/C.#N/C</v>
          </cell>
        </row>
        <row r="1103">
          <cell r="AN1103" t="str">
            <v>Insecta.Diptera.Brachycera.Muscomorpha.Muscoidea.Fanniidae.0.Fannia.#N/C</v>
          </cell>
        </row>
        <row r="1104">
          <cell r="AN1104" t="str">
            <v>Insecta.Diptera.Brachycera.#N/C.#N/C.#N/C.#N/C.#N/C.#N/C</v>
          </cell>
        </row>
        <row r="1105">
          <cell r="AN1105" t="str">
            <v>Insecta.Diptera.Brachycera.#N/C.#N/C.#N/C.#N/C.#N/C.#N/C</v>
          </cell>
        </row>
        <row r="1106">
          <cell r="AN1106" t="str">
            <v>Insecta.Diptera.Brachycera.Muscomorpha.Muscoidea.Fanniidae.0.Fannia.#N/C</v>
          </cell>
        </row>
        <row r="1107">
          <cell r="AN1107" t="str">
            <v>Insecta.Diptera.Brachycera.#N/C.#N/C.#N/C.#N/C.#N/C.#N/C</v>
          </cell>
        </row>
        <row r="1108">
          <cell r="AN1108" t="str">
            <v>Insecta.Diptera.Brachycera.Muscomorpha.Muscoidea.Fanniidae.0.Fannia.#N/C</v>
          </cell>
        </row>
        <row r="1109">
          <cell r="AN1109" t="str">
            <v>Insecta.Diptera.Brachycera.Muscomorpha.Muscoidea.Fanniidae.0.Fannia.#N/C</v>
          </cell>
        </row>
        <row r="1110">
          <cell r="AN1110" t="str">
            <v>Insecta.Diptera.Brachycera.Muscomorpha.Syrphoidea.Syrphidae.Syrphinae.Episyrphus.#N/C</v>
          </cell>
        </row>
        <row r="1111">
          <cell r="AN1111" t="str">
            <v>Insecta.Diptera.Brachycera.#N/C.#N/C.#N/C.#N/C.#N/C.#N/C</v>
          </cell>
        </row>
        <row r="1112">
          <cell r="AN1112" t="str">
            <v>Insecta.Diptera.Brachycera.Muscomorpha.Muscoidea.Fanniidae.0.Fannia.#N/C</v>
          </cell>
        </row>
        <row r="1113">
          <cell r="AN1113" t="str">
            <v>Insecta.Diptera.Brachycera.Muscomorpha.Muscoidea.Fanniidae.0.Fannia.#N/C</v>
          </cell>
        </row>
        <row r="1114">
          <cell r="AN1114" t="str">
            <v>Insecta.Diptera.Brachycera.#N/C.#N/C.#N/C.#N/C.#N/C.#N/C</v>
          </cell>
        </row>
        <row r="1115">
          <cell r="AN1115" t="str">
            <v>Insecta.Diptera.Brachycera.Muscomorpha.Oestroidea.Tachinidae.Tachininae.Tachina.#N/C</v>
          </cell>
        </row>
        <row r="1116">
          <cell r="AN1116" t="str">
            <v>Insecta.Diptera.Brachycera.Muscomorpha.Muscoidea.Fanniidae.0.Fannia.#N/C</v>
          </cell>
        </row>
        <row r="1117">
          <cell r="AN1117" t="str">
            <v>Insecta.Diptera.Brachycera.Muscomorpha.Muscoidea.Fanniidae.0.Fannia.#N/C</v>
          </cell>
        </row>
        <row r="1118">
          <cell r="AN1118" t="str">
            <v>Insecta.Diptera.Brachycera.Muscomorpha.Muscoidea.Fanniidae.0.Fannia.#N/C</v>
          </cell>
        </row>
        <row r="1119">
          <cell r="AN1119" t="str">
            <v>Insecta.Diptera.Brachycera.Muscomorpha.Muscoidea.Fanniidae.0.Fannia.#N/C</v>
          </cell>
        </row>
        <row r="1120">
          <cell r="AN1120" t="str">
            <v>Insecta.Diptera.Brachycera.Muscomorpha.Muscoidea.#N/C.#N/C.#N/C.#N/C</v>
          </cell>
        </row>
        <row r="1121">
          <cell r="AN1121" t="str">
            <v>Insecta.Diptera.Brachycera.Muscomorpha.Muscoidea.Fanniidae.0.Fannia.#N/C</v>
          </cell>
        </row>
        <row r="1122">
          <cell r="AN1122" t="str">
            <v>Insecta.Diptera.Brachycera.Muscomorpha.Oestroidea.Calliphoridae.Calliphorinae.Bellardia.#N/C</v>
          </cell>
        </row>
        <row r="1123">
          <cell r="AN1123" t="str">
            <v>Insecta.Diptera.Brachycera.#N/C.#N/C.#N/C.#N/C.#N/C.#N/C</v>
          </cell>
        </row>
        <row r="1124">
          <cell r="AN1124" t="str">
            <v>Insecta.Diptera.Brachycera.Muscomorpha.Oestroidea.Rhinophoridae.0.Paykullia.#N/C</v>
          </cell>
        </row>
        <row r="1125">
          <cell r="AN1125" t="str">
            <v>Insecta.Diptera.Brachycera.Muscomorpha.Muscoidea.Fanniidae.0.Fannia.#N/C</v>
          </cell>
        </row>
        <row r="1126">
          <cell r="AN1126" t="str">
            <v>Insecta.Diptera.Brachycera.#N/C.#N/C.#N/C.#N/C.#N/C.#N/C</v>
          </cell>
        </row>
        <row r="1127">
          <cell r="AN1127" t="str">
            <v>Insecta.Diptera.Brachycera.Muscomorpha.Muscoidea.Fanniidae.0.Fannia.#N/C</v>
          </cell>
        </row>
        <row r="1128">
          <cell r="AN1128" t="str">
            <v>Insecta.Diptera.Brachycera.Muscomorpha.Oestroidea.Sarcophagidae.#N/C.#N/C.#N/C</v>
          </cell>
        </row>
        <row r="1129">
          <cell r="AN1129" t="str">
            <v>Insecta.Diptera.Brachycera.Muscomorpha.Muscoidea.Fanniidae.0.Fannia.#N/C</v>
          </cell>
        </row>
        <row r="1130">
          <cell r="AN1130" t="str">
            <v>Insecta.Diptera.Brachycera.Muscomorpha.Muscoidea.#N/C.#N/C.#N/C.#N/C</v>
          </cell>
        </row>
        <row r="1131">
          <cell r="AN1131" t="str">
            <v>Insecta.Hymenoptera.Apocrita.Aculeata.Vespoidea.Vespidae.Vespinae.Vespula.#N/C</v>
          </cell>
        </row>
        <row r="1132">
          <cell r="AN1132" t="str">
            <v>Insecta.Diptera.Brachycera.Muscomorpha.Muscoidea.#N/C.#N/C.#N/C.#N/C</v>
          </cell>
        </row>
        <row r="1133">
          <cell r="AN1133" t="str">
            <v>Insecta.Hymenoptera.Apocrita.Aculeata.Vespoidea.Vespidae.Vespinae.Vespula.#N/C</v>
          </cell>
        </row>
        <row r="1134">
          <cell r="AN1134" t="str">
            <v>Insecta.Diptera.Brachycera.Muscomorpha.Muscoidea.#N/C.#N/C.#N/C.#N/C</v>
          </cell>
        </row>
        <row r="1135">
          <cell r="AN1135" t="str">
            <v>Insecta.Diptera.Brachycera.#N/C.#N/C.#N/C.#N/C.#N/C.#N/C</v>
          </cell>
        </row>
        <row r="1136">
          <cell r="AN1136" t="str">
            <v>Insecta.Diptera.Brachycera.#N/C.#N/C.#N/C.#N/C.#N/C.#N/C</v>
          </cell>
        </row>
        <row r="1137">
          <cell r="AN1137" t="str">
            <v>Insecta.Diptera.Brachycera.Muscomorpha.Syrphoidea.Syrphidae.Syrphinae.Episyrphus.#N/C</v>
          </cell>
        </row>
        <row r="1138">
          <cell r="AN1138" t="str">
            <v>Insecta.Diptera.Brachycera.Muscomorpha.Muscoidea.Fanniidae.0.Fannia.#N/C</v>
          </cell>
        </row>
        <row r="1139">
          <cell r="AN1139" t="str">
            <v>Insecta.Diptera.Brachycera.Muscomorpha.Muscoidea.#N/C.#N/C.#N/C.#N/C</v>
          </cell>
        </row>
        <row r="1140">
          <cell r="AN1140" t="str">
            <v>Insecta.Diptera.Brachycera.#N/C.#N/C.#N/C.#N/C.#N/C.#N/C</v>
          </cell>
        </row>
        <row r="1141">
          <cell r="AN1141" t="str">
            <v>Insecta.Coleoptera.Polyphaga.Cucujiformia.Coccinelloidea.Coccinellidae.#N/C.#N/C.#N/C</v>
          </cell>
        </row>
        <row r="1142">
          <cell r="AN1142" t="str">
            <v>Insecta.Diptera.Brachycera.Muscomorpha.Muscoidea.Fanniidae.0.Fannia.#N/C</v>
          </cell>
        </row>
        <row r="1143">
          <cell r="AN1143" t="str">
            <v>Insecta.Diptera.Brachycera.#N/C.#N/C.#N/C.#N/C.#N/C.#N/C</v>
          </cell>
        </row>
        <row r="1144">
          <cell r="AN1144" t="str">
            <v>Insecta.Hymenoptera.Apocrita.Parasitica.Chalcidoidea.Eulophidae.#N/C.#N/C.#N/C</v>
          </cell>
        </row>
        <row r="1145">
          <cell r="AN1145" t="str">
            <v>Insecta.#N/C.#N/C.#N/C.#N/C.#N/C.#N/C.#N/C.#N/C</v>
          </cell>
        </row>
        <row r="1146">
          <cell r="AN1146" t="str">
            <v>Insecta.Diptera.Brachycera.Muscomorpha.Oestroidea.#N/C.#N/C.#N/C.#N/C</v>
          </cell>
        </row>
        <row r="1147">
          <cell r="AN1147" t="str">
            <v>Insecta.Diptera.Brachycera.Muscomorpha.Muscoidea.Fanniidae.0.Fannia.#N/C</v>
          </cell>
        </row>
        <row r="1148">
          <cell r="AN1148" t="str">
            <v>Insecta.Diptera.Brachycera.Muscomorpha.Muscoidea.Fanniidae.0.Fannia.#N/C</v>
          </cell>
        </row>
        <row r="1149">
          <cell r="AN1149" t="str">
            <v>Insecta.Coleoptera.Polyphaga.Cucujiformia.Coccinelloidea.Coccinellidae.Coccinellinae.#N/C.#N/C</v>
          </cell>
        </row>
        <row r="1150">
          <cell r="AN1150" t="str">
            <v>Insecta.Diptera.Brachycera.Muscomorpha.Muscoidea.Fanniidae.0.Fannia.#N/C</v>
          </cell>
        </row>
        <row r="1151">
          <cell r="AN1151" t="str">
            <v>Insecta.Diptera.Brachycera.#N/C.#N/C.#N/C.#N/C.#N/C.#N/C</v>
          </cell>
        </row>
        <row r="1152">
          <cell r="AN1152" t="str">
            <v>Insecta.Diptera.Brachycera.#N/C.#N/C.#N/C.#N/C.#N/C.#N/C</v>
          </cell>
        </row>
        <row r="1153">
          <cell r="AN1153" t="str">
            <v>Insecta.Coleoptera.Polyphaga.Cucujiformia.Curculionoidea.Curculionidae.Entiminae.Polydrusus.#N/C</v>
          </cell>
        </row>
        <row r="1154">
          <cell r="AN1154" t="str">
            <v>Insecta.#N/C.#N/C.#N/C.#N/C.#N/C.#N/C.#N/C.#N/C</v>
          </cell>
        </row>
        <row r="1155">
          <cell r="AN1155" t="str">
            <v>Insecta.Diptera.Brachycera.Asilomorpha.Empidoidea.Hybotidae.Tachydromiinae.Tachydromia.#N/C</v>
          </cell>
        </row>
        <row r="1156">
          <cell r="AN1156" t="str">
            <v>Insecta.Coleoptera.Polyphaga.Cucujiformia.Coccinelloidea.Coccinellidae.#N/C.#N/C.#N/C</v>
          </cell>
        </row>
        <row r="1157">
          <cell r="AN1157" t="str">
            <v>Insecta.Diptera.Brachycera.Muscomorpha.Syrphoidea.Syrphidae.Syrphinae.Dasysyrphus.#N/C</v>
          </cell>
        </row>
        <row r="1158">
          <cell r="AN1158" t="str">
            <v>Insecta.Hymenoptera.Apocrita.Parasitica.Ichneumonoidea.Ichneumonidae.Phygadeuontinae.Gelis.#N/C</v>
          </cell>
        </row>
        <row r="1159">
          <cell r="AN1159" t="str">
            <v>Insecta.Diptera.Brachycera.Muscomorpha.Syrphoidea.Syrphidae.Syrphinae.Dasysyrphus.#N/C</v>
          </cell>
        </row>
        <row r="1160">
          <cell r="AN1160" t="str">
            <v>Insecta.Diptera.#N/C.#N/C.#N/C.#N/C.#N/C.#N/C.#N/C</v>
          </cell>
        </row>
        <row r="1161">
          <cell r="AN1161" t="str">
            <v>Insecta.Diptera.Brachycera.Muscomorpha.Muscoidea.#N/C.#N/C.#N/C.#N/C</v>
          </cell>
        </row>
        <row r="1162">
          <cell r="AN1162" t="str">
            <v>Insecta.Diptera.Brachycera.Muscomorpha.Tephritoidea.Pallopteridae.Pallopteridae.Palloptera.#N/C</v>
          </cell>
        </row>
        <row r="1163">
          <cell r="AN1163" t="str">
            <v>Insecta.Diptera.Brachycera.#N/C.#N/C.#N/C.#N/C.#N/C.#N/C</v>
          </cell>
        </row>
        <row r="1164">
          <cell r="AN1164" t="str">
            <v>Insecta.Coleoptera.Polyphaga.Cucujiformia.Coccinelloidea.Coccinellidae.#N/C.#N/C.#N/C</v>
          </cell>
        </row>
        <row r="1165">
          <cell r="AN1165" t="str">
            <v>Insecta.Dermaptera.Forficulina.0.Forficuloidea.Forficulidae.Forficulinae.Forficula.#N/C</v>
          </cell>
        </row>
        <row r="1166">
          <cell r="AN1166" t="str">
            <v>Insecta.Diptera.Brachycera.Muscomorpha.Muscoidea.Fanniidae.0.Fannia.#N/C</v>
          </cell>
        </row>
        <row r="1167">
          <cell r="AN1167" t="str">
            <v>Insecta.Diptera.Brachycera.Muscomorpha.Muscoidea.Fanniidae.0.Fannia.#N/C</v>
          </cell>
        </row>
        <row r="1168">
          <cell r="AN1168" t="str">
            <v>Insecta.Coleoptera.Polyphaga.Cucujiformia.Coccinelloidea.Coccinellidae.#N/C.#N/C.#N/C</v>
          </cell>
        </row>
        <row r="1169">
          <cell r="AN1169" t="str">
            <v>Insecta.Hymenoptera.Apocrita.Aculeata.Vespoidea.Vespidae.Eumeninae.Ancistrocerus.#N/C</v>
          </cell>
        </row>
        <row r="1170">
          <cell r="AN1170" t="str">
            <v>Insecta.Diptera.Brachycera.Muscomorpha.Muscoidea.#N/C.#N/C.#N/C.#N/C</v>
          </cell>
        </row>
        <row r="1171">
          <cell r="AN1171" t="str">
            <v>Insecta.Diptera.Brachycera.Muscomorpha.Syrphoidea.Syrphidae.Syrphinae.Episyrphus.#N/C</v>
          </cell>
        </row>
        <row r="1172">
          <cell r="AN1172" t="str">
            <v>Insecta.Diptera.Brachycera.Muscomorpha.Muscoidea.Fanniidae.0.Fannia.#N/C</v>
          </cell>
        </row>
        <row r="1173">
          <cell r="AN1173" t="str">
            <v>Insecta.Diptera.Brachycera.Muscomorpha.Muscoidea.Fanniidae.0.Fannia.#N/C</v>
          </cell>
        </row>
        <row r="1174">
          <cell r="AN1174" t="str">
            <v>Insecta.Diptera.Brachycera.Muscomorpha.Muscoidea.#N/C.#N/C.#N/C.#N/C</v>
          </cell>
        </row>
        <row r="1175">
          <cell r="AN1175" t="str">
            <v>Insecta.Diptera.Brachycera.Muscomorpha.Muscoidea.#N/C.#N/C.#N/C.#N/C</v>
          </cell>
        </row>
        <row r="1176">
          <cell r="AN1176" t="str">
            <v>Insecta.Coleoptera.Polyphaga.Cucujiformia.Coccinelloidea.Coccinellidae.Coccinellinae.#N/C.#N/C</v>
          </cell>
        </row>
        <row r="1177">
          <cell r="AN1177" t="str">
            <v>Insecta.Diptera.Brachycera.Asilomorpha.Asiloidea.Asilidae.Laphriinae.#N/C.#N/C</v>
          </cell>
        </row>
        <row r="1178">
          <cell r="AN1178" t="str">
            <v>Insecta.Diptera.Brachycera.Muscomorpha.Syrphoidea.Syrphidae.Syrphinae.Episyrphus.#N/C</v>
          </cell>
        </row>
        <row r="1179">
          <cell r="AN1179" t="str">
            <v>Insecta.Diptera.Brachycera.Muscomorpha.Muscoidea.Fanniidae.0.Fannia.#N/C</v>
          </cell>
        </row>
        <row r="1180">
          <cell r="AN1180" t="str">
            <v>Insecta.Coleoptera.Polyphaga.Cucujiformia.Coccinelloidea.Coccinellidae.Coccinellinae.#N/C.#N/C</v>
          </cell>
        </row>
        <row r="1181">
          <cell r="AN1181" t="str">
            <v>Insecta.Coleoptera.Polyphaga.Cucujiformia.Coccinelloidea.Coccinellidae.Coccinellinae.Harmonia.axyridis</v>
          </cell>
        </row>
        <row r="1182">
          <cell r="AN1182" t="str">
            <v>Insecta.Diptera.Brachycera.#N/C.#N/C.#N/C.#N/C.#N/C.#N/C</v>
          </cell>
        </row>
        <row r="1183">
          <cell r="AN1183" t="str">
            <v>Insecta.Diptera.Brachycera.Muscomorpha.Muscoidea.Muscidae.#N/C.#N/C.#N/C</v>
          </cell>
        </row>
        <row r="1184">
          <cell r="AN1184" t="str">
            <v>Insecta.Diptera.Brachycera.Muscomorpha.Muscoidea.#N/C.#N/C.#N/C.#N/C</v>
          </cell>
        </row>
        <row r="1185">
          <cell r="AN1185" t="str">
            <v>Insecta.Diptera.Brachycera.#N/C.#N/C.#N/C.#N/C.#N/C.#N/C</v>
          </cell>
        </row>
        <row r="1186">
          <cell r="AN1186" t="str">
            <v>Insecta.Diptera.Brachycera.Muscomorpha.Lauxanioidea.Lauxaniidae.Lauxaniinae.Calliopum.#N/C</v>
          </cell>
        </row>
        <row r="1187">
          <cell r="AN1187" t="str">
            <v>Insecta.Hymenoptera.Apocrita.Aculeata.Apoidea.Crabronidae.Pemphredoninae.Pemphredon.#N/C</v>
          </cell>
        </row>
        <row r="1188">
          <cell r="AN1188" t="str">
            <v>Insecta.Coleoptera.Polyphaga.Cucujiformia.Coccinelloidea.Coccinellidae.Coccinellinae.Harmonia.#N/C</v>
          </cell>
        </row>
        <row r="1189">
          <cell r="AN1189" t="str">
            <v>Insecta.Diptera.Brachycera.Muscomorpha.Lauxanioidea.Lauxaniidae.Lauxaniinae.Calliopum.#N/C</v>
          </cell>
        </row>
        <row r="1190">
          <cell r="AN1190" t="str">
            <v>Insecta.Diptera.Brachycera.Muscomorpha.Muscoidea.Muscidae.#N/C.#N/C.#N/C</v>
          </cell>
        </row>
        <row r="1191">
          <cell r="AN1191" t="str">
            <v>Insecta.Coleoptera.Polyphaga.Cucujiformia.Coccinelloidea.Coccinellidae.Coccinellinae.Harmonia.#N/C</v>
          </cell>
        </row>
        <row r="1192">
          <cell r="AN1192" t="str">
            <v>Insecta.Diptera.Brachycera.Muscomorpha.Muscoidea.Fanniidae.0.Fannia.#N/C</v>
          </cell>
        </row>
        <row r="1193">
          <cell r="AN1193" t="str">
            <v>Insecta.Diptera.Brachycera.Muscomorpha.Lauxanioidea.Lauxaniidae.Lauxaniinae.Calliopum.#N/C</v>
          </cell>
        </row>
        <row r="1194">
          <cell r="AN1194" t="str">
            <v>Insecta.Diptera.Brachycera.Muscomorpha.Muscoidea.Anthomyiidae.Anthomyiinae.Anthomyia.#N/C</v>
          </cell>
        </row>
        <row r="1195">
          <cell r="AN1195" t="str">
            <v>Insecta.Diptera.Brachycera.Muscomorpha.Syrphoidea.Syrphidae.Syrphinae.Sphaerophoria.#N/C</v>
          </cell>
        </row>
        <row r="1196">
          <cell r="AN1196" t="str">
            <v>Insecta.#N/C.#N/C.#N/C.#N/C.#N/C.#N/C.#N/C.#N/C</v>
          </cell>
        </row>
        <row r="1197">
          <cell r="AN1197" t="str">
            <v>Insecta.Trichoptera.Integripalpia.Plenitentoria.Limnephiloidea.Limnephilidae.Limnephilinae.#N/C.#N/C</v>
          </cell>
        </row>
        <row r="1198">
          <cell r="AN1198" t="str">
            <v>Insecta.Diptera.Nematocera.Tipulomorpha.Tipuloidea.Tipulidae.Tipulinae.Tipula.#N/C</v>
          </cell>
        </row>
        <row r="1199">
          <cell r="AN1199" t="str">
            <v>Insecta.Diptera.Brachycera.Muscomorpha.Muscoidea.Muscidae.#N/C.#N/C.#N/C</v>
          </cell>
        </row>
        <row r="1200">
          <cell r="AN1200" t="str">
            <v>Insecta.Coleoptera.Polyphaga.Cucujiformia.Coccinelloidea.Coccinellidae.Coccinellinae.Harmonia.#N/C</v>
          </cell>
        </row>
        <row r="1201">
          <cell r="AN1201" t="str">
            <v>Insecta.Diptera.Brachycera.#N/C.#N/C.#N/C.#N/C.#N/C.#N/C</v>
          </cell>
        </row>
        <row r="1202">
          <cell r="AN1202" t="str">
            <v>Insecta.Diptera.Brachycera.Muscomorpha.Muscoidea.#N/C.#N/C.#N/C.#N/C</v>
          </cell>
        </row>
        <row r="1203">
          <cell r="AN1203" t="str">
            <v>Insecta.Coleoptera.Polyphaga.Cucujiformia.Coccinelloidea.Coccinellidae.Coccinellinae.Coccinellini.#N/C</v>
          </cell>
        </row>
        <row r="1204">
          <cell r="AN1204" t="str">
            <v>Insecta.Diptera.Brachycera.Muscomorpha.Lauxanioidea.Lauxaniidae.Lauxaniinae.Calliopum.#N/C</v>
          </cell>
        </row>
        <row r="1205">
          <cell r="AN1205" t="str">
            <v>Insecta.Diptera.Brachycera.#N/C.#N/C.#N/C.#N/C.#N/C.#N/C</v>
          </cell>
        </row>
        <row r="1206">
          <cell r="AN1206" t="str">
            <v>Insecta.Diptera.Brachycera.Muscomorpha.Oestroidea.Sarcophagidae.#N/C.#N/C.#N/C</v>
          </cell>
        </row>
        <row r="1207">
          <cell r="AN1207" t="str">
            <v>Insecta.Coleoptera.Polyphaga.Cucujiformia.Coccinelloidea.Coccinellidae.Coccinellinae.Coccinellini.#N/C</v>
          </cell>
        </row>
        <row r="1208">
          <cell r="AN1208" t="str">
            <v>Insecta.Diptera.Brachycera.Muscomorpha.Muscoidea.Fanniidae.0.Fannia.#N/C</v>
          </cell>
        </row>
      </sheetData>
      <sheetData sheetId="1"/>
      <sheetData sheetId="2">
        <row r="1">
          <cell r="D1" t="str">
            <v>Infraorder</v>
          </cell>
          <cell r="E1" t="str">
            <v>Superfamily</v>
          </cell>
        </row>
        <row r="2">
          <cell r="D2" t="str">
            <v>Araneomorphae</v>
          </cell>
          <cell r="E2" t="str">
            <v>Araneoidea</v>
          </cell>
        </row>
        <row r="3">
          <cell r="D3" t="str">
            <v>Araneomorphae</v>
          </cell>
          <cell r="E3" t="str">
            <v>Dictynoidea</v>
          </cell>
        </row>
        <row r="4">
          <cell r="D4" t="str">
            <v>Cucujiformia</v>
          </cell>
          <cell r="E4" t="str">
            <v>Tenebrionoidea</v>
          </cell>
        </row>
        <row r="6">
          <cell r="D6" t="str">
            <v>Cucujiformia</v>
          </cell>
          <cell r="E6" t="str">
            <v>Coccinelloidea</v>
          </cell>
        </row>
        <row r="7">
          <cell r="D7" t="str">
            <v>Cucujiformia</v>
          </cell>
          <cell r="E7" t="str">
            <v>Chrysomeloidea</v>
          </cell>
        </row>
        <row r="8">
          <cell r="D8" t="str">
            <v>Cucujiformia</v>
          </cell>
          <cell r="E8" t="str">
            <v>Tenebrionoidea</v>
          </cell>
        </row>
        <row r="9">
          <cell r="D9" t="str">
            <v>Cucujiformia</v>
          </cell>
          <cell r="E9" t="str">
            <v>Curculionoidea</v>
          </cell>
        </row>
        <row r="10">
          <cell r="E10" t="str">
            <v>Forficuloidea</v>
          </cell>
        </row>
        <row r="11">
          <cell r="D11" t="str">
            <v>Tipulomorpha</v>
          </cell>
          <cell r="E11" t="str">
            <v>Tipuloidea</v>
          </cell>
        </row>
        <row r="12">
          <cell r="D12" t="str">
            <v>Asilomorpha</v>
          </cell>
          <cell r="E12" t="str">
            <v>Empidoidea</v>
          </cell>
        </row>
        <row r="13">
          <cell r="D13" t="str">
            <v>Muscomorpha</v>
          </cell>
          <cell r="E13" t="str">
            <v>Muscoidea</v>
          </cell>
        </row>
        <row r="14">
          <cell r="D14" t="str">
            <v>Bibionomorpha</v>
          </cell>
          <cell r="E14" t="str">
            <v>Bibionoidea</v>
          </cell>
        </row>
        <row r="15">
          <cell r="D15" t="str">
            <v>Muscomorpha</v>
          </cell>
          <cell r="E15" t="str">
            <v>Oestroidea</v>
          </cell>
        </row>
        <row r="16">
          <cell r="D16" t="str">
            <v>Muscomorpha</v>
          </cell>
          <cell r="E16" t="str">
            <v>Oestroidea</v>
          </cell>
        </row>
        <row r="17">
          <cell r="D17" t="str">
            <v>Muscomorpha</v>
          </cell>
          <cell r="E17" t="str">
            <v>Oestroidea</v>
          </cell>
        </row>
        <row r="18">
          <cell r="D18" t="str">
            <v>Muscomorpha</v>
          </cell>
          <cell r="E18" t="str">
            <v>Oestroidea</v>
          </cell>
        </row>
        <row r="19">
          <cell r="D19" t="str">
            <v>Muscomorpha</v>
          </cell>
          <cell r="E19" t="str">
            <v>Carnoidea</v>
          </cell>
        </row>
        <row r="20">
          <cell r="D20" t="str">
            <v>Muscomorpha</v>
          </cell>
          <cell r="E20" t="str">
            <v>Muscoidea</v>
          </cell>
        </row>
        <row r="21">
          <cell r="D21" t="str">
            <v>Muscomorpha</v>
          </cell>
          <cell r="E21" t="str">
            <v>Muscoidea</v>
          </cell>
        </row>
        <row r="22">
          <cell r="D22" t="str">
            <v>Muscomorpha</v>
          </cell>
          <cell r="E22" t="str">
            <v>Muscoidea</v>
          </cell>
        </row>
        <row r="23">
          <cell r="D23" t="str">
            <v>Muscomorpha</v>
          </cell>
          <cell r="E23" t="str">
            <v>Opomyzoidea</v>
          </cell>
        </row>
        <row r="24">
          <cell r="D24" t="str">
            <v>Muscomorpha</v>
          </cell>
          <cell r="E24" t="str">
            <v>Phoroidea</v>
          </cell>
        </row>
        <row r="25">
          <cell r="D25" t="str">
            <v>Muscomorpha</v>
          </cell>
          <cell r="E25" t="str">
            <v>Sphaeroceroidea</v>
          </cell>
        </row>
        <row r="26">
          <cell r="D26" t="str">
            <v>Muscomorpha</v>
          </cell>
          <cell r="E26" t="str">
            <v>Ephydroidea</v>
          </cell>
        </row>
        <row r="27">
          <cell r="D27" t="str">
            <v>Muscomorpha</v>
          </cell>
          <cell r="E27" t="str">
            <v>Ephydroidea</v>
          </cell>
        </row>
        <row r="28">
          <cell r="D28" t="str">
            <v>Muscomorpha</v>
          </cell>
          <cell r="E28" t="str">
            <v>Lauxanioidea</v>
          </cell>
        </row>
        <row r="29">
          <cell r="D29" t="str">
            <v>Muscomorpha</v>
          </cell>
          <cell r="E29" t="str">
            <v>Tephritoidea</v>
          </cell>
        </row>
        <row r="30">
          <cell r="D30" t="str">
            <v>Muscomorpha</v>
          </cell>
          <cell r="E30" t="str">
            <v>Tephritoidea</v>
          </cell>
        </row>
        <row r="31">
          <cell r="D31" t="str">
            <v>Bibionomorpha</v>
          </cell>
          <cell r="E31" t="str">
            <v>Anisopodoidea</v>
          </cell>
        </row>
        <row r="32">
          <cell r="D32" t="str">
            <v>Bibionomorpha</v>
          </cell>
          <cell r="E32" t="str">
            <v>Sciaroidea</v>
          </cell>
        </row>
        <row r="33">
          <cell r="D33" t="str">
            <v>Bibionomorpha</v>
          </cell>
          <cell r="E33" t="str">
            <v>Sciaroidea</v>
          </cell>
        </row>
        <row r="34">
          <cell r="D34" t="str">
            <v>Muscomorpha</v>
          </cell>
          <cell r="E34" t="str">
            <v>Syrphoidea</v>
          </cell>
        </row>
        <row r="35">
          <cell r="D35" t="str">
            <v>Muscomorpha</v>
          </cell>
          <cell r="E35" t="str">
            <v>Sciomyzoidea</v>
          </cell>
        </row>
        <row r="36">
          <cell r="D36" t="str">
            <v>Culicomorpha</v>
          </cell>
          <cell r="E36" t="str">
            <v>Chironomoidea</v>
          </cell>
        </row>
        <row r="37">
          <cell r="D37" t="str">
            <v>Culicomorpha</v>
          </cell>
          <cell r="E37" t="str">
            <v>Culicoidea</v>
          </cell>
        </row>
        <row r="38">
          <cell r="D38" t="str">
            <v>Asilomorpha</v>
          </cell>
          <cell r="E38" t="str">
            <v>Asiloidea</v>
          </cell>
        </row>
        <row r="39">
          <cell r="D39" t="str">
            <v>Muscomorpha</v>
          </cell>
          <cell r="E39" t="str">
            <v>Sciomyzoidea</v>
          </cell>
        </row>
        <row r="40">
          <cell r="D40" t="str">
            <v>Tabanomorpha</v>
          </cell>
          <cell r="E40" t="str">
            <v>Rhagionoidea</v>
          </cell>
        </row>
        <row r="41">
          <cell r="D41" t="str">
            <v>Stratiomyomorpha</v>
          </cell>
          <cell r="E41" t="str">
            <v>Stratiomyoidea</v>
          </cell>
        </row>
        <row r="42">
          <cell r="D42" t="str">
            <v>Pentatomomorpha</v>
          </cell>
          <cell r="E42" t="str">
            <v>Lygaeoidea</v>
          </cell>
        </row>
        <row r="43">
          <cell r="D43" t="str">
            <v>Pentatomomorpha</v>
          </cell>
          <cell r="E43" t="str">
            <v>Miroidea</v>
          </cell>
        </row>
        <row r="44">
          <cell r="D44" t="str">
            <v>Cicadomorpha</v>
          </cell>
          <cell r="E44" t="str">
            <v>Cicadoidea</v>
          </cell>
        </row>
        <row r="45">
          <cell r="D45" t="str">
            <v>Cicadomorpha</v>
          </cell>
          <cell r="E45" t="str">
            <v>Membracoidea</v>
          </cell>
        </row>
        <row r="46">
          <cell r="D46" t="str">
            <v>Aculeata</v>
          </cell>
          <cell r="E46" t="str">
            <v>Formicoidea</v>
          </cell>
        </row>
        <row r="47">
          <cell r="D47" t="str">
            <v>Aculeata</v>
          </cell>
          <cell r="E47" t="str">
            <v>Apoidea</v>
          </cell>
        </row>
        <row r="48">
          <cell r="D48" t="str">
            <v>Aculeata</v>
          </cell>
          <cell r="E48" t="str">
            <v>Apoidea</v>
          </cell>
        </row>
        <row r="49">
          <cell r="D49" t="str">
            <v>Parasitica</v>
          </cell>
          <cell r="E49" t="str">
            <v>Ichneumonoidea</v>
          </cell>
        </row>
        <row r="50">
          <cell r="D50" t="str">
            <v>Parasitica</v>
          </cell>
          <cell r="E50" t="str">
            <v>Chalcidoidea</v>
          </cell>
        </row>
        <row r="51">
          <cell r="D51" t="str">
            <v>Parasitica</v>
          </cell>
          <cell r="E51" t="str">
            <v>Ichneumonoidea</v>
          </cell>
        </row>
        <row r="52">
          <cell r="E52" t="str">
            <v>Tenthredinoidea</v>
          </cell>
        </row>
        <row r="53">
          <cell r="D53" t="str">
            <v>Aculeata</v>
          </cell>
          <cell r="E53" t="str">
            <v>Pompiloidea</v>
          </cell>
        </row>
        <row r="54">
          <cell r="D54" t="str">
            <v>Aculeata</v>
          </cell>
          <cell r="E54" t="str">
            <v>Vespoidea</v>
          </cell>
        </row>
        <row r="55">
          <cell r="D55" t="str">
            <v>Rhopalocera</v>
          </cell>
          <cell r="E55" t="str">
            <v>Papilionoidea</v>
          </cell>
        </row>
        <row r="56">
          <cell r="D56" t="str">
            <v>Rhopalocera</v>
          </cell>
          <cell r="E56" t="str">
            <v>Zygaenoidea</v>
          </cell>
        </row>
        <row r="57">
          <cell r="D57" t="str">
            <v>Heterocera</v>
          </cell>
          <cell r="E57" t="str">
            <v>Gelechioidea</v>
          </cell>
        </row>
        <row r="58">
          <cell r="D58" t="str">
            <v>Heterocera</v>
          </cell>
          <cell r="E58" t="str">
            <v>Geometroidea</v>
          </cell>
        </row>
        <row r="59">
          <cell r="D59" t="str">
            <v>Heterocera</v>
          </cell>
          <cell r="E59" t="str">
            <v>Noctuoidea</v>
          </cell>
        </row>
        <row r="60">
          <cell r="D60" t="str">
            <v>Heterocera</v>
          </cell>
          <cell r="E60" t="str">
            <v>Pyraloidea</v>
          </cell>
        </row>
        <row r="61">
          <cell r="D61" t="str">
            <v>Heterocera</v>
          </cell>
          <cell r="E61" t="str">
            <v>Tineoidea</v>
          </cell>
        </row>
        <row r="62">
          <cell r="D62" t="str">
            <v>Heterocera</v>
          </cell>
          <cell r="E62" t="str">
            <v>Yponomeutoidea</v>
          </cell>
        </row>
        <row r="63">
          <cell r="E63" t="str">
            <v>Panorpoidea</v>
          </cell>
        </row>
        <row r="64">
          <cell r="E64" t="str">
            <v>Hemerobioidea</v>
          </cell>
        </row>
        <row r="65">
          <cell r="E65" t="str">
            <v>Chrysopoidea</v>
          </cell>
        </row>
        <row r="66">
          <cell r="D66" t="str">
            <v>Acrididea</v>
          </cell>
          <cell r="E66" t="str">
            <v>Acridoidea</v>
          </cell>
        </row>
        <row r="67">
          <cell r="D67" t="str">
            <v>Tettigoniidea</v>
          </cell>
          <cell r="E67" t="str">
            <v>Tettigonioidea</v>
          </cell>
        </row>
        <row r="68">
          <cell r="D68" t="str">
            <v>Plenitentoria</v>
          </cell>
          <cell r="E68" t="str">
            <v>Limnephiloidea</v>
          </cell>
        </row>
      </sheetData>
      <sheetData sheetId="3"/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iavass" id="{F6FF1E5A-4084-45A7-AA86-16E926DDC096}" userId="S::chiavass@agro.uba.ar::66672c9c-71d9-43de-98c8-3d9a4e5f174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7B02820-B1DB-463D-8C80-FFD8E1161E16}" name="ClassificationClasses" displayName="ClassificationClasses" ref="A1:J70" totalsRowShown="0" headerRowDxfId="34" dataDxfId="33" tableBorderDxfId="32" headerRowCellStyle="Normal 2" dataCellStyle="Normal 2">
  <autoFilter ref="A1:J70" xr:uid="{4B48A488-9F4C-4631-9A84-342FEF4C8DD0}"/>
  <sortState xmlns:xlrd2="http://schemas.microsoft.com/office/spreadsheetml/2017/richdata2" ref="A2:J70">
    <sortCondition ref="A2:A70"/>
    <sortCondition ref="B2:B70"/>
    <sortCondition ref="C2:C70"/>
    <sortCondition ref="D2:D70"/>
    <sortCondition ref="E2:E70"/>
    <sortCondition ref="F2:F70"/>
    <sortCondition ref="G2:G70"/>
  </sortState>
  <tableColumns count="10">
    <tableColumn id="1" xr3:uid="{4C949DBF-0F19-4DFB-8819-C2F18C6DE793}" name="Class" dataDxfId="31" dataCellStyle="Standard 2"/>
    <tableColumn id="2" xr3:uid="{BD31C04C-E5E5-44D2-8933-A74D23A1657C}" name="Order" dataDxfId="30" dataCellStyle="Standard 2"/>
    <tableColumn id="3" xr3:uid="{E215EC1C-8553-455D-8B0F-59695F4C2A94}" name="Suborder" dataDxfId="29" dataCellStyle="Standard 2"/>
    <tableColumn id="4" xr3:uid="{67A693FE-3CCD-4D36-9527-6ED7683E2D1D}" name="Infraorder" dataDxfId="28" dataCellStyle="Normal 2"/>
    <tableColumn id="5" xr3:uid="{E08E7DC8-5BD3-41D1-A0D7-1D859E5EA76D}" name="Superfamily" dataDxfId="27" dataCellStyle="Normal 2"/>
    <tableColumn id="6" xr3:uid="{A26C2715-900C-4948-AF4A-BCDE8ABE09E1}" name="Family" dataDxfId="26" dataCellStyle="Normal 2"/>
    <tableColumn id="7" xr3:uid="{3F7D2DEC-231D-48EB-A7A1-414BDD189FB2}" name="Subfamily" dataDxfId="25" dataCellStyle="Normal 2"/>
    <tableColumn id="8" xr3:uid="{2A4B6A7A-F577-4696-AFC6-35E72E19DA87}" name="Other aspect" dataDxfId="24" dataCellStyle="Normal 2"/>
    <tableColumn id="9" xr3:uid="{A22AC78B-B236-4E55-BB3A-1CDA98E1F105}" name="Classification Class" dataDxfId="23" dataCellStyle="Normal 2"/>
    <tableColumn id="10" xr3:uid="{61129AFB-BD1A-490C-9443-6F9463221DF8}" name="Key" dataDxfId="22" dataCellStyle="Normal 2">
      <calculatedColumnFormula>+_xlfn.CONCAT(A2,".",B2,".",C2,".",D2,".",E2,".",F2,".",G2)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24" dT="2025-03-25T09:06:42.17" personId="{F6FF1E5A-4084-45A7-AA86-16E926DDC096}" id="{7120472E-A5EB-4305-8229-8C5F3FC746E4}">
    <text>Should be renamed to: oestroid_fly</text>
  </threadedComment>
  <threadedComment ref="D62" dT="2025-03-24T11:04:44.08" personId="{F6FF1E5A-4084-45A7-AA86-16E926DDC096}" id="{73CCAAD3-AC1C-49C0-9839-2355E5ECDADB}">
    <text>Plus Zygaenoidea, colorful moths that belong to heteroceta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4">
    <tabColor rgb="FF00B050"/>
    <pageSetUpPr fitToPage="1"/>
  </sheetPr>
  <dimension ref="A1:AE1211"/>
  <sheetViews>
    <sheetView tabSelected="1" topLeftCell="O1" zoomScale="75" zoomScaleNormal="75" workbookViewId="0">
      <pane ySplit="1" topLeftCell="A18" activePane="bottomLeft" state="frozen"/>
      <selection activeCell="L33" sqref="L33"/>
      <selection pane="bottomLeft" activeCell="X24" sqref="X24"/>
    </sheetView>
  </sheetViews>
  <sheetFormatPr baseColWidth="10" defaultColWidth="10.33203125" defaultRowHeight="14.4" x14ac:dyDescent="0.3"/>
  <cols>
    <col min="1" max="1" width="7.44140625" style="14" bestFit="1" customWidth="1"/>
    <col min="2" max="2" width="11.5546875" style="7" bestFit="1" customWidth="1"/>
    <col min="3" max="3" width="26" style="41" bestFit="1" customWidth="1"/>
    <col min="4" max="4" width="7.109375" style="41" customWidth="1"/>
    <col min="5" max="5" width="5.44140625" style="14" customWidth="1"/>
    <col min="6" max="6" width="27.44140625" style="41" bestFit="1" customWidth="1"/>
    <col min="7" max="7" width="8" style="41" customWidth="1"/>
    <col min="8" max="8" width="4.6640625" style="14" customWidth="1"/>
    <col min="9" max="9" width="9.5546875" style="17" customWidth="1"/>
    <col min="10" max="10" width="10.109375" style="8" customWidth="1"/>
    <col min="11" max="11" width="10" style="15" customWidth="1"/>
    <col min="12" max="12" width="7.88671875" style="4" customWidth="1"/>
    <col min="13" max="13" width="6.6640625" style="4" customWidth="1"/>
    <col min="14" max="14" width="15.33203125" style="4" bestFit="1" customWidth="1"/>
    <col min="15" max="15" width="16.33203125" style="20" bestFit="1" customWidth="1"/>
    <col min="16" max="16" width="10" style="3" bestFit="1" customWidth="1"/>
    <col min="17" max="17" width="13.33203125" style="3" bestFit="1" customWidth="1"/>
    <col min="18" max="18" width="16.6640625" style="3" bestFit="1" customWidth="1"/>
    <col min="19" max="19" width="18" style="3" bestFit="1" customWidth="1"/>
    <col min="20" max="20" width="16.33203125" style="3" bestFit="1" customWidth="1"/>
    <col min="21" max="21" width="15.109375" style="3" bestFit="1" customWidth="1"/>
    <col min="22" max="22" width="16.6640625" style="3" bestFit="1" customWidth="1"/>
    <col min="23" max="23" width="18.44140625" style="3" bestFit="1" customWidth="1"/>
    <col min="24" max="24" width="21.5546875" style="3" bestFit="1" customWidth="1"/>
    <col min="25" max="25" width="23.33203125" style="3" bestFit="1" customWidth="1"/>
    <col min="26" max="26" width="18.5546875" style="3" bestFit="1" customWidth="1"/>
    <col min="27" max="27" width="17.33203125" style="3" bestFit="1" customWidth="1"/>
    <col min="28" max="30" width="12.6640625" style="3" customWidth="1"/>
    <col min="31" max="31" width="98" style="5" bestFit="1" customWidth="1"/>
    <col min="32" max="16384" width="10.33203125" style="14"/>
  </cols>
  <sheetData>
    <row r="1" spans="1:31" ht="29.4" customHeight="1" thickBot="1" x14ac:dyDescent="0.35">
      <c r="A1" s="9" t="s">
        <v>0</v>
      </c>
      <c r="B1" s="9" t="s">
        <v>1</v>
      </c>
      <c r="C1" s="13" t="s">
        <v>2</v>
      </c>
      <c r="D1" s="73" t="s">
        <v>3</v>
      </c>
      <c r="E1" s="12" t="s">
        <v>4</v>
      </c>
      <c r="F1" s="13" t="s">
        <v>5</v>
      </c>
      <c r="G1" s="73" t="s">
        <v>3</v>
      </c>
      <c r="H1" s="12" t="s">
        <v>6</v>
      </c>
      <c r="I1" s="16" t="s">
        <v>7</v>
      </c>
      <c r="J1" s="10" t="s">
        <v>8</v>
      </c>
      <c r="K1" s="11" t="s">
        <v>9</v>
      </c>
      <c r="L1" s="12" t="s">
        <v>10</v>
      </c>
      <c r="M1" s="12" t="s">
        <v>11</v>
      </c>
      <c r="N1" s="34" t="s">
        <v>12</v>
      </c>
      <c r="O1" s="25" t="s">
        <v>13</v>
      </c>
      <c r="P1" s="19" t="s">
        <v>14</v>
      </c>
      <c r="Q1" s="19" t="s">
        <v>15</v>
      </c>
      <c r="R1" s="19" t="s">
        <v>16</v>
      </c>
      <c r="S1" s="74" t="s">
        <v>17</v>
      </c>
      <c r="T1" s="19" t="s">
        <v>18</v>
      </c>
      <c r="U1" s="19" t="s">
        <v>19</v>
      </c>
      <c r="V1" s="19" t="s">
        <v>20</v>
      </c>
      <c r="W1" s="19" t="s">
        <v>21</v>
      </c>
      <c r="X1" s="26" t="s">
        <v>22</v>
      </c>
      <c r="Y1" s="75" t="s">
        <v>23</v>
      </c>
      <c r="Z1" s="115" t="s">
        <v>24</v>
      </c>
      <c r="AA1" s="115" t="s">
        <v>25</v>
      </c>
      <c r="AB1" s="115" t="s">
        <v>26</v>
      </c>
      <c r="AC1" s="115" t="s">
        <v>27</v>
      </c>
      <c r="AD1" s="115" t="s">
        <v>28</v>
      </c>
      <c r="AE1" s="12" t="s">
        <v>29</v>
      </c>
    </row>
    <row r="2" spans="1:31" x14ac:dyDescent="0.3">
      <c r="A2" s="76">
        <v>1</v>
      </c>
      <c r="B2" s="77">
        <v>44389</v>
      </c>
      <c r="C2" s="78" t="s">
        <v>30</v>
      </c>
      <c r="D2" s="79" t="str">
        <f>HYPERLINK(VLOOKUP(C2,Video_List!$F:$J,5),"video")</f>
        <v>video</v>
      </c>
      <c r="E2" s="80" t="str">
        <f>IFERROR(IF(MATCH(C2,Video_List!$F:$F,)&gt;0,"ok",""),"error")</f>
        <v>ok</v>
      </c>
      <c r="F2" s="78" t="s">
        <v>31</v>
      </c>
      <c r="G2" s="79" t="str">
        <f>HYPERLINK(VLOOKUP(F2,Video_List!$F:$J,5),"video")</f>
        <v>video</v>
      </c>
      <c r="H2" s="80" t="str">
        <f>IFERROR(IF(MATCH(F2,Video_List!$F:$F,)&gt;0,"ok",""),"error")</f>
        <v>ok</v>
      </c>
      <c r="I2" s="81">
        <v>44389.584652777776</v>
      </c>
      <c r="J2" s="82">
        <v>44389.586018518516</v>
      </c>
      <c r="K2" s="83">
        <f t="shared" ref="K2:K65" si="0">J2-I2</f>
        <v>1.3657407398568466E-3</v>
      </c>
      <c r="L2" s="84" t="s">
        <v>32</v>
      </c>
      <c r="M2" s="84" t="s">
        <v>33</v>
      </c>
      <c r="N2" s="85" t="str">
        <f>IF(ISBLANK(C2),"",IF(C2=F2, "1 video",CONCATENATE((+COUNTIFS(Video_List!$C:$C,"&lt;=" &amp;Monitoring!J2)-COUNTIFS(Video_List!$C:$C,"&lt;=" &amp;Monitoring!I2))+1," videos")))</f>
        <v>3 videos</v>
      </c>
      <c r="O2" s="86" t="s">
        <v>32</v>
      </c>
      <c r="P2" s="87" t="str">
        <f>+IFERROR(IF(Q2="#N/C","#N/C",IF(R2=0,INDEX(Taxonomy_UniqueValues!A:A,MATCH(R2,Taxonomy_UniqueValues!C:C,0)),INDEX(Taxonomy_UniqueValues!A:A,MATCH(Q2,Taxonomy_UniqueValues!B:B,0)))),"#N/C")</f>
        <v>Insecta</v>
      </c>
      <c r="Q2" s="87" t="str">
        <f>+IFERROR(IF(R2="#N/C","#N/C",IF(S2=0,INDEX(Taxonomy_UniqueValues!B:B,MATCH(S2,Taxonomy_UniqueValues!D:D,0)),INDEX(Taxonomy_UniqueValues!B:B,MATCH(R2,Taxonomy_UniqueValues!C:C,0)))),"#N/C")</f>
        <v>Diptera</v>
      </c>
      <c r="R2" s="87" t="str">
        <f>+IFERROR(IF(S2="#N/C","#N/C",IF(T2=0,INDEX(Taxonomy_UniqueValues!C:C,MATCH(T2,Taxonomy_UniqueValues!E:E,0)),INDEX(Taxonomy_UniqueValues!C:C,MATCH(S2,Taxonomy_UniqueValues!D:D,0)))),"#N/C")</f>
        <v>Brachycera</v>
      </c>
      <c r="S2" s="87" t="str">
        <f>+IFERROR(IF(T2="#N/C","#N/C",IF(U2=0,INDEX(Taxonomy_UniqueValues!D:D,MATCH(U2,Taxonomy_UniqueValues!F:F,0)),INDEX(Taxonomy_UniqueValues!D:D,MATCH(T2,Taxonomy_UniqueValues!E:E,0)))),"#N/C")</f>
        <v>Asilomorpha</v>
      </c>
      <c r="T2" s="87" t="str">
        <f>+IFERROR(IF(U2="#N/C","#N/C",IF(V2=0,INDEX(Taxonomy_UniqueValues!E:E,MATCH(V2,Taxonomy_UniqueValues!G:G,0)),INDEX(Taxonomy_UniqueValues!E:E,MATCH(U2,Taxonomy_UniqueValues!F:F,0)))),"#N/C")</f>
        <v>Asiloidea</v>
      </c>
      <c r="U2" s="87" t="str">
        <f>+IFERROR(IF(V2="#N/C","#N/C",IF(W2=0,INDEX(Taxonomy_UniqueValues!F:F,MATCH(W2,Taxonomy_UniqueValues!H:H,0)),INDEX(Taxonomy_UniqueValues!F:F,MATCH(V2,Taxonomy_UniqueValues!G:G,0)))),"#N/C")</f>
        <v>Asilidae</v>
      </c>
      <c r="V2" s="87" t="str">
        <f>+IFERROR(IF(W2="#N/C","#N/C",IF(X2=0,INDEX(Taxonomy_UniqueValues!G:G,MATCH(X2,Taxonomy_UniqueValues!I:I,0)),INDEX(Taxonomy_UniqueValues!G:G,MATCH(W2,Taxonomy_UniqueValues!H:H,0)))),"#N/C")</f>
        <v>Asilinae</v>
      </c>
      <c r="W2" s="88" t="s">
        <v>34</v>
      </c>
      <c r="X2" s="89" t="s">
        <v>35</v>
      </c>
      <c r="Y2" s="90" t="str" cm="1">
        <f t="array" ref="Y2">_xlfn.LET(_xlpm.cls,P2, _xlpm.ord,IFERROR(Q2,"#N/C"), _xlpm.subord,IFERROR(R2,"#N/C"), _xlpm.infr,IFERROR(S2,"#N/C"), _xlpm.sf,IFERROR(T2,"#N/C"), _xlpm.fam,IFERROR(U2,"#N/C"), _xlpm.subfam,IF(TRIM(V2)="-","#N/C",IFERROR(V2,"#N/C")),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_xlpm.fallback,IF(IFERROR(Q2,"#N/C")="#N/C",P2,IF(IFERROR(R2,"#N/C")="#N/C",Q2,IF(IFERROR(S2,"#N/C")="#N/C",R2,IF(IFERROR(T2,"#N/C")="#N/C",S2,IF(IFERROR(U2,"#N/C")="#N/C",T2,IF(IFERROR(V2,"#N/C")="#N/C",U2,"#N/C")))))), _xlpm.finalResult,IF(OR(_xlpm.computedResult="",_xlpm.computedResult="#N/C"),_xlpm.fallback,_xlpm.computedResult), INDEX(_xlpm.finalResult,1))</f>
        <v>robber_fly</v>
      </c>
      <c r="Z2" s="116" t="str" cm="1">
        <f t="array" ref="Z2">IF(OR(Y2="Insecta",Y2="Arachnida",Y2="#N/C"),"",IFERROR(_xlfn.LET(_xlpm.fc,IFERROR(_xlfn._xlws.FILTER(ClassificationClasses[],ClassificationClasses[Classification Class]=Y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,ClassificationClasses[Key])),0),MATCH(Y2,INDEX(ClassificationClasses[],MATCH(TRUE,ISNUMBER(SEARCH(Y2,ClassificationClasses[Key])),0),0),0)-1)))</f>
        <v>Asilomorpha</v>
      </c>
      <c r="AA2" s="116" t="str" cm="1">
        <f t="array" ref="AA2">IFERROR(IF(OR(Z2="Insecta",Z2="Arachnida",Z2="#N/C"),"",INDEX(ClassificationClasses[[Class]:[Infraorder]],MATCH(TRUE,ISNUMBER(SEARCH(Z2,ClassificationClasses[Key])),0),MATCH(Z2,INDEX(ClassificationClasses[#Data], MATCH(TRUE,ISNUMBER(SEARCH(Z2,ClassificationClasses[Key])),0), 0), 0)-1)),"")</f>
        <v>Brachycera</v>
      </c>
      <c r="AB2" s="116" t="str" cm="1">
        <f t="array" ref="AB2">IFERROR(IF(OR(AA2="Insecta",AA2="Arachnida",AA2="#N/C"),"",INDEX(ClassificationClasses[[Class]:[Suborder]],MATCH(TRUE,ISNUMBER(SEARCH(AA2,ClassificationClasses[Key])),0),MATCH(AA2,INDEX(ClassificationClasses[#Data], MATCH(TRUE,ISNUMBER(SEARCH(AA2,ClassificationClasses[Key])),0), 0), 0)-1)),"")</f>
        <v>Diptera</v>
      </c>
      <c r="AC2" s="116" t="str" cm="1">
        <f t="array" ref="AC2">IFERROR(IF(OR(AB2="Insecta",AB2="Arachnida",AB2="#N/C"),"",INDEX(ClassificationClasses[[Class]:[Suborder]],MATCH(TRUE,ISNUMBER(SEARCH(AB2,ClassificationClasses[Key])),0),MATCH(AB2,INDEX(ClassificationClasses[#Data], MATCH(TRUE,ISNUMBER(SEARCH(AB2,ClassificationClasses[Key])),0), 0), 0)-1)),"")</f>
        <v>Insecta</v>
      </c>
      <c r="AD2" s="116" t="str" cm="1">
        <f t="array" ref="AD2">IFERROR(IF(OR(AC2="Insecta",AC2="Arachnida",AC2="#N/C"),"",INDEX(ClassificationClasses[[Class]:[Suborder]],MATCH(TRUE,ISNUMBER(SEARCH(AC2,ClassificationClasses[Key])),0),MATCH(AC2,INDEX(ClassificationClasses[#Data], MATCH(TRUE,ISNUMBER(SEARCH(AC2,ClassificationClasses[Key])),0), 0), 0)-1)),"")</f>
        <v/>
      </c>
      <c r="AE2" s="18" t="str">
        <f>+CONCATENATE(P2,".",Q2,".",R2,".",T2,".",U2,".",V2,".",W2,".",X2)</f>
        <v>Insecta.Diptera.Brachycera.Asiloidea.Asilidae.Asilinae.Tolmerus.#N/C</v>
      </c>
    </row>
    <row r="3" spans="1:31" x14ac:dyDescent="0.3">
      <c r="A3" s="91">
        <v>2</v>
      </c>
      <c r="B3" s="7">
        <v>44389</v>
      </c>
      <c r="C3" s="92" t="s">
        <v>36</v>
      </c>
      <c r="D3" s="93" t="str">
        <f>HYPERLINK(VLOOKUP(C3,Video_List!$F:$J,5),"video")</f>
        <v>video</v>
      </c>
      <c r="E3" s="94" t="str">
        <f>IFERROR(IF(MATCH(C3,Video_List!$F:$F,)&gt;0,"ok",""),"error")</f>
        <v>ok</v>
      </c>
      <c r="F3" s="92" t="s">
        <v>36</v>
      </c>
      <c r="G3" s="93" t="str">
        <f>HYPERLINK(VLOOKUP(F3,Video_List!$F:$J,5),"video")</f>
        <v>video</v>
      </c>
      <c r="H3" s="94" t="str">
        <f>IFERROR(IF(MATCH(F3,Video_List!$F:$F,)&gt;0,"ok",""),"error")</f>
        <v>ok</v>
      </c>
      <c r="I3" s="17">
        <v>44389.624502314815</v>
      </c>
      <c r="J3" s="8">
        <v>44389.624548611115</v>
      </c>
      <c r="K3" s="15">
        <f t="shared" si="0"/>
        <v>4.6296299842651933E-5</v>
      </c>
      <c r="L3" s="95" t="s">
        <v>32</v>
      </c>
      <c r="M3" s="95" t="s">
        <v>33</v>
      </c>
      <c r="N3" s="96" t="str">
        <f>IF(ISBLANK(C3),"",IF(C3=F3, "1 video",CONCATENATE((+COUNTIFS(Video_List!$C:$C,"&lt;=" &amp;Monitoring!J3)-COUNTIFS(Video_List!$C:$C,"&lt;=" &amp;Monitoring!I3))+1," videos")))</f>
        <v>1 video</v>
      </c>
      <c r="O3" s="27" t="s">
        <v>32</v>
      </c>
      <c r="P3" s="42" t="s">
        <v>37</v>
      </c>
      <c r="Q3" s="42" t="s">
        <v>38</v>
      </c>
      <c r="R3" s="42" t="s">
        <v>39</v>
      </c>
      <c r="S3" s="97" t="str">
        <f>+IFERROR(IF(T3="#N/C","#N/C",IF(U3=0,INDEX(Taxonomy_UniqueValues!D:D,MATCH(U3,Taxonomy_UniqueValues!F:F,0)),INDEX(Taxonomy_UniqueValues!D:D,MATCH(T3,Taxonomy_UniqueValues!E:E,0)))),"#N/C")</f>
        <v>#N/C</v>
      </c>
      <c r="T3" s="42" t="s">
        <v>35</v>
      </c>
      <c r="U3" s="42" t="s">
        <v>35</v>
      </c>
      <c r="V3" s="42" t="s">
        <v>35</v>
      </c>
      <c r="W3" s="42" t="s">
        <v>35</v>
      </c>
      <c r="X3" s="28" t="s">
        <v>35</v>
      </c>
      <c r="Y3" s="69" t="str" cm="1">
        <f t="array" ref="Y3">_xlfn.LET(_xlpm.cls,P3, _xlpm.ord,IFERROR(Q3,"#N/C"), _xlpm.subord,IFERROR(R3,"#N/C"), _xlpm.infr,IFERROR(S3,"#N/C"), _xlpm.sf,IFERROR(T3,"#N/C"), _xlpm.fam,IFERROR(U3,"#N/C"), _xlpm.subfam,IF(TRIM(V3)="-","#N/C",IFERROR(V3,"#N/C")),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_xlpm.fallback,IF(IFERROR(Q3,"#N/C")="#N/C",P3,IF(IFERROR(R3,"#N/C")="#N/C",Q3,IF(IFERROR(S3,"#N/C")="#N/C",R3,IF(IFERROR(T3,"#N/C")="#N/C",S3,IF(IFERROR(U3,"#N/C")="#N/C",T3,IF(IFERROR(V3,"#N/C")="#N/C",U3,"#N/C")))))), _xlpm.finalResult,IF(OR(_xlpm.computedResult="",_xlpm.computedResult="#N/C"),_xlpm.fallback,_xlpm.computedResult), INDEX(_xlpm.finalResult,1))</f>
        <v>Brachycera</v>
      </c>
      <c r="Z3" s="116" t="str" cm="1">
        <f t="array" ref="Z3">IF(OR(Y3="Insecta",Y3="Arachnida",Y3="#N/C"),"",IFERROR(_xlfn.LET(_xlpm.fc,IFERROR(_xlfn._xlws.FILTER(ClassificationClasses[],ClassificationClasses[Classification Class]=Y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,ClassificationClasses[Key])),0),MATCH(Y3,INDEX(ClassificationClasses[],MATCH(TRUE,ISNUMBER(SEARCH(Y3,ClassificationClasses[Key])),0),0),0)-1)))</f>
        <v>Diptera</v>
      </c>
      <c r="AA3" s="116" t="str" cm="1">
        <f t="array" ref="AA3">IFERROR(IF(OR(Z3="Insecta",Z3="Arachnida",Z3="#N/C"),"",INDEX(ClassificationClasses[[Class]:[Infraorder]],MATCH(TRUE,ISNUMBER(SEARCH(Z3,ClassificationClasses[Key])),0),MATCH(Z3,INDEX(ClassificationClasses[#Data], MATCH(TRUE,ISNUMBER(SEARCH(Z3,ClassificationClasses[Key])),0), 0), 0)-1)),"")</f>
        <v>Insecta</v>
      </c>
      <c r="AB3" s="116" t="str" cm="1">
        <f t="array" ref="AB3">IFERROR(IF(OR(AA3="Insecta",AA3="Arachnida",AA3="#N/C"),"",INDEX(ClassificationClasses[[Class]:[Suborder]],MATCH(TRUE,ISNUMBER(SEARCH(AA3,ClassificationClasses[Key])),0),MATCH(AA3,INDEX(ClassificationClasses[#Data], MATCH(TRUE,ISNUMBER(SEARCH(AA3,ClassificationClasses[Key])),0), 0), 0)-1)),"")</f>
        <v/>
      </c>
      <c r="AC3" s="116" t="str" cm="1">
        <f t="array" ref="AC3">IFERROR(IF(OR(AB3="Insecta",AB3="Arachnida",AB3="#N/C"),"",INDEX(ClassificationClasses[[Class]:[Suborder]],MATCH(TRUE,ISNUMBER(SEARCH(AB3,ClassificationClasses[Key])),0),MATCH(AB3,INDEX(ClassificationClasses[#Data], MATCH(TRUE,ISNUMBER(SEARCH(AB3,ClassificationClasses[Key])),0), 0), 0)-1)),"")</f>
        <v/>
      </c>
      <c r="AD3" s="116" t="str" cm="1">
        <f t="array" ref="AD3">IFERROR(IF(OR(AC3="Insecta",AC3="Arachnida",AC3="#N/C"),"",INDEX(ClassificationClasses[[Class]:[Suborder]],MATCH(TRUE,ISNUMBER(SEARCH(AC3,ClassificationClasses[Key])),0),MATCH(AC3,INDEX(ClassificationClasses[#Data], MATCH(TRUE,ISNUMBER(SEARCH(AC3,ClassificationClasses[Key])),0), 0), 0)-1)),"")</f>
        <v/>
      </c>
      <c r="AE3" s="18" t="str">
        <f t="shared" ref="AE3:AE7" si="1">+CONCATENATE(P3,".",Q3,".",R3,".",T3,".",U3,".",V3,".",W3,".",X3)</f>
        <v>Insecta.Diptera.Brachycera.#N/C.#N/C.#N/C.#N/C.#N/C</v>
      </c>
    </row>
    <row r="4" spans="1:31" x14ac:dyDescent="0.3">
      <c r="A4" s="91">
        <v>3</v>
      </c>
      <c r="B4" s="7">
        <v>44389</v>
      </c>
      <c r="C4" s="92" t="s">
        <v>40</v>
      </c>
      <c r="D4" s="93" t="str">
        <f>HYPERLINK(VLOOKUP(C4,Video_List!$F:$J,5),"video")</f>
        <v>video</v>
      </c>
      <c r="E4" s="94" t="str">
        <f>IFERROR(IF(MATCH(C4,Video_List!$F:$F,)&gt;0,"ok",""),"error")</f>
        <v>ok</v>
      </c>
      <c r="F4" s="92" t="s">
        <v>40</v>
      </c>
      <c r="G4" s="93" t="str">
        <f>HYPERLINK(VLOOKUP(F4,Video_List!$F:$J,5),"video")</f>
        <v>video</v>
      </c>
      <c r="H4" s="94" t="str">
        <f>IFERROR(IF(MATCH(F4,Video_List!$F:$F,)&gt;0,"ok",""),"error")</f>
        <v>ok</v>
      </c>
      <c r="I4" s="17">
        <v>44389.628761574073</v>
      </c>
      <c r="J4" s="8">
        <v>44389.628993055558</v>
      </c>
      <c r="K4" s="15">
        <f t="shared" si="0"/>
        <v>2.3148148466134444E-4</v>
      </c>
      <c r="L4" s="95" t="s">
        <v>32</v>
      </c>
      <c r="M4" s="95" t="s">
        <v>33</v>
      </c>
      <c r="N4" s="96" t="str">
        <f>IF(ISBLANK(C4),"",IF(C4=F4, "1 video",CONCATENATE((+COUNTIFS(Video_List!$C:$C,"&lt;=" &amp;Monitoring!J4)-COUNTIFS(Video_List!$C:$C,"&lt;=" &amp;Monitoring!I4))+1," videos")))</f>
        <v>1 video</v>
      </c>
      <c r="O4" s="27" t="s">
        <v>32</v>
      </c>
      <c r="P4" s="42" t="s">
        <v>37</v>
      </c>
      <c r="Q4" s="42" t="s">
        <v>41</v>
      </c>
      <c r="R4" s="42" t="s">
        <v>42</v>
      </c>
      <c r="S4" s="97" t="str">
        <f>+IFERROR(IF(T4="#N/C","#N/C",IF(U4=0,INDEX(Taxonomy_UniqueValues!D:D,MATCH(U4,Taxonomy_UniqueValues!F:F,0)),INDEX(Taxonomy_UniqueValues!D:D,MATCH(T4,Taxonomy_UniqueValues!E:E,0)))),"#N/C")</f>
        <v>#N/C</v>
      </c>
      <c r="T4" s="42" t="s">
        <v>35</v>
      </c>
      <c r="U4" s="42" t="s">
        <v>35</v>
      </c>
      <c r="V4" s="42" t="s">
        <v>35</v>
      </c>
      <c r="W4" s="42" t="s">
        <v>35</v>
      </c>
      <c r="X4" s="28" t="s">
        <v>35</v>
      </c>
      <c r="Y4" s="69" t="str" cm="1">
        <f t="array" ref="Y4">_xlfn.LET(_xlpm.cls,P4, _xlpm.ord,IFERROR(Q4,"#N/C"), _xlpm.subord,IFERROR(R4,"#N/C"), _xlpm.infr,IFERROR(S4,"#N/C"), _xlpm.sf,IFERROR(T4,"#N/C"), _xlpm.fam,IFERROR(U4,"#N/C"), _xlpm.subfam,IF(TRIM(V4)="-","#N/C",IFERROR(V4,"#N/C")),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_xlpm.fallback,IF(IFERROR(Q4,"#N/C")="#N/C",P4,IF(IFERROR(R4,"#N/C")="#N/C",Q4,IF(IFERROR(S4,"#N/C")="#N/C",R4,IF(IFERROR(T4,"#N/C")="#N/C",S4,IF(IFERROR(U4,"#N/C")="#N/C",T4,IF(IFERROR(V4,"#N/C")="#N/C",U4,"#N/C")))))), _xlpm.finalResult,IF(OR(_xlpm.computedResult="",_xlpm.computedResult="#N/C"),_xlpm.fallback,_xlpm.computedResult), INDEX(_xlpm.finalResult,1))</f>
        <v>Apocrita</v>
      </c>
      <c r="Z4" s="116" t="str" cm="1">
        <f t="array" ref="Z4">IF(OR(Y4="Insecta",Y4="Arachnida",Y4="#N/C"),"",IFERROR(_xlfn.LET(_xlpm.fc,IFERROR(_xlfn._xlws.FILTER(ClassificationClasses[],ClassificationClasses[Classification Class]=Y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,ClassificationClasses[Key])),0),MATCH(Y4,INDEX(ClassificationClasses[],MATCH(TRUE,ISNUMBER(SEARCH(Y4,ClassificationClasses[Key])),0),0),0)-1)))</f>
        <v>Hymenoptera</v>
      </c>
      <c r="AA4" s="116" t="str" cm="1">
        <f t="array" ref="AA4">IFERROR(IF(OR(Z4="Insecta",Z4="Arachnida",Z4="#N/C"),"",INDEX(ClassificationClasses[[Class]:[Infraorder]],MATCH(TRUE,ISNUMBER(SEARCH(Z4,ClassificationClasses[Key])),0),MATCH(Z4,INDEX(ClassificationClasses[#Data], MATCH(TRUE,ISNUMBER(SEARCH(Z4,ClassificationClasses[Key])),0), 0), 0)-1)),"")</f>
        <v>Insecta</v>
      </c>
      <c r="AB4" s="116" t="str" cm="1">
        <f t="array" ref="AB4">IFERROR(IF(OR(AA4="Insecta",AA4="Arachnida",AA4="#N/C"),"",INDEX(ClassificationClasses[[Class]:[Suborder]],MATCH(TRUE,ISNUMBER(SEARCH(AA4,ClassificationClasses[Key])),0),MATCH(AA4,INDEX(ClassificationClasses[#Data], MATCH(TRUE,ISNUMBER(SEARCH(AA4,ClassificationClasses[Key])),0), 0), 0)-1)),"")</f>
        <v/>
      </c>
      <c r="AC4" s="116" t="str" cm="1">
        <f t="array" ref="AC4">IFERROR(IF(OR(AB4="Insecta",AB4="Arachnida",AB4="#N/C"),"",INDEX(ClassificationClasses[[Class]:[Suborder]],MATCH(TRUE,ISNUMBER(SEARCH(AB4,ClassificationClasses[Key])),0),MATCH(AB4,INDEX(ClassificationClasses[#Data], MATCH(TRUE,ISNUMBER(SEARCH(AB4,ClassificationClasses[Key])),0), 0), 0)-1)),"")</f>
        <v/>
      </c>
      <c r="AD4" s="116" t="str" cm="1">
        <f t="array" ref="AD4">IFERROR(IF(OR(AC4="Insecta",AC4="Arachnida",AC4="#N/C"),"",INDEX(ClassificationClasses[[Class]:[Suborder]],MATCH(TRUE,ISNUMBER(SEARCH(AC4,ClassificationClasses[Key])),0),MATCH(AC4,INDEX(ClassificationClasses[#Data], MATCH(TRUE,ISNUMBER(SEARCH(AC4,ClassificationClasses[Key])),0), 0), 0)-1)),"")</f>
        <v/>
      </c>
      <c r="AE4" s="18" t="str">
        <f t="shared" si="1"/>
        <v>Insecta.Hymenoptera.Apocrita.#N/C.#N/C.#N/C.#N/C.#N/C</v>
      </c>
    </row>
    <row r="5" spans="1:31" x14ac:dyDescent="0.3">
      <c r="A5" s="91">
        <v>4</v>
      </c>
      <c r="B5" s="7">
        <v>44389</v>
      </c>
      <c r="C5" s="92" t="s">
        <v>43</v>
      </c>
      <c r="D5" s="93" t="str">
        <f>HYPERLINK(VLOOKUP(C5,Video_List!$F:$J,5),"video")</f>
        <v>video</v>
      </c>
      <c r="E5" s="94" t="str">
        <f>IFERROR(IF(MATCH(C5,Video_List!$F:$F,)&gt;0,"ok",""),"error")</f>
        <v>ok</v>
      </c>
      <c r="F5" s="92" t="s">
        <v>43</v>
      </c>
      <c r="G5" s="93" t="str">
        <f>HYPERLINK(VLOOKUP(F5,Video_List!$F:$J,5),"video")</f>
        <v>video</v>
      </c>
      <c r="H5" s="94" t="str">
        <f>IFERROR(IF(MATCH(F5,Video_List!$F:$F,)&gt;0,"ok",""),"error")</f>
        <v>ok</v>
      </c>
      <c r="I5" s="17">
        <v>44389.638807870368</v>
      </c>
      <c r="J5" s="8">
        <v>44389.638854166667</v>
      </c>
      <c r="K5" s="15">
        <f t="shared" si="0"/>
        <v>4.6296299842651933E-5</v>
      </c>
      <c r="L5" s="95" t="s">
        <v>32</v>
      </c>
      <c r="M5" s="95" t="s">
        <v>33</v>
      </c>
      <c r="N5" s="96" t="str">
        <f>IF(ISBLANK(C5),"",IF(C5=F5, "1 video",CONCATENATE((+COUNTIFS(Video_List!$C:$C,"&lt;=" &amp;Monitoring!J5)-COUNTIFS(Video_List!$C:$C,"&lt;=" &amp;Monitoring!I5))+1," videos")))</f>
        <v>1 video</v>
      </c>
      <c r="O5" s="29" t="s">
        <v>44</v>
      </c>
      <c r="P5" s="42" t="s">
        <v>37</v>
      </c>
      <c r="Q5" s="42" t="s">
        <v>38</v>
      </c>
      <c r="R5" s="42" t="s">
        <v>39</v>
      </c>
      <c r="S5" s="97" t="str">
        <f>+IFERROR(IF(T5="#N/C","#N/C",IF(U5=0,INDEX(Taxonomy_UniqueValues!D:D,MATCH(U5,Taxonomy_UniqueValues!F:F,0)),INDEX(Taxonomy_UniqueValues!D:D,MATCH(T5,Taxonomy_UniqueValues!E:E,0)))),"#N/C")</f>
        <v>#N/C</v>
      </c>
      <c r="T5" s="42" t="s">
        <v>35</v>
      </c>
      <c r="U5" s="42" t="s">
        <v>35</v>
      </c>
      <c r="V5" s="42" t="s">
        <v>35</v>
      </c>
      <c r="W5" s="42" t="s">
        <v>35</v>
      </c>
      <c r="X5" s="28" t="s">
        <v>35</v>
      </c>
      <c r="Y5" s="69" t="str" cm="1">
        <f t="array" ref="Y5">_xlfn.LET(_xlpm.cls,P5, _xlpm.ord,IFERROR(Q5,"#N/C"), _xlpm.subord,IFERROR(R5,"#N/C"), _xlpm.infr,IFERROR(S5,"#N/C"), _xlpm.sf,IFERROR(T5,"#N/C"), _xlpm.fam,IFERROR(U5,"#N/C"), _xlpm.subfam,IF(TRIM(V5)="-","#N/C",IFERROR(V5,"#N/C")),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_xlpm.fallback,IF(IFERROR(Q5,"#N/C")="#N/C",P5,IF(IFERROR(R5,"#N/C")="#N/C",Q5,IF(IFERROR(S5,"#N/C")="#N/C",R5,IF(IFERROR(T5,"#N/C")="#N/C",S5,IF(IFERROR(U5,"#N/C")="#N/C",T5,IF(IFERROR(V5,"#N/C")="#N/C",U5,"#N/C")))))), _xlpm.finalResult,IF(OR(_xlpm.computedResult="",_xlpm.computedResult="#N/C"),_xlpm.fallback,_xlpm.computedResult), INDEX(_xlpm.finalResult,1))</f>
        <v>Brachycera</v>
      </c>
      <c r="Z5" s="116" t="str" cm="1">
        <f t="array" ref="Z5">IF(OR(Y5="Insecta",Y5="Arachnida",Y5="#N/C"),"",IFERROR(_xlfn.LET(_xlpm.fc,IFERROR(_xlfn._xlws.FILTER(ClassificationClasses[],ClassificationClasses[Classification Class]=Y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,ClassificationClasses[Key])),0),MATCH(Y5,INDEX(ClassificationClasses[],MATCH(TRUE,ISNUMBER(SEARCH(Y5,ClassificationClasses[Key])),0),0),0)-1)))</f>
        <v>Diptera</v>
      </c>
      <c r="AA5" s="116" t="str" cm="1">
        <f t="array" ref="AA5">IFERROR(IF(OR(Z5="Insecta",Z5="Arachnida",Z5="#N/C"),"",INDEX(ClassificationClasses[[Class]:[Infraorder]],MATCH(TRUE,ISNUMBER(SEARCH(Z5,ClassificationClasses[Key])),0),MATCH(Z5,INDEX(ClassificationClasses[#Data], MATCH(TRUE,ISNUMBER(SEARCH(Z5,ClassificationClasses[Key])),0), 0), 0)-1)),"")</f>
        <v>Insecta</v>
      </c>
      <c r="AB5" s="116" t="str" cm="1">
        <f t="array" ref="AB5">IFERROR(IF(OR(AA5="Insecta",AA5="Arachnida",AA5="#N/C"),"",INDEX(ClassificationClasses[[Class]:[Suborder]],MATCH(TRUE,ISNUMBER(SEARCH(AA5,ClassificationClasses[Key])),0),MATCH(AA5,INDEX(ClassificationClasses[#Data], MATCH(TRUE,ISNUMBER(SEARCH(AA5,ClassificationClasses[Key])),0), 0), 0)-1)),"")</f>
        <v/>
      </c>
      <c r="AC5" s="116" t="str" cm="1">
        <f t="array" ref="AC5">IFERROR(IF(OR(AB5="Insecta",AB5="Arachnida",AB5="#N/C"),"",INDEX(ClassificationClasses[[Class]:[Suborder]],MATCH(TRUE,ISNUMBER(SEARCH(AB5,ClassificationClasses[Key])),0),MATCH(AB5,INDEX(ClassificationClasses[#Data], MATCH(TRUE,ISNUMBER(SEARCH(AB5,ClassificationClasses[Key])),0), 0), 0)-1)),"")</f>
        <v/>
      </c>
      <c r="AD5" s="116" t="str" cm="1">
        <f t="array" ref="AD5">IFERROR(IF(OR(AC5="Insecta",AC5="Arachnida",AC5="#N/C"),"",INDEX(ClassificationClasses[[Class]:[Suborder]],MATCH(TRUE,ISNUMBER(SEARCH(AC5,ClassificationClasses[Key])),0),MATCH(AC5,INDEX(ClassificationClasses[#Data], MATCH(TRUE,ISNUMBER(SEARCH(AC5,ClassificationClasses[Key])),0), 0), 0)-1)),"")</f>
        <v/>
      </c>
      <c r="AE5" s="18" t="str">
        <f t="shared" si="1"/>
        <v>Insecta.Diptera.Brachycera.#N/C.#N/C.#N/C.#N/C.#N/C</v>
      </c>
    </row>
    <row r="6" spans="1:31" x14ac:dyDescent="0.3">
      <c r="A6" s="91">
        <v>5</v>
      </c>
      <c r="B6" s="7">
        <v>44389</v>
      </c>
      <c r="C6" s="92" t="s">
        <v>45</v>
      </c>
      <c r="D6" s="93" t="str">
        <f>HYPERLINK(VLOOKUP(C6,Video_List!$F:$J,5),"video")</f>
        <v>video</v>
      </c>
      <c r="E6" s="94" t="str">
        <f>IFERROR(IF(MATCH(C6,Video_List!$F:$F,)&gt;0,"ok",""),"error")</f>
        <v>ok</v>
      </c>
      <c r="F6" s="92" t="s">
        <v>45</v>
      </c>
      <c r="G6" s="93" t="str">
        <f>HYPERLINK(VLOOKUP(F6,Video_List!$F:$J,5),"video")</f>
        <v>video</v>
      </c>
      <c r="H6" s="94" t="str">
        <f>IFERROR(IF(MATCH(F6,Video_List!$F:$F,)&gt;0,"ok",""),"error")</f>
        <v>ok</v>
      </c>
      <c r="I6" s="17">
        <v>44389.650081018517</v>
      </c>
      <c r="J6" s="8">
        <v>44389.650416666664</v>
      </c>
      <c r="K6" s="15">
        <f t="shared" si="0"/>
        <v>3.3564814657438546E-4</v>
      </c>
      <c r="L6" s="95" t="s">
        <v>32</v>
      </c>
      <c r="M6" s="95" t="s">
        <v>33</v>
      </c>
      <c r="N6" s="96" t="str">
        <f>IF(ISBLANK(C6),"",IF(C6=F6, "1 video",CONCATENATE((+COUNTIFS(Video_List!$C:$C,"&lt;=" &amp;Monitoring!J6)-COUNTIFS(Video_List!$C:$C,"&lt;=" &amp;Monitoring!I6))+1," videos")))</f>
        <v>1 video</v>
      </c>
      <c r="O6" s="29" t="s">
        <v>44</v>
      </c>
      <c r="P6" s="42" t="s">
        <v>37</v>
      </c>
      <c r="Q6" s="42" t="s">
        <v>38</v>
      </c>
      <c r="R6" s="42" t="s">
        <v>39</v>
      </c>
      <c r="S6" s="97" t="str">
        <f>+IFERROR(IF(T6="#N/C","#N/C",IF(U6=0,INDEX(Taxonomy_UniqueValues!D:D,MATCH(U6,Taxonomy_UniqueValues!F:F,0)),INDEX(Taxonomy_UniqueValues!D:D,MATCH(T6,Taxonomy_UniqueValues!E:E,0)))),"#N/C")</f>
        <v>Muscomorpha</v>
      </c>
      <c r="T6" s="42" t="s">
        <v>46</v>
      </c>
      <c r="U6" s="42" t="s">
        <v>47</v>
      </c>
      <c r="V6" s="42" t="s">
        <v>48</v>
      </c>
      <c r="W6" s="42" t="s">
        <v>49</v>
      </c>
      <c r="X6" s="28" t="s">
        <v>35</v>
      </c>
      <c r="Y6" s="69" t="str" cm="1">
        <f t="array" ref="Y6">_xlfn.LET(_xlpm.cls,P6, _xlpm.ord,IFERROR(Q6,"#N/C"), _xlpm.subord,IFERROR(R6,"#N/C"), _xlpm.infr,IFERROR(S6,"#N/C"), _xlpm.sf,IFERROR(T6,"#N/C"), _xlpm.fam,IFERROR(U6,"#N/C"), _xlpm.subfam,IF(TRIM(V6)="-","#N/C",IFERROR(V6,"#N/C")),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_xlpm.fallback,IF(IFERROR(Q6,"#N/C")="#N/C",P6,IF(IFERROR(R6,"#N/C")="#N/C",Q6,IF(IFERROR(S6,"#N/C")="#N/C",R6,IF(IFERROR(T6,"#N/C")="#N/C",S6,IF(IFERROR(U6,"#N/C")="#N/C",T6,IF(IFERROR(V6,"#N/C")="#N/C",U6,"#N/C")))))), _xlpm.finalResult,IF(OR(_xlpm.computedResult="",_xlpm.computedResult="#N/C"),_xlpm.fallback,_xlpm.computedResult), INDEX(_xlpm.finalResult,1))</f>
        <v>hoverfly</v>
      </c>
      <c r="Z6" s="116" t="str" cm="1">
        <f t="array" ref="Z6">IF(OR(Y6="Insecta",Y6="Arachnida",Y6="#N/C"),"",IFERROR(_xlfn.LET(_xlpm.fc,IFERROR(_xlfn._xlws.FILTER(ClassificationClasses[],ClassificationClasses[Classification Class]=Y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,ClassificationClasses[Key])),0),MATCH(Y6,INDEX(ClassificationClasses[],MATCH(TRUE,ISNUMBER(SEARCH(Y6,ClassificationClasses[Key])),0),0),0)-1)))</f>
        <v>Muscomorpha</v>
      </c>
      <c r="AA6" s="116" t="str" cm="1">
        <f t="array" ref="AA6">IFERROR(IF(OR(Z6="Insecta",Z6="Arachnida",Z6="#N/C"),"",INDEX(ClassificationClasses[[Class]:[Infraorder]],MATCH(TRUE,ISNUMBER(SEARCH(Z6,ClassificationClasses[Key])),0),MATCH(Z6,INDEX(ClassificationClasses[#Data], MATCH(TRUE,ISNUMBER(SEARCH(Z6,ClassificationClasses[Key])),0), 0), 0)-1)),"")</f>
        <v>Brachycera</v>
      </c>
      <c r="AB6" s="116" t="str" cm="1">
        <f t="array" ref="AB6">IFERROR(IF(OR(AA6="Insecta",AA6="Arachnida",AA6="#N/C"),"",INDEX(ClassificationClasses[[Class]:[Suborder]],MATCH(TRUE,ISNUMBER(SEARCH(AA6,ClassificationClasses[Key])),0),MATCH(AA6,INDEX(ClassificationClasses[#Data], MATCH(TRUE,ISNUMBER(SEARCH(AA6,ClassificationClasses[Key])),0), 0), 0)-1)),"")</f>
        <v>Diptera</v>
      </c>
      <c r="AC6" s="116" t="str" cm="1">
        <f t="array" ref="AC6">IFERROR(IF(OR(AB6="Insecta",AB6="Arachnida",AB6="#N/C"),"",INDEX(ClassificationClasses[[Class]:[Suborder]],MATCH(TRUE,ISNUMBER(SEARCH(AB6,ClassificationClasses[Key])),0),MATCH(AB6,INDEX(ClassificationClasses[#Data], MATCH(TRUE,ISNUMBER(SEARCH(AB6,ClassificationClasses[Key])),0), 0), 0)-1)),"")</f>
        <v>Insecta</v>
      </c>
      <c r="AD6" s="116" t="str" cm="1">
        <f t="array" ref="AD6">IFERROR(IF(OR(AC6="Insecta",AC6="Arachnida",AC6="#N/C"),"",INDEX(ClassificationClasses[[Class]:[Suborder]],MATCH(TRUE,ISNUMBER(SEARCH(AC6,ClassificationClasses[Key])),0),MATCH(AC6,INDEX(ClassificationClasses[#Data], MATCH(TRUE,ISNUMBER(SEARCH(AC6,ClassificationClasses[Key])),0), 0), 0)-1)),"")</f>
        <v/>
      </c>
      <c r="AE6" s="18" t="str">
        <f t="shared" si="1"/>
        <v>Insecta.Diptera.Brachycera.Syrphoidea.Syrphidae.Syrphinae.Sphaerophoria.#N/C</v>
      </c>
    </row>
    <row r="7" spans="1:31" x14ac:dyDescent="0.3">
      <c r="A7" s="91">
        <v>6</v>
      </c>
      <c r="B7" s="7">
        <v>44389</v>
      </c>
      <c r="C7" s="92" t="s">
        <v>50</v>
      </c>
      <c r="D7" s="93" t="str">
        <f>HYPERLINK(VLOOKUP(C7,Video_List!$F:$J,5),"video")</f>
        <v>video</v>
      </c>
      <c r="E7" s="94" t="str">
        <f>IFERROR(IF(MATCH(C7,Video_List!$F:$F,)&gt;0,"ok",""),"error")</f>
        <v>ok</v>
      </c>
      <c r="F7" s="92" t="s">
        <v>50</v>
      </c>
      <c r="G7" s="93" t="str">
        <f>HYPERLINK(VLOOKUP(F7,Video_List!$F:$J,5),"video")</f>
        <v>video</v>
      </c>
      <c r="H7" s="94" t="str">
        <f>IFERROR(IF(MATCH(F7,Video_List!$F:$F,)&gt;0,"ok",""),"error")</f>
        <v>ok</v>
      </c>
      <c r="I7" s="17">
        <v>44389.654942129629</v>
      </c>
      <c r="J7" s="8">
        <v>44389.655011574076</v>
      </c>
      <c r="K7" s="15">
        <f t="shared" si="0"/>
        <v>6.9444446125999093E-5</v>
      </c>
      <c r="L7" s="4" t="s">
        <v>32</v>
      </c>
      <c r="M7" s="4" t="s">
        <v>33</v>
      </c>
      <c r="N7" s="96" t="str">
        <f>IF(ISBLANK(C7),"",IF(C7=F7, "1 video",CONCATENATE((+COUNTIFS(Video_List!$C:$C,"&lt;=" &amp;Monitoring!J7)-COUNTIFS(Video_List!$C:$C,"&lt;=" &amp;Monitoring!I7))+1," videos")))</f>
        <v>1 video</v>
      </c>
      <c r="O7" s="29" t="s">
        <v>44</v>
      </c>
      <c r="P7" s="42" t="s">
        <v>37</v>
      </c>
      <c r="Q7" s="42" t="s">
        <v>38</v>
      </c>
      <c r="R7" s="42" t="s">
        <v>39</v>
      </c>
      <c r="S7" s="97" t="str">
        <f>+IFERROR(IF(T7="#N/C","#N/C",IF(U7=0,INDEX(Taxonomy_UniqueValues!D:D,MATCH(U7,Taxonomy_UniqueValues!F:F,0)),INDEX(Taxonomy_UniqueValues!D:D,MATCH(T7,Taxonomy_UniqueValues!E:E,0)))),"#N/C")</f>
        <v>#N/C</v>
      </c>
      <c r="T7" s="42" t="s">
        <v>35</v>
      </c>
      <c r="U7" s="42" t="s">
        <v>35</v>
      </c>
      <c r="V7" s="42" t="s">
        <v>35</v>
      </c>
      <c r="W7" s="42" t="s">
        <v>35</v>
      </c>
      <c r="X7" s="28" t="s">
        <v>35</v>
      </c>
      <c r="Y7" s="69" t="str" cm="1">
        <f t="array" ref="Y7">_xlfn.LET(_xlpm.cls,P7, _xlpm.ord,IFERROR(Q7,"#N/C"), _xlpm.subord,IFERROR(R7,"#N/C"), _xlpm.infr,IFERROR(S7,"#N/C"), _xlpm.sf,IFERROR(T7,"#N/C"), _xlpm.fam,IFERROR(U7,"#N/C"), _xlpm.subfam,IF(TRIM(V7)="-","#N/C",IFERROR(V7,"#N/C")),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_xlpm.fallback,IF(IFERROR(Q7,"#N/C")="#N/C",P7,IF(IFERROR(R7,"#N/C")="#N/C",Q7,IF(IFERROR(S7,"#N/C")="#N/C",R7,IF(IFERROR(T7,"#N/C")="#N/C",S7,IF(IFERROR(U7,"#N/C")="#N/C",T7,IF(IFERROR(V7,"#N/C")="#N/C",U7,"#N/C")))))), _xlpm.finalResult,IF(OR(_xlpm.computedResult="",_xlpm.computedResult="#N/C"),_xlpm.fallback,_xlpm.computedResult), INDEX(_xlpm.finalResult,1))</f>
        <v>Brachycera</v>
      </c>
      <c r="Z7" s="116" t="str" cm="1">
        <f t="array" ref="Z7">IF(OR(Y7="Insecta",Y7="Arachnida",Y7="#N/C"),"",IFERROR(_xlfn.LET(_xlpm.fc,IFERROR(_xlfn._xlws.FILTER(ClassificationClasses[],ClassificationClasses[Classification Class]=Y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,ClassificationClasses[Key])),0),MATCH(Y7,INDEX(ClassificationClasses[],MATCH(TRUE,ISNUMBER(SEARCH(Y7,ClassificationClasses[Key])),0),0),0)-1)))</f>
        <v>Diptera</v>
      </c>
      <c r="AA7" s="116" t="str" cm="1">
        <f t="array" ref="AA7">IFERROR(IF(OR(Z7="Insecta",Z7="Arachnida",Z7="#N/C"),"",INDEX(ClassificationClasses[[Class]:[Infraorder]],MATCH(TRUE,ISNUMBER(SEARCH(Z7,ClassificationClasses[Key])),0),MATCH(Z7,INDEX(ClassificationClasses[#Data], MATCH(TRUE,ISNUMBER(SEARCH(Z7,ClassificationClasses[Key])),0), 0), 0)-1)),"")</f>
        <v>Insecta</v>
      </c>
      <c r="AB7" s="116" t="str" cm="1">
        <f t="array" ref="AB7">IFERROR(IF(OR(AA7="Insecta",AA7="Arachnida",AA7="#N/C"),"",INDEX(ClassificationClasses[[Class]:[Suborder]],MATCH(TRUE,ISNUMBER(SEARCH(AA7,ClassificationClasses[Key])),0),MATCH(AA7,INDEX(ClassificationClasses[#Data], MATCH(TRUE,ISNUMBER(SEARCH(AA7,ClassificationClasses[Key])),0), 0), 0)-1)),"")</f>
        <v/>
      </c>
      <c r="AC7" s="116" t="str" cm="1">
        <f t="array" ref="AC7">IFERROR(IF(OR(AB7="Insecta",AB7="Arachnida",AB7="#N/C"),"",INDEX(ClassificationClasses[[Class]:[Suborder]],MATCH(TRUE,ISNUMBER(SEARCH(AB7,ClassificationClasses[Key])),0),MATCH(AB7,INDEX(ClassificationClasses[#Data], MATCH(TRUE,ISNUMBER(SEARCH(AB7,ClassificationClasses[Key])),0), 0), 0)-1)),"")</f>
        <v/>
      </c>
      <c r="AD7" s="116" t="str" cm="1">
        <f t="array" ref="AD7">IFERROR(IF(OR(AC7="Insecta",AC7="Arachnida",AC7="#N/C"),"",INDEX(ClassificationClasses[[Class]:[Suborder]],MATCH(TRUE,ISNUMBER(SEARCH(AC7,ClassificationClasses[Key])),0),MATCH(AC7,INDEX(ClassificationClasses[#Data], MATCH(TRUE,ISNUMBER(SEARCH(AC7,ClassificationClasses[Key])),0), 0), 0)-1)),"")</f>
        <v/>
      </c>
      <c r="AE7" s="18" t="str">
        <f t="shared" si="1"/>
        <v>Insecta.Diptera.Brachycera.#N/C.#N/C.#N/C.#N/C.#N/C</v>
      </c>
    </row>
    <row r="8" spans="1:31" x14ac:dyDescent="0.3">
      <c r="A8" s="91">
        <v>7</v>
      </c>
      <c r="B8" s="7">
        <v>44389</v>
      </c>
      <c r="C8" s="92" t="s">
        <v>51</v>
      </c>
      <c r="D8" s="93" t="str">
        <f>HYPERLINK(VLOOKUP(C8,Video_List!$F:$J,5),"video")</f>
        <v>video</v>
      </c>
      <c r="E8" s="94" t="str">
        <f>IFERROR(IF(MATCH(C8,Video_List!$F:$F,)&gt;0,"ok",""),"error")</f>
        <v>ok</v>
      </c>
      <c r="F8" s="92" t="s">
        <v>51</v>
      </c>
      <c r="G8" s="93" t="str">
        <f>HYPERLINK(VLOOKUP(F8,Video_List!$F:$J,5),"video")</f>
        <v>video</v>
      </c>
      <c r="H8" s="94" t="str">
        <f>IFERROR(IF(MATCH(F8,Video_List!$F:$F,)&gt;0,"ok",""),"error")</f>
        <v>ok</v>
      </c>
      <c r="I8" s="17">
        <v>44389.655868055554</v>
      </c>
      <c r="J8" s="8">
        <v>44389.655925925923</v>
      </c>
      <c r="K8" s="15">
        <f t="shared" si="0"/>
        <v>5.7870369346346706E-5</v>
      </c>
      <c r="L8" s="4" t="s">
        <v>32</v>
      </c>
      <c r="M8" s="4" t="s">
        <v>33</v>
      </c>
      <c r="N8" s="96" t="str">
        <f>IF(ISBLANK(C8),"",IF(C8=F8, "1 video",CONCATENATE((+COUNTIFS(Video_List!$C:$C,"&lt;=" &amp;Monitoring!J8)-COUNTIFS(Video_List!$C:$C,"&lt;=" &amp;Monitoring!I8))+1," videos")))</f>
        <v>1 video</v>
      </c>
      <c r="O8" s="29" t="s">
        <v>44</v>
      </c>
      <c r="P8" s="42" t="s">
        <v>37</v>
      </c>
      <c r="Q8" s="42" t="s">
        <v>38</v>
      </c>
      <c r="R8" s="42" t="s">
        <v>39</v>
      </c>
      <c r="S8" s="97" t="str">
        <f>+IFERROR(IF(T8="#N/C","#N/C",IF(U8=0,INDEX(Taxonomy_UniqueValues!D:D,MATCH(U8,Taxonomy_UniqueValues!F:F,0)),INDEX(Taxonomy_UniqueValues!D:D,MATCH(T8,Taxonomy_UniqueValues!E:E,0)))),"#N/C")</f>
        <v>#N/C</v>
      </c>
      <c r="T8" s="42" t="s">
        <v>35</v>
      </c>
      <c r="U8" s="42" t="s">
        <v>35</v>
      </c>
      <c r="V8" s="42" t="s">
        <v>35</v>
      </c>
      <c r="W8" s="42" t="s">
        <v>35</v>
      </c>
      <c r="X8" s="28" t="s">
        <v>35</v>
      </c>
      <c r="Y8" s="69" t="str" cm="1">
        <f t="array" ref="Y8">_xlfn.LET(_xlpm.cls,P8, _xlpm.ord,IFERROR(Q8,"#N/C"), _xlpm.subord,IFERROR(R8,"#N/C"), _xlpm.infr,IFERROR(S8,"#N/C"), _xlpm.sf,IFERROR(T8,"#N/C"), _xlpm.fam,IFERROR(U8,"#N/C"), _xlpm.subfam,IF(TRIM(V8)="-","#N/C",IFERROR(V8,"#N/C")),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_xlpm.fallback,IF(IFERROR(Q8,"#N/C")="#N/C",P8,IF(IFERROR(R8,"#N/C")="#N/C",Q8,IF(IFERROR(S8,"#N/C")="#N/C",R8,IF(IFERROR(T8,"#N/C")="#N/C",S8,IF(IFERROR(U8,"#N/C")="#N/C",T8,IF(IFERROR(V8,"#N/C")="#N/C",U8,"#N/C")))))), _xlpm.finalResult,IF(OR(_xlpm.computedResult="",_xlpm.computedResult="#N/C"),_xlpm.fallback,_xlpm.computedResult), INDEX(_xlpm.finalResult,1))</f>
        <v>Brachycera</v>
      </c>
      <c r="Z8" s="116" t="str" cm="1">
        <f t="array" ref="Z8">IF(OR(Y8="Insecta",Y8="Arachnida",Y8="#N/C"),"",IFERROR(_xlfn.LET(_xlpm.fc,IFERROR(_xlfn._xlws.FILTER(ClassificationClasses[],ClassificationClasses[Classification Class]=Y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,ClassificationClasses[Key])),0),MATCH(Y8,INDEX(ClassificationClasses[],MATCH(TRUE,ISNUMBER(SEARCH(Y8,ClassificationClasses[Key])),0),0),0)-1)))</f>
        <v>Diptera</v>
      </c>
      <c r="AA8" s="116" t="str" cm="1">
        <f t="array" ref="AA8">IFERROR(IF(OR(Z8="Insecta",Z8="Arachnida",Z8="#N/C"),"",INDEX(ClassificationClasses[[Class]:[Infraorder]],MATCH(TRUE,ISNUMBER(SEARCH(Z8,ClassificationClasses[Key])),0),MATCH(Z8,INDEX(ClassificationClasses[#Data], MATCH(TRUE,ISNUMBER(SEARCH(Z8,ClassificationClasses[Key])),0), 0), 0)-1)),"")</f>
        <v>Insecta</v>
      </c>
      <c r="AB8" s="116" t="str" cm="1">
        <f t="array" ref="AB8">IFERROR(IF(OR(AA8="Insecta",AA8="Arachnida",AA8="#N/C"),"",INDEX(ClassificationClasses[[Class]:[Suborder]],MATCH(TRUE,ISNUMBER(SEARCH(AA8,ClassificationClasses[Key])),0),MATCH(AA8,INDEX(ClassificationClasses[#Data], MATCH(TRUE,ISNUMBER(SEARCH(AA8,ClassificationClasses[Key])),0), 0), 0)-1)),"")</f>
        <v/>
      </c>
      <c r="AC8" s="116" t="str" cm="1">
        <f t="array" ref="AC8">IFERROR(IF(OR(AB8="Insecta",AB8="Arachnida",AB8="#N/C"),"",INDEX(ClassificationClasses[[Class]:[Suborder]],MATCH(TRUE,ISNUMBER(SEARCH(AB8,ClassificationClasses[Key])),0),MATCH(AB8,INDEX(ClassificationClasses[#Data], MATCH(TRUE,ISNUMBER(SEARCH(AB8,ClassificationClasses[Key])),0), 0), 0)-1)),"")</f>
        <v/>
      </c>
      <c r="AD8" s="116" t="str" cm="1">
        <f t="array" ref="AD8">IFERROR(IF(OR(AC8="Insecta",AC8="Arachnida",AC8="#N/C"),"",INDEX(ClassificationClasses[[Class]:[Suborder]],MATCH(TRUE,ISNUMBER(SEARCH(AC8,ClassificationClasses[Key])),0),MATCH(AC8,INDEX(ClassificationClasses[#Data], MATCH(TRUE,ISNUMBER(SEARCH(AC8,ClassificationClasses[Key])),0), 0), 0)-1)),"")</f>
        <v/>
      </c>
      <c r="AE8" s="18" t="str">
        <f t="shared" ref="AE8:AE71" si="2">+CONCATENATE(P8,".",Q8,".",R8,".",S8,".",T8,".",U8,".",V8,".",W8,".",X8)</f>
        <v>Insecta.Diptera.Brachycera.#N/C.#N/C.#N/C.#N/C.#N/C.#N/C</v>
      </c>
    </row>
    <row r="9" spans="1:31" x14ac:dyDescent="0.3">
      <c r="A9" s="91">
        <v>8</v>
      </c>
      <c r="B9" s="7">
        <v>44389</v>
      </c>
      <c r="C9" s="92" t="s">
        <v>52</v>
      </c>
      <c r="D9" s="93" t="str">
        <f>HYPERLINK(VLOOKUP(C9,Video_List!$F:$J,5),"video")</f>
        <v>video</v>
      </c>
      <c r="E9" s="94" t="str">
        <f>IFERROR(IF(MATCH(C9,Video_List!$F:$F,)&gt;0,"ok",""),"error")</f>
        <v>ok</v>
      </c>
      <c r="F9" s="92" t="s">
        <v>53</v>
      </c>
      <c r="G9" s="93" t="str">
        <f>HYPERLINK(VLOOKUP(F9,Video_List!$F:$J,5),"video")</f>
        <v>video</v>
      </c>
      <c r="H9" s="94" t="str">
        <f>IFERROR(IF(MATCH(F9,Video_List!$F:$F,)&gt;0,"ok",""),"error")</f>
        <v>ok</v>
      </c>
      <c r="I9" s="17">
        <v>44389.66810185185</v>
      </c>
      <c r="J9" s="8">
        <v>44389.671689814815</v>
      </c>
      <c r="K9" s="15">
        <f t="shared" si="0"/>
        <v>3.5879629649571143E-3</v>
      </c>
      <c r="L9" s="95" t="s">
        <v>32</v>
      </c>
      <c r="M9" s="95" t="s">
        <v>33</v>
      </c>
      <c r="N9" s="96" t="str">
        <f>IF(ISBLANK(C9),"",IF(C9=F9, "1 video",CONCATENATE((+COUNTIFS(Video_List!$C:$C,"&lt;=" &amp;Monitoring!J9)-COUNTIFS(Video_List!$C:$C,"&lt;=" &amp;Monitoring!I9))+1," videos")))</f>
        <v>2 videos</v>
      </c>
      <c r="O9" s="29" t="s">
        <v>44</v>
      </c>
      <c r="P9" s="42" t="s">
        <v>37</v>
      </c>
      <c r="Q9" s="42" t="s">
        <v>38</v>
      </c>
      <c r="R9" s="42" t="s">
        <v>39</v>
      </c>
      <c r="S9" s="97" t="str">
        <f>+IFERROR(IF(T9="#N/C","#N/C",IF(U9=0,INDEX(Taxonomy_UniqueValues!D:D,MATCH(U9,Taxonomy_UniqueValues!F:F,0)),INDEX(Taxonomy_UniqueValues!D:D,MATCH(T9,Taxonomy_UniqueValues!E:E,0)))),"#N/C")</f>
        <v>Muscomorpha</v>
      </c>
      <c r="T9" s="42" t="s">
        <v>46</v>
      </c>
      <c r="U9" s="42" t="s">
        <v>47</v>
      </c>
      <c r="V9" s="42" t="s">
        <v>48</v>
      </c>
      <c r="W9" s="42" t="s">
        <v>35</v>
      </c>
      <c r="X9" s="28" t="s">
        <v>35</v>
      </c>
      <c r="Y9" s="69" t="str" cm="1">
        <f t="array" ref="Y9">_xlfn.LET(_xlpm.cls,P9, _xlpm.ord,IFERROR(Q9,"#N/C"), _xlpm.subord,IFERROR(R9,"#N/C"), _xlpm.infr,IFERROR(S9,"#N/C"), _xlpm.sf,IFERROR(T9,"#N/C"), _xlpm.fam,IFERROR(U9,"#N/C"), _xlpm.subfam,IF(TRIM(V9)="-","#N/C",IFERROR(V9,"#N/C")),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_xlpm.fallback,IF(IFERROR(Q9,"#N/C")="#N/C",P9,IF(IFERROR(R9,"#N/C")="#N/C",Q9,IF(IFERROR(S9,"#N/C")="#N/C",R9,IF(IFERROR(T9,"#N/C")="#N/C",S9,IF(IFERROR(U9,"#N/C")="#N/C",T9,IF(IFERROR(V9,"#N/C")="#N/C",U9,"#N/C")))))), _xlpm.finalResult,IF(OR(_xlpm.computedResult="",_xlpm.computedResult="#N/C"),_xlpm.fallback,_xlpm.computedResult), INDEX(_xlpm.finalResult,1))</f>
        <v>hoverfly</v>
      </c>
      <c r="Z9" s="116" t="str" cm="1">
        <f t="array" ref="Z9">IF(OR(Y9="Insecta",Y9="Arachnida",Y9="#N/C"),"",IFERROR(_xlfn.LET(_xlpm.fc,IFERROR(_xlfn._xlws.FILTER(ClassificationClasses[],ClassificationClasses[Classification Class]=Y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,ClassificationClasses[Key])),0),MATCH(Y9,INDEX(ClassificationClasses[],MATCH(TRUE,ISNUMBER(SEARCH(Y9,ClassificationClasses[Key])),0),0),0)-1)))</f>
        <v>Muscomorpha</v>
      </c>
      <c r="AA9" s="116" t="str" cm="1">
        <f t="array" ref="AA9">IFERROR(IF(OR(Z9="Insecta",Z9="Arachnida",Z9="#N/C"),"",INDEX(ClassificationClasses[[Class]:[Infraorder]],MATCH(TRUE,ISNUMBER(SEARCH(Z9,ClassificationClasses[Key])),0),MATCH(Z9,INDEX(ClassificationClasses[#Data], MATCH(TRUE,ISNUMBER(SEARCH(Z9,ClassificationClasses[Key])),0), 0), 0)-1)),"")</f>
        <v>Brachycera</v>
      </c>
      <c r="AB9" s="116" t="str" cm="1">
        <f t="array" ref="AB9">IFERROR(IF(OR(AA9="Insecta",AA9="Arachnida",AA9="#N/C"),"",INDEX(ClassificationClasses[[Class]:[Suborder]],MATCH(TRUE,ISNUMBER(SEARCH(AA9,ClassificationClasses[Key])),0),MATCH(AA9,INDEX(ClassificationClasses[#Data], MATCH(TRUE,ISNUMBER(SEARCH(AA9,ClassificationClasses[Key])),0), 0), 0)-1)),"")</f>
        <v>Diptera</v>
      </c>
      <c r="AC9" s="116" t="str" cm="1">
        <f t="array" ref="AC9">IFERROR(IF(OR(AB9="Insecta",AB9="Arachnida",AB9="#N/C"),"",INDEX(ClassificationClasses[[Class]:[Suborder]],MATCH(TRUE,ISNUMBER(SEARCH(AB9,ClassificationClasses[Key])),0),MATCH(AB9,INDEX(ClassificationClasses[#Data], MATCH(TRUE,ISNUMBER(SEARCH(AB9,ClassificationClasses[Key])),0), 0), 0)-1)),"")</f>
        <v>Insecta</v>
      </c>
      <c r="AD9" s="116" t="str" cm="1">
        <f t="array" ref="AD9">IFERROR(IF(OR(AC9="Insecta",AC9="Arachnida",AC9="#N/C"),"",INDEX(ClassificationClasses[[Class]:[Suborder]],MATCH(TRUE,ISNUMBER(SEARCH(AC9,ClassificationClasses[Key])),0),MATCH(AC9,INDEX(ClassificationClasses[#Data], MATCH(TRUE,ISNUMBER(SEARCH(AC9,ClassificationClasses[Key])),0), 0), 0)-1)),"")</f>
        <v/>
      </c>
      <c r="AE9" s="18" t="str">
        <f t="shared" si="2"/>
        <v>Insecta.Diptera.Brachycera.Muscomorpha.Syrphoidea.Syrphidae.Syrphinae.#N/C.#N/C</v>
      </c>
    </row>
    <row r="10" spans="1:31" x14ac:dyDescent="0.3">
      <c r="A10" s="91">
        <v>9</v>
      </c>
      <c r="B10" s="7">
        <v>44389</v>
      </c>
      <c r="C10" s="92" t="s">
        <v>54</v>
      </c>
      <c r="D10" s="93" t="str">
        <f>HYPERLINK(VLOOKUP(C10,Video_List!$F:$J,5),"video")</f>
        <v>video</v>
      </c>
      <c r="E10" s="94" t="str">
        <f>IFERROR(IF(MATCH(C10,Video_List!$F:$F,)&gt;0,"ok",""),"error")</f>
        <v>ok</v>
      </c>
      <c r="F10" s="92" t="s">
        <v>54</v>
      </c>
      <c r="G10" s="93" t="str">
        <f>HYPERLINK(VLOOKUP(F10,Video_List!$F:$J,5),"video")</f>
        <v>video</v>
      </c>
      <c r="H10" s="94" t="str">
        <f>IFERROR(IF(MATCH(F10,Video_List!$F:$F,)&gt;0,"ok",""),"error")</f>
        <v>ok</v>
      </c>
      <c r="I10" s="17">
        <v>44389.705347222225</v>
      </c>
      <c r="J10" s="8">
        <v>44389.705381944441</v>
      </c>
      <c r="K10" s="15">
        <f t="shared" si="0"/>
        <v>3.4722215787041932E-5</v>
      </c>
      <c r="L10" s="95" t="s">
        <v>32</v>
      </c>
      <c r="M10" s="95" t="s">
        <v>33</v>
      </c>
      <c r="N10" s="96" t="str">
        <f>IF(ISBLANK(C10),"",IF(C10=F10, "1 video",CONCATENATE((+COUNTIFS(Video_List!$C:$C,"&lt;=" &amp;Monitoring!J10)-COUNTIFS(Video_List!$C:$C,"&lt;=" &amp;Monitoring!I10))+1," videos")))</f>
        <v>1 video</v>
      </c>
      <c r="O10" s="29" t="s">
        <v>44</v>
      </c>
      <c r="P10" s="42" t="s">
        <v>37</v>
      </c>
      <c r="Q10" s="42" t="s">
        <v>38</v>
      </c>
      <c r="R10" s="42" t="s">
        <v>39</v>
      </c>
      <c r="S10" s="97" t="str">
        <f>+IFERROR(IF(T10="#N/C","#N/C",IF(U10=0,INDEX(Taxonomy_UniqueValues!D:D,MATCH(U10,Taxonomy_UniqueValues!F:F,0)),INDEX(Taxonomy_UniqueValues!D:D,MATCH(T10,Taxonomy_UniqueValues!E:E,0)))),"#N/C")</f>
        <v>#N/C</v>
      </c>
      <c r="T10" s="42" t="s">
        <v>35</v>
      </c>
      <c r="U10" s="42" t="s">
        <v>35</v>
      </c>
      <c r="V10" s="42" t="s">
        <v>35</v>
      </c>
      <c r="W10" s="42" t="s">
        <v>35</v>
      </c>
      <c r="X10" s="28" t="s">
        <v>35</v>
      </c>
      <c r="Y10" s="69" t="str" cm="1">
        <f t="array" ref="Y10">_xlfn.LET(_xlpm.cls,P10, _xlpm.ord,IFERROR(Q10,"#N/C"), _xlpm.subord,IFERROR(R10,"#N/C"), _xlpm.infr,IFERROR(S10,"#N/C"), _xlpm.sf,IFERROR(T10,"#N/C"), _xlpm.fam,IFERROR(U10,"#N/C"), _xlpm.subfam,IF(TRIM(V10)="-","#N/C",IFERROR(V10,"#N/C")),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_xlpm.fallback,IF(IFERROR(Q10,"#N/C")="#N/C",P10,IF(IFERROR(R10,"#N/C")="#N/C",Q10,IF(IFERROR(S10,"#N/C")="#N/C",R10,IF(IFERROR(T10,"#N/C")="#N/C",S10,IF(IFERROR(U10,"#N/C")="#N/C",T10,IF(IFERROR(V10,"#N/C")="#N/C",U10,"#N/C")))))), _xlpm.finalResult,IF(OR(_xlpm.computedResult="",_xlpm.computedResult="#N/C"),_xlpm.fallback,_xlpm.computedResult), INDEX(_xlpm.finalResult,1))</f>
        <v>Brachycera</v>
      </c>
      <c r="Z10" s="116" t="str" cm="1">
        <f t="array" ref="Z10">IF(OR(Y10="Insecta",Y10="Arachnida",Y10="#N/C"),"",IFERROR(_xlfn.LET(_xlpm.fc,IFERROR(_xlfn._xlws.FILTER(ClassificationClasses[],ClassificationClasses[Classification Class]=Y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,ClassificationClasses[Key])),0),MATCH(Y10,INDEX(ClassificationClasses[],MATCH(TRUE,ISNUMBER(SEARCH(Y10,ClassificationClasses[Key])),0),0),0)-1)))</f>
        <v>Diptera</v>
      </c>
      <c r="AA10" s="116" t="str" cm="1">
        <f t="array" ref="AA10">IFERROR(IF(OR(Z10="Insecta",Z10="Arachnida",Z10="#N/C"),"",INDEX(ClassificationClasses[[Class]:[Infraorder]],MATCH(TRUE,ISNUMBER(SEARCH(Z10,ClassificationClasses[Key])),0),MATCH(Z10,INDEX(ClassificationClasses[#Data], MATCH(TRUE,ISNUMBER(SEARCH(Z10,ClassificationClasses[Key])),0), 0), 0)-1)),"")</f>
        <v>Insecta</v>
      </c>
      <c r="AB10" s="116" t="str" cm="1">
        <f t="array" ref="AB10">IFERROR(IF(OR(AA10="Insecta",AA10="Arachnida",AA10="#N/C"),"",INDEX(ClassificationClasses[[Class]:[Suborder]],MATCH(TRUE,ISNUMBER(SEARCH(AA10,ClassificationClasses[Key])),0),MATCH(AA10,INDEX(ClassificationClasses[#Data], MATCH(TRUE,ISNUMBER(SEARCH(AA10,ClassificationClasses[Key])),0), 0), 0)-1)),"")</f>
        <v/>
      </c>
      <c r="AC10" s="116" t="str" cm="1">
        <f t="array" ref="AC10">IFERROR(IF(OR(AB10="Insecta",AB10="Arachnida",AB10="#N/C"),"",INDEX(ClassificationClasses[[Class]:[Suborder]],MATCH(TRUE,ISNUMBER(SEARCH(AB10,ClassificationClasses[Key])),0),MATCH(AB10,INDEX(ClassificationClasses[#Data], MATCH(TRUE,ISNUMBER(SEARCH(AB10,ClassificationClasses[Key])),0), 0), 0)-1)),"")</f>
        <v/>
      </c>
      <c r="AD10" s="116" t="str" cm="1">
        <f t="array" ref="AD10">IFERROR(IF(OR(AC10="Insecta",AC10="Arachnida",AC10="#N/C"),"",INDEX(ClassificationClasses[[Class]:[Suborder]],MATCH(TRUE,ISNUMBER(SEARCH(AC10,ClassificationClasses[Key])),0),MATCH(AC10,INDEX(ClassificationClasses[#Data], MATCH(TRUE,ISNUMBER(SEARCH(AC10,ClassificationClasses[Key])),0), 0), 0)-1)),"")</f>
        <v/>
      </c>
      <c r="AE10" s="18" t="str">
        <f t="shared" si="2"/>
        <v>Insecta.Diptera.Brachycera.#N/C.#N/C.#N/C.#N/C.#N/C.#N/C</v>
      </c>
    </row>
    <row r="11" spans="1:31" x14ac:dyDescent="0.3">
      <c r="A11" s="91">
        <v>10</v>
      </c>
      <c r="B11" s="7">
        <v>44389</v>
      </c>
      <c r="C11" s="92" t="s">
        <v>54</v>
      </c>
      <c r="D11" s="93" t="str">
        <f>HYPERLINK(VLOOKUP(C11,Video_List!$F:$J,5),"video")</f>
        <v>video</v>
      </c>
      <c r="E11" s="94" t="str">
        <f>IFERROR(IF(MATCH(C11,Video_List!$F:$F,)&gt;0,"ok",""),"error")</f>
        <v>ok</v>
      </c>
      <c r="F11" s="92" t="s">
        <v>54</v>
      </c>
      <c r="G11" s="93" t="str">
        <f>HYPERLINK(VLOOKUP(F11,Video_List!$F:$J,5),"video")</f>
        <v>video</v>
      </c>
      <c r="H11" s="94" t="str">
        <f>IFERROR(IF(MATCH(F11,Video_List!$F:$F,)&gt;0,"ok",""),"error")</f>
        <v>ok</v>
      </c>
      <c r="I11" s="17">
        <v>44389.705729166664</v>
      </c>
      <c r="J11" s="8">
        <v>44389.705740740741</v>
      </c>
      <c r="K11" s="15">
        <f t="shared" si="0"/>
        <v>1.1574076779652387E-5</v>
      </c>
      <c r="L11" s="4" t="s">
        <v>55</v>
      </c>
      <c r="M11" s="4" t="s">
        <v>55</v>
      </c>
      <c r="N11" s="96" t="str">
        <f>IF(ISBLANK(C11),"",IF(C11=F11, "1 video",CONCATENATE((+COUNTIFS(Video_List!$C:$C,"&lt;=" &amp;Monitoring!J11)-COUNTIFS(Video_List!$C:$C,"&lt;=" &amp;Monitoring!I11))+1," videos")))</f>
        <v>1 video</v>
      </c>
      <c r="O11" s="27" t="s">
        <v>32</v>
      </c>
      <c r="P11" s="42" t="s">
        <v>37</v>
      </c>
      <c r="Q11" s="42" t="s">
        <v>56</v>
      </c>
      <c r="R11" s="42" t="s">
        <v>57</v>
      </c>
      <c r="S11" s="97" t="str">
        <f>+IFERROR(IF(T11="#N/C","#N/C",IF(U11=0,INDEX(Taxonomy_UniqueValues!D:D,MATCH(U11,Taxonomy_UniqueValues!F:F,0)),INDEX(Taxonomy_UniqueValues!D:D,MATCH(T11,Taxonomy_UniqueValues!E:E,0)))),"#N/C")</f>
        <v>Rhopalocera</v>
      </c>
      <c r="T11" s="42" t="s">
        <v>58</v>
      </c>
      <c r="U11" s="42" t="s">
        <v>59</v>
      </c>
      <c r="V11" s="42" t="s">
        <v>60</v>
      </c>
      <c r="W11" s="42" t="s">
        <v>61</v>
      </c>
      <c r="X11" s="28" t="s">
        <v>35</v>
      </c>
      <c r="Y11" s="69" t="str" cm="1">
        <f t="array" ref="Y11">_xlfn.LET(_xlpm.cls,P11, _xlpm.ord,IFERROR(Q11,"#N/C"), _xlpm.subord,IFERROR(R11,"#N/C"), _xlpm.infr,IFERROR(S11,"#N/C"), _xlpm.sf,IFERROR(T11,"#N/C"), _xlpm.fam,IFERROR(U11,"#N/C"), _xlpm.subfam,IF(TRIM(V11)="-","#N/C",IFERROR(V11,"#N/C")),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_xlpm.fallback,IF(IFERROR(Q11,"#N/C")="#N/C",P11,IF(IFERROR(R11,"#N/C")="#N/C",Q11,IF(IFERROR(S11,"#N/C")="#N/C",R11,IF(IFERROR(T11,"#N/C")="#N/C",S11,IF(IFERROR(U11,"#N/C")="#N/C",T11,IF(IFERROR(V11,"#N/C")="#N/C",U11,"#N/C")))))), _xlpm.finalResult,IF(OR(_xlpm.computedResult="",_xlpm.computedResult="#N/C"),_xlpm.fallback,_xlpm.computedResult), INDEX(_xlpm.finalResult,1))</f>
        <v>butterfly</v>
      </c>
      <c r="Z11" s="116" t="str" cm="1">
        <f t="array" ref="Z11">IF(OR(Y11="Insecta",Y11="Arachnida",Y11="#N/C"),"",IFERROR(_xlfn.LET(_xlpm.fc,IFERROR(_xlfn._xlws.FILTER(ClassificationClasses[],ClassificationClasses[Classification Class]=Y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,ClassificationClasses[Key])),0),MATCH(Y11,INDEX(ClassificationClasses[],MATCH(TRUE,ISNUMBER(SEARCH(Y11,ClassificationClasses[Key])),0),0),0)-1)))</f>
        <v>Rhopalocera</v>
      </c>
      <c r="AA11" s="116" t="str" cm="1">
        <f t="array" ref="AA11">IFERROR(IF(OR(Z11="Insecta",Z11="Arachnida",Z11="#N/C"),"",INDEX(ClassificationClasses[[Class]:[Infraorder]],MATCH(TRUE,ISNUMBER(SEARCH(Z11,ClassificationClasses[Key])),0),MATCH(Z11,INDEX(ClassificationClasses[#Data], MATCH(TRUE,ISNUMBER(SEARCH(Z11,ClassificationClasses[Key])),0), 0), 0)-1)),"")</f>
        <v>Glossata</v>
      </c>
      <c r="AB11" s="116" t="str" cm="1">
        <f t="array" ref="AB11">IFERROR(IF(OR(AA11="Insecta",AA11="Arachnida",AA11="#N/C"),"",INDEX(ClassificationClasses[[Class]:[Suborder]],MATCH(TRUE,ISNUMBER(SEARCH(AA11,ClassificationClasses[Key])),0),MATCH(AA11,INDEX(ClassificationClasses[#Data], MATCH(TRUE,ISNUMBER(SEARCH(AA11,ClassificationClasses[Key])),0), 0), 0)-1)),"")</f>
        <v>Lepidoptera</v>
      </c>
      <c r="AC11" s="116" t="str" cm="1">
        <f t="array" ref="AC11">IFERROR(IF(OR(AB11="Insecta",AB11="Arachnida",AB11="#N/C"),"",INDEX(ClassificationClasses[[Class]:[Suborder]],MATCH(TRUE,ISNUMBER(SEARCH(AB11,ClassificationClasses[Key])),0),MATCH(AB11,INDEX(ClassificationClasses[#Data], MATCH(TRUE,ISNUMBER(SEARCH(AB11,ClassificationClasses[Key])),0), 0), 0)-1)),"")</f>
        <v>Insecta</v>
      </c>
      <c r="AD11" s="116" t="str" cm="1">
        <f t="array" ref="AD11">IFERROR(IF(OR(AC11="Insecta",AC11="Arachnida",AC11="#N/C"),"",INDEX(ClassificationClasses[[Class]:[Suborder]],MATCH(TRUE,ISNUMBER(SEARCH(AC11,ClassificationClasses[Key])),0),MATCH(AC11,INDEX(ClassificationClasses[#Data], MATCH(TRUE,ISNUMBER(SEARCH(AC11,ClassificationClasses[Key])),0), 0), 0)-1)),"")</f>
        <v/>
      </c>
      <c r="AE11" s="18" t="str">
        <f t="shared" si="2"/>
        <v>Insecta.Lepidoptera.Glossata.Rhopalocera.Papilionoidea.Hesperiidae.Hesperiinae.Thymelicus.#N/C</v>
      </c>
    </row>
    <row r="12" spans="1:31" x14ac:dyDescent="0.3">
      <c r="A12" s="91">
        <v>11</v>
      </c>
      <c r="B12" s="7">
        <v>44389</v>
      </c>
      <c r="C12" s="92" t="s">
        <v>62</v>
      </c>
      <c r="D12" s="93" t="str">
        <f>HYPERLINK(VLOOKUP(C12,Video_List!$F:$J,5),"video")</f>
        <v>video</v>
      </c>
      <c r="E12" s="94" t="str">
        <f>IFERROR(IF(MATCH(C12,Video_List!$F:$F,)&gt;0,"ok",""),"error")</f>
        <v>ok</v>
      </c>
      <c r="F12" s="92" t="s">
        <v>62</v>
      </c>
      <c r="G12" s="93" t="str">
        <f>HYPERLINK(VLOOKUP(F12,Video_List!$F:$J,5),"video")</f>
        <v>video</v>
      </c>
      <c r="H12" s="94" t="str">
        <f>IFERROR(IF(MATCH(F12,Video_List!$F:$F,)&gt;0,"ok",""),"error")</f>
        <v>ok</v>
      </c>
      <c r="I12" s="17">
        <v>44389.711041666669</v>
      </c>
      <c r="J12" s="8">
        <v>44389.711122685185</v>
      </c>
      <c r="K12" s="15">
        <f t="shared" si="0"/>
        <v>8.1018515629693866E-5</v>
      </c>
      <c r="L12" s="4" t="s">
        <v>32</v>
      </c>
      <c r="M12" s="4" t="s">
        <v>33</v>
      </c>
      <c r="N12" s="96" t="str">
        <f>IF(ISBLANK(C12),"",IF(C12=F12, "1 video",CONCATENATE((+COUNTIFS(Video_List!$C:$C,"&lt;=" &amp;Monitoring!J12)-COUNTIFS(Video_List!$C:$C,"&lt;=" &amp;Monitoring!I12))+1," videos")))</f>
        <v>1 video</v>
      </c>
      <c r="O12" s="29" t="s">
        <v>44</v>
      </c>
      <c r="P12" s="42" t="s">
        <v>37</v>
      </c>
      <c r="Q12" s="42" t="s">
        <v>38</v>
      </c>
      <c r="R12" s="42" t="s">
        <v>39</v>
      </c>
      <c r="S12" s="97" t="str">
        <f>+IFERROR(IF(T12="#N/C","#N/C",IF(U12=0,INDEX(Taxonomy_UniqueValues!D:D,MATCH(U12,Taxonomy_UniqueValues!F:F,0)),INDEX(Taxonomy_UniqueValues!D:D,MATCH(T12,Taxonomy_UniqueValues!E:E,0)))),"#N/C")</f>
        <v>Muscomorpha</v>
      </c>
      <c r="T12" s="42" t="s">
        <v>63</v>
      </c>
      <c r="U12" s="42" t="s">
        <v>64</v>
      </c>
      <c r="V12" s="42" t="s">
        <v>65</v>
      </c>
      <c r="W12" s="42" t="s">
        <v>66</v>
      </c>
      <c r="X12" s="28" t="s">
        <v>35</v>
      </c>
      <c r="Y12" s="69" t="str" cm="1">
        <f t="array" ref="Y12">_xlfn.LET(_xlpm.cls,P12, _xlpm.ord,IFERROR(Q12,"#N/C"), _xlpm.subord,IFERROR(R12,"#N/C"), _xlpm.infr,IFERROR(S12,"#N/C"), _xlpm.sf,IFERROR(T12,"#N/C"), _xlpm.fam,IFERROR(U12,"#N/C"), _xlpm.subfam,IF(TRIM(V12)="-","#N/C",IFERROR(V12,"#N/C")),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_xlpm.fallback,IF(IFERROR(Q12,"#N/C")="#N/C",P12,IF(IFERROR(R12,"#N/C")="#N/C",Q12,IF(IFERROR(S12,"#N/C")="#N/C",R12,IF(IFERROR(T12,"#N/C")="#N/C",S12,IF(IFERROR(U12,"#N/C")="#N/C",T12,IF(IFERROR(V12,"#N/C")="#N/C",U12,"#N/C")))))), _xlpm.finalResult,IF(OR(_xlpm.computedResult="",_xlpm.computedResult="#N/C"),_xlpm.fallback,_xlpm.computedResult), INDEX(_xlpm.finalResult,1))</f>
        <v>fruit_fly</v>
      </c>
      <c r="Z12" s="116" t="str" cm="1">
        <f t="array" ref="Z12">IF(OR(Y12="Insecta",Y12="Arachnida",Y12="#N/C"),"",IFERROR(_xlfn.LET(_xlpm.fc,IFERROR(_xlfn._xlws.FILTER(ClassificationClasses[],ClassificationClasses[Classification Class]=Y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,ClassificationClasses[Key])),0),MATCH(Y12,INDEX(ClassificationClasses[],MATCH(TRUE,ISNUMBER(SEARCH(Y12,ClassificationClasses[Key])),0),0),0)-1)))</f>
        <v>Muscomorpha</v>
      </c>
      <c r="AA12" s="116" t="str" cm="1">
        <f t="array" ref="AA12">IFERROR(IF(OR(Z12="Insecta",Z12="Arachnida",Z12="#N/C"),"",INDEX(ClassificationClasses[[Class]:[Infraorder]],MATCH(TRUE,ISNUMBER(SEARCH(Z12,ClassificationClasses[Key])),0),MATCH(Z12,INDEX(ClassificationClasses[#Data], MATCH(TRUE,ISNUMBER(SEARCH(Z12,ClassificationClasses[Key])),0), 0), 0)-1)),"")</f>
        <v>Brachycera</v>
      </c>
      <c r="AB12" s="116" t="str" cm="1">
        <f t="array" ref="AB12">IFERROR(IF(OR(AA12="Insecta",AA12="Arachnida",AA12="#N/C"),"",INDEX(ClassificationClasses[[Class]:[Suborder]],MATCH(TRUE,ISNUMBER(SEARCH(AA12,ClassificationClasses[Key])),0),MATCH(AA12,INDEX(ClassificationClasses[#Data], MATCH(TRUE,ISNUMBER(SEARCH(AA12,ClassificationClasses[Key])),0), 0), 0)-1)),"")</f>
        <v>Diptera</v>
      </c>
      <c r="AC12" s="116" t="str" cm="1">
        <f t="array" ref="AC12">IFERROR(IF(OR(AB12="Insecta",AB12="Arachnida",AB12="#N/C"),"",INDEX(ClassificationClasses[[Class]:[Suborder]],MATCH(TRUE,ISNUMBER(SEARCH(AB12,ClassificationClasses[Key])),0),MATCH(AB12,INDEX(ClassificationClasses[#Data], MATCH(TRUE,ISNUMBER(SEARCH(AB12,ClassificationClasses[Key])),0), 0), 0)-1)),"")</f>
        <v>Insecta</v>
      </c>
      <c r="AD12" s="116" t="str" cm="1">
        <f t="array" ref="AD12">IFERROR(IF(OR(AC12="Insecta",AC12="Arachnida",AC12="#N/C"),"",INDEX(ClassificationClasses[[Class]:[Suborder]],MATCH(TRUE,ISNUMBER(SEARCH(AC12,ClassificationClasses[Key])),0),MATCH(AC12,INDEX(ClassificationClasses[#Data], MATCH(TRUE,ISNUMBER(SEARCH(AC12,ClassificationClasses[Key])),0), 0), 0)-1)),"")</f>
        <v/>
      </c>
      <c r="AE12" s="18" t="str">
        <f t="shared" si="2"/>
        <v>Insecta.Diptera.Brachycera.Muscomorpha.Ephydroidea.Drosophilidae.Drosophilinae.Scaptomyza.#N/C</v>
      </c>
    </row>
    <row r="13" spans="1:31" x14ac:dyDescent="0.3">
      <c r="A13" s="91">
        <v>12</v>
      </c>
      <c r="B13" s="7">
        <v>44389</v>
      </c>
      <c r="C13" s="92" t="s">
        <v>67</v>
      </c>
      <c r="D13" s="93" t="str">
        <f>HYPERLINK(VLOOKUP(C13,Video_List!$F:$J,5),"video")</f>
        <v>video</v>
      </c>
      <c r="E13" s="94" t="str">
        <f>IFERROR(IF(MATCH(C13,Video_List!$F:$F,)&gt;0,"ok",""),"error")</f>
        <v>ok</v>
      </c>
      <c r="F13" s="92" t="s">
        <v>67</v>
      </c>
      <c r="G13" s="93" t="str">
        <f>HYPERLINK(VLOOKUP(F13,Video_List!$F:$J,5),"video")</f>
        <v>video</v>
      </c>
      <c r="H13" s="94" t="str">
        <f>IFERROR(IF(MATCH(F13,Video_List!$F:$F,)&gt;0,"ok",""),"error")</f>
        <v>ok</v>
      </c>
      <c r="I13" s="17">
        <v>44389.718518518515</v>
      </c>
      <c r="J13" s="8">
        <v>44389.718634259261</v>
      </c>
      <c r="K13" s="15">
        <f t="shared" si="0"/>
        <v>1.1574074596865103E-4</v>
      </c>
      <c r="L13" s="95" t="s">
        <v>32</v>
      </c>
      <c r="M13" s="95" t="s">
        <v>33</v>
      </c>
      <c r="N13" s="96" t="str">
        <f>IF(ISBLANK(C13),"",IF(C13=F13, "1 video",CONCATENATE((+COUNTIFS(Video_List!$C:$C,"&lt;=" &amp;Monitoring!J13)-COUNTIFS(Video_List!$C:$C,"&lt;=" &amp;Monitoring!I13))+1," videos")))</f>
        <v>1 video</v>
      </c>
      <c r="O13" s="29" t="s">
        <v>44</v>
      </c>
      <c r="P13" s="42" t="s">
        <v>37</v>
      </c>
      <c r="Q13" s="42" t="s">
        <v>38</v>
      </c>
      <c r="R13" s="42" t="s">
        <v>39</v>
      </c>
      <c r="S13" s="97" t="str">
        <f>+IFERROR(IF(T13="#N/C","#N/C",IF(U13=0,INDEX(Taxonomy_UniqueValues!D:D,MATCH(U13,Taxonomy_UniqueValues!F:F,0)),INDEX(Taxonomy_UniqueValues!D:D,MATCH(T13,Taxonomy_UniqueValues!E:E,0)))),"#N/C")</f>
        <v>#N/C</v>
      </c>
      <c r="T13" s="42" t="s">
        <v>35</v>
      </c>
      <c r="U13" s="42" t="s">
        <v>35</v>
      </c>
      <c r="V13" s="42" t="s">
        <v>35</v>
      </c>
      <c r="W13" s="42" t="s">
        <v>35</v>
      </c>
      <c r="X13" s="28" t="s">
        <v>35</v>
      </c>
      <c r="Y13" s="69" t="str" cm="1">
        <f t="array" ref="Y13">_xlfn.LET(_xlpm.cls,P13, _xlpm.ord,IFERROR(Q13,"#N/C"), _xlpm.subord,IFERROR(R13,"#N/C"), _xlpm.infr,IFERROR(S13,"#N/C"), _xlpm.sf,IFERROR(T13,"#N/C"), _xlpm.fam,IFERROR(U13,"#N/C"), _xlpm.subfam,IF(TRIM(V13)="-","#N/C",IFERROR(V13,"#N/C")),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_xlpm.fallback,IF(IFERROR(Q13,"#N/C")="#N/C",P13,IF(IFERROR(R13,"#N/C")="#N/C",Q13,IF(IFERROR(S13,"#N/C")="#N/C",R13,IF(IFERROR(T13,"#N/C")="#N/C",S13,IF(IFERROR(U13,"#N/C")="#N/C",T13,IF(IFERROR(V13,"#N/C")="#N/C",U13,"#N/C")))))), _xlpm.finalResult,IF(OR(_xlpm.computedResult="",_xlpm.computedResult="#N/C"),_xlpm.fallback,_xlpm.computedResult), INDEX(_xlpm.finalResult,1))</f>
        <v>Brachycera</v>
      </c>
      <c r="Z13" s="116" t="str" cm="1">
        <f t="array" ref="Z13">IF(OR(Y13="Insecta",Y13="Arachnida",Y13="#N/C"),"",IFERROR(_xlfn.LET(_xlpm.fc,IFERROR(_xlfn._xlws.FILTER(ClassificationClasses[],ClassificationClasses[Classification Class]=Y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,ClassificationClasses[Key])),0),MATCH(Y13,INDEX(ClassificationClasses[],MATCH(TRUE,ISNUMBER(SEARCH(Y13,ClassificationClasses[Key])),0),0),0)-1)))</f>
        <v>Diptera</v>
      </c>
      <c r="AA13" s="116" t="str" cm="1">
        <f t="array" ref="AA13">IFERROR(IF(OR(Z13="Insecta",Z13="Arachnida",Z13="#N/C"),"",INDEX(ClassificationClasses[[Class]:[Infraorder]],MATCH(TRUE,ISNUMBER(SEARCH(Z13,ClassificationClasses[Key])),0),MATCH(Z13,INDEX(ClassificationClasses[#Data], MATCH(TRUE,ISNUMBER(SEARCH(Z13,ClassificationClasses[Key])),0), 0), 0)-1)),"")</f>
        <v>Insecta</v>
      </c>
      <c r="AB13" s="116" t="str" cm="1">
        <f t="array" ref="AB13">IFERROR(IF(OR(AA13="Insecta",AA13="Arachnida",AA13="#N/C"),"",INDEX(ClassificationClasses[[Class]:[Suborder]],MATCH(TRUE,ISNUMBER(SEARCH(AA13,ClassificationClasses[Key])),0),MATCH(AA13,INDEX(ClassificationClasses[#Data], MATCH(TRUE,ISNUMBER(SEARCH(AA13,ClassificationClasses[Key])),0), 0), 0)-1)),"")</f>
        <v/>
      </c>
      <c r="AC13" s="116" t="str" cm="1">
        <f t="array" ref="AC13">IFERROR(IF(OR(AB13="Insecta",AB13="Arachnida",AB13="#N/C"),"",INDEX(ClassificationClasses[[Class]:[Suborder]],MATCH(TRUE,ISNUMBER(SEARCH(AB13,ClassificationClasses[Key])),0),MATCH(AB13,INDEX(ClassificationClasses[#Data], MATCH(TRUE,ISNUMBER(SEARCH(AB13,ClassificationClasses[Key])),0), 0), 0)-1)),"")</f>
        <v/>
      </c>
      <c r="AD13" s="116" t="str" cm="1">
        <f t="array" ref="AD13">IFERROR(IF(OR(AC13="Insecta",AC13="Arachnida",AC13="#N/C"),"",INDEX(ClassificationClasses[[Class]:[Suborder]],MATCH(TRUE,ISNUMBER(SEARCH(AC13,ClassificationClasses[Key])),0),MATCH(AC13,INDEX(ClassificationClasses[#Data], MATCH(TRUE,ISNUMBER(SEARCH(AC13,ClassificationClasses[Key])),0), 0), 0)-1)),"")</f>
        <v/>
      </c>
      <c r="AE13" s="18" t="str">
        <f t="shared" si="2"/>
        <v>Insecta.Diptera.Brachycera.#N/C.#N/C.#N/C.#N/C.#N/C.#N/C</v>
      </c>
    </row>
    <row r="14" spans="1:31" x14ac:dyDescent="0.3">
      <c r="A14" s="91">
        <v>13</v>
      </c>
      <c r="B14" s="7">
        <v>44389</v>
      </c>
      <c r="C14" s="92" t="s">
        <v>68</v>
      </c>
      <c r="D14" s="93" t="str">
        <f>HYPERLINK(VLOOKUP(C14,Video_List!$F:$J,5),"video")</f>
        <v>video</v>
      </c>
      <c r="E14" s="94" t="str">
        <f>IFERROR(IF(MATCH(C14,Video_List!$F:$F,)&gt;0,"ok",""),"error")</f>
        <v>ok</v>
      </c>
      <c r="F14" s="92" t="s">
        <v>68</v>
      </c>
      <c r="G14" s="93" t="str">
        <f>HYPERLINK(VLOOKUP(F14,Video_List!$F:$J,5),"video")</f>
        <v>video</v>
      </c>
      <c r="H14" s="94" t="str">
        <f>IFERROR(IF(MATCH(F14,Video_List!$F:$F,)&gt;0,"ok",""),"error")</f>
        <v>ok</v>
      </c>
      <c r="I14" s="17">
        <v>44389.721377314818</v>
      </c>
      <c r="J14" s="8">
        <v>44389.721435185187</v>
      </c>
      <c r="K14" s="15">
        <f t="shared" si="0"/>
        <v>5.7870369346346706E-5</v>
      </c>
      <c r="L14" s="95" t="s">
        <v>32</v>
      </c>
      <c r="M14" s="95" t="s">
        <v>33</v>
      </c>
      <c r="N14" s="96" t="str">
        <f>IF(ISBLANK(C14),"",IF(C14=F14, "1 video",CONCATENATE((+COUNTIFS(Video_List!$C:$C,"&lt;=" &amp;Monitoring!J14)-COUNTIFS(Video_List!$C:$C,"&lt;=" &amp;Monitoring!I14))+1," videos")))</f>
        <v>1 video</v>
      </c>
      <c r="O14" s="29" t="s">
        <v>44</v>
      </c>
      <c r="P14" s="42" t="s">
        <v>37</v>
      </c>
      <c r="Q14" s="42" t="s">
        <v>38</v>
      </c>
      <c r="R14" s="42" t="s">
        <v>39</v>
      </c>
      <c r="S14" s="97" t="str">
        <f>+IFERROR(IF(T14="#N/C","#N/C",IF(U14=0,INDEX(Taxonomy_UniqueValues!D:D,MATCH(U14,Taxonomy_UniqueValues!F:F,0)),INDEX(Taxonomy_UniqueValues!D:D,MATCH(T14,Taxonomy_UniqueValues!E:E,0)))),"#N/C")</f>
        <v>#N/C</v>
      </c>
      <c r="T14" s="42" t="s">
        <v>35</v>
      </c>
      <c r="U14" s="42" t="s">
        <v>35</v>
      </c>
      <c r="V14" s="42" t="s">
        <v>35</v>
      </c>
      <c r="W14" s="42" t="s">
        <v>35</v>
      </c>
      <c r="X14" s="28" t="s">
        <v>35</v>
      </c>
      <c r="Y14" s="69" t="str" cm="1">
        <f t="array" ref="Y14">_xlfn.LET(_xlpm.cls,P14, _xlpm.ord,IFERROR(Q14,"#N/C"), _xlpm.subord,IFERROR(R14,"#N/C"), _xlpm.infr,IFERROR(S14,"#N/C"), _xlpm.sf,IFERROR(T14,"#N/C"), _xlpm.fam,IFERROR(U14,"#N/C"), _xlpm.subfam,IF(TRIM(V14)="-","#N/C",IFERROR(V14,"#N/C")),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_xlpm.fallback,IF(IFERROR(Q14,"#N/C")="#N/C",P14,IF(IFERROR(R14,"#N/C")="#N/C",Q14,IF(IFERROR(S14,"#N/C")="#N/C",R14,IF(IFERROR(T14,"#N/C")="#N/C",S14,IF(IFERROR(U14,"#N/C")="#N/C",T14,IF(IFERROR(V14,"#N/C")="#N/C",U14,"#N/C")))))), _xlpm.finalResult,IF(OR(_xlpm.computedResult="",_xlpm.computedResult="#N/C"),_xlpm.fallback,_xlpm.computedResult), INDEX(_xlpm.finalResult,1))</f>
        <v>Brachycera</v>
      </c>
      <c r="Z14" s="116" t="str" cm="1">
        <f t="array" ref="Z14">IF(OR(Y14="Insecta",Y14="Arachnida",Y14="#N/C"),"",IFERROR(_xlfn.LET(_xlpm.fc,IFERROR(_xlfn._xlws.FILTER(ClassificationClasses[],ClassificationClasses[Classification Class]=Y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,ClassificationClasses[Key])),0),MATCH(Y14,INDEX(ClassificationClasses[],MATCH(TRUE,ISNUMBER(SEARCH(Y14,ClassificationClasses[Key])),0),0),0)-1)))</f>
        <v>Diptera</v>
      </c>
      <c r="AA14" s="116" t="str" cm="1">
        <f t="array" ref="AA14">IFERROR(IF(OR(Z14="Insecta",Z14="Arachnida",Z14="#N/C"),"",INDEX(ClassificationClasses[[Class]:[Infraorder]],MATCH(TRUE,ISNUMBER(SEARCH(Z14,ClassificationClasses[Key])),0),MATCH(Z14,INDEX(ClassificationClasses[#Data], MATCH(TRUE,ISNUMBER(SEARCH(Z14,ClassificationClasses[Key])),0), 0), 0)-1)),"")</f>
        <v>Insecta</v>
      </c>
      <c r="AB14" s="116" t="str" cm="1">
        <f t="array" ref="AB14">IFERROR(IF(OR(AA14="Insecta",AA14="Arachnida",AA14="#N/C"),"",INDEX(ClassificationClasses[[Class]:[Suborder]],MATCH(TRUE,ISNUMBER(SEARCH(AA14,ClassificationClasses[Key])),0),MATCH(AA14,INDEX(ClassificationClasses[#Data], MATCH(TRUE,ISNUMBER(SEARCH(AA14,ClassificationClasses[Key])),0), 0), 0)-1)),"")</f>
        <v/>
      </c>
      <c r="AC14" s="116" t="str" cm="1">
        <f t="array" ref="AC14">IFERROR(IF(OR(AB14="Insecta",AB14="Arachnida",AB14="#N/C"),"",INDEX(ClassificationClasses[[Class]:[Suborder]],MATCH(TRUE,ISNUMBER(SEARCH(AB14,ClassificationClasses[Key])),0),MATCH(AB14,INDEX(ClassificationClasses[#Data], MATCH(TRUE,ISNUMBER(SEARCH(AB14,ClassificationClasses[Key])),0), 0), 0)-1)),"")</f>
        <v/>
      </c>
      <c r="AD14" s="116" t="str" cm="1">
        <f t="array" ref="AD14">IFERROR(IF(OR(AC14="Insecta",AC14="Arachnida",AC14="#N/C"),"",INDEX(ClassificationClasses[[Class]:[Suborder]],MATCH(TRUE,ISNUMBER(SEARCH(AC14,ClassificationClasses[Key])),0),MATCH(AC14,INDEX(ClassificationClasses[#Data], MATCH(TRUE,ISNUMBER(SEARCH(AC14,ClassificationClasses[Key])),0), 0), 0)-1)),"")</f>
        <v/>
      </c>
      <c r="AE14" s="18" t="str">
        <f t="shared" si="2"/>
        <v>Insecta.Diptera.Brachycera.#N/C.#N/C.#N/C.#N/C.#N/C.#N/C</v>
      </c>
    </row>
    <row r="15" spans="1:31" x14ac:dyDescent="0.3">
      <c r="A15" s="91">
        <v>14</v>
      </c>
      <c r="B15" s="7">
        <v>44389</v>
      </c>
      <c r="C15" s="92" t="s">
        <v>69</v>
      </c>
      <c r="D15" s="93" t="str">
        <f>HYPERLINK(VLOOKUP(C15,Video_List!$F:$J,5),"video")</f>
        <v>video</v>
      </c>
      <c r="E15" s="94" t="str">
        <f>IFERROR(IF(MATCH(C15,Video_List!$F:$F,)&gt;0,"ok",""),"error")</f>
        <v>ok</v>
      </c>
      <c r="F15" s="92" t="s">
        <v>69</v>
      </c>
      <c r="G15" s="93" t="str">
        <f>HYPERLINK(VLOOKUP(F15,Video_List!$F:$J,5),"video")</f>
        <v>video</v>
      </c>
      <c r="H15" s="94" t="str">
        <f>IFERROR(IF(MATCH(F15,Video_List!$F:$F,)&gt;0,"ok",""),"error")</f>
        <v>ok</v>
      </c>
      <c r="I15" s="17">
        <v>44389.729212962964</v>
      </c>
      <c r="J15" s="8">
        <v>44389.729247685187</v>
      </c>
      <c r="K15" s="15">
        <f t="shared" si="0"/>
        <v>3.4722223062999547E-5</v>
      </c>
      <c r="L15" s="95" t="s">
        <v>32</v>
      </c>
      <c r="M15" s="95" t="s">
        <v>33</v>
      </c>
      <c r="N15" s="96" t="str">
        <f>IF(ISBLANK(C15),"",IF(C15=F15, "1 video",CONCATENATE((+COUNTIFS(Video_List!$C:$C,"&lt;=" &amp;Monitoring!J15)-COUNTIFS(Video_List!$C:$C,"&lt;=" &amp;Monitoring!I15))+1," videos")))</f>
        <v>1 video</v>
      </c>
      <c r="O15" s="29" t="s">
        <v>44</v>
      </c>
      <c r="P15" s="42" t="s">
        <v>37</v>
      </c>
      <c r="Q15" s="42" t="s">
        <v>38</v>
      </c>
      <c r="R15" s="42" t="s">
        <v>39</v>
      </c>
      <c r="S15" s="97" t="str">
        <f>+IFERROR(IF(T15="#N/C","#N/C",IF(U15=0,INDEX(Taxonomy_UniqueValues!D:D,MATCH(U15,Taxonomy_UniqueValues!F:F,0)),INDEX(Taxonomy_UniqueValues!D:D,MATCH(T15,Taxonomy_UniqueValues!E:E,0)))),"#N/C")</f>
        <v>#N/C</v>
      </c>
      <c r="T15" s="42" t="s">
        <v>35</v>
      </c>
      <c r="U15" s="42" t="s">
        <v>35</v>
      </c>
      <c r="V15" s="42" t="s">
        <v>35</v>
      </c>
      <c r="W15" s="42" t="s">
        <v>35</v>
      </c>
      <c r="X15" s="28" t="s">
        <v>35</v>
      </c>
      <c r="Y15" s="69" t="str" cm="1">
        <f t="array" ref="Y15">_xlfn.LET(_xlpm.cls,P15, _xlpm.ord,IFERROR(Q15,"#N/C"), _xlpm.subord,IFERROR(R15,"#N/C"), _xlpm.infr,IFERROR(S15,"#N/C"), _xlpm.sf,IFERROR(T15,"#N/C"), _xlpm.fam,IFERROR(U15,"#N/C"), _xlpm.subfam,IF(TRIM(V15)="-","#N/C",IFERROR(V15,"#N/C")),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_xlpm.fallback,IF(IFERROR(Q15,"#N/C")="#N/C",P15,IF(IFERROR(R15,"#N/C")="#N/C",Q15,IF(IFERROR(S15,"#N/C")="#N/C",R15,IF(IFERROR(T15,"#N/C")="#N/C",S15,IF(IFERROR(U15,"#N/C")="#N/C",T15,IF(IFERROR(V15,"#N/C")="#N/C",U15,"#N/C")))))), _xlpm.finalResult,IF(OR(_xlpm.computedResult="",_xlpm.computedResult="#N/C"),_xlpm.fallback,_xlpm.computedResult), INDEX(_xlpm.finalResult,1))</f>
        <v>Brachycera</v>
      </c>
      <c r="Z15" s="116" t="str" cm="1">
        <f t="array" ref="Z15">IF(OR(Y15="Insecta",Y15="Arachnida",Y15="#N/C"),"",IFERROR(_xlfn.LET(_xlpm.fc,IFERROR(_xlfn._xlws.FILTER(ClassificationClasses[],ClassificationClasses[Classification Class]=Y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,ClassificationClasses[Key])),0),MATCH(Y15,INDEX(ClassificationClasses[],MATCH(TRUE,ISNUMBER(SEARCH(Y15,ClassificationClasses[Key])),0),0),0)-1)))</f>
        <v>Diptera</v>
      </c>
      <c r="AA15" s="116" t="str" cm="1">
        <f t="array" ref="AA15">IFERROR(IF(OR(Z15="Insecta",Z15="Arachnida",Z15="#N/C"),"",INDEX(ClassificationClasses[[Class]:[Infraorder]],MATCH(TRUE,ISNUMBER(SEARCH(Z15,ClassificationClasses[Key])),0),MATCH(Z15,INDEX(ClassificationClasses[#Data], MATCH(TRUE,ISNUMBER(SEARCH(Z15,ClassificationClasses[Key])),0), 0), 0)-1)),"")</f>
        <v>Insecta</v>
      </c>
      <c r="AB15" s="116" t="str" cm="1">
        <f t="array" ref="AB15">IFERROR(IF(OR(AA15="Insecta",AA15="Arachnida",AA15="#N/C"),"",INDEX(ClassificationClasses[[Class]:[Suborder]],MATCH(TRUE,ISNUMBER(SEARCH(AA15,ClassificationClasses[Key])),0),MATCH(AA15,INDEX(ClassificationClasses[#Data], MATCH(TRUE,ISNUMBER(SEARCH(AA15,ClassificationClasses[Key])),0), 0), 0)-1)),"")</f>
        <v/>
      </c>
      <c r="AC15" s="116" t="str" cm="1">
        <f t="array" ref="AC15">IFERROR(IF(OR(AB15="Insecta",AB15="Arachnida",AB15="#N/C"),"",INDEX(ClassificationClasses[[Class]:[Suborder]],MATCH(TRUE,ISNUMBER(SEARCH(AB15,ClassificationClasses[Key])),0),MATCH(AB15,INDEX(ClassificationClasses[#Data], MATCH(TRUE,ISNUMBER(SEARCH(AB15,ClassificationClasses[Key])),0), 0), 0)-1)),"")</f>
        <v/>
      </c>
      <c r="AD15" s="116" t="str" cm="1">
        <f t="array" ref="AD15">IFERROR(IF(OR(AC15="Insecta",AC15="Arachnida",AC15="#N/C"),"",INDEX(ClassificationClasses[[Class]:[Suborder]],MATCH(TRUE,ISNUMBER(SEARCH(AC15,ClassificationClasses[Key])),0),MATCH(AC15,INDEX(ClassificationClasses[#Data], MATCH(TRUE,ISNUMBER(SEARCH(AC15,ClassificationClasses[Key])),0), 0), 0)-1)),"")</f>
        <v/>
      </c>
      <c r="AE15" s="18" t="str">
        <f t="shared" si="2"/>
        <v>Insecta.Diptera.Brachycera.#N/C.#N/C.#N/C.#N/C.#N/C.#N/C</v>
      </c>
    </row>
    <row r="16" spans="1:31" x14ac:dyDescent="0.3">
      <c r="A16" s="91">
        <v>15</v>
      </c>
      <c r="B16" s="7">
        <v>44389</v>
      </c>
      <c r="C16" s="92" t="s">
        <v>70</v>
      </c>
      <c r="D16" s="93" t="str">
        <f>HYPERLINK(VLOOKUP(C16,Video_List!$F:$J,5),"video")</f>
        <v>video</v>
      </c>
      <c r="E16" s="94" t="str">
        <f>IFERROR(IF(MATCH(C16,Video_List!$F:$F,)&gt;0,"ok",""),"error")</f>
        <v>ok</v>
      </c>
      <c r="F16" s="92" t="s">
        <v>70</v>
      </c>
      <c r="G16" s="93" t="str">
        <f>HYPERLINK(VLOOKUP(F16,Video_List!$F:$J,5),"video")</f>
        <v>video</v>
      </c>
      <c r="H16" s="94" t="str">
        <f>IFERROR(IF(MATCH(F16,Video_List!$F:$F,)&gt;0,"ok",""),"error")</f>
        <v>ok</v>
      </c>
      <c r="I16" s="17">
        <v>44389.729803240742</v>
      </c>
      <c r="J16" s="8">
        <v>44389.729861111111</v>
      </c>
      <c r="K16" s="15">
        <f t="shared" si="0"/>
        <v>5.7870369346346706E-5</v>
      </c>
      <c r="L16" s="4" t="s">
        <v>32</v>
      </c>
      <c r="M16" s="4" t="s">
        <v>33</v>
      </c>
      <c r="N16" s="96" t="str">
        <f>IF(ISBLANK(C16),"",IF(C16=F16, "1 video",CONCATENATE((+COUNTIFS(Video_List!$C:$C,"&lt;=" &amp;Monitoring!J16)-COUNTIFS(Video_List!$C:$C,"&lt;=" &amp;Monitoring!I16))+1," videos")))</f>
        <v>1 video</v>
      </c>
      <c r="O16" s="27" t="s">
        <v>32</v>
      </c>
      <c r="P16" s="42" t="s">
        <v>37</v>
      </c>
      <c r="Q16" s="42" t="s">
        <v>41</v>
      </c>
      <c r="R16" s="42" t="s">
        <v>42</v>
      </c>
      <c r="S16" s="97" t="str">
        <f>+IFERROR(IF(T16="#N/C","#N/C",IF(U16=0,INDEX(Taxonomy_UniqueValues!D:D,MATCH(U16,Taxonomy_UniqueValues!F:F,0)),INDEX(Taxonomy_UniqueValues!D:D,MATCH(T16,Taxonomy_UniqueValues!E:E,0)))),"#N/C")</f>
        <v>Parasitica</v>
      </c>
      <c r="T16" s="42" t="s">
        <v>71</v>
      </c>
      <c r="U16" s="42" t="s">
        <v>72</v>
      </c>
      <c r="V16" s="42" t="s">
        <v>35</v>
      </c>
      <c r="W16" s="42" t="s">
        <v>35</v>
      </c>
      <c r="X16" s="28" t="s">
        <v>35</v>
      </c>
      <c r="Y16" s="69" t="str" cm="1">
        <f t="array" ref="Y16">_xlfn.LET(_xlpm.cls,P16, _xlpm.ord,IFERROR(Q16,"#N/C"), _xlpm.subord,IFERROR(R16,"#N/C"), _xlpm.infr,IFERROR(S16,"#N/C"), _xlpm.sf,IFERROR(T16,"#N/C"), _xlpm.fam,IFERROR(U16,"#N/C"), _xlpm.subfam,IF(TRIM(V16)="-","#N/C",IFERROR(V16,"#N/C")),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_xlpm.fallback,IF(IFERROR(Q16,"#N/C")="#N/C",P16,IF(IFERROR(R16,"#N/C")="#N/C",Q16,IF(IFERROR(S16,"#N/C")="#N/C",R16,IF(IFERROR(T16,"#N/C")="#N/C",S16,IF(IFERROR(U16,"#N/C")="#N/C",T16,IF(IFERROR(V16,"#N/C")="#N/C",U16,"#N/C")))))), _xlpm.finalResult,IF(OR(_xlpm.computedResult="",_xlpm.computedResult="#N/C"),_xlpm.fallback,_xlpm.computedResult), INDEX(_xlpm.finalResult,1))</f>
        <v>Ichneumonidae</v>
      </c>
      <c r="Z16" s="116" t="str" cm="1">
        <f t="array" ref="Z16">IF(OR(Y16="Insecta",Y16="Arachnida",Y16="#N/C"),"",IFERROR(_xlfn.LET(_xlpm.fc,IFERROR(_xlfn._xlws.FILTER(ClassificationClasses[],ClassificationClasses[Classification Class]=Y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,ClassificationClasses[Key])),0),MATCH(Y16,INDEX(ClassificationClasses[],MATCH(TRUE,ISNUMBER(SEARCH(Y16,ClassificationClasses[Key])),0),0),0)-1)))</f>
        <v>Ichneumonoidea</v>
      </c>
      <c r="AA16" s="116" t="str" cm="1">
        <f t="array" ref="AA16">IFERROR(IF(OR(Z16="Insecta",Z16="Arachnida",Z16="#N/C"),"",INDEX(ClassificationClasses[[Class]:[Infraorder]],MATCH(TRUE,ISNUMBER(SEARCH(Z16,ClassificationClasses[Key])),0),MATCH(Z16,INDEX(ClassificationClasses[#Data], MATCH(TRUE,ISNUMBER(SEARCH(Z16,ClassificationClasses[Key])),0), 0), 0)-1)),"")</f>
        <v>Parasitica</v>
      </c>
      <c r="AB16" s="116" t="str" cm="1">
        <f t="array" ref="AB16">IFERROR(IF(OR(AA16="Insecta",AA16="Arachnida",AA16="#N/C"),"",INDEX(ClassificationClasses[[Class]:[Suborder]],MATCH(TRUE,ISNUMBER(SEARCH(AA16,ClassificationClasses[Key])),0),MATCH(AA16,INDEX(ClassificationClasses[#Data], MATCH(TRUE,ISNUMBER(SEARCH(AA16,ClassificationClasses[Key])),0), 0), 0)-1)),"")</f>
        <v>Apocrita</v>
      </c>
      <c r="AC16" s="116" t="str" cm="1">
        <f t="array" ref="AC16">IFERROR(IF(OR(AB16="Insecta",AB16="Arachnida",AB16="#N/C"),"",INDEX(ClassificationClasses[[Class]:[Suborder]],MATCH(TRUE,ISNUMBER(SEARCH(AB16,ClassificationClasses[Key])),0),MATCH(AB16,INDEX(ClassificationClasses[#Data], MATCH(TRUE,ISNUMBER(SEARCH(AB16,ClassificationClasses[Key])),0), 0), 0)-1)),"")</f>
        <v>Hymenoptera</v>
      </c>
      <c r="AD16" s="116" t="str" cm="1">
        <f t="array" ref="AD16">IFERROR(IF(OR(AC16="Insecta",AC16="Arachnida",AC16="#N/C"),"",INDEX(ClassificationClasses[[Class]:[Suborder]],MATCH(TRUE,ISNUMBER(SEARCH(AC16,ClassificationClasses[Key])),0),MATCH(AC16,INDEX(ClassificationClasses[#Data], MATCH(TRUE,ISNUMBER(SEARCH(AC16,ClassificationClasses[Key])),0), 0), 0)-1)),"")</f>
        <v>Insecta</v>
      </c>
      <c r="AE16" s="18" t="str">
        <f t="shared" si="2"/>
        <v>Insecta.Hymenoptera.Apocrita.Parasitica.Ichneumonoidea.Ichneumonidae.#N/C.#N/C.#N/C</v>
      </c>
    </row>
    <row r="17" spans="1:31" x14ac:dyDescent="0.3">
      <c r="A17" s="91">
        <v>16</v>
      </c>
      <c r="B17" s="7">
        <v>44389</v>
      </c>
      <c r="C17" s="92" t="s">
        <v>73</v>
      </c>
      <c r="D17" s="93" t="str">
        <f>HYPERLINK(VLOOKUP(C17,Video_List!$F:$J,5),"video")</f>
        <v>video</v>
      </c>
      <c r="E17" s="94" t="str">
        <f>IFERROR(IF(MATCH(C17,Video_List!$F:$F,)&gt;0,"ok",""),"error")</f>
        <v>ok</v>
      </c>
      <c r="F17" s="92" t="s">
        <v>73</v>
      </c>
      <c r="G17" s="93" t="str">
        <f>HYPERLINK(VLOOKUP(F17,Video_List!$F:$J,5),"video")</f>
        <v>video</v>
      </c>
      <c r="H17" s="94" t="str">
        <f>IFERROR(IF(MATCH(F17,Video_List!$F:$F,)&gt;0,"ok",""),"error")</f>
        <v>ok</v>
      </c>
      <c r="I17" s="17">
        <v>44389.739328703705</v>
      </c>
      <c r="J17" s="8">
        <v>44389.739374999997</v>
      </c>
      <c r="K17" s="15">
        <f t="shared" si="0"/>
        <v>4.6296292566694319E-5</v>
      </c>
      <c r="L17" s="95" t="s">
        <v>32</v>
      </c>
      <c r="M17" s="95" t="s">
        <v>33</v>
      </c>
      <c r="N17" s="96" t="str">
        <f>IF(ISBLANK(C17),"",IF(C17=F17, "1 video",CONCATENATE((+COUNTIFS(Video_List!$C:$C,"&lt;=" &amp;Monitoring!J17)-COUNTIFS(Video_List!$C:$C,"&lt;=" &amp;Monitoring!I17))+1," videos")))</f>
        <v>1 video</v>
      </c>
      <c r="O17" s="29" t="s">
        <v>44</v>
      </c>
      <c r="P17" s="42" t="s">
        <v>37</v>
      </c>
      <c r="Q17" s="42" t="s">
        <v>38</v>
      </c>
      <c r="R17" s="42" t="s">
        <v>39</v>
      </c>
      <c r="S17" s="97" t="str">
        <f>+IFERROR(IF(T17="#N/C","#N/C",IF(U17=0,INDEX(Taxonomy_UniqueValues!D:D,MATCH(U17,Taxonomy_UniqueValues!F:F,0)),INDEX(Taxonomy_UniqueValues!D:D,MATCH(T17,Taxonomy_UniqueValues!E:E,0)))),"#N/C")</f>
        <v>#N/C</v>
      </c>
      <c r="T17" s="42" t="s">
        <v>35</v>
      </c>
      <c r="U17" s="42" t="s">
        <v>35</v>
      </c>
      <c r="V17" s="42" t="s">
        <v>35</v>
      </c>
      <c r="W17" s="42" t="s">
        <v>35</v>
      </c>
      <c r="X17" s="28" t="s">
        <v>35</v>
      </c>
      <c r="Y17" s="69" t="str" cm="1">
        <f t="array" ref="Y17">_xlfn.LET(_xlpm.cls,P17, _xlpm.ord,IFERROR(Q17,"#N/C"), _xlpm.subord,IFERROR(R17,"#N/C"), _xlpm.infr,IFERROR(S17,"#N/C"), _xlpm.sf,IFERROR(T17,"#N/C"), _xlpm.fam,IFERROR(U17,"#N/C"), _xlpm.subfam,IF(TRIM(V17)="-","#N/C",IFERROR(V17,"#N/C")),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_xlpm.fallback,IF(IFERROR(Q17,"#N/C")="#N/C",P17,IF(IFERROR(R17,"#N/C")="#N/C",Q17,IF(IFERROR(S17,"#N/C")="#N/C",R17,IF(IFERROR(T17,"#N/C")="#N/C",S17,IF(IFERROR(U17,"#N/C")="#N/C",T17,IF(IFERROR(V17,"#N/C")="#N/C",U17,"#N/C")))))), _xlpm.finalResult,IF(OR(_xlpm.computedResult="",_xlpm.computedResult="#N/C"),_xlpm.fallback,_xlpm.computedResult), INDEX(_xlpm.finalResult,1))</f>
        <v>Brachycera</v>
      </c>
      <c r="Z17" s="116" t="str" cm="1">
        <f t="array" ref="Z17">IF(OR(Y17="Insecta",Y17="Arachnida",Y17="#N/C"),"",IFERROR(_xlfn.LET(_xlpm.fc,IFERROR(_xlfn._xlws.FILTER(ClassificationClasses[],ClassificationClasses[Classification Class]=Y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,ClassificationClasses[Key])),0),MATCH(Y17,INDEX(ClassificationClasses[],MATCH(TRUE,ISNUMBER(SEARCH(Y17,ClassificationClasses[Key])),0),0),0)-1)))</f>
        <v>Diptera</v>
      </c>
      <c r="AA17" s="116" t="str" cm="1">
        <f t="array" ref="AA17">IFERROR(IF(OR(Z17="Insecta",Z17="Arachnida",Z17="#N/C"),"",INDEX(ClassificationClasses[[Class]:[Infraorder]],MATCH(TRUE,ISNUMBER(SEARCH(Z17,ClassificationClasses[Key])),0),MATCH(Z17,INDEX(ClassificationClasses[#Data], MATCH(TRUE,ISNUMBER(SEARCH(Z17,ClassificationClasses[Key])),0), 0), 0)-1)),"")</f>
        <v>Insecta</v>
      </c>
      <c r="AB17" s="116" t="str" cm="1">
        <f t="array" ref="AB17">IFERROR(IF(OR(AA17="Insecta",AA17="Arachnida",AA17="#N/C"),"",INDEX(ClassificationClasses[[Class]:[Suborder]],MATCH(TRUE,ISNUMBER(SEARCH(AA17,ClassificationClasses[Key])),0),MATCH(AA17,INDEX(ClassificationClasses[#Data], MATCH(TRUE,ISNUMBER(SEARCH(AA17,ClassificationClasses[Key])),0), 0), 0)-1)),"")</f>
        <v/>
      </c>
      <c r="AC17" s="116" t="str" cm="1">
        <f t="array" ref="AC17">IFERROR(IF(OR(AB17="Insecta",AB17="Arachnida",AB17="#N/C"),"",INDEX(ClassificationClasses[[Class]:[Suborder]],MATCH(TRUE,ISNUMBER(SEARCH(AB17,ClassificationClasses[Key])),0),MATCH(AB17,INDEX(ClassificationClasses[#Data], MATCH(TRUE,ISNUMBER(SEARCH(AB17,ClassificationClasses[Key])),0), 0), 0)-1)),"")</f>
        <v/>
      </c>
      <c r="AD17" s="116" t="str" cm="1">
        <f t="array" ref="AD17">IFERROR(IF(OR(AC17="Insecta",AC17="Arachnida",AC17="#N/C"),"",INDEX(ClassificationClasses[[Class]:[Suborder]],MATCH(TRUE,ISNUMBER(SEARCH(AC17,ClassificationClasses[Key])),0),MATCH(AC17,INDEX(ClassificationClasses[#Data], MATCH(TRUE,ISNUMBER(SEARCH(AC17,ClassificationClasses[Key])),0), 0), 0)-1)),"")</f>
        <v/>
      </c>
      <c r="AE17" s="18" t="str">
        <f t="shared" si="2"/>
        <v>Insecta.Diptera.Brachycera.#N/C.#N/C.#N/C.#N/C.#N/C.#N/C</v>
      </c>
    </row>
    <row r="18" spans="1:31" x14ac:dyDescent="0.3">
      <c r="A18" s="91">
        <v>17</v>
      </c>
      <c r="B18" s="7">
        <v>44389</v>
      </c>
      <c r="C18" s="92" t="s">
        <v>74</v>
      </c>
      <c r="D18" s="93" t="str">
        <f>HYPERLINK(VLOOKUP(C18,Video_List!$F:$J,5),"video")</f>
        <v>video</v>
      </c>
      <c r="E18" s="94" t="str">
        <f>IFERROR(IF(MATCH(C18,Video_List!$F:$F,)&gt;0,"ok",""),"error")</f>
        <v>ok</v>
      </c>
      <c r="F18" s="92" t="s">
        <v>75</v>
      </c>
      <c r="G18" s="93" t="str">
        <f>HYPERLINK(VLOOKUP(F18,Video_List!$F:$J,5),"video")</f>
        <v>video</v>
      </c>
      <c r="H18" s="94" t="str">
        <f>IFERROR(IF(MATCH(F18,Video_List!$F:$F,)&gt;0,"ok",""),"error")</f>
        <v>ok</v>
      </c>
      <c r="I18" s="17">
        <v>44389.739791666667</v>
      </c>
      <c r="J18" s="8">
        <v>44389.740717592591</v>
      </c>
      <c r="K18" s="15">
        <f t="shared" si="0"/>
        <v>9.2592592409346253E-4</v>
      </c>
      <c r="L18" s="95" t="s">
        <v>32</v>
      </c>
      <c r="M18" s="95" t="s">
        <v>33</v>
      </c>
      <c r="N18" s="96" t="str">
        <f>IF(ISBLANK(C18),"",IF(C18=F18, "1 video",CONCATENATE((+COUNTIFS(Video_List!$C:$C,"&lt;=" &amp;Monitoring!J18)-COUNTIFS(Video_List!$C:$C,"&lt;=" &amp;Monitoring!I18))+1," videos")))</f>
        <v>2 videos</v>
      </c>
      <c r="O18" s="27" t="s">
        <v>32</v>
      </c>
      <c r="P18" s="42" t="s">
        <v>37</v>
      </c>
      <c r="Q18" s="42" t="s">
        <v>76</v>
      </c>
      <c r="R18" s="42" t="s">
        <v>77</v>
      </c>
      <c r="S18" s="97" t="str">
        <f>+IFERROR(IF(T18="#N/C","#N/C",IF(U18=0,INDEX(Taxonomy_UniqueValues!D:D,MATCH(U18,Taxonomy_UniqueValues!F:F,0)),INDEX(Taxonomy_UniqueValues!D:D,MATCH(T18,Taxonomy_UniqueValues!E:E,0)))),"#N/C")</f>
        <v>Cucujiformia</v>
      </c>
      <c r="T18" s="42" t="s">
        <v>78</v>
      </c>
      <c r="U18" s="42" t="s">
        <v>79</v>
      </c>
      <c r="V18" s="42" t="s">
        <v>80</v>
      </c>
      <c r="W18" s="42" t="s">
        <v>81</v>
      </c>
      <c r="X18" s="28" t="s">
        <v>82</v>
      </c>
      <c r="Y18" s="69" t="str" cm="1">
        <f t="array" ref="Y18">_xlfn.LET(_xlpm.cls,P18, _xlpm.ord,IFERROR(Q18,"#N/C"), _xlpm.subord,IFERROR(R18,"#N/C"), _xlpm.infr,IFERROR(S18,"#N/C"), _xlpm.sf,IFERROR(T18,"#N/C"), _xlpm.fam,IFERROR(U18,"#N/C"), _xlpm.subfam,IF(TRIM(V18)="-","#N/C",IFERROR(V18,"#N/C")),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_xlpm.fallback,IF(IFERROR(Q18,"#N/C")="#N/C",P18,IF(IFERROR(R18,"#N/C")="#N/C",Q18,IF(IFERROR(S18,"#N/C")="#N/C",R18,IF(IFERROR(T18,"#N/C")="#N/C",S18,IF(IFERROR(U18,"#N/C")="#N/C",T18,IF(IFERROR(V18,"#N/C")="#N/C",U18,"#N/C")))))), _xlpm.finalResult,IF(OR(_xlpm.computedResult="",_xlpm.computedResult="#N/C"),_xlpm.fallback,_xlpm.computedResult), INDEX(_xlpm.finalResult,1))</f>
        <v>ladybug</v>
      </c>
      <c r="Z18" s="116" t="str" cm="1">
        <f t="array" ref="Z18">IF(OR(Y18="Insecta",Y18="Arachnida",Y18="#N/C"),"",IFERROR(_xlfn.LET(_xlpm.fc,IFERROR(_xlfn._xlws.FILTER(ClassificationClasses[],ClassificationClasses[Classification Class]=Y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,ClassificationClasses[Key])),0),MATCH(Y18,INDEX(ClassificationClasses[],MATCH(TRUE,ISNUMBER(SEARCH(Y18,ClassificationClasses[Key])),0),0),0)-1)))</f>
        <v>Cucujiformia</v>
      </c>
      <c r="AA18" s="116" t="str" cm="1">
        <f t="array" ref="AA18">IFERROR(IF(OR(Z18="Insecta",Z18="Arachnida",Z18="#N/C"),"",INDEX(ClassificationClasses[[Class]:[Infraorder]],MATCH(TRUE,ISNUMBER(SEARCH(Z18,ClassificationClasses[Key])),0),MATCH(Z18,INDEX(ClassificationClasses[#Data], MATCH(TRUE,ISNUMBER(SEARCH(Z18,ClassificationClasses[Key])),0), 0), 0)-1)),"")</f>
        <v>Polyphaga</v>
      </c>
      <c r="AB18" s="116" t="str" cm="1">
        <f t="array" ref="AB18">IFERROR(IF(OR(AA18="Insecta",AA18="Arachnida",AA18="#N/C"),"",INDEX(ClassificationClasses[[Class]:[Suborder]],MATCH(TRUE,ISNUMBER(SEARCH(AA18,ClassificationClasses[Key])),0),MATCH(AA18,INDEX(ClassificationClasses[#Data], MATCH(TRUE,ISNUMBER(SEARCH(AA18,ClassificationClasses[Key])),0), 0), 0)-1)),"")</f>
        <v>Coleoptera</v>
      </c>
      <c r="AC18" s="116" t="str" cm="1">
        <f t="array" ref="AC18">IFERROR(IF(OR(AB18="Insecta",AB18="Arachnida",AB18="#N/C"),"",INDEX(ClassificationClasses[[Class]:[Suborder]],MATCH(TRUE,ISNUMBER(SEARCH(AB18,ClassificationClasses[Key])),0),MATCH(AB18,INDEX(ClassificationClasses[#Data], MATCH(TRUE,ISNUMBER(SEARCH(AB18,ClassificationClasses[Key])),0), 0), 0)-1)),"")</f>
        <v>Insecta</v>
      </c>
      <c r="AD18" s="116" t="str" cm="1">
        <f t="array" ref="AD18">IFERROR(IF(OR(AC18="Insecta",AC18="Arachnida",AC18="#N/C"),"",INDEX(ClassificationClasses[[Class]:[Suborder]],MATCH(TRUE,ISNUMBER(SEARCH(AC18,ClassificationClasses[Key])),0),MATCH(AC18,INDEX(ClassificationClasses[#Data], MATCH(TRUE,ISNUMBER(SEARCH(AC18,ClassificationClasses[Key])),0), 0), 0)-1)),"")</f>
        <v/>
      </c>
      <c r="AE18" s="18" t="str">
        <f t="shared" si="2"/>
        <v>Insecta.Coleoptera.Polyphaga.Cucujiformia.Coccinelloidea.Coccinellidae.Coccinellinae.Harmonia.axyridis</v>
      </c>
    </row>
    <row r="19" spans="1:31" x14ac:dyDescent="0.3">
      <c r="A19" s="91">
        <v>18</v>
      </c>
      <c r="B19" s="7">
        <v>44389</v>
      </c>
      <c r="C19" s="92" t="s">
        <v>83</v>
      </c>
      <c r="D19" s="93" t="str">
        <f>HYPERLINK(VLOOKUP(C19,Video_List!$F:$J,5),"video")</f>
        <v>video</v>
      </c>
      <c r="E19" s="94" t="str">
        <f>IFERROR(IF(MATCH(C19,Video_List!$F:$F,)&gt;0,"ok",""),"error")</f>
        <v>ok</v>
      </c>
      <c r="F19" s="92" t="s">
        <v>83</v>
      </c>
      <c r="G19" s="93" t="str">
        <f>HYPERLINK(VLOOKUP(F19,Video_List!$F:$J,5),"video")</f>
        <v>video</v>
      </c>
      <c r="H19" s="94" t="str">
        <f>IFERROR(IF(MATCH(F19,Video_List!$F:$F,)&gt;0,"ok",""),"error")</f>
        <v>ok</v>
      </c>
      <c r="I19" s="17">
        <v>44389.758148148147</v>
      </c>
      <c r="J19" s="8">
        <v>44389.758194444446</v>
      </c>
      <c r="K19" s="15">
        <f t="shared" si="0"/>
        <v>4.6296299842651933E-5</v>
      </c>
      <c r="L19" s="95" t="s">
        <v>32</v>
      </c>
      <c r="M19" s="95" t="s">
        <v>33</v>
      </c>
      <c r="N19" s="96" t="str">
        <f>IF(ISBLANK(C19),"",IF(C19=F19, "1 video",CONCATENATE((+COUNTIFS(Video_List!$C:$C,"&lt;=" &amp;Monitoring!J19)-COUNTIFS(Video_List!$C:$C,"&lt;=" &amp;Monitoring!I19))+1," videos")))</f>
        <v>1 video</v>
      </c>
      <c r="O19" s="29" t="s">
        <v>44</v>
      </c>
      <c r="P19" s="42" t="s">
        <v>37</v>
      </c>
      <c r="Q19" s="42" t="s">
        <v>38</v>
      </c>
      <c r="R19" s="42" t="s">
        <v>39</v>
      </c>
      <c r="S19" s="97" t="str">
        <f>+IFERROR(IF(T19="#N/C","#N/C",IF(U19=0,INDEX(Taxonomy_UniqueValues!D:D,MATCH(U19,Taxonomy_UniqueValues!F:F,0)),INDEX(Taxonomy_UniqueValues!D:D,MATCH(T19,Taxonomy_UniqueValues!E:E,0)))),"#N/C")</f>
        <v>#N/C</v>
      </c>
      <c r="T19" s="42" t="s">
        <v>35</v>
      </c>
      <c r="U19" s="42" t="s">
        <v>35</v>
      </c>
      <c r="V19" s="42" t="s">
        <v>35</v>
      </c>
      <c r="W19" s="42" t="s">
        <v>35</v>
      </c>
      <c r="X19" s="28" t="s">
        <v>35</v>
      </c>
      <c r="Y19" s="69" t="str" cm="1">
        <f t="array" ref="Y19">_xlfn.LET(_xlpm.cls,P19, _xlpm.ord,IFERROR(Q19,"#N/C"), _xlpm.subord,IFERROR(R19,"#N/C"), _xlpm.infr,IFERROR(S19,"#N/C"), _xlpm.sf,IFERROR(T19,"#N/C"), _xlpm.fam,IFERROR(U19,"#N/C"), _xlpm.subfam,IF(TRIM(V19)="-","#N/C",IFERROR(V19,"#N/C")),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_xlpm.fallback,IF(IFERROR(Q19,"#N/C")="#N/C",P19,IF(IFERROR(R19,"#N/C")="#N/C",Q19,IF(IFERROR(S19,"#N/C")="#N/C",R19,IF(IFERROR(T19,"#N/C")="#N/C",S19,IF(IFERROR(U19,"#N/C")="#N/C",T19,IF(IFERROR(V19,"#N/C")="#N/C",U19,"#N/C")))))), _xlpm.finalResult,IF(OR(_xlpm.computedResult="",_xlpm.computedResult="#N/C"),_xlpm.fallback,_xlpm.computedResult), INDEX(_xlpm.finalResult,1))</f>
        <v>Brachycera</v>
      </c>
      <c r="Z19" s="116" t="str" cm="1">
        <f t="array" ref="Z19">IF(OR(Y19="Insecta",Y19="Arachnida",Y19="#N/C"),"",IFERROR(_xlfn.LET(_xlpm.fc,IFERROR(_xlfn._xlws.FILTER(ClassificationClasses[],ClassificationClasses[Classification Class]=Y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,ClassificationClasses[Key])),0),MATCH(Y19,INDEX(ClassificationClasses[],MATCH(TRUE,ISNUMBER(SEARCH(Y19,ClassificationClasses[Key])),0),0),0)-1)))</f>
        <v>Diptera</v>
      </c>
      <c r="AA19" s="116" t="str" cm="1">
        <f t="array" ref="AA19">IFERROR(IF(OR(Z19="Insecta",Z19="Arachnida",Z19="#N/C"),"",INDEX(ClassificationClasses[[Class]:[Infraorder]],MATCH(TRUE,ISNUMBER(SEARCH(Z19,ClassificationClasses[Key])),0),MATCH(Z19,INDEX(ClassificationClasses[#Data], MATCH(TRUE,ISNUMBER(SEARCH(Z19,ClassificationClasses[Key])),0), 0), 0)-1)),"")</f>
        <v>Insecta</v>
      </c>
      <c r="AB19" s="116" t="str" cm="1">
        <f t="array" ref="AB19">IFERROR(IF(OR(AA19="Insecta",AA19="Arachnida",AA19="#N/C"),"",INDEX(ClassificationClasses[[Class]:[Suborder]],MATCH(TRUE,ISNUMBER(SEARCH(AA19,ClassificationClasses[Key])),0),MATCH(AA19,INDEX(ClassificationClasses[#Data], MATCH(TRUE,ISNUMBER(SEARCH(AA19,ClassificationClasses[Key])),0), 0), 0)-1)),"")</f>
        <v/>
      </c>
      <c r="AC19" s="116" t="str" cm="1">
        <f t="array" ref="AC19">IFERROR(IF(OR(AB19="Insecta",AB19="Arachnida",AB19="#N/C"),"",INDEX(ClassificationClasses[[Class]:[Suborder]],MATCH(TRUE,ISNUMBER(SEARCH(AB19,ClassificationClasses[Key])),0),MATCH(AB19,INDEX(ClassificationClasses[#Data], MATCH(TRUE,ISNUMBER(SEARCH(AB19,ClassificationClasses[Key])),0), 0), 0)-1)),"")</f>
        <v/>
      </c>
      <c r="AD19" s="116" t="str" cm="1">
        <f t="array" ref="AD19">IFERROR(IF(OR(AC19="Insecta",AC19="Arachnida",AC19="#N/C"),"",INDEX(ClassificationClasses[[Class]:[Suborder]],MATCH(TRUE,ISNUMBER(SEARCH(AC19,ClassificationClasses[Key])),0),MATCH(AC19,INDEX(ClassificationClasses[#Data], MATCH(TRUE,ISNUMBER(SEARCH(AC19,ClassificationClasses[Key])),0), 0), 0)-1)),"")</f>
        <v/>
      </c>
      <c r="AE19" s="18" t="str">
        <f t="shared" si="2"/>
        <v>Insecta.Diptera.Brachycera.#N/C.#N/C.#N/C.#N/C.#N/C.#N/C</v>
      </c>
    </row>
    <row r="20" spans="1:31" x14ac:dyDescent="0.3">
      <c r="A20" s="91">
        <v>19</v>
      </c>
      <c r="B20" s="7">
        <v>44389</v>
      </c>
      <c r="C20" s="92" t="s">
        <v>84</v>
      </c>
      <c r="D20" s="93" t="str">
        <f>HYPERLINK(VLOOKUP(C20,Video_List!$F:$J,5),"video")</f>
        <v>video</v>
      </c>
      <c r="E20" s="94" t="str">
        <f>IFERROR(IF(MATCH(C20,Video_List!$F:$F,)&gt;0,"ok",""),"error")</f>
        <v>ok</v>
      </c>
      <c r="F20" s="92" t="s">
        <v>84</v>
      </c>
      <c r="G20" s="93" t="str">
        <f>HYPERLINK(VLOOKUP(F20,Video_List!$F:$J,5),"video")</f>
        <v>video</v>
      </c>
      <c r="H20" s="94" t="str">
        <f>IFERROR(IF(MATCH(F20,Video_List!$F:$F,)&gt;0,"ok",""),"error")</f>
        <v>ok</v>
      </c>
      <c r="I20" s="17">
        <v>44389.760567129626</v>
      </c>
      <c r="J20" s="8">
        <v>44389.760601851849</v>
      </c>
      <c r="K20" s="15">
        <f t="shared" si="0"/>
        <v>3.4722223062999547E-5</v>
      </c>
      <c r="L20" s="4" t="s">
        <v>55</v>
      </c>
      <c r="M20" s="4" t="s">
        <v>55</v>
      </c>
      <c r="N20" s="96" t="str">
        <f>IF(ISBLANK(C20),"",IF(C20=F20, "1 video",CONCATENATE((+COUNTIFS(Video_List!$C:$C,"&lt;=" &amp;Monitoring!J20)-COUNTIFS(Video_List!$C:$C,"&lt;=" &amp;Monitoring!I20))+1," videos")))</f>
        <v>1 video</v>
      </c>
      <c r="O20" s="27" t="s">
        <v>32</v>
      </c>
      <c r="P20" s="42" t="s">
        <v>37</v>
      </c>
      <c r="Q20" s="42" t="s">
        <v>41</v>
      </c>
      <c r="R20" s="42" t="s">
        <v>42</v>
      </c>
      <c r="S20" s="97" t="str">
        <f>+IFERROR(IF(T20="#N/C","#N/C",IF(U20=0,INDEX(Taxonomy_UniqueValues!D:D,MATCH(U20,Taxonomy_UniqueValues!F:F,0)),INDEX(Taxonomy_UniqueValues!D:D,MATCH(T20,Taxonomy_UniqueValues!E:E,0)))),"#N/C")</f>
        <v>Parasitica</v>
      </c>
      <c r="T20" s="42" t="s">
        <v>71</v>
      </c>
      <c r="U20" s="42" t="s">
        <v>72</v>
      </c>
      <c r="V20" s="42" t="s">
        <v>85</v>
      </c>
      <c r="W20" s="42" t="s">
        <v>86</v>
      </c>
      <c r="X20" s="28" t="s">
        <v>87</v>
      </c>
      <c r="Y20" s="69" t="str" cm="1">
        <f t="array" ref="Y20">_xlfn.LET(_xlpm.cls,P20, _xlpm.ord,IFERROR(Q20,"#N/C"), _xlpm.subord,IFERROR(R20,"#N/C"), _xlpm.infr,IFERROR(S20,"#N/C"), _xlpm.sf,IFERROR(T20,"#N/C"), _xlpm.fam,IFERROR(U20,"#N/C"), _xlpm.subfam,IF(TRIM(V20)="-","#N/C",IFERROR(V20,"#N/C")),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_xlpm.fallback,IF(IFERROR(Q20,"#N/C")="#N/C",P20,IF(IFERROR(R20,"#N/C")="#N/C",Q20,IF(IFERROR(S20,"#N/C")="#N/C",R20,IF(IFERROR(T20,"#N/C")="#N/C",S20,IF(IFERROR(U20,"#N/C")="#N/C",T20,IF(IFERROR(V20,"#N/C")="#N/C",U20,"#N/C")))))), _xlpm.finalResult,IF(OR(_xlpm.computedResult="",_xlpm.computedResult="#N/C"),_xlpm.fallback,_xlpm.computedResult), INDEX(_xlpm.finalResult,1))</f>
        <v>Ichneumonidae</v>
      </c>
      <c r="Z20" s="116" t="str" cm="1">
        <f t="array" ref="Z20">IF(OR(Y20="Insecta",Y20="Arachnida",Y20="#N/C"),"",IFERROR(_xlfn.LET(_xlpm.fc,IFERROR(_xlfn._xlws.FILTER(ClassificationClasses[],ClassificationClasses[Classification Class]=Y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,ClassificationClasses[Key])),0),MATCH(Y20,INDEX(ClassificationClasses[],MATCH(TRUE,ISNUMBER(SEARCH(Y20,ClassificationClasses[Key])),0),0),0)-1)))</f>
        <v>Ichneumonoidea</v>
      </c>
      <c r="AA20" s="116" t="str" cm="1">
        <f t="array" ref="AA20">IFERROR(IF(OR(Z20="Insecta",Z20="Arachnida",Z20="#N/C"),"",INDEX(ClassificationClasses[[Class]:[Infraorder]],MATCH(TRUE,ISNUMBER(SEARCH(Z20,ClassificationClasses[Key])),0),MATCH(Z20,INDEX(ClassificationClasses[#Data], MATCH(TRUE,ISNUMBER(SEARCH(Z20,ClassificationClasses[Key])),0), 0), 0)-1)),"")</f>
        <v>Parasitica</v>
      </c>
      <c r="AB20" s="116" t="str" cm="1">
        <f t="array" ref="AB20">IFERROR(IF(OR(AA20="Insecta",AA20="Arachnida",AA20="#N/C"),"",INDEX(ClassificationClasses[[Class]:[Suborder]],MATCH(TRUE,ISNUMBER(SEARCH(AA20,ClassificationClasses[Key])),0),MATCH(AA20,INDEX(ClassificationClasses[#Data], MATCH(TRUE,ISNUMBER(SEARCH(AA20,ClassificationClasses[Key])),0), 0), 0)-1)),"")</f>
        <v>Apocrita</v>
      </c>
      <c r="AC20" s="116" t="str" cm="1">
        <f t="array" ref="AC20">IFERROR(IF(OR(AB20="Insecta",AB20="Arachnida",AB20="#N/C"),"",INDEX(ClassificationClasses[[Class]:[Suborder]],MATCH(TRUE,ISNUMBER(SEARCH(AB20,ClassificationClasses[Key])),0),MATCH(AB20,INDEX(ClassificationClasses[#Data], MATCH(TRUE,ISNUMBER(SEARCH(AB20,ClassificationClasses[Key])),0), 0), 0)-1)),"")</f>
        <v>Hymenoptera</v>
      </c>
      <c r="AD20" s="116" t="str" cm="1">
        <f t="array" ref="AD20">IFERROR(IF(OR(AC20="Insecta",AC20="Arachnida",AC20="#N/C"),"",INDEX(ClassificationClasses[[Class]:[Suborder]],MATCH(TRUE,ISNUMBER(SEARCH(AC20,ClassificationClasses[Key])),0),MATCH(AC20,INDEX(ClassificationClasses[#Data], MATCH(TRUE,ISNUMBER(SEARCH(AC20,ClassificationClasses[Key])),0), 0), 0)-1)),"")</f>
        <v>Insecta</v>
      </c>
      <c r="AE20" s="18" t="str">
        <f t="shared" si="2"/>
        <v>Insecta.Hymenoptera.Apocrita.Parasitica.Ichneumonoidea.Ichneumonidae.Diplazontinae.Diplazon.laetatorius</v>
      </c>
    </row>
    <row r="21" spans="1:31" x14ac:dyDescent="0.3">
      <c r="A21" s="91">
        <v>20</v>
      </c>
      <c r="B21" s="7">
        <v>44389</v>
      </c>
      <c r="C21" s="92" t="s">
        <v>88</v>
      </c>
      <c r="D21" s="93" t="str">
        <f>HYPERLINK(VLOOKUP(C21,Video_List!$F:$J,5),"video")</f>
        <v>video</v>
      </c>
      <c r="E21" s="94" t="str">
        <f>IFERROR(IF(MATCH(C21,Video_List!$F:$F,)&gt;0,"ok",""),"error")</f>
        <v>ok</v>
      </c>
      <c r="F21" s="92" t="s">
        <v>88</v>
      </c>
      <c r="G21" s="93" t="str">
        <f>HYPERLINK(VLOOKUP(F21,Video_List!$F:$J,5),"video")</f>
        <v>video</v>
      </c>
      <c r="H21" s="94" t="str">
        <f>IFERROR(IF(MATCH(F21,Video_List!$F:$F,)&gt;0,"ok",""),"error")</f>
        <v>ok</v>
      </c>
      <c r="I21" s="17">
        <v>44389.770127314812</v>
      </c>
      <c r="J21" s="8">
        <v>44389.770219907405</v>
      </c>
      <c r="K21" s="15">
        <f t="shared" si="0"/>
        <v>9.2592592409346253E-5</v>
      </c>
      <c r="L21" s="95" t="s">
        <v>32</v>
      </c>
      <c r="M21" s="95" t="s">
        <v>33</v>
      </c>
      <c r="N21" s="96" t="str">
        <f>IF(ISBLANK(C21),"",IF(C21=F21, "1 video",CONCATENATE((+COUNTIFS(Video_List!$C:$C,"&lt;=" &amp;Monitoring!J21)-COUNTIFS(Video_List!$C:$C,"&lt;=" &amp;Monitoring!I21))+1," videos")))</f>
        <v>1 video</v>
      </c>
      <c r="O21" s="29" t="s">
        <v>44</v>
      </c>
      <c r="P21" s="42" t="s">
        <v>37</v>
      </c>
      <c r="Q21" s="42" t="s">
        <v>38</v>
      </c>
      <c r="R21" s="42" t="s">
        <v>39</v>
      </c>
      <c r="S21" s="97" t="str">
        <f>+IFERROR(IF(T21="#N/C","#N/C",IF(U21=0,INDEX(Taxonomy_UniqueValues!D:D,MATCH(U21,Taxonomy_UniqueValues!F:F,0)),INDEX(Taxonomy_UniqueValues!D:D,MATCH(T21,Taxonomy_UniqueValues!E:E,0)))),"#N/C")</f>
        <v>#N/C</v>
      </c>
      <c r="T21" s="42" t="s">
        <v>35</v>
      </c>
      <c r="U21" s="42" t="s">
        <v>35</v>
      </c>
      <c r="V21" s="42" t="s">
        <v>35</v>
      </c>
      <c r="W21" s="42" t="s">
        <v>35</v>
      </c>
      <c r="X21" s="28" t="s">
        <v>35</v>
      </c>
      <c r="Y21" s="69" t="str" cm="1">
        <f t="array" ref="Y21">_xlfn.LET(_xlpm.cls,P21, _xlpm.ord,IFERROR(Q21,"#N/C"), _xlpm.subord,IFERROR(R21,"#N/C"), _xlpm.infr,IFERROR(S21,"#N/C"), _xlpm.sf,IFERROR(T21,"#N/C"), _xlpm.fam,IFERROR(U21,"#N/C"), _xlpm.subfam,IF(TRIM(V21)="-","#N/C",IFERROR(V21,"#N/C")),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_xlpm.fallback,IF(IFERROR(Q21,"#N/C")="#N/C",P21,IF(IFERROR(R21,"#N/C")="#N/C",Q21,IF(IFERROR(S21,"#N/C")="#N/C",R21,IF(IFERROR(T21,"#N/C")="#N/C",S21,IF(IFERROR(U21,"#N/C")="#N/C",T21,IF(IFERROR(V21,"#N/C")="#N/C",U21,"#N/C")))))), _xlpm.finalResult,IF(OR(_xlpm.computedResult="",_xlpm.computedResult="#N/C"),_xlpm.fallback,_xlpm.computedResult), INDEX(_xlpm.finalResult,1))</f>
        <v>Brachycera</v>
      </c>
      <c r="Z21" s="116" t="str" cm="1">
        <f t="array" ref="Z21">IF(OR(Y21="Insecta",Y21="Arachnida",Y21="#N/C"),"",IFERROR(_xlfn.LET(_xlpm.fc,IFERROR(_xlfn._xlws.FILTER(ClassificationClasses[],ClassificationClasses[Classification Class]=Y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,ClassificationClasses[Key])),0),MATCH(Y21,INDEX(ClassificationClasses[],MATCH(TRUE,ISNUMBER(SEARCH(Y21,ClassificationClasses[Key])),0),0),0)-1)))</f>
        <v>Diptera</v>
      </c>
      <c r="AA21" s="116" t="str" cm="1">
        <f t="array" ref="AA21">IFERROR(IF(OR(Z21="Insecta",Z21="Arachnida",Z21="#N/C"),"",INDEX(ClassificationClasses[[Class]:[Infraorder]],MATCH(TRUE,ISNUMBER(SEARCH(Z21,ClassificationClasses[Key])),0),MATCH(Z21,INDEX(ClassificationClasses[#Data], MATCH(TRUE,ISNUMBER(SEARCH(Z21,ClassificationClasses[Key])),0), 0), 0)-1)),"")</f>
        <v>Insecta</v>
      </c>
      <c r="AB21" s="116" t="str" cm="1">
        <f t="array" ref="AB21">IFERROR(IF(OR(AA21="Insecta",AA21="Arachnida",AA21="#N/C"),"",INDEX(ClassificationClasses[[Class]:[Suborder]],MATCH(TRUE,ISNUMBER(SEARCH(AA21,ClassificationClasses[Key])),0),MATCH(AA21,INDEX(ClassificationClasses[#Data], MATCH(TRUE,ISNUMBER(SEARCH(AA21,ClassificationClasses[Key])),0), 0), 0)-1)),"")</f>
        <v/>
      </c>
      <c r="AC21" s="116" t="str" cm="1">
        <f t="array" ref="AC21">IFERROR(IF(OR(AB21="Insecta",AB21="Arachnida",AB21="#N/C"),"",INDEX(ClassificationClasses[[Class]:[Suborder]],MATCH(TRUE,ISNUMBER(SEARCH(AB21,ClassificationClasses[Key])),0),MATCH(AB21,INDEX(ClassificationClasses[#Data], MATCH(TRUE,ISNUMBER(SEARCH(AB21,ClassificationClasses[Key])),0), 0), 0)-1)),"")</f>
        <v/>
      </c>
      <c r="AD21" s="116" t="str" cm="1">
        <f t="array" ref="AD21">IFERROR(IF(OR(AC21="Insecta",AC21="Arachnida",AC21="#N/C"),"",INDEX(ClassificationClasses[[Class]:[Suborder]],MATCH(TRUE,ISNUMBER(SEARCH(AC21,ClassificationClasses[Key])),0),MATCH(AC21,INDEX(ClassificationClasses[#Data], MATCH(TRUE,ISNUMBER(SEARCH(AC21,ClassificationClasses[Key])),0), 0), 0)-1)),"")</f>
        <v/>
      </c>
      <c r="AE21" s="18" t="str">
        <f t="shared" si="2"/>
        <v>Insecta.Diptera.Brachycera.#N/C.#N/C.#N/C.#N/C.#N/C.#N/C</v>
      </c>
    </row>
    <row r="22" spans="1:31" x14ac:dyDescent="0.3">
      <c r="A22" s="91">
        <v>21</v>
      </c>
      <c r="B22" s="7">
        <v>44389</v>
      </c>
      <c r="C22" s="92" t="s">
        <v>89</v>
      </c>
      <c r="D22" s="93" t="str">
        <f>HYPERLINK(VLOOKUP(C22,Video_List!$F:$J,5),"video")</f>
        <v>video</v>
      </c>
      <c r="E22" s="94" t="str">
        <f>IFERROR(IF(MATCH(C22,Video_List!$F:$F,)&gt;0,"ok",""),"error")</f>
        <v>ok</v>
      </c>
      <c r="F22" s="92" t="s">
        <v>89</v>
      </c>
      <c r="G22" s="93" t="str">
        <f>HYPERLINK(VLOOKUP(F22,Video_List!$F:$J,5),"video")</f>
        <v>video</v>
      </c>
      <c r="H22" s="94" t="str">
        <f>IFERROR(IF(MATCH(F22,Video_List!$F:$F,)&gt;0,"ok",""),"error")</f>
        <v>ok</v>
      </c>
      <c r="I22" s="17">
        <v>44389.771620370368</v>
      </c>
      <c r="J22" s="8">
        <v>44389.771701388891</v>
      </c>
      <c r="K22" s="15">
        <f t="shared" si="0"/>
        <v>8.101852290565148E-5</v>
      </c>
      <c r="L22" s="95" t="s">
        <v>32</v>
      </c>
      <c r="M22" s="95" t="s">
        <v>33</v>
      </c>
      <c r="N22" s="96" t="str">
        <f>IF(ISBLANK(C22),"",IF(C22=F22, "1 video",CONCATENATE((+COUNTIFS(Video_List!$C:$C,"&lt;=" &amp;Monitoring!J22)-COUNTIFS(Video_List!$C:$C,"&lt;=" &amp;Monitoring!I22))+1," videos")))</f>
        <v>1 video</v>
      </c>
      <c r="O22" s="29" t="s">
        <v>44</v>
      </c>
      <c r="P22" s="42" t="s">
        <v>37</v>
      </c>
      <c r="Q22" s="42" t="s">
        <v>38</v>
      </c>
      <c r="R22" s="42" t="s">
        <v>39</v>
      </c>
      <c r="S22" s="97" t="str">
        <f>+IFERROR(IF(T22="#N/C","#N/C",IF(U22=0,INDEX(Taxonomy_UniqueValues!D:D,MATCH(U22,Taxonomy_UniqueValues!F:F,0)),INDEX(Taxonomy_UniqueValues!D:D,MATCH(T22,Taxonomy_UniqueValues!E:E,0)))),"#N/C")</f>
        <v>#N/C</v>
      </c>
      <c r="T22" s="42" t="s">
        <v>35</v>
      </c>
      <c r="U22" s="42" t="s">
        <v>35</v>
      </c>
      <c r="V22" s="42" t="s">
        <v>35</v>
      </c>
      <c r="W22" s="42" t="s">
        <v>35</v>
      </c>
      <c r="X22" s="28" t="s">
        <v>35</v>
      </c>
      <c r="Y22" s="69" t="str" cm="1">
        <f t="array" ref="Y22">_xlfn.LET(_xlpm.cls,P22, _xlpm.ord,IFERROR(Q22,"#N/C"), _xlpm.subord,IFERROR(R22,"#N/C"), _xlpm.infr,IFERROR(S22,"#N/C"), _xlpm.sf,IFERROR(T22,"#N/C"), _xlpm.fam,IFERROR(U22,"#N/C"), _xlpm.subfam,IF(TRIM(V22)="-","#N/C",IFERROR(V22,"#N/C")),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_xlpm.fallback,IF(IFERROR(Q22,"#N/C")="#N/C",P22,IF(IFERROR(R22,"#N/C")="#N/C",Q22,IF(IFERROR(S22,"#N/C")="#N/C",R22,IF(IFERROR(T22,"#N/C")="#N/C",S22,IF(IFERROR(U22,"#N/C")="#N/C",T22,IF(IFERROR(V22,"#N/C")="#N/C",U22,"#N/C")))))), _xlpm.finalResult,IF(OR(_xlpm.computedResult="",_xlpm.computedResult="#N/C"),_xlpm.fallback,_xlpm.computedResult), INDEX(_xlpm.finalResult,1))</f>
        <v>Brachycera</v>
      </c>
      <c r="Z22" s="116" t="str" cm="1">
        <f t="array" ref="Z22">IF(OR(Y22="Insecta",Y22="Arachnida",Y22="#N/C"),"",IFERROR(_xlfn.LET(_xlpm.fc,IFERROR(_xlfn._xlws.FILTER(ClassificationClasses[],ClassificationClasses[Classification Class]=Y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,ClassificationClasses[Key])),0),MATCH(Y22,INDEX(ClassificationClasses[],MATCH(TRUE,ISNUMBER(SEARCH(Y22,ClassificationClasses[Key])),0),0),0)-1)))</f>
        <v>Diptera</v>
      </c>
      <c r="AA22" s="116" t="str" cm="1">
        <f t="array" ref="AA22">IFERROR(IF(OR(Z22="Insecta",Z22="Arachnida",Z22="#N/C"),"",INDEX(ClassificationClasses[[Class]:[Infraorder]],MATCH(TRUE,ISNUMBER(SEARCH(Z22,ClassificationClasses[Key])),0),MATCH(Z22,INDEX(ClassificationClasses[#Data], MATCH(TRUE,ISNUMBER(SEARCH(Z22,ClassificationClasses[Key])),0), 0), 0)-1)),"")</f>
        <v>Insecta</v>
      </c>
      <c r="AB22" s="116" t="str" cm="1">
        <f t="array" ref="AB22">IFERROR(IF(OR(AA22="Insecta",AA22="Arachnida",AA22="#N/C"),"",INDEX(ClassificationClasses[[Class]:[Suborder]],MATCH(TRUE,ISNUMBER(SEARCH(AA22,ClassificationClasses[Key])),0),MATCH(AA22,INDEX(ClassificationClasses[#Data], MATCH(TRUE,ISNUMBER(SEARCH(AA22,ClassificationClasses[Key])),0), 0), 0)-1)),"")</f>
        <v/>
      </c>
      <c r="AC22" s="116" t="str" cm="1">
        <f t="array" ref="AC22">IFERROR(IF(OR(AB22="Insecta",AB22="Arachnida",AB22="#N/C"),"",INDEX(ClassificationClasses[[Class]:[Suborder]],MATCH(TRUE,ISNUMBER(SEARCH(AB22,ClassificationClasses[Key])),0),MATCH(AB22,INDEX(ClassificationClasses[#Data], MATCH(TRUE,ISNUMBER(SEARCH(AB22,ClassificationClasses[Key])),0), 0), 0)-1)),"")</f>
        <v/>
      </c>
      <c r="AD22" s="116" t="str" cm="1">
        <f t="array" ref="AD22">IFERROR(IF(OR(AC22="Insecta",AC22="Arachnida",AC22="#N/C"),"",INDEX(ClassificationClasses[[Class]:[Suborder]],MATCH(TRUE,ISNUMBER(SEARCH(AC22,ClassificationClasses[Key])),0),MATCH(AC22,INDEX(ClassificationClasses[#Data], MATCH(TRUE,ISNUMBER(SEARCH(AC22,ClassificationClasses[Key])),0), 0), 0)-1)),"")</f>
        <v/>
      </c>
      <c r="AE22" s="18" t="str">
        <f t="shared" si="2"/>
        <v>Insecta.Diptera.Brachycera.#N/C.#N/C.#N/C.#N/C.#N/C.#N/C</v>
      </c>
    </row>
    <row r="23" spans="1:31" x14ac:dyDescent="0.3">
      <c r="A23" s="91">
        <v>22</v>
      </c>
      <c r="B23" s="7">
        <v>44389</v>
      </c>
      <c r="C23" s="92" t="s">
        <v>90</v>
      </c>
      <c r="D23" s="93" t="str">
        <f>HYPERLINK(VLOOKUP(C23,Video_List!$F:$J,5),"video")</f>
        <v>video</v>
      </c>
      <c r="E23" s="94" t="str">
        <f>IFERROR(IF(MATCH(C23,Video_List!$F:$F,)&gt;0,"ok",""),"error")</f>
        <v>ok</v>
      </c>
      <c r="F23" s="92" t="s">
        <v>90</v>
      </c>
      <c r="G23" s="93" t="str">
        <f>HYPERLINK(VLOOKUP(F23,Video_List!$F:$J,5),"video")</f>
        <v>video</v>
      </c>
      <c r="H23" s="94" t="str">
        <f>IFERROR(IF(MATCH(F23,Video_List!$F:$F,)&gt;0,"ok",""),"error")</f>
        <v>ok</v>
      </c>
      <c r="I23" s="17">
        <v>44389.779756944445</v>
      </c>
      <c r="J23" s="8">
        <v>44389.779942129629</v>
      </c>
      <c r="K23" s="15">
        <f t="shared" si="0"/>
        <v>1.8518518481869251E-4</v>
      </c>
      <c r="L23" s="95" t="s">
        <v>32</v>
      </c>
      <c r="M23" s="95" t="s">
        <v>33</v>
      </c>
      <c r="N23" s="96" t="str">
        <f>IF(ISBLANK(C23),"",IF(C23=F23, "1 video",CONCATENATE((+COUNTIFS(Video_List!$C:$C,"&lt;=" &amp;Monitoring!J23)-COUNTIFS(Video_List!$C:$C,"&lt;=" &amp;Monitoring!I23))+1," videos")))</f>
        <v>1 video</v>
      </c>
      <c r="O23" s="29" t="s">
        <v>44</v>
      </c>
      <c r="P23" s="42" t="s">
        <v>37</v>
      </c>
      <c r="Q23" s="42" t="s">
        <v>38</v>
      </c>
      <c r="R23" s="42" t="s">
        <v>39</v>
      </c>
      <c r="S23" s="97" t="str">
        <f>+IFERROR(IF(T23="#N/C","#N/C",IF(U23=0,INDEX(Taxonomy_UniqueValues!D:D,MATCH(U23,Taxonomy_UniqueValues!F:F,0)),INDEX(Taxonomy_UniqueValues!D:D,MATCH(T23,Taxonomy_UniqueValues!E:E,0)))),"#N/C")</f>
        <v>#N/C</v>
      </c>
      <c r="T23" s="42" t="s">
        <v>35</v>
      </c>
      <c r="U23" s="42" t="s">
        <v>35</v>
      </c>
      <c r="V23" s="42" t="s">
        <v>35</v>
      </c>
      <c r="W23" s="42" t="s">
        <v>35</v>
      </c>
      <c r="X23" s="28" t="s">
        <v>35</v>
      </c>
      <c r="Y23" s="69" t="str" cm="1">
        <f t="array" ref="Y23">_xlfn.LET(_xlpm.cls,P23, _xlpm.ord,IFERROR(Q23,"#N/C"), _xlpm.subord,IFERROR(R23,"#N/C"), _xlpm.infr,IFERROR(S23,"#N/C"), _xlpm.sf,IFERROR(T23,"#N/C"), _xlpm.fam,IFERROR(U23,"#N/C"), _xlpm.subfam,IF(TRIM(V23)="-","#N/C",IFERROR(V23,"#N/C")),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_xlpm.fallback,IF(IFERROR(Q23,"#N/C")="#N/C",P23,IF(IFERROR(R23,"#N/C")="#N/C",Q23,IF(IFERROR(S23,"#N/C")="#N/C",R23,IF(IFERROR(T23,"#N/C")="#N/C",S23,IF(IFERROR(U23,"#N/C")="#N/C",T23,IF(IFERROR(V23,"#N/C")="#N/C",U23,"#N/C")))))), _xlpm.finalResult,IF(OR(_xlpm.computedResult="",_xlpm.computedResult="#N/C"),_xlpm.fallback,_xlpm.computedResult), INDEX(_xlpm.finalResult,1))</f>
        <v>Brachycera</v>
      </c>
      <c r="Z23" s="116" t="str" cm="1">
        <f t="array" ref="Z23">IF(OR(Y23="Insecta",Y23="Arachnida",Y23="#N/C"),"",IFERROR(_xlfn.LET(_xlpm.fc,IFERROR(_xlfn._xlws.FILTER(ClassificationClasses[],ClassificationClasses[Classification Class]=Y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,ClassificationClasses[Key])),0),MATCH(Y23,INDEX(ClassificationClasses[],MATCH(TRUE,ISNUMBER(SEARCH(Y23,ClassificationClasses[Key])),0),0),0)-1)))</f>
        <v>Diptera</v>
      </c>
      <c r="AA23" s="116" t="str" cm="1">
        <f t="array" ref="AA23">IFERROR(IF(OR(Z23="Insecta",Z23="Arachnida",Z23="#N/C"),"",INDEX(ClassificationClasses[[Class]:[Infraorder]],MATCH(TRUE,ISNUMBER(SEARCH(Z23,ClassificationClasses[Key])),0),MATCH(Z23,INDEX(ClassificationClasses[#Data], MATCH(TRUE,ISNUMBER(SEARCH(Z23,ClassificationClasses[Key])),0), 0), 0)-1)),"")</f>
        <v>Insecta</v>
      </c>
      <c r="AB23" s="116" t="str" cm="1">
        <f t="array" ref="AB23">IFERROR(IF(OR(AA23="Insecta",AA23="Arachnida",AA23="#N/C"),"",INDEX(ClassificationClasses[[Class]:[Suborder]],MATCH(TRUE,ISNUMBER(SEARCH(AA23,ClassificationClasses[Key])),0),MATCH(AA23,INDEX(ClassificationClasses[#Data], MATCH(TRUE,ISNUMBER(SEARCH(AA23,ClassificationClasses[Key])),0), 0), 0)-1)),"")</f>
        <v/>
      </c>
      <c r="AC23" s="116" t="str" cm="1">
        <f t="array" ref="AC23">IFERROR(IF(OR(AB23="Insecta",AB23="Arachnida",AB23="#N/C"),"",INDEX(ClassificationClasses[[Class]:[Suborder]],MATCH(TRUE,ISNUMBER(SEARCH(AB23,ClassificationClasses[Key])),0),MATCH(AB23,INDEX(ClassificationClasses[#Data], MATCH(TRUE,ISNUMBER(SEARCH(AB23,ClassificationClasses[Key])),0), 0), 0)-1)),"")</f>
        <v/>
      </c>
      <c r="AD23" s="116" t="str" cm="1">
        <f t="array" ref="AD23">IFERROR(IF(OR(AC23="Insecta",AC23="Arachnida",AC23="#N/C"),"",INDEX(ClassificationClasses[[Class]:[Suborder]],MATCH(TRUE,ISNUMBER(SEARCH(AC23,ClassificationClasses[Key])),0),MATCH(AC23,INDEX(ClassificationClasses[#Data], MATCH(TRUE,ISNUMBER(SEARCH(AC23,ClassificationClasses[Key])),0), 0), 0)-1)),"")</f>
        <v/>
      </c>
      <c r="AE23" s="18" t="str">
        <f t="shared" si="2"/>
        <v>Insecta.Diptera.Brachycera.#N/C.#N/C.#N/C.#N/C.#N/C.#N/C</v>
      </c>
    </row>
    <row r="24" spans="1:31" x14ac:dyDescent="0.3">
      <c r="A24" s="91">
        <v>23</v>
      </c>
      <c r="B24" s="7">
        <v>44389</v>
      </c>
      <c r="C24" s="92" t="s">
        <v>91</v>
      </c>
      <c r="D24" s="93" t="str">
        <f>HYPERLINK(VLOOKUP(C24,Video_List!$F:$J,5),"video")</f>
        <v>video</v>
      </c>
      <c r="E24" s="94" t="str">
        <f>IFERROR(IF(MATCH(C24,Video_List!$F:$F,)&gt;0,"ok",""),"error")</f>
        <v>ok</v>
      </c>
      <c r="F24" s="92" t="s">
        <v>91</v>
      </c>
      <c r="G24" s="93" t="str">
        <f>HYPERLINK(VLOOKUP(F24,Video_List!$F:$J,5),"video")</f>
        <v>video</v>
      </c>
      <c r="H24" s="94" t="str">
        <f>IFERROR(IF(MATCH(F24,Video_List!$F:$F,)&gt;0,"ok",""),"error")</f>
        <v>ok</v>
      </c>
      <c r="I24" s="17">
        <v>44389.786296296297</v>
      </c>
      <c r="J24" s="8">
        <v>44389.78638888889</v>
      </c>
      <c r="K24" s="15">
        <f t="shared" si="0"/>
        <v>9.2592592409346253E-5</v>
      </c>
      <c r="L24" s="95" t="s">
        <v>32</v>
      </c>
      <c r="M24" s="95" t="s">
        <v>33</v>
      </c>
      <c r="N24" s="96" t="str">
        <f>IF(ISBLANK(C24),"",IF(C24=F24, "1 video",CONCATENATE((+COUNTIFS(Video_List!$C:$C,"&lt;=" &amp;Monitoring!J24)-COUNTIFS(Video_List!$C:$C,"&lt;=" &amp;Monitoring!I24))+1," videos")))</f>
        <v>1 video</v>
      </c>
      <c r="O24" s="29" t="s">
        <v>44</v>
      </c>
      <c r="P24" s="42" t="s">
        <v>37</v>
      </c>
      <c r="Q24" s="42" t="s">
        <v>38</v>
      </c>
      <c r="R24" s="42" t="s">
        <v>39</v>
      </c>
      <c r="S24" s="97" t="str">
        <f>+IFERROR(IF(T24="#N/C","#N/C",IF(U24=0,INDEX(Taxonomy_UniqueValues!D:D,MATCH(U24,Taxonomy_UniqueValues!F:F,0)),INDEX(Taxonomy_UniqueValues!D:D,MATCH(T24,Taxonomy_UniqueValues!E:E,0)))),"#N/C")</f>
        <v>#N/C</v>
      </c>
      <c r="T24" s="42" t="s">
        <v>35</v>
      </c>
      <c r="U24" s="42" t="s">
        <v>35</v>
      </c>
      <c r="V24" s="42" t="s">
        <v>35</v>
      </c>
      <c r="W24" s="42" t="s">
        <v>35</v>
      </c>
      <c r="X24" s="28" t="s">
        <v>35</v>
      </c>
      <c r="Y24" s="69" t="str" cm="1">
        <f t="array" ref="Y24">_xlfn.LET(_xlpm.cls,P24, _xlpm.ord,IFERROR(Q24,"#N/C"), _xlpm.subord,IFERROR(R24,"#N/C"), _xlpm.infr,IFERROR(S24,"#N/C"), _xlpm.sf,IFERROR(T24,"#N/C"), _xlpm.fam,IFERROR(U24,"#N/C"), _xlpm.subfam,IF(TRIM(V24)="-","#N/C",IFERROR(V24,"#N/C")),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_xlpm.fallback,IF(IFERROR(Q24,"#N/C")="#N/C",P24,IF(IFERROR(R24,"#N/C")="#N/C",Q24,IF(IFERROR(S24,"#N/C")="#N/C",R24,IF(IFERROR(T24,"#N/C")="#N/C",S24,IF(IFERROR(U24,"#N/C")="#N/C",T24,IF(IFERROR(V24,"#N/C")="#N/C",U24,"#N/C")))))), _xlpm.finalResult,IF(OR(_xlpm.computedResult="",_xlpm.computedResult="#N/C"),_xlpm.fallback,_xlpm.computedResult), INDEX(_xlpm.finalResult,1))</f>
        <v>Brachycera</v>
      </c>
      <c r="Z24" s="116" t="str" cm="1">
        <f t="array" ref="Z24">IF(OR(Y24="Insecta",Y24="Arachnida",Y24="#N/C"),"",IFERROR(_xlfn.LET(_xlpm.fc,IFERROR(_xlfn._xlws.FILTER(ClassificationClasses[],ClassificationClasses[Classification Class]=Y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,ClassificationClasses[Key])),0),MATCH(Y24,INDEX(ClassificationClasses[],MATCH(TRUE,ISNUMBER(SEARCH(Y24,ClassificationClasses[Key])),0),0),0)-1)))</f>
        <v>Diptera</v>
      </c>
      <c r="AA24" s="116" t="str" cm="1">
        <f t="array" ref="AA24">IFERROR(IF(OR(Z24="Insecta",Z24="Arachnida",Z24="#N/C"),"",INDEX(ClassificationClasses[[Class]:[Infraorder]],MATCH(TRUE,ISNUMBER(SEARCH(Z24,ClassificationClasses[Key])),0),MATCH(Z24,INDEX(ClassificationClasses[#Data], MATCH(TRUE,ISNUMBER(SEARCH(Z24,ClassificationClasses[Key])),0), 0), 0)-1)),"")</f>
        <v>Insecta</v>
      </c>
      <c r="AB24" s="116" t="str" cm="1">
        <f t="array" ref="AB24">IFERROR(IF(OR(AA24="Insecta",AA24="Arachnida",AA24="#N/C"),"",INDEX(ClassificationClasses[[Class]:[Suborder]],MATCH(TRUE,ISNUMBER(SEARCH(AA24,ClassificationClasses[Key])),0),MATCH(AA24,INDEX(ClassificationClasses[#Data], MATCH(TRUE,ISNUMBER(SEARCH(AA24,ClassificationClasses[Key])),0), 0), 0)-1)),"")</f>
        <v/>
      </c>
      <c r="AC24" s="116" t="str" cm="1">
        <f t="array" ref="AC24">IFERROR(IF(OR(AB24="Insecta",AB24="Arachnida",AB24="#N/C"),"",INDEX(ClassificationClasses[[Class]:[Suborder]],MATCH(TRUE,ISNUMBER(SEARCH(AB24,ClassificationClasses[Key])),0),MATCH(AB24,INDEX(ClassificationClasses[#Data], MATCH(TRUE,ISNUMBER(SEARCH(AB24,ClassificationClasses[Key])),0), 0), 0)-1)),"")</f>
        <v/>
      </c>
      <c r="AD24" s="116" t="str" cm="1">
        <f t="array" ref="AD24">IFERROR(IF(OR(AC24="Insecta",AC24="Arachnida",AC24="#N/C"),"",INDEX(ClassificationClasses[[Class]:[Suborder]],MATCH(TRUE,ISNUMBER(SEARCH(AC24,ClassificationClasses[Key])),0),MATCH(AC24,INDEX(ClassificationClasses[#Data], MATCH(TRUE,ISNUMBER(SEARCH(AC24,ClassificationClasses[Key])),0), 0), 0)-1)),"")</f>
        <v/>
      </c>
      <c r="AE24" s="18" t="str">
        <f t="shared" si="2"/>
        <v>Insecta.Diptera.Brachycera.#N/C.#N/C.#N/C.#N/C.#N/C.#N/C</v>
      </c>
    </row>
    <row r="25" spans="1:31" x14ac:dyDescent="0.3">
      <c r="A25" s="91">
        <v>24</v>
      </c>
      <c r="B25" s="7">
        <v>44389</v>
      </c>
      <c r="C25" s="92" t="s">
        <v>92</v>
      </c>
      <c r="D25" s="93" t="str">
        <f>HYPERLINK(VLOOKUP(C25,Video_List!$F:$J,5),"video")</f>
        <v>video</v>
      </c>
      <c r="E25" s="94" t="str">
        <f>IFERROR(IF(MATCH(C25,Video_List!$F:$F,)&gt;0,"ok",""),"error")</f>
        <v>ok</v>
      </c>
      <c r="F25" s="92" t="s">
        <v>92</v>
      </c>
      <c r="G25" s="93" t="str">
        <f>HYPERLINK(VLOOKUP(F25,Video_List!$F:$J,5),"video")</f>
        <v>video</v>
      </c>
      <c r="H25" s="94" t="str">
        <f>IFERROR(IF(MATCH(F25,Video_List!$F:$F,)&gt;0,"ok",""),"error")</f>
        <v>ok</v>
      </c>
      <c r="I25" s="17">
        <v>44389.787395833337</v>
      </c>
      <c r="J25" s="8">
        <v>44389.787499999999</v>
      </c>
      <c r="K25" s="15">
        <f t="shared" si="0"/>
        <v>1.0416666191304103E-4</v>
      </c>
      <c r="L25" s="95" t="s">
        <v>32</v>
      </c>
      <c r="M25" s="95" t="s">
        <v>33</v>
      </c>
      <c r="N25" s="96" t="str">
        <f>IF(ISBLANK(C25),"",IF(C25=F25, "1 video",CONCATENATE((+COUNTIFS(Video_List!$C:$C,"&lt;=" &amp;Monitoring!J25)-COUNTIFS(Video_List!$C:$C,"&lt;=" &amp;Monitoring!I25))+1," videos")))</f>
        <v>1 video</v>
      </c>
      <c r="O25" s="29" t="s">
        <v>44</v>
      </c>
      <c r="P25" s="42" t="s">
        <v>37</v>
      </c>
      <c r="Q25" s="42" t="s">
        <v>38</v>
      </c>
      <c r="R25" s="42" t="s">
        <v>39</v>
      </c>
      <c r="S25" s="97" t="str">
        <f>+IFERROR(IF(T25="#N/C","#N/C",IF(U25=0,INDEX(Taxonomy_UniqueValues!D:D,MATCH(U25,Taxonomy_UniqueValues!F:F,0)),INDEX(Taxonomy_UniqueValues!D:D,MATCH(T25,Taxonomy_UniqueValues!E:E,0)))),"#N/C")</f>
        <v>#N/C</v>
      </c>
      <c r="T25" s="42" t="s">
        <v>35</v>
      </c>
      <c r="U25" s="42" t="s">
        <v>35</v>
      </c>
      <c r="V25" s="42" t="s">
        <v>35</v>
      </c>
      <c r="W25" s="42" t="s">
        <v>35</v>
      </c>
      <c r="X25" s="28" t="s">
        <v>35</v>
      </c>
      <c r="Y25" s="69" t="str" cm="1">
        <f t="array" ref="Y25">_xlfn.LET(_xlpm.cls,P25, _xlpm.ord,IFERROR(Q25,"#N/C"), _xlpm.subord,IFERROR(R25,"#N/C"), _xlpm.infr,IFERROR(S25,"#N/C"), _xlpm.sf,IFERROR(T25,"#N/C"), _xlpm.fam,IFERROR(U25,"#N/C"), _xlpm.subfam,IF(TRIM(V25)="-","#N/C",IFERROR(V25,"#N/C")),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_xlpm.fallback,IF(IFERROR(Q25,"#N/C")="#N/C",P25,IF(IFERROR(R25,"#N/C")="#N/C",Q25,IF(IFERROR(S25,"#N/C")="#N/C",R25,IF(IFERROR(T25,"#N/C")="#N/C",S25,IF(IFERROR(U25,"#N/C")="#N/C",T25,IF(IFERROR(V25,"#N/C")="#N/C",U25,"#N/C")))))), _xlpm.finalResult,IF(OR(_xlpm.computedResult="",_xlpm.computedResult="#N/C"),_xlpm.fallback,_xlpm.computedResult), INDEX(_xlpm.finalResult,1))</f>
        <v>Brachycera</v>
      </c>
      <c r="Z25" s="116" t="str" cm="1">
        <f t="array" ref="Z25">IF(OR(Y25="Insecta",Y25="Arachnida",Y25="#N/C"),"",IFERROR(_xlfn.LET(_xlpm.fc,IFERROR(_xlfn._xlws.FILTER(ClassificationClasses[],ClassificationClasses[Classification Class]=Y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,ClassificationClasses[Key])),0),MATCH(Y25,INDEX(ClassificationClasses[],MATCH(TRUE,ISNUMBER(SEARCH(Y25,ClassificationClasses[Key])),0),0),0)-1)))</f>
        <v>Diptera</v>
      </c>
      <c r="AA25" s="116" t="str" cm="1">
        <f t="array" ref="AA25">IFERROR(IF(OR(Z25="Insecta",Z25="Arachnida",Z25="#N/C"),"",INDEX(ClassificationClasses[[Class]:[Infraorder]],MATCH(TRUE,ISNUMBER(SEARCH(Z25,ClassificationClasses[Key])),0),MATCH(Z25,INDEX(ClassificationClasses[#Data], MATCH(TRUE,ISNUMBER(SEARCH(Z25,ClassificationClasses[Key])),0), 0), 0)-1)),"")</f>
        <v>Insecta</v>
      </c>
      <c r="AB25" s="116" t="str" cm="1">
        <f t="array" ref="AB25">IFERROR(IF(OR(AA25="Insecta",AA25="Arachnida",AA25="#N/C"),"",INDEX(ClassificationClasses[[Class]:[Suborder]],MATCH(TRUE,ISNUMBER(SEARCH(AA25,ClassificationClasses[Key])),0),MATCH(AA25,INDEX(ClassificationClasses[#Data], MATCH(TRUE,ISNUMBER(SEARCH(AA25,ClassificationClasses[Key])),0), 0), 0)-1)),"")</f>
        <v/>
      </c>
      <c r="AC25" s="116" t="str" cm="1">
        <f t="array" ref="AC25">IFERROR(IF(OR(AB25="Insecta",AB25="Arachnida",AB25="#N/C"),"",INDEX(ClassificationClasses[[Class]:[Suborder]],MATCH(TRUE,ISNUMBER(SEARCH(AB25,ClassificationClasses[Key])),0),MATCH(AB25,INDEX(ClassificationClasses[#Data], MATCH(TRUE,ISNUMBER(SEARCH(AB25,ClassificationClasses[Key])),0), 0), 0)-1)),"")</f>
        <v/>
      </c>
      <c r="AD25" s="116" t="str" cm="1">
        <f t="array" ref="AD25">IFERROR(IF(OR(AC25="Insecta",AC25="Arachnida",AC25="#N/C"),"",INDEX(ClassificationClasses[[Class]:[Suborder]],MATCH(TRUE,ISNUMBER(SEARCH(AC25,ClassificationClasses[Key])),0),MATCH(AC25,INDEX(ClassificationClasses[#Data], MATCH(TRUE,ISNUMBER(SEARCH(AC25,ClassificationClasses[Key])),0), 0), 0)-1)),"")</f>
        <v/>
      </c>
      <c r="AE25" s="18" t="str">
        <f t="shared" si="2"/>
        <v>Insecta.Diptera.Brachycera.#N/C.#N/C.#N/C.#N/C.#N/C.#N/C</v>
      </c>
    </row>
    <row r="26" spans="1:31" x14ac:dyDescent="0.3">
      <c r="A26" s="91">
        <v>25</v>
      </c>
      <c r="B26" s="7">
        <v>44389</v>
      </c>
      <c r="C26" s="92" t="s">
        <v>93</v>
      </c>
      <c r="D26" s="93" t="str">
        <f>HYPERLINK(VLOOKUP(C26,Video_List!$F:$J,5),"video")</f>
        <v>video</v>
      </c>
      <c r="E26" s="94" t="str">
        <f>IFERROR(IF(MATCH(C26,Video_List!$F:$F,)&gt;0,"ok",""),"error")</f>
        <v>ok</v>
      </c>
      <c r="F26" s="92" t="s">
        <v>93</v>
      </c>
      <c r="G26" s="93" t="str">
        <f>HYPERLINK(VLOOKUP(F26,Video_List!$F:$J,5),"video")</f>
        <v>video</v>
      </c>
      <c r="H26" s="94" t="str">
        <f>IFERROR(IF(MATCH(F26,Video_List!$F:$F,)&gt;0,"ok",""),"error")</f>
        <v>ok</v>
      </c>
      <c r="I26" s="17">
        <v>44389.797395833331</v>
      </c>
      <c r="J26" s="8">
        <v>44389.797488425924</v>
      </c>
      <c r="K26" s="15">
        <f t="shared" si="0"/>
        <v>9.2592592409346253E-5</v>
      </c>
      <c r="L26" s="95" t="s">
        <v>32</v>
      </c>
      <c r="M26" s="95" t="s">
        <v>33</v>
      </c>
      <c r="N26" s="96" t="str">
        <f>IF(ISBLANK(C26),"",IF(C26=F26, "1 video",CONCATENATE((+COUNTIFS(Video_List!$C:$C,"&lt;=" &amp;Monitoring!J26)-COUNTIFS(Video_List!$C:$C,"&lt;=" &amp;Monitoring!I26))+1," videos")))</f>
        <v>1 video</v>
      </c>
      <c r="O26" s="29" t="s">
        <v>44</v>
      </c>
      <c r="P26" s="42" t="s">
        <v>37</v>
      </c>
      <c r="Q26" s="42" t="s">
        <v>38</v>
      </c>
      <c r="R26" s="42" t="s">
        <v>39</v>
      </c>
      <c r="S26" s="97" t="str">
        <f>+IFERROR(IF(T26="#N/C","#N/C",IF(U26=0,INDEX(Taxonomy_UniqueValues!D:D,MATCH(U26,Taxonomy_UniqueValues!F:F,0)),INDEX(Taxonomy_UniqueValues!D:D,MATCH(T26,Taxonomy_UniqueValues!E:E,0)))),"#N/C")</f>
        <v>#N/C</v>
      </c>
      <c r="T26" s="42" t="s">
        <v>35</v>
      </c>
      <c r="U26" s="42" t="s">
        <v>35</v>
      </c>
      <c r="V26" s="42" t="s">
        <v>35</v>
      </c>
      <c r="W26" s="42" t="s">
        <v>35</v>
      </c>
      <c r="X26" s="28" t="s">
        <v>35</v>
      </c>
      <c r="Y26" s="69" t="str" cm="1">
        <f t="array" ref="Y26">_xlfn.LET(_xlpm.cls,P26, _xlpm.ord,IFERROR(Q26,"#N/C"), _xlpm.subord,IFERROR(R26,"#N/C"), _xlpm.infr,IFERROR(S26,"#N/C"), _xlpm.sf,IFERROR(T26,"#N/C"), _xlpm.fam,IFERROR(U26,"#N/C"), _xlpm.subfam,IF(TRIM(V26)="-","#N/C",IFERROR(V26,"#N/C")),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_xlpm.fallback,IF(IFERROR(Q26,"#N/C")="#N/C",P26,IF(IFERROR(R26,"#N/C")="#N/C",Q26,IF(IFERROR(S26,"#N/C")="#N/C",R26,IF(IFERROR(T26,"#N/C")="#N/C",S26,IF(IFERROR(U26,"#N/C")="#N/C",T26,IF(IFERROR(V26,"#N/C")="#N/C",U26,"#N/C")))))), _xlpm.finalResult,IF(OR(_xlpm.computedResult="",_xlpm.computedResult="#N/C"),_xlpm.fallback,_xlpm.computedResult), INDEX(_xlpm.finalResult,1))</f>
        <v>Brachycera</v>
      </c>
      <c r="Z26" s="116" t="str" cm="1">
        <f t="array" ref="Z26">IF(OR(Y26="Insecta",Y26="Arachnida",Y26="#N/C"),"",IFERROR(_xlfn.LET(_xlpm.fc,IFERROR(_xlfn._xlws.FILTER(ClassificationClasses[],ClassificationClasses[Classification Class]=Y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,ClassificationClasses[Key])),0),MATCH(Y26,INDEX(ClassificationClasses[],MATCH(TRUE,ISNUMBER(SEARCH(Y26,ClassificationClasses[Key])),0),0),0)-1)))</f>
        <v>Diptera</v>
      </c>
      <c r="AA26" s="116" t="str" cm="1">
        <f t="array" ref="AA26">IFERROR(IF(OR(Z26="Insecta",Z26="Arachnida",Z26="#N/C"),"",INDEX(ClassificationClasses[[Class]:[Infraorder]],MATCH(TRUE,ISNUMBER(SEARCH(Z26,ClassificationClasses[Key])),0),MATCH(Z26,INDEX(ClassificationClasses[#Data], MATCH(TRUE,ISNUMBER(SEARCH(Z26,ClassificationClasses[Key])),0), 0), 0)-1)),"")</f>
        <v>Insecta</v>
      </c>
      <c r="AB26" s="116" t="str" cm="1">
        <f t="array" ref="AB26">IFERROR(IF(OR(AA26="Insecta",AA26="Arachnida",AA26="#N/C"),"",INDEX(ClassificationClasses[[Class]:[Suborder]],MATCH(TRUE,ISNUMBER(SEARCH(AA26,ClassificationClasses[Key])),0),MATCH(AA26,INDEX(ClassificationClasses[#Data], MATCH(TRUE,ISNUMBER(SEARCH(AA26,ClassificationClasses[Key])),0), 0), 0)-1)),"")</f>
        <v/>
      </c>
      <c r="AC26" s="116" t="str" cm="1">
        <f t="array" ref="AC26">IFERROR(IF(OR(AB26="Insecta",AB26="Arachnida",AB26="#N/C"),"",INDEX(ClassificationClasses[[Class]:[Suborder]],MATCH(TRUE,ISNUMBER(SEARCH(AB26,ClassificationClasses[Key])),0),MATCH(AB26,INDEX(ClassificationClasses[#Data], MATCH(TRUE,ISNUMBER(SEARCH(AB26,ClassificationClasses[Key])),0), 0), 0)-1)),"")</f>
        <v/>
      </c>
      <c r="AD26" s="116" t="str" cm="1">
        <f t="array" ref="AD26">IFERROR(IF(OR(AC26="Insecta",AC26="Arachnida",AC26="#N/C"),"",INDEX(ClassificationClasses[[Class]:[Suborder]],MATCH(TRUE,ISNUMBER(SEARCH(AC26,ClassificationClasses[Key])),0),MATCH(AC26,INDEX(ClassificationClasses[#Data], MATCH(TRUE,ISNUMBER(SEARCH(AC26,ClassificationClasses[Key])),0), 0), 0)-1)),"")</f>
        <v/>
      </c>
      <c r="AE26" s="18" t="str">
        <f t="shared" si="2"/>
        <v>Insecta.Diptera.Brachycera.#N/C.#N/C.#N/C.#N/C.#N/C.#N/C</v>
      </c>
    </row>
    <row r="27" spans="1:31" x14ac:dyDescent="0.3">
      <c r="A27" s="91">
        <v>26</v>
      </c>
      <c r="B27" s="7">
        <v>44389</v>
      </c>
      <c r="C27" s="92" t="s">
        <v>94</v>
      </c>
      <c r="D27" s="93" t="str">
        <f>HYPERLINK(VLOOKUP(C27,Video_List!$F:$J,5),"video")</f>
        <v>video</v>
      </c>
      <c r="E27" s="94" t="str">
        <f>IFERROR(IF(MATCH(C27,Video_List!$F:$F,)&gt;0,"ok",""),"error")</f>
        <v>ok</v>
      </c>
      <c r="F27" s="92" t="s">
        <v>94</v>
      </c>
      <c r="G27" s="93" t="str">
        <f>HYPERLINK(VLOOKUP(F27,Video_List!$F:$J,5),"video")</f>
        <v>video</v>
      </c>
      <c r="H27" s="94" t="str">
        <f>IFERROR(IF(MATCH(F27,Video_List!$F:$F,)&gt;0,"ok",""),"error")</f>
        <v>ok</v>
      </c>
      <c r="I27" s="17">
        <v>44389.79859953704</v>
      </c>
      <c r="J27" s="8">
        <v>44389.798854166664</v>
      </c>
      <c r="K27" s="15">
        <f t="shared" si="0"/>
        <v>2.5462962366873398E-4</v>
      </c>
      <c r="L27" s="95" t="s">
        <v>32</v>
      </c>
      <c r="M27" s="95" t="s">
        <v>33</v>
      </c>
      <c r="N27" s="96" t="str">
        <f>IF(ISBLANK(C27),"",IF(C27=F27, "1 video",CONCATENATE((+COUNTIFS(Video_List!$C:$C,"&lt;=" &amp;Monitoring!J27)-COUNTIFS(Video_List!$C:$C,"&lt;=" &amp;Monitoring!I27))+1," videos")))</f>
        <v>1 video</v>
      </c>
      <c r="O27" s="29" t="s">
        <v>44</v>
      </c>
      <c r="P27" s="42" t="s">
        <v>37</v>
      </c>
      <c r="Q27" s="42" t="s">
        <v>38</v>
      </c>
      <c r="R27" s="42" t="s">
        <v>39</v>
      </c>
      <c r="S27" s="97" t="str">
        <f>+IFERROR(IF(T27="#N/C","#N/C",IF(U27=0,INDEX(Taxonomy_UniqueValues!D:D,MATCH(U27,Taxonomy_UniqueValues!F:F,0)),INDEX(Taxonomy_UniqueValues!D:D,MATCH(T27,Taxonomy_UniqueValues!E:E,0)))),"#N/C")</f>
        <v>#N/C</v>
      </c>
      <c r="T27" s="42" t="s">
        <v>35</v>
      </c>
      <c r="U27" s="42" t="s">
        <v>35</v>
      </c>
      <c r="V27" s="42" t="s">
        <v>35</v>
      </c>
      <c r="W27" s="42" t="s">
        <v>35</v>
      </c>
      <c r="X27" s="28" t="s">
        <v>35</v>
      </c>
      <c r="Y27" s="69" t="str" cm="1">
        <f t="array" ref="Y27">_xlfn.LET(_xlpm.cls,P27, _xlpm.ord,IFERROR(Q27,"#N/C"), _xlpm.subord,IFERROR(R27,"#N/C"), _xlpm.infr,IFERROR(S27,"#N/C"), _xlpm.sf,IFERROR(T27,"#N/C"), _xlpm.fam,IFERROR(U27,"#N/C"), _xlpm.subfam,IF(TRIM(V27)="-","#N/C",IFERROR(V27,"#N/C")),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_xlpm.fallback,IF(IFERROR(Q27,"#N/C")="#N/C",P27,IF(IFERROR(R27,"#N/C")="#N/C",Q27,IF(IFERROR(S27,"#N/C")="#N/C",R27,IF(IFERROR(T27,"#N/C")="#N/C",S27,IF(IFERROR(U27,"#N/C")="#N/C",T27,IF(IFERROR(V27,"#N/C")="#N/C",U27,"#N/C")))))), _xlpm.finalResult,IF(OR(_xlpm.computedResult="",_xlpm.computedResult="#N/C"),_xlpm.fallback,_xlpm.computedResult), INDEX(_xlpm.finalResult,1))</f>
        <v>Brachycera</v>
      </c>
      <c r="Z27" s="116" t="str" cm="1">
        <f t="array" ref="Z27">IF(OR(Y27="Insecta",Y27="Arachnida",Y27="#N/C"),"",IFERROR(_xlfn.LET(_xlpm.fc,IFERROR(_xlfn._xlws.FILTER(ClassificationClasses[],ClassificationClasses[Classification Class]=Y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,ClassificationClasses[Key])),0),MATCH(Y27,INDEX(ClassificationClasses[],MATCH(TRUE,ISNUMBER(SEARCH(Y27,ClassificationClasses[Key])),0),0),0)-1)))</f>
        <v>Diptera</v>
      </c>
      <c r="AA27" s="116" t="str" cm="1">
        <f t="array" ref="AA27">IFERROR(IF(OR(Z27="Insecta",Z27="Arachnida",Z27="#N/C"),"",INDEX(ClassificationClasses[[Class]:[Infraorder]],MATCH(TRUE,ISNUMBER(SEARCH(Z27,ClassificationClasses[Key])),0),MATCH(Z27,INDEX(ClassificationClasses[#Data], MATCH(TRUE,ISNUMBER(SEARCH(Z27,ClassificationClasses[Key])),0), 0), 0)-1)),"")</f>
        <v>Insecta</v>
      </c>
      <c r="AB27" s="116" t="str" cm="1">
        <f t="array" ref="AB27">IFERROR(IF(OR(AA27="Insecta",AA27="Arachnida",AA27="#N/C"),"",INDEX(ClassificationClasses[[Class]:[Suborder]],MATCH(TRUE,ISNUMBER(SEARCH(AA27,ClassificationClasses[Key])),0),MATCH(AA27,INDEX(ClassificationClasses[#Data], MATCH(TRUE,ISNUMBER(SEARCH(AA27,ClassificationClasses[Key])),0), 0), 0)-1)),"")</f>
        <v/>
      </c>
      <c r="AC27" s="116" t="str" cm="1">
        <f t="array" ref="AC27">IFERROR(IF(OR(AB27="Insecta",AB27="Arachnida",AB27="#N/C"),"",INDEX(ClassificationClasses[[Class]:[Suborder]],MATCH(TRUE,ISNUMBER(SEARCH(AB27,ClassificationClasses[Key])),0),MATCH(AB27,INDEX(ClassificationClasses[#Data], MATCH(TRUE,ISNUMBER(SEARCH(AB27,ClassificationClasses[Key])),0), 0), 0)-1)),"")</f>
        <v/>
      </c>
      <c r="AD27" s="116" t="str" cm="1">
        <f t="array" ref="AD27">IFERROR(IF(OR(AC27="Insecta",AC27="Arachnida",AC27="#N/C"),"",INDEX(ClassificationClasses[[Class]:[Suborder]],MATCH(TRUE,ISNUMBER(SEARCH(AC27,ClassificationClasses[Key])),0),MATCH(AC27,INDEX(ClassificationClasses[#Data], MATCH(TRUE,ISNUMBER(SEARCH(AC27,ClassificationClasses[Key])),0), 0), 0)-1)),"")</f>
        <v/>
      </c>
      <c r="AE27" s="18" t="str">
        <f t="shared" si="2"/>
        <v>Insecta.Diptera.Brachycera.#N/C.#N/C.#N/C.#N/C.#N/C.#N/C</v>
      </c>
    </row>
    <row r="28" spans="1:31" x14ac:dyDescent="0.3">
      <c r="A28" s="91">
        <v>27</v>
      </c>
      <c r="B28" s="7">
        <v>44389</v>
      </c>
      <c r="C28" s="92" t="s">
        <v>95</v>
      </c>
      <c r="D28" s="93" t="str">
        <f>HYPERLINK(VLOOKUP(C28,Video_List!$F:$J,5),"video")</f>
        <v>video</v>
      </c>
      <c r="E28" s="94" t="str">
        <f>IFERROR(IF(MATCH(C28,Video_List!$F:$F,)&gt;0,"ok",""),"error")</f>
        <v>ok</v>
      </c>
      <c r="F28" s="92" t="s">
        <v>95</v>
      </c>
      <c r="G28" s="93" t="str">
        <f>HYPERLINK(VLOOKUP(F28,Video_List!$F:$J,5),"video")</f>
        <v>video</v>
      </c>
      <c r="H28" s="94" t="str">
        <f>IFERROR(IF(MATCH(F28,Video_List!$F:$F,)&gt;0,"ok",""),"error")</f>
        <v>ok</v>
      </c>
      <c r="I28" s="17">
        <v>44389.799641203703</v>
      </c>
      <c r="J28" s="8">
        <v>44389.799756944441</v>
      </c>
      <c r="K28" s="15">
        <f t="shared" si="0"/>
        <v>1.1574073869269341E-4</v>
      </c>
      <c r="L28" s="4" t="s">
        <v>32</v>
      </c>
      <c r="M28" s="4" t="s">
        <v>33</v>
      </c>
      <c r="N28" s="96" t="str">
        <f>IF(ISBLANK(C28),"",IF(C28=F28, "1 video",CONCATENATE((+COUNTIFS(Video_List!$C:$C,"&lt;=" &amp;Monitoring!J28)-COUNTIFS(Video_List!$C:$C,"&lt;=" &amp;Monitoring!I28))+1," videos")))</f>
        <v>1 video</v>
      </c>
      <c r="O28" s="27" t="s">
        <v>32</v>
      </c>
      <c r="P28" s="42" t="s">
        <v>37</v>
      </c>
      <c r="Q28" s="42" t="s">
        <v>41</v>
      </c>
      <c r="R28" s="42" t="s">
        <v>42</v>
      </c>
      <c r="S28" s="97" t="str">
        <f>+IFERROR(IF(T28="#N/C","#N/C",IF(U28=0,INDEX(Taxonomy_UniqueValues!D:D,MATCH(U28,Taxonomy_UniqueValues!F:F,0)),INDEX(Taxonomy_UniqueValues!D:D,MATCH(T28,Taxonomy_UniqueValues!E:E,0)))),"#N/C")</f>
        <v>Parasitica</v>
      </c>
      <c r="T28" s="42" t="s">
        <v>71</v>
      </c>
      <c r="U28" s="42" t="s">
        <v>35</v>
      </c>
      <c r="V28" s="42" t="s">
        <v>35</v>
      </c>
      <c r="W28" s="42" t="s">
        <v>35</v>
      </c>
      <c r="X28" s="28" t="s">
        <v>35</v>
      </c>
      <c r="Y28" s="69" t="str" cm="1">
        <f t="array" ref="Y28">_xlfn.LET(_xlpm.cls,P28, _xlpm.ord,IFERROR(Q28,"#N/C"), _xlpm.subord,IFERROR(R28,"#N/C"), _xlpm.infr,IFERROR(S28,"#N/C"), _xlpm.sf,IFERROR(T28,"#N/C"), _xlpm.fam,IFERROR(U28,"#N/C"), _xlpm.subfam,IF(TRIM(V28)="-","#N/C",IFERROR(V28,"#N/C")),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_xlpm.fallback,IF(IFERROR(Q28,"#N/C")="#N/C",P28,IF(IFERROR(R28,"#N/C")="#N/C",Q28,IF(IFERROR(S28,"#N/C")="#N/C",R28,IF(IFERROR(T28,"#N/C")="#N/C",S28,IF(IFERROR(U28,"#N/C")="#N/C",T28,IF(IFERROR(V28,"#N/C")="#N/C",U28,"#N/C")))))), _xlpm.finalResult,IF(OR(_xlpm.computedResult="",_xlpm.computedResult="#N/C"),_xlpm.fallback,_xlpm.computedResult), INDEX(_xlpm.finalResult,1))</f>
        <v>Ichneumonoidea</v>
      </c>
      <c r="Z28" s="116" t="str" cm="1">
        <f t="array" ref="Z28">IF(OR(Y28="Insecta",Y28="Arachnida",Y28="#N/C"),"",IFERROR(_xlfn.LET(_xlpm.fc,IFERROR(_xlfn._xlws.FILTER(ClassificationClasses[],ClassificationClasses[Classification Class]=Y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,ClassificationClasses[Key])),0),MATCH(Y28,INDEX(ClassificationClasses[],MATCH(TRUE,ISNUMBER(SEARCH(Y28,ClassificationClasses[Key])),0),0),0)-1)))</f>
        <v>Parasitica</v>
      </c>
      <c r="AA28" s="116" t="str" cm="1">
        <f t="array" ref="AA28">IFERROR(IF(OR(Z28="Insecta",Z28="Arachnida",Z28="#N/C"),"",INDEX(ClassificationClasses[[Class]:[Infraorder]],MATCH(TRUE,ISNUMBER(SEARCH(Z28,ClassificationClasses[Key])),0),MATCH(Z28,INDEX(ClassificationClasses[#Data], MATCH(TRUE,ISNUMBER(SEARCH(Z28,ClassificationClasses[Key])),0), 0), 0)-1)),"")</f>
        <v>Apocrita</v>
      </c>
      <c r="AB28" s="116" t="str" cm="1">
        <f t="array" ref="AB28">IFERROR(IF(OR(AA28="Insecta",AA28="Arachnida",AA28="#N/C"),"",INDEX(ClassificationClasses[[Class]:[Suborder]],MATCH(TRUE,ISNUMBER(SEARCH(AA28,ClassificationClasses[Key])),0),MATCH(AA28,INDEX(ClassificationClasses[#Data], MATCH(TRUE,ISNUMBER(SEARCH(AA28,ClassificationClasses[Key])),0), 0), 0)-1)),"")</f>
        <v>Hymenoptera</v>
      </c>
      <c r="AC28" s="116" t="str" cm="1">
        <f t="array" ref="AC28">IFERROR(IF(OR(AB28="Insecta",AB28="Arachnida",AB28="#N/C"),"",INDEX(ClassificationClasses[[Class]:[Suborder]],MATCH(TRUE,ISNUMBER(SEARCH(AB28,ClassificationClasses[Key])),0),MATCH(AB28,INDEX(ClassificationClasses[#Data], MATCH(TRUE,ISNUMBER(SEARCH(AB28,ClassificationClasses[Key])),0), 0), 0)-1)),"")</f>
        <v>Insecta</v>
      </c>
      <c r="AD28" s="116" t="str" cm="1">
        <f t="array" ref="AD28">IFERROR(IF(OR(AC28="Insecta",AC28="Arachnida",AC28="#N/C"),"",INDEX(ClassificationClasses[[Class]:[Suborder]],MATCH(TRUE,ISNUMBER(SEARCH(AC28,ClassificationClasses[Key])),0),MATCH(AC28,INDEX(ClassificationClasses[#Data], MATCH(TRUE,ISNUMBER(SEARCH(AC28,ClassificationClasses[Key])),0), 0), 0)-1)),"")</f>
        <v/>
      </c>
      <c r="AE28" s="18" t="str">
        <f t="shared" si="2"/>
        <v>Insecta.Hymenoptera.Apocrita.Parasitica.Ichneumonoidea.#N/C.#N/C.#N/C.#N/C</v>
      </c>
    </row>
    <row r="29" spans="1:31" x14ac:dyDescent="0.3">
      <c r="A29" s="91">
        <v>28</v>
      </c>
      <c r="B29" s="7">
        <v>44389</v>
      </c>
      <c r="C29" s="92" t="s">
        <v>96</v>
      </c>
      <c r="D29" s="93" t="str">
        <f>HYPERLINK(VLOOKUP(C29,Video_List!$F:$J,5),"video")</f>
        <v>video</v>
      </c>
      <c r="E29" s="94" t="str">
        <f>IFERROR(IF(MATCH(C29,Video_List!$F:$F,)&gt;0,"ok",""),"error")</f>
        <v>ok</v>
      </c>
      <c r="F29" s="92" t="s">
        <v>96</v>
      </c>
      <c r="G29" s="93" t="str">
        <f>HYPERLINK(VLOOKUP(F29,Video_List!$F:$J,5),"video")</f>
        <v>video</v>
      </c>
      <c r="H29" s="94" t="str">
        <f>IFERROR(IF(MATCH(F29,Video_List!$F:$F,)&gt;0,"ok",""),"error")</f>
        <v>ok</v>
      </c>
      <c r="I29" s="17">
        <v>44389.804710648146</v>
      </c>
      <c r="J29" s="8">
        <v>44389.804768518516</v>
      </c>
      <c r="K29" s="15">
        <f t="shared" si="0"/>
        <v>5.7870369346346706E-5</v>
      </c>
      <c r="L29" s="95" t="s">
        <v>32</v>
      </c>
      <c r="M29" s="95" t="s">
        <v>33</v>
      </c>
      <c r="N29" s="96" t="str">
        <f>IF(ISBLANK(C29),"",IF(C29=F29, "1 video",CONCATENATE((+COUNTIFS(Video_List!$C:$C,"&lt;=" &amp;Monitoring!J29)-COUNTIFS(Video_List!$C:$C,"&lt;=" &amp;Monitoring!I29))+1," videos")))</f>
        <v>1 video</v>
      </c>
      <c r="O29" s="29" t="s">
        <v>44</v>
      </c>
      <c r="P29" s="42" t="s">
        <v>37</v>
      </c>
      <c r="Q29" s="42" t="s">
        <v>38</v>
      </c>
      <c r="R29" s="42" t="s">
        <v>39</v>
      </c>
      <c r="S29" s="97" t="str">
        <f>+IFERROR(IF(T29="#N/C","#N/C",IF(U29=0,INDEX(Taxonomy_UniqueValues!D:D,MATCH(U29,Taxonomy_UniqueValues!F:F,0)),INDEX(Taxonomy_UniqueValues!D:D,MATCH(T29,Taxonomy_UniqueValues!E:E,0)))),"#N/C")</f>
        <v>#N/C</v>
      </c>
      <c r="T29" s="42" t="s">
        <v>35</v>
      </c>
      <c r="U29" s="42" t="s">
        <v>35</v>
      </c>
      <c r="V29" s="42" t="s">
        <v>35</v>
      </c>
      <c r="W29" s="42" t="s">
        <v>35</v>
      </c>
      <c r="X29" s="28" t="s">
        <v>35</v>
      </c>
      <c r="Y29" s="69" t="str" cm="1">
        <f t="array" ref="Y29">_xlfn.LET(_xlpm.cls,P29, _xlpm.ord,IFERROR(Q29,"#N/C"), _xlpm.subord,IFERROR(R29,"#N/C"), _xlpm.infr,IFERROR(S29,"#N/C"), _xlpm.sf,IFERROR(T29,"#N/C"), _xlpm.fam,IFERROR(U29,"#N/C"), _xlpm.subfam,IF(TRIM(V29)="-","#N/C",IFERROR(V29,"#N/C")),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_xlpm.fallback,IF(IFERROR(Q29,"#N/C")="#N/C",P29,IF(IFERROR(R29,"#N/C")="#N/C",Q29,IF(IFERROR(S29,"#N/C")="#N/C",R29,IF(IFERROR(T29,"#N/C")="#N/C",S29,IF(IFERROR(U29,"#N/C")="#N/C",T29,IF(IFERROR(V29,"#N/C")="#N/C",U29,"#N/C")))))), _xlpm.finalResult,IF(OR(_xlpm.computedResult="",_xlpm.computedResult="#N/C"),_xlpm.fallback,_xlpm.computedResult), INDEX(_xlpm.finalResult,1))</f>
        <v>Brachycera</v>
      </c>
      <c r="Z29" s="116" t="str" cm="1">
        <f t="array" ref="Z29">IF(OR(Y29="Insecta",Y29="Arachnida",Y29="#N/C"),"",IFERROR(_xlfn.LET(_xlpm.fc,IFERROR(_xlfn._xlws.FILTER(ClassificationClasses[],ClassificationClasses[Classification Class]=Y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,ClassificationClasses[Key])),0),MATCH(Y29,INDEX(ClassificationClasses[],MATCH(TRUE,ISNUMBER(SEARCH(Y29,ClassificationClasses[Key])),0),0),0)-1)))</f>
        <v>Diptera</v>
      </c>
      <c r="AA29" s="116" t="str" cm="1">
        <f t="array" ref="AA29">IFERROR(IF(OR(Z29="Insecta",Z29="Arachnida",Z29="#N/C"),"",INDEX(ClassificationClasses[[Class]:[Infraorder]],MATCH(TRUE,ISNUMBER(SEARCH(Z29,ClassificationClasses[Key])),0),MATCH(Z29,INDEX(ClassificationClasses[#Data], MATCH(TRUE,ISNUMBER(SEARCH(Z29,ClassificationClasses[Key])),0), 0), 0)-1)),"")</f>
        <v>Insecta</v>
      </c>
      <c r="AB29" s="116" t="str" cm="1">
        <f t="array" ref="AB29">IFERROR(IF(OR(AA29="Insecta",AA29="Arachnida",AA29="#N/C"),"",INDEX(ClassificationClasses[[Class]:[Suborder]],MATCH(TRUE,ISNUMBER(SEARCH(AA29,ClassificationClasses[Key])),0),MATCH(AA29,INDEX(ClassificationClasses[#Data], MATCH(TRUE,ISNUMBER(SEARCH(AA29,ClassificationClasses[Key])),0), 0), 0)-1)),"")</f>
        <v/>
      </c>
      <c r="AC29" s="116" t="str" cm="1">
        <f t="array" ref="AC29">IFERROR(IF(OR(AB29="Insecta",AB29="Arachnida",AB29="#N/C"),"",INDEX(ClassificationClasses[[Class]:[Suborder]],MATCH(TRUE,ISNUMBER(SEARCH(AB29,ClassificationClasses[Key])),0),MATCH(AB29,INDEX(ClassificationClasses[#Data], MATCH(TRUE,ISNUMBER(SEARCH(AB29,ClassificationClasses[Key])),0), 0), 0)-1)),"")</f>
        <v/>
      </c>
      <c r="AD29" s="116" t="str" cm="1">
        <f t="array" ref="AD29">IFERROR(IF(OR(AC29="Insecta",AC29="Arachnida",AC29="#N/C"),"",INDEX(ClassificationClasses[[Class]:[Suborder]],MATCH(TRUE,ISNUMBER(SEARCH(AC29,ClassificationClasses[Key])),0),MATCH(AC29,INDEX(ClassificationClasses[#Data], MATCH(TRUE,ISNUMBER(SEARCH(AC29,ClassificationClasses[Key])),0), 0), 0)-1)),"")</f>
        <v/>
      </c>
      <c r="AE29" s="18" t="str">
        <f t="shared" si="2"/>
        <v>Insecta.Diptera.Brachycera.#N/C.#N/C.#N/C.#N/C.#N/C.#N/C</v>
      </c>
    </row>
    <row r="30" spans="1:31" x14ac:dyDescent="0.3">
      <c r="A30" s="91">
        <v>29</v>
      </c>
      <c r="B30" s="7">
        <v>44389</v>
      </c>
      <c r="C30" s="92" t="s">
        <v>96</v>
      </c>
      <c r="D30" s="93" t="str">
        <f>HYPERLINK(VLOOKUP(C30,Video_List!$F:$J,5),"video")</f>
        <v>video</v>
      </c>
      <c r="E30" s="94" t="str">
        <f>IFERROR(IF(MATCH(C30,Video_List!$F:$F,)&gt;0,"ok",""),"error")</f>
        <v>ok</v>
      </c>
      <c r="F30" s="92" t="s">
        <v>96</v>
      </c>
      <c r="G30" s="93" t="str">
        <f>HYPERLINK(VLOOKUP(F30,Video_List!$F:$J,5),"video")</f>
        <v>video</v>
      </c>
      <c r="H30" s="94" t="str">
        <f>IFERROR(IF(MATCH(F30,Video_List!$F:$F,)&gt;0,"ok",""),"error")</f>
        <v>ok</v>
      </c>
      <c r="I30" s="17">
        <v>44389.805069444446</v>
      </c>
      <c r="J30" s="8">
        <v>44389.805312500001</v>
      </c>
      <c r="K30" s="15">
        <f t="shared" si="0"/>
        <v>2.4305555416503921E-4</v>
      </c>
      <c r="L30" s="95" t="s">
        <v>32</v>
      </c>
      <c r="M30" s="95" t="s">
        <v>33</v>
      </c>
      <c r="N30" s="96" t="str">
        <f>IF(ISBLANK(C30),"",IF(C30=F30, "1 video",CONCATENATE((+COUNTIFS(Video_List!$C:$C,"&lt;=" &amp;Monitoring!J30)-COUNTIFS(Video_List!$C:$C,"&lt;=" &amp;Monitoring!I30))+1," videos")))</f>
        <v>1 video</v>
      </c>
      <c r="O30" s="29" t="s">
        <v>44</v>
      </c>
      <c r="P30" s="42" t="s">
        <v>37</v>
      </c>
      <c r="Q30" s="42" t="s">
        <v>38</v>
      </c>
      <c r="R30" s="42" t="s">
        <v>39</v>
      </c>
      <c r="S30" s="97" t="str">
        <f>+IFERROR(IF(T30="#N/C","#N/C",IF(U30=0,INDEX(Taxonomy_UniqueValues!D:D,MATCH(U30,Taxonomy_UniqueValues!F:F,0)),INDEX(Taxonomy_UniqueValues!D:D,MATCH(T30,Taxonomy_UniqueValues!E:E,0)))),"#N/C")</f>
        <v>#N/C</v>
      </c>
      <c r="T30" s="42" t="s">
        <v>35</v>
      </c>
      <c r="U30" s="42" t="s">
        <v>35</v>
      </c>
      <c r="V30" s="42" t="s">
        <v>35</v>
      </c>
      <c r="W30" s="42" t="s">
        <v>35</v>
      </c>
      <c r="X30" s="28" t="s">
        <v>35</v>
      </c>
      <c r="Y30" s="69" t="str" cm="1">
        <f t="array" ref="Y30">_xlfn.LET(_xlpm.cls,P30, _xlpm.ord,IFERROR(Q30,"#N/C"), _xlpm.subord,IFERROR(R30,"#N/C"), _xlpm.infr,IFERROR(S30,"#N/C"), _xlpm.sf,IFERROR(T30,"#N/C"), _xlpm.fam,IFERROR(U30,"#N/C"), _xlpm.subfam,IF(TRIM(V30)="-","#N/C",IFERROR(V30,"#N/C")),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_xlpm.fallback,IF(IFERROR(Q30,"#N/C")="#N/C",P30,IF(IFERROR(R30,"#N/C")="#N/C",Q30,IF(IFERROR(S30,"#N/C")="#N/C",R30,IF(IFERROR(T30,"#N/C")="#N/C",S30,IF(IFERROR(U30,"#N/C")="#N/C",T30,IF(IFERROR(V30,"#N/C")="#N/C",U30,"#N/C")))))), _xlpm.finalResult,IF(OR(_xlpm.computedResult="",_xlpm.computedResult="#N/C"),_xlpm.fallback,_xlpm.computedResult), INDEX(_xlpm.finalResult,1))</f>
        <v>Brachycera</v>
      </c>
      <c r="Z30" s="116" t="str" cm="1">
        <f t="array" ref="Z30">IF(OR(Y30="Insecta",Y30="Arachnida",Y30="#N/C"),"",IFERROR(_xlfn.LET(_xlpm.fc,IFERROR(_xlfn._xlws.FILTER(ClassificationClasses[],ClassificationClasses[Classification Class]=Y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,ClassificationClasses[Key])),0),MATCH(Y30,INDEX(ClassificationClasses[],MATCH(TRUE,ISNUMBER(SEARCH(Y30,ClassificationClasses[Key])),0),0),0)-1)))</f>
        <v>Diptera</v>
      </c>
      <c r="AA30" s="116" t="str" cm="1">
        <f t="array" ref="AA30">IFERROR(IF(OR(Z30="Insecta",Z30="Arachnida",Z30="#N/C"),"",INDEX(ClassificationClasses[[Class]:[Infraorder]],MATCH(TRUE,ISNUMBER(SEARCH(Z30,ClassificationClasses[Key])),0),MATCH(Z30,INDEX(ClassificationClasses[#Data], MATCH(TRUE,ISNUMBER(SEARCH(Z30,ClassificationClasses[Key])),0), 0), 0)-1)),"")</f>
        <v>Insecta</v>
      </c>
      <c r="AB30" s="116" t="str" cm="1">
        <f t="array" ref="AB30">IFERROR(IF(OR(AA30="Insecta",AA30="Arachnida",AA30="#N/C"),"",INDEX(ClassificationClasses[[Class]:[Suborder]],MATCH(TRUE,ISNUMBER(SEARCH(AA30,ClassificationClasses[Key])),0),MATCH(AA30,INDEX(ClassificationClasses[#Data], MATCH(TRUE,ISNUMBER(SEARCH(AA30,ClassificationClasses[Key])),0), 0), 0)-1)),"")</f>
        <v/>
      </c>
      <c r="AC30" s="116" t="str" cm="1">
        <f t="array" ref="AC30">IFERROR(IF(OR(AB30="Insecta",AB30="Arachnida",AB30="#N/C"),"",INDEX(ClassificationClasses[[Class]:[Suborder]],MATCH(TRUE,ISNUMBER(SEARCH(AB30,ClassificationClasses[Key])),0),MATCH(AB30,INDEX(ClassificationClasses[#Data], MATCH(TRUE,ISNUMBER(SEARCH(AB30,ClassificationClasses[Key])),0), 0), 0)-1)),"")</f>
        <v/>
      </c>
      <c r="AD30" s="116" t="str" cm="1">
        <f t="array" ref="AD30">IFERROR(IF(OR(AC30="Insecta",AC30="Arachnida",AC30="#N/C"),"",INDEX(ClassificationClasses[[Class]:[Suborder]],MATCH(TRUE,ISNUMBER(SEARCH(AC30,ClassificationClasses[Key])),0),MATCH(AC30,INDEX(ClassificationClasses[#Data], MATCH(TRUE,ISNUMBER(SEARCH(AC30,ClassificationClasses[Key])),0), 0), 0)-1)),"")</f>
        <v/>
      </c>
      <c r="AE30" s="18" t="str">
        <f t="shared" si="2"/>
        <v>Insecta.Diptera.Brachycera.#N/C.#N/C.#N/C.#N/C.#N/C.#N/C</v>
      </c>
    </row>
    <row r="31" spans="1:31" x14ac:dyDescent="0.3">
      <c r="A31" s="91">
        <v>30</v>
      </c>
      <c r="B31" s="7">
        <v>44389</v>
      </c>
      <c r="C31" s="92" t="s">
        <v>97</v>
      </c>
      <c r="D31" s="93" t="str">
        <f>HYPERLINK(VLOOKUP(C31,Video_List!$F:$J,5),"video")</f>
        <v>video</v>
      </c>
      <c r="E31" s="94" t="str">
        <f>IFERROR(IF(MATCH(C31,Video_List!$F:$F,)&gt;0,"ok",""),"error")</f>
        <v>ok</v>
      </c>
      <c r="F31" s="92" t="s">
        <v>97</v>
      </c>
      <c r="G31" s="93" t="str">
        <f>HYPERLINK(VLOOKUP(F31,Video_List!$F:$J,5),"video")</f>
        <v>video</v>
      </c>
      <c r="H31" s="94" t="str">
        <f>IFERROR(IF(MATCH(F31,Video_List!$F:$F,)&gt;0,"ok",""),"error")</f>
        <v>ok</v>
      </c>
      <c r="I31" s="17">
        <v>44389.80804398148</v>
      </c>
      <c r="J31" s="8">
        <v>44389.808182870373</v>
      </c>
      <c r="K31" s="15">
        <f t="shared" si="0"/>
        <v>1.3888889225199819E-4</v>
      </c>
      <c r="L31" s="95" t="s">
        <v>55</v>
      </c>
      <c r="M31" s="95" t="s">
        <v>55</v>
      </c>
      <c r="N31" s="96" t="str">
        <f>IF(ISBLANK(C31),"",IF(C31=F31, "1 video",CONCATENATE((+COUNTIFS(Video_List!$C:$C,"&lt;=" &amp;Monitoring!J31)-COUNTIFS(Video_List!$C:$C,"&lt;=" &amp;Monitoring!I31))+1," videos")))</f>
        <v>1 video</v>
      </c>
      <c r="O31" s="29" t="s">
        <v>44</v>
      </c>
      <c r="P31" s="42" t="s">
        <v>37</v>
      </c>
      <c r="Q31" s="42" t="s">
        <v>38</v>
      </c>
      <c r="R31" s="42" t="s">
        <v>39</v>
      </c>
      <c r="S31" s="97" t="str">
        <f>+IFERROR(IF(T31="#N/C","#N/C",IF(U31=0,INDEX(Taxonomy_UniqueValues!D:D,MATCH(U31,Taxonomy_UniqueValues!F:F,0)),INDEX(Taxonomy_UniqueValues!D:D,MATCH(T31,Taxonomy_UniqueValues!E:E,0)))),"#N/C")</f>
        <v>Muscomorpha</v>
      </c>
      <c r="T31" s="42" t="s">
        <v>46</v>
      </c>
      <c r="U31" s="42" t="s">
        <v>47</v>
      </c>
      <c r="V31" s="42" t="s">
        <v>48</v>
      </c>
      <c r="W31" s="42" t="s">
        <v>35</v>
      </c>
      <c r="X31" s="28" t="s">
        <v>35</v>
      </c>
      <c r="Y31" s="69" t="str" cm="1">
        <f t="array" ref="Y31">_xlfn.LET(_xlpm.cls,P31, _xlpm.ord,IFERROR(Q31,"#N/C"), _xlpm.subord,IFERROR(R31,"#N/C"), _xlpm.infr,IFERROR(S31,"#N/C"), _xlpm.sf,IFERROR(T31,"#N/C"), _xlpm.fam,IFERROR(U31,"#N/C"), _xlpm.subfam,IF(TRIM(V31)="-","#N/C",IFERROR(V31,"#N/C")),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_xlpm.fallback,IF(IFERROR(Q31,"#N/C")="#N/C",P31,IF(IFERROR(R31,"#N/C")="#N/C",Q31,IF(IFERROR(S31,"#N/C")="#N/C",R31,IF(IFERROR(T31,"#N/C")="#N/C",S31,IF(IFERROR(U31,"#N/C")="#N/C",T31,IF(IFERROR(V31,"#N/C")="#N/C",U31,"#N/C")))))), _xlpm.finalResult,IF(OR(_xlpm.computedResult="",_xlpm.computedResult="#N/C"),_xlpm.fallback,_xlpm.computedResult), INDEX(_xlpm.finalResult,1))</f>
        <v>hoverfly</v>
      </c>
      <c r="Z31" s="116" t="str" cm="1">
        <f t="array" ref="Z31">IF(OR(Y31="Insecta",Y31="Arachnida",Y31="#N/C"),"",IFERROR(_xlfn.LET(_xlpm.fc,IFERROR(_xlfn._xlws.FILTER(ClassificationClasses[],ClassificationClasses[Classification Class]=Y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,ClassificationClasses[Key])),0),MATCH(Y31,INDEX(ClassificationClasses[],MATCH(TRUE,ISNUMBER(SEARCH(Y31,ClassificationClasses[Key])),0),0),0)-1)))</f>
        <v>Muscomorpha</v>
      </c>
      <c r="AA31" s="116" t="str" cm="1">
        <f t="array" ref="AA31">IFERROR(IF(OR(Z31="Insecta",Z31="Arachnida",Z31="#N/C"),"",INDEX(ClassificationClasses[[Class]:[Infraorder]],MATCH(TRUE,ISNUMBER(SEARCH(Z31,ClassificationClasses[Key])),0),MATCH(Z31,INDEX(ClassificationClasses[#Data], MATCH(TRUE,ISNUMBER(SEARCH(Z31,ClassificationClasses[Key])),0), 0), 0)-1)),"")</f>
        <v>Brachycera</v>
      </c>
      <c r="AB31" s="116" t="str" cm="1">
        <f t="array" ref="AB31">IFERROR(IF(OR(AA31="Insecta",AA31="Arachnida",AA31="#N/C"),"",INDEX(ClassificationClasses[[Class]:[Suborder]],MATCH(TRUE,ISNUMBER(SEARCH(AA31,ClassificationClasses[Key])),0),MATCH(AA31,INDEX(ClassificationClasses[#Data], MATCH(TRUE,ISNUMBER(SEARCH(AA31,ClassificationClasses[Key])),0), 0), 0)-1)),"")</f>
        <v>Diptera</v>
      </c>
      <c r="AC31" s="116" t="str" cm="1">
        <f t="array" ref="AC31">IFERROR(IF(OR(AB31="Insecta",AB31="Arachnida",AB31="#N/C"),"",INDEX(ClassificationClasses[[Class]:[Suborder]],MATCH(TRUE,ISNUMBER(SEARCH(AB31,ClassificationClasses[Key])),0),MATCH(AB31,INDEX(ClassificationClasses[#Data], MATCH(TRUE,ISNUMBER(SEARCH(AB31,ClassificationClasses[Key])),0), 0), 0)-1)),"")</f>
        <v>Insecta</v>
      </c>
      <c r="AD31" s="116" t="str" cm="1">
        <f t="array" ref="AD31">IFERROR(IF(OR(AC31="Insecta",AC31="Arachnida",AC31="#N/C"),"",INDEX(ClassificationClasses[[Class]:[Suborder]],MATCH(TRUE,ISNUMBER(SEARCH(AC31,ClassificationClasses[Key])),0),MATCH(AC31,INDEX(ClassificationClasses[#Data], MATCH(TRUE,ISNUMBER(SEARCH(AC31,ClassificationClasses[Key])),0), 0), 0)-1)),"")</f>
        <v/>
      </c>
      <c r="AE31" s="18" t="str">
        <f t="shared" si="2"/>
        <v>Insecta.Diptera.Brachycera.Muscomorpha.Syrphoidea.Syrphidae.Syrphinae.#N/C.#N/C</v>
      </c>
    </row>
    <row r="32" spans="1:31" x14ac:dyDescent="0.3">
      <c r="A32" s="91">
        <v>31</v>
      </c>
      <c r="B32" s="7">
        <v>44389</v>
      </c>
      <c r="C32" s="92" t="s">
        <v>98</v>
      </c>
      <c r="D32" s="93" t="str">
        <f>HYPERLINK(VLOOKUP(C32,Video_List!$F:$J,5),"video")</f>
        <v>video</v>
      </c>
      <c r="E32" s="94" t="str">
        <f>IFERROR(IF(MATCH(C32,Video_List!$F:$F,)&gt;0,"ok",""),"error")</f>
        <v>ok</v>
      </c>
      <c r="F32" s="92" t="s">
        <v>98</v>
      </c>
      <c r="G32" s="93" t="str">
        <f>HYPERLINK(VLOOKUP(F32,Video_List!$F:$J,5),"video")</f>
        <v>video</v>
      </c>
      <c r="H32" s="94" t="str">
        <f>IFERROR(IF(MATCH(F32,Video_List!$F:$F,)&gt;0,"ok",""),"error")</f>
        <v>ok</v>
      </c>
      <c r="I32" s="17">
        <v>44389.814560185187</v>
      </c>
      <c r="J32" s="8">
        <v>44389.814675925925</v>
      </c>
      <c r="K32" s="15">
        <f t="shared" si="0"/>
        <v>1.1574073869269341E-4</v>
      </c>
      <c r="L32" s="95" t="s">
        <v>32</v>
      </c>
      <c r="M32" s="95" t="s">
        <v>33</v>
      </c>
      <c r="N32" s="96" t="str">
        <f>IF(ISBLANK(C32),"",IF(C32=F32, "1 video",CONCATENATE((+COUNTIFS(Video_List!$C:$C,"&lt;=" &amp;Monitoring!J32)-COUNTIFS(Video_List!$C:$C,"&lt;=" &amp;Monitoring!I32))+1," videos")))</f>
        <v>1 video</v>
      </c>
      <c r="O32" s="29" t="s">
        <v>44</v>
      </c>
      <c r="P32" s="42" t="s">
        <v>37</v>
      </c>
      <c r="Q32" s="42" t="s">
        <v>38</v>
      </c>
      <c r="R32" s="42" t="s">
        <v>39</v>
      </c>
      <c r="S32" s="97" t="str">
        <f>+IFERROR(IF(T32="#N/C","#N/C",IF(U32=0,INDEX(Taxonomy_UniqueValues!D:D,MATCH(U32,Taxonomy_UniqueValues!F:F,0)),INDEX(Taxonomy_UniqueValues!D:D,MATCH(T32,Taxonomy_UniqueValues!E:E,0)))),"#N/C")</f>
        <v>#N/C</v>
      </c>
      <c r="T32" s="42" t="s">
        <v>35</v>
      </c>
      <c r="U32" s="42" t="s">
        <v>35</v>
      </c>
      <c r="V32" s="42" t="s">
        <v>35</v>
      </c>
      <c r="W32" s="42" t="s">
        <v>35</v>
      </c>
      <c r="X32" s="28" t="s">
        <v>35</v>
      </c>
      <c r="Y32" s="69" t="str" cm="1">
        <f t="array" ref="Y32">_xlfn.LET(_xlpm.cls,P32, _xlpm.ord,IFERROR(Q32,"#N/C"), _xlpm.subord,IFERROR(R32,"#N/C"), _xlpm.infr,IFERROR(S32,"#N/C"), _xlpm.sf,IFERROR(T32,"#N/C"), _xlpm.fam,IFERROR(U32,"#N/C"), _xlpm.subfam,IF(TRIM(V32)="-","#N/C",IFERROR(V32,"#N/C")),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_xlpm.fallback,IF(IFERROR(Q32,"#N/C")="#N/C",P32,IF(IFERROR(R32,"#N/C")="#N/C",Q32,IF(IFERROR(S32,"#N/C")="#N/C",R32,IF(IFERROR(T32,"#N/C")="#N/C",S32,IF(IFERROR(U32,"#N/C")="#N/C",T32,IF(IFERROR(V32,"#N/C")="#N/C",U32,"#N/C")))))), _xlpm.finalResult,IF(OR(_xlpm.computedResult="",_xlpm.computedResult="#N/C"),_xlpm.fallback,_xlpm.computedResult), INDEX(_xlpm.finalResult,1))</f>
        <v>Brachycera</v>
      </c>
      <c r="Z32" s="116" t="str" cm="1">
        <f t="array" ref="Z32">IF(OR(Y32="Insecta",Y32="Arachnida",Y32="#N/C"),"",IFERROR(_xlfn.LET(_xlpm.fc,IFERROR(_xlfn._xlws.FILTER(ClassificationClasses[],ClassificationClasses[Classification Class]=Y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,ClassificationClasses[Key])),0),MATCH(Y32,INDEX(ClassificationClasses[],MATCH(TRUE,ISNUMBER(SEARCH(Y32,ClassificationClasses[Key])),0),0),0)-1)))</f>
        <v>Diptera</v>
      </c>
      <c r="AA32" s="116" t="str" cm="1">
        <f t="array" ref="AA32">IFERROR(IF(OR(Z32="Insecta",Z32="Arachnida",Z32="#N/C"),"",INDEX(ClassificationClasses[[Class]:[Infraorder]],MATCH(TRUE,ISNUMBER(SEARCH(Z32,ClassificationClasses[Key])),0),MATCH(Z32,INDEX(ClassificationClasses[#Data], MATCH(TRUE,ISNUMBER(SEARCH(Z32,ClassificationClasses[Key])),0), 0), 0)-1)),"")</f>
        <v>Insecta</v>
      </c>
      <c r="AB32" s="116" t="str" cm="1">
        <f t="array" ref="AB32">IFERROR(IF(OR(AA32="Insecta",AA32="Arachnida",AA32="#N/C"),"",INDEX(ClassificationClasses[[Class]:[Suborder]],MATCH(TRUE,ISNUMBER(SEARCH(AA32,ClassificationClasses[Key])),0),MATCH(AA32,INDEX(ClassificationClasses[#Data], MATCH(TRUE,ISNUMBER(SEARCH(AA32,ClassificationClasses[Key])),0), 0), 0)-1)),"")</f>
        <v/>
      </c>
      <c r="AC32" s="116" t="str" cm="1">
        <f t="array" ref="AC32">IFERROR(IF(OR(AB32="Insecta",AB32="Arachnida",AB32="#N/C"),"",INDEX(ClassificationClasses[[Class]:[Suborder]],MATCH(TRUE,ISNUMBER(SEARCH(AB32,ClassificationClasses[Key])),0),MATCH(AB32,INDEX(ClassificationClasses[#Data], MATCH(TRUE,ISNUMBER(SEARCH(AB32,ClassificationClasses[Key])),0), 0), 0)-1)),"")</f>
        <v/>
      </c>
      <c r="AD32" s="116" t="str" cm="1">
        <f t="array" ref="AD32">IFERROR(IF(OR(AC32="Insecta",AC32="Arachnida",AC32="#N/C"),"",INDEX(ClassificationClasses[[Class]:[Suborder]],MATCH(TRUE,ISNUMBER(SEARCH(AC32,ClassificationClasses[Key])),0),MATCH(AC32,INDEX(ClassificationClasses[#Data], MATCH(TRUE,ISNUMBER(SEARCH(AC32,ClassificationClasses[Key])),0), 0), 0)-1)),"")</f>
        <v/>
      </c>
      <c r="AE32" s="18" t="str">
        <f t="shared" si="2"/>
        <v>Insecta.Diptera.Brachycera.#N/C.#N/C.#N/C.#N/C.#N/C.#N/C</v>
      </c>
    </row>
    <row r="33" spans="1:31" x14ac:dyDescent="0.3">
      <c r="A33" s="91">
        <v>32</v>
      </c>
      <c r="B33" s="7">
        <v>44389</v>
      </c>
      <c r="C33" s="92" t="s">
        <v>99</v>
      </c>
      <c r="D33" s="93" t="str">
        <f>HYPERLINK(VLOOKUP(C33,Video_List!$F:$J,5),"video")</f>
        <v>video</v>
      </c>
      <c r="E33" s="94" t="str">
        <f>IFERROR(IF(MATCH(C33,Video_List!$F:$F,)&gt;0,"ok",""),"error")</f>
        <v>ok</v>
      </c>
      <c r="F33" s="92" t="s">
        <v>99</v>
      </c>
      <c r="G33" s="93" t="str">
        <f>HYPERLINK(VLOOKUP(F33,Video_List!$F:$J,5),"video")</f>
        <v>video</v>
      </c>
      <c r="H33" s="94" t="str">
        <f>IFERROR(IF(MATCH(F33,Video_List!$F:$F,)&gt;0,"ok",""),"error")</f>
        <v>ok</v>
      </c>
      <c r="I33" s="17">
        <v>44389.817210648151</v>
      </c>
      <c r="J33" s="8">
        <v>44389.817256944443</v>
      </c>
      <c r="K33" s="15">
        <f t="shared" si="0"/>
        <v>4.6296292566694319E-5</v>
      </c>
      <c r="L33" s="95" t="s">
        <v>55</v>
      </c>
      <c r="M33" s="95" t="s">
        <v>55</v>
      </c>
      <c r="N33" s="96" t="str">
        <f>IF(ISBLANK(C33),"",IF(C33=F33, "1 video",CONCATENATE((+COUNTIFS(Video_List!$C:$C,"&lt;=" &amp;Monitoring!J33)-COUNTIFS(Video_List!$C:$C,"&lt;=" &amp;Monitoring!I33))+1," videos")))</f>
        <v>1 video</v>
      </c>
      <c r="O33" s="29" t="s">
        <v>44</v>
      </c>
      <c r="P33" s="42" t="s">
        <v>37</v>
      </c>
      <c r="Q33" s="42" t="s">
        <v>38</v>
      </c>
      <c r="R33" s="42" t="s">
        <v>39</v>
      </c>
      <c r="S33" s="97" t="str">
        <f>+IFERROR(IF(T33="#N/C","#N/C",IF(U33=0,INDEX(Taxonomy_UniqueValues!D:D,MATCH(U33,Taxonomy_UniqueValues!F:F,0)),INDEX(Taxonomy_UniqueValues!D:D,MATCH(T33,Taxonomy_UniqueValues!E:E,0)))),"#N/C")</f>
        <v>Muscomorpha</v>
      </c>
      <c r="T33" s="42" t="s">
        <v>46</v>
      </c>
      <c r="U33" s="42" t="s">
        <v>47</v>
      </c>
      <c r="V33" s="42" t="s">
        <v>48</v>
      </c>
      <c r="W33" s="42" t="s">
        <v>35</v>
      </c>
      <c r="X33" s="28" t="s">
        <v>35</v>
      </c>
      <c r="Y33" s="69" t="str" cm="1">
        <f t="array" ref="Y33">_xlfn.LET(_xlpm.cls,P33, _xlpm.ord,IFERROR(Q33,"#N/C"), _xlpm.subord,IFERROR(R33,"#N/C"), _xlpm.infr,IFERROR(S33,"#N/C"), _xlpm.sf,IFERROR(T33,"#N/C"), _xlpm.fam,IFERROR(U33,"#N/C"), _xlpm.subfam,IF(TRIM(V33)="-","#N/C",IFERROR(V33,"#N/C")),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_xlpm.fallback,IF(IFERROR(Q33,"#N/C")="#N/C",P33,IF(IFERROR(R33,"#N/C")="#N/C",Q33,IF(IFERROR(S33,"#N/C")="#N/C",R33,IF(IFERROR(T33,"#N/C")="#N/C",S33,IF(IFERROR(U33,"#N/C")="#N/C",T33,IF(IFERROR(V33,"#N/C")="#N/C",U33,"#N/C")))))), _xlpm.finalResult,IF(OR(_xlpm.computedResult="",_xlpm.computedResult="#N/C"),_xlpm.fallback,_xlpm.computedResult), INDEX(_xlpm.finalResult,1))</f>
        <v>hoverfly</v>
      </c>
      <c r="Z33" s="116" t="str" cm="1">
        <f t="array" ref="Z33">IF(OR(Y33="Insecta",Y33="Arachnida",Y33="#N/C"),"",IFERROR(_xlfn.LET(_xlpm.fc,IFERROR(_xlfn._xlws.FILTER(ClassificationClasses[],ClassificationClasses[Classification Class]=Y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,ClassificationClasses[Key])),0),MATCH(Y33,INDEX(ClassificationClasses[],MATCH(TRUE,ISNUMBER(SEARCH(Y33,ClassificationClasses[Key])),0),0),0)-1)))</f>
        <v>Muscomorpha</v>
      </c>
      <c r="AA33" s="116" t="str" cm="1">
        <f t="array" ref="AA33">IFERROR(IF(OR(Z33="Insecta",Z33="Arachnida",Z33="#N/C"),"",INDEX(ClassificationClasses[[Class]:[Infraorder]],MATCH(TRUE,ISNUMBER(SEARCH(Z33,ClassificationClasses[Key])),0),MATCH(Z33,INDEX(ClassificationClasses[#Data], MATCH(TRUE,ISNUMBER(SEARCH(Z33,ClassificationClasses[Key])),0), 0), 0)-1)),"")</f>
        <v>Brachycera</v>
      </c>
      <c r="AB33" s="116" t="str" cm="1">
        <f t="array" ref="AB33">IFERROR(IF(OR(AA33="Insecta",AA33="Arachnida",AA33="#N/C"),"",INDEX(ClassificationClasses[[Class]:[Suborder]],MATCH(TRUE,ISNUMBER(SEARCH(AA33,ClassificationClasses[Key])),0),MATCH(AA33,INDEX(ClassificationClasses[#Data], MATCH(TRUE,ISNUMBER(SEARCH(AA33,ClassificationClasses[Key])),0), 0), 0)-1)),"")</f>
        <v>Diptera</v>
      </c>
      <c r="AC33" s="116" t="str" cm="1">
        <f t="array" ref="AC33">IFERROR(IF(OR(AB33="Insecta",AB33="Arachnida",AB33="#N/C"),"",INDEX(ClassificationClasses[[Class]:[Suborder]],MATCH(TRUE,ISNUMBER(SEARCH(AB33,ClassificationClasses[Key])),0),MATCH(AB33,INDEX(ClassificationClasses[#Data], MATCH(TRUE,ISNUMBER(SEARCH(AB33,ClassificationClasses[Key])),0), 0), 0)-1)),"")</f>
        <v>Insecta</v>
      </c>
      <c r="AD33" s="116" t="str" cm="1">
        <f t="array" ref="AD33">IFERROR(IF(OR(AC33="Insecta",AC33="Arachnida",AC33="#N/C"),"",INDEX(ClassificationClasses[[Class]:[Suborder]],MATCH(TRUE,ISNUMBER(SEARCH(AC33,ClassificationClasses[Key])),0),MATCH(AC33,INDEX(ClassificationClasses[#Data], MATCH(TRUE,ISNUMBER(SEARCH(AC33,ClassificationClasses[Key])),0), 0), 0)-1)),"")</f>
        <v/>
      </c>
      <c r="AE33" s="18" t="str">
        <f t="shared" si="2"/>
        <v>Insecta.Diptera.Brachycera.Muscomorpha.Syrphoidea.Syrphidae.Syrphinae.#N/C.#N/C</v>
      </c>
    </row>
    <row r="34" spans="1:31" x14ac:dyDescent="0.3">
      <c r="A34" s="91">
        <v>33</v>
      </c>
      <c r="B34" s="7">
        <v>44389</v>
      </c>
      <c r="C34" s="92" t="s">
        <v>100</v>
      </c>
      <c r="D34" s="93" t="str">
        <f>HYPERLINK(VLOOKUP(C34,Video_List!$F:$J,5),"video")</f>
        <v>video</v>
      </c>
      <c r="E34" s="94" t="str">
        <f>IFERROR(IF(MATCH(C34,Video_List!$F:$F,)&gt;0,"ok",""),"error")</f>
        <v>ok</v>
      </c>
      <c r="F34" s="92" t="s">
        <v>100</v>
      </c>
      <c r="G34" s="93" t="str">
        <f>HYPERLINK(VLOOKUP(F34,Video_List!$F:$J,5),"video")</f>
        <v>video</v>
      </c>
      <c r="H34" s="94" t="str">
        <f>IFERROR(IF(MATCH(F34,Video_List!$F:$F,)&gt;0,"ok",""),"error")</f>
        <v>ok</v>
      </c>
      <c r="I34" s="17">
        <v>44389.819108796299</v>
      </c>
      <c r="J34" s="8">
        <v>44389.819282407407</v>
      </c>
      <c r="K34" s="15">
        <f t="shared" si="0"/>
        <v>1.7361110803904012E-4</v>
      </c>
      <c r="L34" s="95" t="s">
        <v>32</v>
      </c>
      <c r="M34" s="95" t="s">
        <v>33</v>
      </c>
      <c r="N34" s="96" t="str">
        <f>IF(ISBLANK(C34),"",IF(C34=F34, "1 video",CONCATENATE((+COUNTIFS(Video_List!$C:$C,"&lt;=" &amp;Monitoring!J34)-COUNTIFS(Video_List!$C:$C,"&lt;=" &amp;Monitoring!I34))+1," videos")))</f>
        <v>1 video</v>
      </c>
      <c r="O34" s="29" t="s">
        <v>44</v>
      </c>
      <c r="P34" s="42" t="s">
        <v>37</v>
      </c>
      <c r="Q34" s="42" t="s">
        <v>38</v>
      </c>
      <c r="R34" s="42" t="s">
        <v>39</v>
      </c>
      <c r="S34" s="97" t="str">
        <f>+IFERROR(IF(T34="#N/C","#N/C",IF(U34=0,INDEX(Taxonomy_UniqueValues!D:D,MATCH(U34,Taxonomy_UniqueValues!F:F,0)),INDEX(Taxonomy_UniqueValues!D:D,MATCH(T34,Taxonomy_UniqueValues!E:E,0)))),"#N/C")</f>
        <v>#N/C</v>
      </c>
      <c r="T34" s="42" t="s">
        <v>35</v>
      </c>
      <c r="U34" s="42" t="s">
        <v>35</v>
      </c>
      <c r="V34" s="42" t="s">
        <v>35</v>
      </c>
      <c r="W34" s="42" t="s">
        <v>35</v>
      </c>
      <c r="X34" s="28" t="s">
        <v>35</v>
      </c>
      <c r="Y34" s="69" t="str" cm="1">
        <f t="array" ref="Y34">_xlfn.LET(_xlpm.cls,P34, _xlpm.ord,IFERROR(Q34,"#N/C"), _xlpm.subord,IFERROR(R34,"#N/C"), _xlpm.infr,IFERROR(S34,"#N/C"), _xlpm.sf,IFERROR(T34,"#N/C"), _xlpm.fam,IFERROR(U34,"#N/C"), _xlpm.subfam,IF(TRIM(V34)="-","#N/C",IFERROR(V34,"#N/C")),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_xlpm.fallback,IF(IFERROR(Q34,"#N/C")="#N/C",P34,IF(IFERROR(R34,"#N/C")="#N/C",Q34,IF(IFERROR(S34,"#N/C")="#N/C",R34,IF(IFERROR(T34,"#N/C")="#N/C",S34,IF(IFERROR(U34,"#N/C")="#N/C",T34,IF(IFERROR(V34,"#N/C")="#N/C",U34,"#N/C")))))), _xlpm.finalResult,IF(OR(_xlpm.computedResult="",_xlpm.computedResult="#N/C"),_xlpm.fallback,_xlpm.computedResult), INDEX(_xlpm.finalResult,1))</f>
        <v>Brachycera</v>
      </c>
      <c r="Z34" s="116" t="str" cm="1">
        <f t="array" ref="Z34">IF(OR(Y34="Insecta",Y34="Arachnida",Y34="#N/C"),"",IFERROR(_xlfn.LET(_xlpm.fc,IFERROR(_xlfn._xlws.FILTER(ClassificationClasses[],ClassificationClasses[Classification Class]=Y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,ClassificationClasses[Key])),0),MATCH(Y34,INDEX(ClassificationClasses[],MATCH(TRUE,ISNUMBER(SEARCH(Y34,ClassificationClasses[Key])),0),0),0)-1)))</f>
        <v>Diptera</v>
      </c>
      <c r="AA34" s="116" t="str" cm="1">
        <f t="array" ref="AA34">IFERROR(IF(OR(Z34="Insecta",Z34="Arachnida",Z34="#N/C"),"",INDEX(ClassificationClasses[[Class]:[Infraorder]],MATCH(TRUE,ISNUMBER(SEARCH(Z34,ClassificationClasses[Key])),0),MATCH(Z34,INDEX(ClassificationClasses[#Data], MATCH(TRUE,ISNUMBER(SEARCH(Z34,ClassificationClasses[Key])),0), 0), 0)-1)),"")</f>
        <v>Insecta</v>
      </c>
      <c r="AB34" s="116" t="str" cm="1">
        <f t="array" ref="AB34">IFERROR(IF(OR(AA34="Insecta",AA34="Arachnida",AA34="#N/C"),"",INDEX(ClassificationClasses[[Class]:[Suborder]],MATCH(TRUE,ISNUMBER(SEARCH(AA34,ClassificationClasses[Key])),0),MATCH(AA34,INDEX(ClassificationClasses[#Data], MATCH(TRUE,ISNUMBER(SEARCH(AA34,ClassificationClasses[Key])),0), 0), 0)-1)),"")</f>
        <v/>
      </c>
      <c r="AC34" s="116" t="str" cm="1">
        <f t="array" ref="AC34">IFERROR(IF(OR(AB34="Insecta",AB34="Arachnida",AB34="#N/C"),"",INDEX(ClassificationClasses[[Class]:[Suborder]],MATCH(TRUE,ISNUMBER(SEARCH(AB34,ClassificationClasses[Key])),0),MATCH(AB34,INDEX(ClassificationClasses[#Data], MATCH(TRUE,ISNUMBER(SEARCH(AB34,ClassificationClasses[Key])),0), 0), 0)-1)),"")</f>
        <v/>
      </c>
      <c r="AD34" s="116" t="str" cm="1">
        <f t="array" ref="AD34">IFERROR(IF(OR(AC34="Insecta",AC34="Arachnida",AC34="#N/C"),"",INDEX(ClassificationClasses[[Class]:[Suborder]],MATCH(TRUE,ISNUMBER(SEARCH(AC34,ClassificationClasses[Key])),0),MATCH(AC34,INDEX(ClassificationClasses[#Data], MATCH(TRUE,ISNUMBER(SEARCH(AC34,ClassificationClasses[Key])),0), 0), 0)-1)),"")</f>
        <v/>
      </c>
      <c r="AE34" s="18" t="str">
        <f t="shared" si="2"/>
        <v>Insecta.Diptera.Brachycera.#N/C.#N/C.#N/C.#N/C.#N/C.#N/C</v>
      </c>
    </row>
    <row r="35" spans="1:31" x14ac:dyDescent="0.3">
      <c r="A35" s="91">
        <v>34</v>
      </c>
      <c r="B35" s="7">
        <v>44389</v>
      </c>
      <c r="C35" s="92" t="s">
        <v>101</v>
      </c>
      <c r="D35" s="93" t="str">
        <f>HYPERLINK(VLOOKUP(C35,Video_List!$F:$J,5),"video")</f>
        <v>video</v>
      </c>
      <c r="E35" s="94" t="str">
        <f>IFERROR(IF(MATCH(C35,Video_List!$F:$F,)&gt;0,"ok",""),"error")</f>
        <v>ok</v>
      </c>
      <c r="F35" s="92" t="s">
        <v>101</v>
      </c>
      <c r="G35" s="93" t="str">
        <f>HYPERLINK(VLOOKUP(F35,Video_List!$F:$J,5),"video")</f>
        <v>video</v>
      </c>
      <c r="H35" s="94" t="str">
        <f>IFERROR(IF(MATCH(F35,Video_List!$F:$F,)&gt;0,"ok",""),"error")</f>
        <v>ok</v>
      </c>
      <c r="I35" s="17">
        <v>44389.841307870367</v>
      </c>
      <c r="J35" s="8">
        <v>44389.841354166667</v>
      </c>
      <c r="K35" s="15">
        <f t="shared" si="0"/>
        <v>4.6296299842651933E-5</v>
      </c>
      <c r="L35" s="95" t="s">
        <v>32</v>
      </c>
      <c r="M35" s="95" t="s">
        <v>33</v>
      </c>
      <c r="N35" s="96" t="str">
        <f>IF(ISBLANK(C35),"",IF(C35=F35, "1 video",CONCATENATE((+COUNTIFS(Video_List!$C:$C,"&lt;=" &amp;Monitoring!J35)-COUNTIFS(Video_List!$C:$C,"&lt;=" &amp;Monitoring!I35))+1," videos")))</f>
        <v>1 video</v>
      </c>
      <c r="O35" s="29" t="s">
        <v>44</v>
      </c>
      <c r="P35" s="42" t="s">
        <v>37</v>
      </c>
      <c r="Q35" s="42" t="s">
        <v>38</v>
      </c>
      <c r="R35" s="42" t="s">
        <v>39</v>
      </c>
      <c r="S35" s="97" t="str">
        <f>+IFERROR(IF(T35="#N/C","#N/C",IF(U35=0,INDEX(Taxonomy_UniqueValues!D:D,MATCH(U35,Taxonomy_UniqueValues!F:F,0)),INDEX(Taxonomy_UniqueValues!D:D,MATCH(T35,Taxonomy_UniqueValues!E:E,0)))),"#N/C")</f>
        <v>#N/C</v>
      </c>
      <c r="T35" s="42" t="s">
        <v>35</v>
      </c>
      <c r="U35" s="42" t="s">
        <v>35</v>
      </c>
      <c r="V35" s="42" t="s">
        <v>35</v>
      </c>
      <c r="W35" s="42" t="s">
        <v>35</v>
      </c>
      <c r="X35" s="28" t="s">
        <v>35</v>
      </c>
      <c r="Y35" s="69" t="str" cm="1">
        <f t="array" ref="Y35">_xlfn.LET(_xlpm.cls,P35, _xlpm.ord,IFERROR(Q35,"#N/C"), _xlpm.subord,IFERROR(R35,"#N/C"), _xlpm.infr,IFERROR(S35,"#N/C"), _xlpm.sf,IFERROR(T35,"#N/C"), _xlpm.fam,IFERROR(U35,"#N/C"), _xlpm.subfam,IF(TRIM(V35)="-","#N/C",IFERROR(V35,"#N/C")),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_xlpm.fallback,IF(IFERROR(Q35,"#N/C")="#N/C",P35,IF(IFERROR(R35,"#N/C")="#N/C",Q35,IF(IFERROR(S35,"#N/C")="#N/C",R35,IF(IFERROR(T35,"#N/C")="#N/C",S35,IF(IFERROR(U35,"#N/C")="#N/C",T35,IF(IFERROR(V35,"#N/C")="#N/C",U35,"#N/C")))))), _xlpm.finalResult,IF(OR(_xlpm.computedResult="",_xlpm.computedResult="#N/C"),_xlpm.fallback,_xlpm.computedResult), INDEX(_xlpm.finalResult,1))</f>
        <v>Brachycera</v>
      </c>
      <c r="Z35" s="116" t="str" cm="1">
        <f t="array" ref="Z35">IF(OR(Y35="Insecta",Y35="Arachnida",Y35="#N/C"),"",IFERROR(_xlfn.LET(_xlpm.fc,IFERROR(_xlfn._xlws.FILTER(ClassificationClasses[],ClassificationClasses[Classification Class]=Y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,ClassificationClasses[Key])),0),MATCH(Y35,INDEX(ClassificationClasses[],MATCH(TRUE,ISNUMBER(SEARCH(Y35,ClassificationClasses[Key])),0),0),0)-1)))</f>
        <v>Diptera</v>
      </c>
      <c r="AA35" s="116" t="str" cm="1">
        <f t="array" ref="AA35">IFERROR(IF(OR(Z35="Insecta",Z35="Arachnida",Z35="#N/C"),"",INDEX(ClassificationClasses[[Class]:[Infraorder]],MATCH(TRUE,ISNUMBER(SEARCH(Z35,ClassificationClasses[Key])),0),MATCH(Z35,INDEX(ClassificationClasses[#Data], MATCH(TRUE,ISNUMBER(SEARCH(Z35,ClassificationClasses[Key])),0), 0), 0)-1)),"")</f>
        <v>Insecta</v>
      </c>
      <c r="AB35" s="116" t="str" cm="1">
        <f t="array" ref="AB35">IFERROR(IF(OR(AA35="Insecta",AA35="Arachnida",AA35="#N/C"),"",INDEX(ClassificationClasses[[Class]:[Suborder]],MATCH(TRUE,ISNUMBER(SEARCH(AA35,ClassificationClasses[Key])),0),MATCH(AA35,INDEX(ClassificationClasses[#Data], MATCH(TRUE,ISNUMBER(SEARCH(AA35,ClassificationClasses[Key])),0), 0), 0)-1)),"")</f>
        <v/>
      </c>
      <c r="AC35" s="116" t="str" cm="1">
        <f t="array" ref="AC35">IFERROR(IF(OR(AB35="Insecta",AB35="Arachnida",AB35="#N/C"),"",INDEX(ClassificationClasses[[Class]:[Suborder]],MATCH(TRUE,ISNUMBER(SEARCH(AB35,ClassificationClasses[Key])),0),MATCH(AB35,INDEX(ClassificationClasses[#Data], MATCH(TRUE,ISNUMBER(SEARCH(AB35,ClassificationClasses[Key])),0), 0), 0)-1)),"")</f>
        <v/>
      </c>
      <c r="AD35" s="116" t="str" cm="1">
        <f t="array" ref="AD35">IFERROR(IF(OR(AC35="Insecta",AC35="Arachnida",AC35="#N/C"),"",INDEX(ClassificationClasses[[Class]:[Suborder]],MATCH(TRUE,ISNUMBER(SEARCH(AC35,ClassificationClasses[Key])),0),MATCH(AC35,INDEX(ClassificationClasses[#Data], MATCH(TRUE,ISNUMBER(SEARCH(AC35,ClassificationClasses[Key])),0), 0), 0)-1)),"")</f>
        <v/>
      </c>
      <c r="AE35" s="18" t="str">
        <f t="shared" si="2"/>
        <v>Insecta.Diptera.Brachycera.#N/C.#N/C.#N/C.#N/C.#N/C.#N/C</v>
      </c>
    </row>
    <row r="36" spans="1:31" x14ac:dyDescent="0.3">
      <c r="A36" s="91">
        <v>35</v>
      </c>
      <c r="B36" s="7">
        <v>44389</v>
      </c>
      <c r="C36" s="92" t="s">
        <v>102</v>
      </c>
      <c r="D36" s="93" t="str">
        <f>HYPERLINK(VLOOKUP(C36,Video_List!$F:$J,5),"video")</f>
        <v>video</v>
      </c>
      <c r="E36" s="94" t="str">
        <f>IFERROR(IF(MATCH(C36,Video_List!$F:$F,)&gt;0,"ok",""),"error")</f>
        <v>ok</v>
      </c>
      <c r="F36" s="92" t="s">
        <v>102</v>
      </c>
      <c r="G36" s="93" t="str">
        <f>HYPERLINK(VLOOKUP(F36,Video_List!$F:$J,5),"video")</f>
        <v>video</v>
      </c>
      <c r="H36" s="94" t="str">
        <f>IFERROR(IF(MATCH(F36,Video_List!$F:$F,)&gt;0,"ok",""),"error")</f>
        <v>ok</v>
      </c>
      <c r="I36" s="17">
        <v>44389.853541666664</v>
      </c>
      <c r="J36" s="8">
        <v>44389.85359953704</v>
      </c>
      <c r="K36" s="15">
        <f t="shared" si="0"/>
        <v>5.787037662230432E-5</v>
      </c>
      <c r="L36" s="95" t="s">
        <v>32</v>
      </c>
      <c r="M36" s="95" t="s">
        <v>33</v>
      </c>
      <c r="N36" s="96" t="str">
        <f>IF(ISBLANK(C36),"",IF(C36=F36, "1 video",CONCATENATE((+COUNTIFS(Video_List!$C:$C,"&lt;=" &amp;Monitoring!J36)-COUNTIFS(Video_List!$C:$C,"&lt;=" &amp;Monitoring!I36))+1," videos")))</f>
        <v>1 video</v>
      </c>
      <c r="O36" s="29" t="s">
        <v>44</v>
      </c>
      <c r="P36" s="42" t="s">
        <v>37</v>
      </c>
      <c r="Q36" s="42" t="s">
        <v>38</v>
      </c>
      <c r="R36" s="42" t="s">
        <v>39</v>
      </c>
      <c r="S36" s="97" t="str">
        <f>+IFERROR(IF(T36="#N/C","#N/C",IF(U36=0,INDEX(Taxonomy_UniqueValues!D:D,MATCH(U36,Taxonomy_UniqueValues!F:F,0)),INDEX(Taxonomy_UniqueValues!D:D,MATCH(T36,Taxonomy_UniqueValues!E:E,0)))),"#N/C")</f>
        <v>#N/C</v>
      </c>
      <c r="T36" s="42" t="s">
        <v>35</v>
      </c>
      <c r="U36" s="42" t="s">
        <v>35</v>
      </c>
      <c r="V36" s="42" t="s">
        <v>35</v>
      </c>
      <c r="W36" s="42" t="s">
        <v>35</v>
      </c>
      <c r="X36" s="28" t="s">
        <v>35</v>
      </c>
      <c r="Y36" s="69" t="str" cm="1">
        <f t="array" ref="Y36">_xlfn.LET(_xlpm.cls,P36, _xlpm.ord,IFERROR(Q36,"#N/C"), _xlpm.subord,IFERROR(R36,"#N/C"), _xlpm.infr,IFERROR(S36,"#N/C"), _xlpm.sf,IFERROR(T36,"#N/C"), _xlpm.fam,IFERROR(U36,"#N/C"), _xlpm.subfam,IF(TRIM(V36)="-","#N/C",IFERROR(V36,"#N/C")),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_xlpm.fallback,IF(IFERROR(Q36,"#N/C")="#N/C",P36,IF(IFERROR(R36,"#N/C")="#N/C",Q36,IF(IFERROR(S36,"#N/C")="#N/C",R36,IF(IFERROR(T36,"#N/C")="#N/C",S36,IF(IFERROR(U36,"#N/C")="#N/C",T36,IF(IFERROR(V36,"#N/C")="#N/C",U36,"#N/C")))))), _xlpm.finalResult,IF(OR(_xlpm.computedResult="",_xlpm.computedResult="#N/C"),_xlpm.fallback,_xlpm.computedResult), INDEX(_xlpm.finalResult,1))</f>
        <v>Brachycera</v>
      </c>
      <c r="Z36" s="116" t="str" cm="1">
        <f t="array" ref="Z36">IF(OR(Y36="Insecta",Y36="Arachnida",Y36="#N/C"),"",IFERROR(_xlfn.LET(_xlpm.fc,IFERROR(_xlfn._xlws.FILTER(ClassificationClasses[],ClassificationClasses[Classification Class]=Y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,ClassificationClasses[Key])),0),MATCH(Y36,INDEX(ClassificationClasses[],MATCH(TRUE,ISNUMBER(SEARCH(Y36,ClassificationClasses[Key])),0),0),0)-1)))</f>
        <v>Diptera</v>
      </c>
      <c r="AA36" s="116" t="str" cm="1">
        <f t="array" ref="AA36">IFERROR(IF(OR(Z36="Insecta",Z36="Arachnida",Z36="#N/C"),"",INDEX(ClassificationClasses[[Class]:[Infraorder]],MATCH(TRUE,ISNUMBER(SEARCH(Z36,ClassificationClasses[Key])),0),MATCH(Z36,INDEX(ClassificationClasses[#Data], MATCH(TRUE,ISNUMBER(SEARCH(Z36,ClassificationClasses[Key])),0), 0), 0)-1)),"")</f>
        <v>Insecta</v>
      </c>
      <c r="AB36" s="116" t="str" cm="1">
        <f t="array" ref="AB36">IFERROR(IF(OR(AA36="Insecta",AA36="Arachnida",AA36="#N/C"),"",INDEX(ClassificationClasses[[Class]:[Suborder]],MATCH(TRUE,ISNUMBER(SEARCH(AA36,ClassificationClasses[Key])),0),MATCH(AA36,INDEX(ClassificationClasses[#Data], MATCH(TRUE,ISNUMBER(SEARCH(AA36,ClassificationClasses[Key])),0), 0), 0)-1)),"")</f>
        <v/>
      </c>
      <c r="AC36" s="116" t="str" cm="1">
        <f t="array" ref="AC36">IFERROR(IF(OR(AB36="Insecta",AB36="Arachnida",AB36="#N/C"),"",INDEX(ClassificationClasses[[Class]:[Suborder]],MATCH(TRUE,ISNUMBER(SEARCH(AB36,ClassificationClasses[Key])),0),MATCH(AB36,INDEX(ClassificationClasses[#Data], MATCH(TRUE,ISNUMBER(SEARCH(AB36,ClassificationClasses[Key])),0), 0), 0)-1)),"")</f>
        <v/>
      </c>
      <c r="AD36" s="116" t="str" cm="1">
        <f t="array" ref="AD36">IFERROR(IF(OR(AC36="Insecta",AC36="Arachnida",AC36="#N/C"),"",INDEX(ClassificationClasses[[Class]:[Suborder]],MATCH(TRUE,ISNUMBER(SEARCH(AC36,ClassificationClasses[Key])),0),MATCH(AC36,INDEX(ClassificationClasses[#Data], MATCH(TRUE,ISNUMBER(SEARCH(AC36,ClassificationClasses[Key])),0), 0), 0)-1)),"")</f>
        <v/>
      </c>
      <c r="AE36" s="18" t="str">
        <f t="shared" si="2"/>
        <v>Insecta.Diptera.Brachycera.#N/C.#N/C.#N/C.#N/C.#N/C.#N/C</v>
      </c>
    </row>
    <row r="37" spans="1:31" x14ac:dyDescent="0.3">
      <c r="A37" s="91">
        <v>36</v>
      </c>
      <c r="B37" s="7">
        <v>44389</v>
      </c>
      <c r="C37" s="92" t="s">
        <v>103</v>
      </c>
      <c r="D37" s="93" t="str">
        <f>HYPERLINK(VLOOKUP(C37,Video_List!$F:$J,5),"video")</f>
        <v>video</v>
      </c>
      <c r="E37" s="94" t="str">
        <f>IFERROR(IF(MATCH(C37,Video_List!$F:$F,)&gt;0,"ok",""),"error")</f>
        <v>ok</v>
      </c>
      <c r="F37" s="92" t="s">
        <v>103</v>
      </c>
      <c r="G37" s="93" t="str">
        <f>HYPERLINK(VLOOKUP(F37,Video_List!$F:$J,5),"video")</f>
        <v>video</v>
      </c>
      <c r="H37" s="94" t="str">
        <f>IFERROR(IF(MATCH(F37,Video_List!$F:$F,)&gt;0,"ok",""),"error")</f>
        <v>ok</v>
      </c>
      <c r="I37" s="17">
        <v>44389.866620370369</v>
      </c>
      <c r="J37" s="8">
        <v>44389.866851851853</v>
      </c>
      <c r="K37" s="15">
        <f t="shared" si="0"/>
        <v>2.3148148466134444E-4</v>
      </c>
      <c r="L37" s="95" t="s">
        <v>32</v>
      </c>
      <c r="M37" s="95" t="s">
        <v>33</v>
      </c>
      <c r="N37" s="96" t="str">
        <f>IF(ISBLANK(C37),"",IF(C37=F37, "1 video",CONCATENATE((+COUNTIFS(Video_List!$C:$C,"&lt;=" &amp;Monitoring!J37)-COUNTIFS(Video_List!$C:$C,"&lt;=" &amp;Monitoring!I37))+1," videos")))</f>
        <v>1 video</v>
      </c>
      <c r="O37" s="29" t="s">
        <v>44</v>
      </c>
      <c r="P37" s="42" t="s">
        <v>37</v>
      </c>
      <c r="Q37" s="42" t="s">
        <v>38</v>
      </c>
      <c r="R37" s="42" t="s">
        <v>39</v>
      </c>
      <c r="S37" s="97" t="str">
        <f>+IFERROR(IF(T37="#N/C","#N/C",IF(U37=0,INDEX(Taxonomy_UniqueValues!D:D,MATCH(U37,Taxonomy_UniqueValues!F:F,0)),INDEX(Taxonomy_UniqueValues!D:D,MATCH(T37,Taxonomy_UniqueValues!E:E,0)))),"#N/C")</f>
        <v>#N/C</v>
      </c>
      <c r="T37" s="42" t="s">
        <v>35</v>
      </c>
      <c r="U37" s="42" t="s">
        <v>35</v>
      </c>
      <c r="V37" s="42" t="s">
        <v>35</v>
      </c>
      <c r="W37" s="42" t="s">
        <v>35</v>
      </c>
      <c r="X37" s="28" t="s">
        <v>35</v>
      </c>
      <c r="Y37" s="69" t="str" cm="1">
        <f t="array" ref="Y37">_xlfn.LET(_xlpm.cls,P37, _xlpm.ord,IFERROR(Q37,"#N/C"), _xlpm.subord,IFERROR(R37,"#N/C"), _xlpm.infr,IFERROR(S37,"#N/C"), _xlpm.sf,IFERROR(T37,"#N/C"), _xlpm.fam,IFERROR(U37,"#N/C"), _xlpm.subfam,IF(TRIM(V37)="-","#N/C",IFERROR(V37,"#N/C")),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_xlpm.fallback,IF(IFERROR(Q37,"#N/C")="#N/C",P37,IF(IFERROR(R37,"#N/C")="#N/C",Q37,IF(IFERROR(S37,"#N/C")="#N/C",R37,IF(IFERROR(T37,"#N/C")="#N/C",S37,IF(IFERROR(U37,"#N/C")="#N/C",T37,IF(IFERROR(V37,"#N/C")="#N/C",U37,"#N/C")))))), _xlpm.finalResult,IF(OR(_xlpm.computedResult="",_xlpm.computedResult="#N/C"),_xlpm.fallback,_xlpm.computedResult), INDEX(_xlpm.finalResult,1))</f>
        <v>Brachycera</v>
      </c>
      <c r="Z37" s="116" t="str" cm="1">
        <f t="array" ref="Z37">IF(OR(Y37="Insecta",Y37="Arachnida",Y37="#N/C"),"",IFERROR(_xlfn.LET(_xlpm.fc,IFERROR(_xlfn._xlws.FILTER(ClassificationClasses[],ClassificationClasses[Classification Class]=Y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,ClassificationClasses[Key])),0),MATCH(Y37,INDEX(ClassificationClasses[],MATCH(TRUE,ISNUMBER(SEARCH(Y37,ClassificationClasses[Key])),0),0),0)-1)))</f>
        <v>Diptera</v>
      </c>
      <c r="AA37" s="116" t="str" cm="1">
        <f t="array" ref="AA37">IFERROR(IF(OR(Z37="Insecta",Z37="Arachnida",Z37="#N/C"),"",INDEX(ClassificationClasses[[Class]:[Infraorder]],MATCH(TRUE,ISNUMBER(SEARCH(Z37,ClassificationClasses[Key])),0),MATCH(Z37,INDEX(ClassificationClasses[#Data], MATCH(TRUE,ISNUMBER(SEARCH(Z37,ClassificationClasses[Key])),0), 0), 0)-1)),"")</f>
        <v>Insecta</v>
      </c>
      <c r="AB37" s="116" t="str" cm="1">
        <f t="array" ref="AB37">IFERROR(IF(OR(AA37="Insecta",AA37="Arachnida",AA37="#N/C"),"",INDEX(ClassificationClasses[[Class]:[Suborder]],MATCH(TRUE,ISNUMBER(SEARCH(AA37,ClassificationClasses[Key])),0),MATCH(AA37,INDEX(ClassificationClasses[#Data], MATCH(TRUE,ISNUMBER(SEARCH(AA37,ClassificationClasses[Key])),0), 0), 0)-1)),"")</f>
        <v/>
      </c>
      <c r="AC37" s="116" t="str" cm="1">
        <f t="array" ref="AC37">IFERROR(IF(OR(AB37="Insecta",AB37="Arachnida",AB37="#N/C"),"",INDEX(ClassificationClasses[[Class]:[Suborder]],MATCH(TRUE,ISNUMBER(SEARCH(AB37,ClassificationClasses[Key])),0),MATCH(AB37,INDEX(ClassificationClasses[#Data], MATCH(TRUE,ISNUMBER(SEARCH(AB37,ClassificationClasses[Key])),0), 0), 0)-1)),"")</f>
        <v/>
      </c>
      <c r="AD37" s="116" t="str" cm="1">
        <f t="array" ref="AD37">IFERROR(IF(OR(AC37="Insecta",AC37="Arachnida",AC37="#N/C"),"",INDEX(ClassificationClasses[[Class]:[Suborder]],MATCH(TRUE,ISNUMBER(SEARCH(AC37,ClassificationClasses[Key])),0),MATCH(AC37,INDEX(ClassificationClasses[#Data], MATCH(TRUE,ISNUMBER(SEARCH(AC37,ClassificationClasses[Key])),0), 0), 0)-1)),"")</f>
        <v/>
      </c>
      <c r="AE37" s="18" t="str">
        <f t="shared" si="2"/>
        <v>Insecta.Diptera.Brachycera.#N/C.#N/C.#N/C.#N/C.#N/C.#N/C</v>
      </c>
    </row>
    <row r="38" spans="1:31" x14ac:dyDescent="0.3">
      <c r="A38" s="91">
        <v>37</v>
      </c>
      <c r="B38" s="7">
        <v>44389</v>
      </c>
      <c r="C38" s="92" t="s">
        <v>104</v>
      </c>
      <c r="D38" s="93" t="str">
        <f>HYPERLINK(VLOOKUP(C38,Video_List!$F:$J,5),"video")</f>
        <v>video</v>
      </c>
      <c r="E38" s="94" t="str">
        <f>IFERROR(IF(MATCH(C38,Video_List!$F:$F,)&gt;0,"ok",""),"error")</f>
        <v>ok</v>
      </c>
      <c r="F38" s="92" t="s">
        <v>104</v>
      </c>
      <c r="G38" s="93" t="str">
        <f>HYPERLINK(VLOOKUP(F38,Video_List!$F:$J,5),"video")</f>
        <v>video</v>
      </c>
      <c r="H38" s="94" t="str">
        <f>IFERROR(IF(MATCH(F38,Video_List!$F:$F,)&gt;0,"ok",""),"error")</f>
        <v>ok</v>
      </c>
      <c r="I38" s="17">
        <v>44389.870763888888</v>
      </c>
      <c r="J38" s="8">
        <v>44389.870821759258</v>
      </c>
      <c r="K38" s="15">
        <f t="shared" si="0"/>
        <v>5.7870369346346706E-5</v>
      </c>
      <c r="L38" s="95" t="s">
        <v>32</v>
      </c>
      <c r="M38" s="95" t="s">
        <v>33</v>
      </c>
      <c r="N38" s="96" t="str">
        <f>IF(ISBLANK(C38),"",IF(C38=F38, "1 video",CONCATENATE((+COUNTIFS(Video_List!$C:$C,"&lt;=" &amp;Monitoring!J38)-COUNTIFS(Video_List!$C:$C,"&lt;=" &amp;Monitoring!I38))+1," videos")))</f>
        <v>1 video</v>
      </c>
      <c r="O38" s="29" t="s">
        <v>44</v>
      </c>
      <c r="P38" s="42" t="s">
        <v>37</v>
      </c>
      <c r="Q38" s="42" t="s">
        <v>38</v>
      </c>
      <c r="R38" s="42" t="s">
        <v>39</v>
      </c>
      <c r="S38" s="97" t="str">
        <f>+IFERROR(IF(T38="#N/C","#N/C",IF(U38=0,INDEX(Taxonomy_UniqueValues!D:D,MATCH(U38,Taxonomy_UniqueValues!F:F,0)),INDEX(Taxonomy_UniqueValues!D:D,MATCH(T38,Taxonomy_UniqueValues!E:E,0)))),"#N/C")</f>
        <v>#N/C</v>
      </c>
      <c r="T38" s="42" t="s">
        <v>35</v>
      </c>
      <c r="U38" s="42" t="s">
        <v>35</v>
      </c>
      <c r="V38" s="42" t="s">
        <v>35</v>
      </c>
      <c r="W38" s="42" t="s">
        <v>35</v>
      </c>
      <c r="X38" s="28" t="s">
        <v>35</v>
      </c>
      <c r="Y38" s="69" t="str" cm="1">
        <f t="array" ref="Y38">_xlfn.LET(_xlpm.cls,P38, _xlpm.ord,IFERROR(Q38,"#N/C"), _xlpm.subord,IFERROR(R38,"#N/C"), _xlpm.infr,IFERROR(S38,"#N/C"), _xlpm.sf,IFERROR(T38,"#N/C"), _xlpm.fam,IFERROR(U38,"#N/C"), _xlpm.subfam,IF(TRIM(V38)="-","#N/C",IFERROR(V38,"#N/C")),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_xlpm.fallback,IF(IFERROR(Q38,"#N/C")="#N/C",P38,IF(IFERROR(R38,"#N/C")="#N/C",Q38,IF(IFERROR(S38,"#N/C")="#N/C",R38,IF(IFERROR(T38,"#N/C")="#N/C",S38,IF(IFERROR(U38,"#N/C")="#N/C",T38,IF(IFERROR(V38,"#N/C")="#N/C",U38,"#N/C")))))), _xlpm.finalResult,IF(OR(_xlpm.computedResult="",_xlpm.computedResult="#N/C"),_xlpm.fallback,_xlpm.computedResult), INDEX(_xlpm.finalResult,1))</f>
        <v>Brachycera</v>
      </c>
      <c r="Z38" s="116" t="str" cm="1">
        <f t="array" ref="Z38">IF(OR(Y38="Insecta",Y38="Arachnida",Y38="#N/C"),"",IFERROR(_xlfn.LET(_xlpm.fc,IFERROR(_xlfn._xlws.FILTER(ClassificationClasses[],ClassificationClasses[Classification Class]=Y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,ClassificationClasses[Key])),0),MATCH(Y38,INDEX(ClassificationClasses[],MATCH(TRUE,ISNUMBER(SEARCH(Y38,ClassificationClasses[Key])),0),0),0)-1)))</f>
        <v>Diptera</v>
      </c>
      <c r="AA38" s="116" t="str" cm="1">
        <f t="array" ref="AA38">IFERROR(IF(OR(Z38="Insecta",Z38="Arachnida",Z38="#N/C"),"",INDEX(ClassificationClasses[[Class]:[Infraorder]],MATCH(TRUE,ISNUMBER(SEARCH(Z38,ClassificationClasses[Key])),0),MATCH(Z38,INDEX(ClassificationClasses[#Data], MATCH(TRUE,ISNUMBER(SEARCH(Z38,ClassificationClasses[Key])),0), 0), 0)-1)),"")</f>
        <v>Insecta</v>
      </c>
      <c r="AB38" s="116" t="str" cm="1">
        <f t="array" ref="AB38">IFERROR(IF(OR(AA38="Insecta",AA38="Arachnida",AA38="#N/C"),"",INDEX(ClassificationClasses[[Class]:[Suborder]],MATCH(TRUE,ISNUMBER(SEARCH(AA38,ClassificationClasses[Key])),0),MATCH(AA38,INDEX(ClassificationClasses[#Data], MATCH(TRUE,ISNUMBER(SEARCH(AA38,ClassificationClasses[Key])),0), 0), 0)-1)),"")</f>
        <v/>
      </c>
      <c r="AC38" s="116" t="str" cm="1">
        <f t="array" ref="AC38">IFERROR(IF(OR(AB38="Insecta",AB38="Arachnida",AB38="#N/C"),"",INDEX(ClassificationClasses[[Class]:[Suborder]],MATCH(TRUE,ISNUMBER(SEARCH(AB38,ClassificationClasses[Key])),0),MATCH(AB38,INDEX(ClassificationClasses[#Data], MATCH(TRUE,ISNUMBER(SEARCH(AB38,ClassificationClasses[Key])),0), 0), 0)-1)),"")</f>
        <v/>
      </c>
      <c r="AD38" s="116" t="str" cm="1">
        <f t="array" ref="AD38">IFERROR(IF(OR(AC38="Insecta",AC38="Arachnida",AC38="#N/C"),"",INDEX(ClassificationClasses[[Class]:[Suborder]],MATCH(TRUE,ISNUMBER(SEARCH(AC38,ClassificationClasses[Key])),0),MATCH(AC38,INDEX(ClassificationClasses[#Data], MATCH(TRUE,ISNUMBER(SEARCH(AC38,ClassificationClasses[Key])),0), 0), 0)-1)),"")</f>
        <v/>
      </c>
      <c r="AE38" s="18" t="str">
        <f t="shared" si="2"/>
        <v>Insecta.Diptera.Brachycera.#N/C.#N/C.#N/C.#N/C.#N/C.#N/C</v>
      </c>
    </row>
    <row r="39" spans="1:31" x14ac:dyDescent="0.3">
      <c r="A39" s="91">
        <v>38</v>
      </c>
      <c r="B39" s="7">
        <v>44390</v>
      </c>
      <c r="C39" s="92" t="s">
        <v>105</v>
      </c>
      <c r="D39" s="93" t="str">
        <f>HYPERLINK(VLOOKUP(C39,Video_List!$F:$J,5),"video")</f>
        <v>video</v>
      </c>
      <c r="E39" s="94" t="str">
        <f>IFERROR(IF(MATCH(C39,Video_List!$F:$F,)&gt;0,"ok",""),"error")</f>
        <v>ok</v>
      </c>
      <c r="F39" s="92" t="s">
        <v>105</v>
      </c>
      <c r="G39" s="93" t="str">
        <f>HYPERLINK(VLOOKUP(F39,Video_List!$F:$J,5),"video")</f>
        <v>video</v>
      </c>
      <c r="H39" s="94" t="str">
        <f>IFERROR(IF(MATCH(F39,Video_List!$F:$F,)&gt;0,"ok",""),"error")</f>
        <v>ok</v>
      </c>
      <c r="I39" s="17">
        <v>44390.297997685186</v>
      </c>
      <c r="J39" s="8">
        <v>44390.298078703701</v>
      </c>
      <c r="K39" s="15">
        <f t="shared" si="0"/>
        <v>8.1018515629693866E-5</v>
      </c>
      <c r="L39" s="4" t="s">
        <v>55</v>
      </c>
      <c r="M39" s="4" t="s">
        <v>55</v>
      </c>
      <c r="N39" s="96" t="str">
        <f>IF(ISBLANK(C39),"",IF(C39=F39, "1 video",CONCATENATE((+COUNTIFS(Video_List!$C:$C,"&lt;=" &amp;Monitoring!J39)-COUNTIFS(Video_List!$C:$C,"&lt;=" &amp;Monitoring!I39))+1," videos")))</f>
        <v>1 video</v>
      </c>
      <c r="O39" s="27" t="s">
        <v>32</v>
      </c>
      <c r="P39" s="42" t="s">
        <v>37</v>
      </c>
      <c r="Q39" s="42" t="s">
        <v>38</v>
      </c>
      <c r="R39" s="42" t="s">
        <v>39</v>
      </c>
      <c r="S39" s="97" t="str">
        <f>+IFERROR(IF(T39="#N/C","#N/C",IF(U39=0,INDEX(Taxonomy_UniqueValues!D:D,MATCH(U39,Taxonomy_UniqueValues!F:F,0)),INDEX(Taxonomy_UniqueValues!D:D,MATCH(T39,Taxonomy_UniqueValues!E:E,0)))),"#N/C")</f>
        <v>#N/C</v>
      </c>
      <c r="T39" s="42" t="s">
        <v>35</v>
      </c>
      <c r="U39" s="42" t="s">
        <v>35</v>
      </c>
      <c r="V39" s="42" t="s">
        <v>35</v>
      </c>
      <c r="W39" s="42" t="s">
        <v>35</v>
      </c>
      <c r="X39" s="28" t="s">
        <v>35</v>
      </c>
      <c r="Y39" s="69" t="str" cm="1">
        <f t="array" ref="Y39">_xlfn.LET(_xlpm.cls,P39, _xlpm.ord,IFERROR(Q39,"#N/C"), _xlpm.subord,IFERROR(R39,"#N/C"), _xlpm.infr,IFERROR(S39,"#N/C"), _xlpm.sf,IFERROR(T39,"#N/C"), _xlpm.fam,IFERROR(U39,"#N/C"), _xlpm.subfam,IF(TRIM(V39)="-","#N/C",IFERROR(V39,"#N/C")),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_xlpm.fallback,IF(IFERROR(Q39,"#N/C")="#N/C",P39,IF(IFERROR(R39,"#N/C")="#N/C",Q39,IF(IFERROR(S39,"#N/C")="#N/C",R39,IF(IFERROR(T39,"#N/C")="#N/C",S39,IF(IFERROR(U39,"#N/C")="#N/C",T39,IF(IFERROR(V39,"#N/C")="#N/C",U39,"#N/C")))))), _xlpm.finalResult,IF(OR(_xlpm.computedResult="",_xlpm.computedResult="#N/C"),_xlpm.fallback,_xlpm.computedResult), INDEX(_xlpm.finalResult,1))</f>
        <v>Brachycera</v>
      </c>
      <c r="Z39" s="116" t="str" cm="1">
        <f t="array" ref="Z39">IF(OR(Y39="Insecta",Y39="Arachnida",Y39="#N/C"),"",IFERROR(_xlfn.LET(_xlpm.fc,IFERROR(_xlfn._xlws.FILTER(ClassificationClasses[],ClassificationClasses[Classification Class]=Y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,ClassificationClasses[Key])),0),MATCH(Y39,INDEX(ClassificationClasses[],MATCH(TRUE,ISNUMBER(SEARCH(Y39,ClassificationClasses[Key])),0),0),0)-1)))</f>
        <v>Diptera</v>
      </c>
      <c r="AA39" s="116" t="str" cm="1">
        <f t="array" ref="AA39">IFERROR(IF(OR(Z39="Insecta",Z39="Arachnida",Z39="#N/C"),"",INDEX(ClassificationClasses[[Class]:[Infraorder]],MATCH(TRUE,ISNUMBER(SEARCH(Z39,ClassificationClasses[Key])),0),MATCH(Z39,INDEX(ClassificationClasses[#Data], MATCH(TRUE,ISNUMBER(SEARCH(Z39,ClassificationClasses[Key])),0), 0), 0)-1)),"")</f>
        <v>Insecta</v>
      </c>
      <c r="AB39" s="116" t="str" cm="1">
        <f t="array" ref="AB39">IFERROR(IF(OR(AA39="Insecta",AA39="Arachnida",AA39="#N/C"),"",INDEX(ClassificationClasses[[Class]:[Suborder]],MATCH(TRUE,ISNUMBER(SEARCH(AA39,ClassificationClasses[Key])),0),MATCH(AA39,INDEX(ClassificationClasses[#Data], MATCH(TRUE,ISNUMBER(SEARCH(AA39,ClassificationClasses[Key])),0), 0), 0)-1)),"")</f>
        <v/>
      </c>
      <c r="AC39" s="116" t="str" cm="1">
        <f t="array" ref="AC39">IFERROR(IF(OR(AB39="Insecta",AB39="Arachnida",AB39="#N/C"),"",INDEX(ClassificationClasses[[Class]:[Suborder]],MATCH(TRUE,ISNUMBER(SEARCH(AB39,ClassificationClasses[Key])),0),MATCH(AB39,INDEX(ClassificationClasses[#Data], MATCH(TRUE,ISNUMBER(SEARCH(AB39,ClassificationClasses[Key])),0), 0), 0)-1)),"")</f>
        <v/>
      </c>
      <c r="AD39" s="116" t="str" cm="1">
        <f t="array" ref="AD39">IFERROR(IF(OR(AC39="Insecta",AC39="Arachnida",AC39="#N/C"),"",INDEX(ClassificationClasses[[Class]:[Suborder]],MATCH(TRUE,ISNUMBER(SEARCH(AC39,ClassificationClasses[Key])),0),MATCH(AC39,INDEX(ClassificationClasses[#Data], MATCH(TRUE,ISNUMBER(SEARCH(AC39,ClassificationClasses[Key])),0), 0), 0)-1)),"")</f>
        <v/>
      </c>
      <c r="AE39" s="18" t="str">
        <f t="shared" si="2"/>
        <v>Insecta.Diptera.Brachycera.#N/C.#N/C.#N/C.#N/C.#N/C.#N/C</v>
      </c>
    </row>
    <row r="40" spans="1:31" x14ac:dyDescent="0.3">
      <c r="A40" s="91">
        <v>39</v>
      </c>
      <c r="B40" s="7">
        <v>44390</v>
      </c>
      <c r="C40" s="92" t="s">
        <v>106</v>
      </c>
      <c r="D40" s="93" t="str">
        <f>HYPERLINK(VLOOKUP(C40,Video_List!$F:$J,5),"video")</f>
        <v>video</v>
      </c>
      <c r="E40" s="94" t="str">
        <f>IFERROR(IF(MATCH(C40,Video_List!$F:$F,)&gt;0,"ok",""),"error")</f>
        <v>ok</v>
      </c>
      <c r="F40" s="92" t="s">
        <v>106</v>
      </c>
      <c r="G40" s="93" t="str">
        <f>HYPERLINK(VLOOKUP(F40,Video_List!$F:$J,5),"video")</f>
        <v>video</v>
      </c>
      <c r="H40" s="94" t="str">
        <f>IFERROR(IF(MATCH(F40,Video_List!$F:$F,)&gt;0,"ok",""),"error")</f>
        <v>ok</v>
      </c>
      <c r="I40" s="17">
        <v>44390.312476851854</v>
      </c>
      <c r="J40" s="8">
        <v>44390.315196759257</v>
      </c>
      <c r="K40" s="15">
        <f t="shared" si="0"/>
        <v>2.7199074029340409E-3</v>
      </c>
      <c r="L40" s="4" t="s">
        <v>32</v>
      </c>
      <c r="M40" s="4" t="s">
        <v>33</v>
      </c>
      <c r="N40" s="96" t="str">
        <f>IF(ISBLANK(C40),"",IF(C40=F40, "1 video",CONCATENATE((+COUNTIFS(Video_List!$C:$C,"&lt;=" &amp;Monitoring!J40)-COUNTIFS(Video_List!$C:$C,"&lt;=" &amp;Monitoring!I40))+1," videos")))</f>
        <v>1 video</v>
      </c>
      <c r="O40" s="29" t="s">
        <v>44</v>
      </c>
      <c r="P40" s="42" t="s">
        <v>37</v>
      </c>
      <c r="Q40" s="42" t="s">
        <v>38</v>
      </c>
      <c r="R40" s="42" t="s">
        <v>39</v>
      </c>
      <c r="S40" s="97" t="str">
        <f>+IFERROR(IF(T40="#N/C","#N/C",IF(U40=0,INDEX(Taxonomy_UniqueValues!D:D,MATCH(U40,Taxonomy_UniqueValues!F:F,0)),INDEX(Taxonomy_UniqueValues!D:D,MATCH(T40,Taxonomy_UniqueValues!E:E,0)))),"#N/C")</f>
        <v>#N/C</v>
      </c>
      <c r="T40" s="42" t="s">
        <v>35</v>
      </c>
      <c r="U40" s="42" t="s">
        <v>35</v>
      </c>
      <c r="V40" s="42" t="s">
        <v>35</v>
      </c>
      <c r="W40" s="42" t="s">
        <v>35</v>
      </c>
      <c r="X40" s="28" t="s">
        <v>35</v>
      </c>
      <c r="Y40" s="69" t="str" cm="1">
        <f t="array" ref="Y40">_xlfn.LET(_xlpm.cls,P40, _xlpm.ord,IFERROR(Q40,"#N/C"), _xlpm.subord,IFERROR(R40,"#N/C"), _xlpm.infr,IFERROR(S40,"#N/C"), _xlpm.sf,IFERROR(T40,"#N/C"), _xlpm.fam,IFERROR(U40,"#N/C"), _xlpm.subfam,IF(TRIM(V40)="-","#N/C",IFERROR(V40,"#N/C")),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_xlpm.fallback,IF(IFERROR(Q40,"#N/C")="#N/C",P40,IF(IFERROR(R40,"#N/C")="#N/C",Q40,IF(IFERROR(S40,"#N/C")="#N/C",R40,IF(IFERROR(T40,"#N/C")="#N/C",S40,IF(IFERROR(U40,"#N/C")="#N/C",T40,IF(IFERROR(V40,"#N/C")="#N/C",U40,"#N/C")))))), _xlpm.finalResult,IF(OR(_xlpm.computedResult="",_xlpm.computedResult="#N/C"),_xlpm.fallback,_xlpm.computedResult), INDEX(_xlpm.finalResult,1))</f>
        <v>Brachycera</v>
      </c>
      <c r="Z40" s="116" t="str" cm="1">
        <f t="array" ref="Z40">IF(OR(Y40="Insecta",Y40="Arachnida",Y40="#N/C"),"",IFERROR(_xlfn.LET(_xlpm.fc,IFERROR(_xlfn._xlws.FILTER(ClassificationClasses[],ClassificationClasses[Classification Class]=Y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,ClassificationClasses[Key])),0),MATCH(Y40,INDEX(ClassificationClasses[],MATCH(TRUE,ISNUMBER(SEARCH(Y40,ClassificationClasses[Key])),0),0),0)-1)))</f>
        <v>Diptera</v>
      </c>
      <c r="AA40" s="116" t="str" cm="1">
        <f t="array" ref="AA40">IFERROR(IF(OR(Z40="Insecta",Z40="Arachnida",Z40="#N/C"),"",INDEX(ClassificationClasses[[Class]:[Infraorder]],MATCH(TRUE,ISNUMBER(SEARCH(Z40,ClassificationClasses[Key])),0),MATCH(Z40,INDEX(ClassificationClasses[#Data], MATCH(TRUE,ISNUMBER(SEARCH(Z40,ClassificationClasses[Key])),0), 0), 0)-1)),"")</f>
        <v>Insecta</v>
      </c>
      <c r="AB40" s="116" t="str" cm="1">
        <f t="array" ref="AB40">IFERROR(IF(OR(AA40="Insecta",AA40="Arachnida",AA40="#N/C"),"",INDEX(ClassificationClasses[[Class]:[Suborder]],MATCH(TRUE,ISNUMBER(SEARCH(AA40,ClassificationClasses[Key])),0),MATCH(AA40,INDEX(ClassificationClasses[#Data], MATCH(TRUE,ISNUMBER(SEARCH(AA40,ClassificationClasses[Key])),0), 0), 0)-1)),"")</f>
        <v/>
      </c>
      <c r="AC40" s="116" t="str" cm="1">
        <f t="array" ref="AC40">IFERROR(IF(OR(AB40="Insecta",AB40="Arachnida",AB40="#N/C"),"",INDEX(ClassificationClasses[[Class]:[Suborder]],MATCH(TRUE,ISNUMBER(SEARCH(AB40,ClassificationClasses[Key])),0),MATCH(AB40,INDEX(ClassificationClasses[#Data], MATCH(TRUE,ISNUMBER(SEARCH(AB40,ClassificationClasses[Key])),0), 0), 0)-1)),"")</f>
        <v/>
      </c>
      <c r="AD40" s="116" t="str" cm="1">
        <f t="array" ref="AD40">IFERROR(IF(OR(AC40="Insecta",AC40="Arachnida",AC40="#N/C"),"",INDEX(ClassificationClasses[[Class]:[Suborder]],MATCH(TRUE,ISNUMBER(SEARCH(AC40,ClassificationClasses[Key])),0),MATCH(AC40,INDEX(ClassificationClasses[#Data], MATCH(TRUE,ISNUMBER(SEARCH(AC40,ClassificationClasses[Key])),0), 0), 0)-1)),"")</f>
        <v/>
      </c>
      <c r="AE40" s="18" t="str">
        <f t="shared" si="2"/>
        <v>Insecta.Diptera.Brachycera.#N/C.#N/C.#N/C.#N/C.#N/C.#N/C</v>
      </c>
    </row>
    <row r="41" spans="1:31" x14ac:dyDescent="0.3">
      <c r="A41" s="91">
        <v>40</v>
      </c>
      <c r="B41" s="7">
        <v>44390</v>
      </c>
      <c r="C41" s="92" t="s">
        <v>107</v>
      </c>
      <c r="D41" s="93" t="str">
        <f>HYPERLINK(VLOOKUP(C41,Video_List!$F:$J,5),"video")</f>
        <v>video</v>
      </c>
      <c r="E41" s="94" t="str">
        <f>IFERROR(IF(MATCH(C41,Video_List!$F:$F,)&gt;0,"ok",""),"error")</f>
        <v>ok</v>
      </c>
      <c r="F41" s="92" t="s">
        <v>107</v>
      </c>
      <c r="G41" s="93" t="str">
        <f>HYPERLINK(VLOOKUP(F41,Video_List!$F:$J,5),"video")</f>
        <v>video</v>
      </c>
      <c r="H41" s="94" t="str">
        <f>IFERROR(IF(MATCH(F41,Video_List!$F:$F,)&gt;0,"ok",""),"error")</f>
        <v>ok</v>
      </c>
      <c r="I41" s="17">
        <v>44390.329710648148</v>
      </c>
      <c r="J41" s="8">
        <v>44390.330046296294</v>
      </c>
      <c r="K41" s="15">
        <f t="shared" si="0"/>
        <v>3.3564814657438546E-4</v>
      </c>
      <c r="L41" s="4" t="s">
        <v>32</v>
      </c>
      <c r="M41" s="4" t="s">
        <v>33</v>
      </c>
      <c r="N41" s="96" t="str">
        <f>IF(ISBLANK(C41),"",IF(C41=F41, "1 video",CONCATENATE((+COUNTIFS(Video_List!$C:$C,"&lt;=" &amp;Monitoring!J41)-COUNTIFS(Video_List!$C:$C,"&lt;=" &amp;Monitoring!I41))+1," videos")))</f>
        <v>1 video</v>
      </c>
      <c r="O41" s="27" t="s">
        <v>32</v>
      </c>
      <c r="P41" s="42" t="s">
        <v>37</v>
      </c>
      <c r="Q41" s="42" t="s">
        <v>41</v>
      </c>
      <c r="R41" s="42" t="s">
        <v>42</v>
      </c>
      <c r="S41" s="97" t="str">
        <f>+IFERROR(IF(T41="#N/C","#N/C",IF(U41=0,INDEX(Taxonomy_UniqueValues!D:D,MATCH(U41,Taxonomy_UniqueValues!F:F,0)),INDEX(Taxonomy_UniqueValues!D:D,MATCH(T41,Taxonomy_UniqueValues!E:E,0)))),"#N/C")</f>
        <v>Parasitica</v>
      </c>
      <c r="T41" s="42" t="s">
        <v>71</v>
      </c>
      <c r="U41" s="42" t="s">
        <v>35</v>
      </c>
      <c r="V41" s="42" t="s">
        <v>35</v>
      </c>
      <c r="W41" s="42" t="s">
        <v>35</v>
      </c>
      <c r="X41" s="28" t="s">
        <v>35</v>
      </c>
      <c r="Y41" s="69" t="str" cm="1">
        <f t="array" ref="Y41">_xlfn.LET(_xlpm.cls,P41, _xlpm.ord,IFERROR(Q41,"#N/C"), _xlpm.subord,IFERROR(R41,"#N/C"), _xlpm.infr,IFERROR(S41,"#N/C"), _xlpm.sf,IFERROR(T41,"#N/C"), _xlpm.fam,IFERROR(U41,"#N/C"), _xlpm.subfam,IF(TRIM(V41)="-","#N/C",IFERROR(V41,"#N/C")),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_xlpm.fallback,IF(IFERROR(Q41,"#N/C")="#N/C",P41,IF(IFERROR(R41,"#N/C")="#N/C",Q41,IF(IFERROR(S41,"#N/C")="#N/C",R41,IF(IFERROR(T41,"#N/C")="#N/C",S41,IF(IFERROR(U41,"#N/C")="#N/C",T41,IF(IFERROR(V41,"#N/C")="#N/C",U41,"#N/C")))))), _xlpm.finalResult,IF(OR(_xlpm.computedResult="",_xlpm.computedResult="#N/C"),_xlpm.fallback,_xlpm.computedResult), INDEX(_xlpm.finalResult,1))</f>
        <v>Ichneumonoidea</v>
      </c>
      <c r="Z41" s="116" t="str" cm="1">
        <f t="array" ref="Z41">IF(OR(Y41="Insecta",Y41="Arachnida",Y41="#N/C"),"",IFERROR(_xlfn.LET(_xlpm.fc,IFERROR(_xlfn._xlws.FILTER(ClassificationClasses[],ClassificationClasses[Classification Class]=Y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,ClassificationClasses[Key])),0),MATCH(Y41,INDEX(ClassificationClasses[],MATCH(TRUE,ISNUMBER(SEARCH(Y41,ClassificationClasses[Key])),0),0),0)-1)))</f>
        <v>Parasitica</v>
      </c>
      <c r="AA41" s="116" t="str" cm="1">
        <f t="array" ref="AA41">IFERROR(IF(OR(Z41="Insecta",Z41="Arachnida",Z41="#N/C"),"",INDEX(ClassificationClasses[[Class]:[Infraorder]],MATCH(TRUE,ISNUMBER(SEARCH(Z41,ClassificationClasses[Key])),0),MATCH(Z41,INDEX(ClassificationClasses[#Data], MATCH(TRUE,ISNUMBER(SEARCH(Z41,ClassificationClasses[Key])),0), 0), 0)-1)),"")</f>
        <v>Apocrita</v>
      </c>
      <c r="AB41" s="116" t="str" cm="1">
        <f t="array" ref="AB41">IFERROR(IF(OR(AA41="Insecta",AA41="Arachnida",AA41="#N/C"),"",INDEX(ClassificationClasses[[Class]:[Suborder]],MATCH(TRUE,ISNUMBER(SEARCH(AA41,ClassificationClasses[Key])),0),MATCH(AA41,INDEX(ClassificationClasses[#Data], MATCH(TRUE,ISNUMBER(SEARCH(AA41,ClassificationClasses[Key])),0), 0), 0)-1)),"")</f>
        <v>Hymenoptera</v>
      </c>
      <c r="AC41" s="116" t="str" cm="1">
        <f t="array" ref="AC41">IFERROR(IF(OR(AB41="Insecta",AB41="Arachnida",AB41="#N/C"),"",INDEX(ClassificationClasses[[Class]:[Suborder]],MATCH(TRUE,ISNUMBER(SEARCH(AB41,ClassificationClasses[Key])),0),MATCH(AB41,INDEX(ClassificationClasses[#Data], MATCH(TRUE,ISNUMBER(SEARCH(AB41,ClassificationClasses[Key])),0), 0), 0)-1)),"")</f>
        <v>Insecta</v>
      </c>
      <c r="AD41" s="116" t="str" cm="1">
        <f t="array" ref="AD41">IFERROR(IF(OR(AC41="Insecta",AC41="Arachnida",AC41="#N/C"),"",INDEX(ClassificationClasses[[Class]:[Suborder]],MATCH(TRUE,ISNUMBER(SEARCH(AC41,ClassificationClasses[Key])),0),MATCH(AC41,INDEX(ClassificationClasses[#Data], MATCH(TRUE,ISNUMBER(SEARCH(AC41,ClassificationClasses[Key])),0), 0), 0)-1)),"")</f>
        <v/>
      </c>
      <c r="AE41" s="18" t="str">
        <f t="shared" si="2"/>
        <v>Insecta.Hymenoptera.Apocrita.Parasitica.Ichneumonoidea.#N/C.#N/C.#N/C.#N/C</v>
      </c>
    </row>
    <row r="42" spans="1:31" x14ac:dyDescent="0.3">
      <c r="A42" s="91">
        <v>41</v>
      </c>
      <c r="B42" s="7">
        <v>44390</v>
      </c>
      <c r="C42" s="92" t="s">
        <v>108</v>
      </c>
      <c r="D42" s="93" t="str">
        <f>HYPERLINK(VLOOKUP(C42,Video_List!$F:$J,5),"video")</f>
        <v>video</v>
      </c>
      <c r="E42" s="94" t="str">
        <f>IFERROR(IF(MATCH(C42,Video_List!$F:$F,)&gt;0,"ok",""),"error")</f>
        <v>ok</v>
      </c>
      <c r="F42" s="92" t="s">
        <v>108</v>
      </c>
      <c r="G42" s="93" t="str">
        <f>HYPERLINK(VLOOKUP(F42,Video_List!$F:$J,5),"video")</f>
        <v>video</v>
      </c>
      <c r="H42" s="94" t="str">
        <f>IFERROR(IF(MATCH(F42,Video_List!$F:$F,)&gt;0,"ok",""),"error")</f>
        <v>ok</v>
      </c>
      <c r="I42" s="17">
        <v>44390.406122685185</v>
      </c>
      <c r="J42" s="8">
        <v>44390.406180555554</v>
      </c>
      <c r="K42" s="15">
        <f t="shared" si="0"/>
        <v>5.7870369346346706E-5</v>
      </c>
      <c r="L42" s="4" t="s">
        <v>32</v>
      </c>
      <c r="M42" s="4" t="s">
        <v>33</v>
      </c>
      <c r="N42" s="96" t="str">
        <f>IF(ISBLANK(C42),"",IF(C42=F42, "1 video",CONCATENATE((+COUNTIFS(Video_List!$C:$C,"&lt;=" &amp;Monitoring!J42)-COUNTIFS(Video_List!$C:$C,"&lt;=" &amp;Monitoring!I42))+1," videos")))</f>
        <v>1 video</v>
      </c>
      <c r="O42" s="29" t="s">
        <v>44</v>
      </c>
      <c r="P42" s="42" t="s">
        <v>37</v>
      </c>
      <c r="Q42" s="42" t="s">
        <v>38</v>
      </c>
      <c r="R42" s="42" t="s">
        <v>39</v>
      </c>
      <c r="S42" s="97" t="str">
        <f>+IFERROR(IF(T42="#N/C","#N/C",IF(U42=0,INDEX(Taxonomy_UniqueValues!D:D,MATCH(U42,Taxonomy_UniqueValues!F:F,0)),INDEX(Taxonomy_UniqueValues!D:D,MATCH(T42,Taxonomy_UniqueValues!E:E,0)))),"#N/C")</f>
        <v>#N/C</v>
      </c>
      <c r="T42" s="42" t="s">
        <v>35</v>
      </c>
      <c r="U42" s="42" t="s">
        <v>35</v>
      </c>
      <c r="V42" s="42" t="s">
        <v>35</v>
      </c>
      <c r="W42" s="42" t="s">
        <v>35</v>
      </c>
      <c r="X42" s="28" t="s">
        <v>35</v>
      </c>
      <c r="Y42" s="69" t="str" cm="1">
        <f t="array" ref="Y42">_xlfn.LET(_xlpm.cls,P42, _xlpm.ord,IFERROR(Q42,"#N/C"), _xlpm.subord,IFERROR(R42,"#N/C"), _xlpm.infr,IFERROR(S42,"#N/C"), _xlpm.sf,IFERROR(T42,"#N/C"), _xlpm.fam,IFERROR(U42,"#N/C"), _xlpm.subfam,IF(TRIM(V42)="-","#N/C",IFERROR(V42,"#N/C")),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_xlpm.fallback,IF(IFERROR(Q42,"#N/C")="#N/C",P42,IF(IFERROR(R42,"#N/C")="#N/C",Q42,IF(IFERROR(S42,"#N/C")="#N/C",R42,IF(IFERROR(T42,"#N/C")="#N/C",S42,IF(IFERROR(U42,"#N/C")="#N/C",T42,IF(IFERROR(V42,"#N/C")="#N/C",U42,"#N/C")))))), _xlpm.finalResult,IF(OR(_xlpm.computedResult="",_xlpm.computedResult="#N/C"),_xlpm.fallback,_xlpm.computedResult), INDEX(_xlpm.finalResult,1))</f>
        <v>Brachycera</v>
      </c>
      <c r="Z42" s="116" t="str" cm="1">
        <f t="array" ref="Z42">IF(OR(Y42="Insecta",Y42="Arachnida",Y42="#N/C"),"",IFERROR(_xlfn.LET(_xlpm.fc,IFERROR(_xlfn._xlws.FILTER(ClassificationClasses[],ClassificationClasses[Classification Class]=Y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,ClassificationClasses[Key])),0),MATCH(Y42,INDEX(ClassificationClasses[],MATCH(TRUE,ISNUMBER(SEARCH(Y42,ClassificationClasses[Key])),0),0),0)-1)))</f>
        <v>Diptera</v>
      </c>
      <c r="AA42" s="116" t="str" cm="1">
        <f t="array" ref="AA42">IFERROR(IF(OR(Z42="Insecta",Z42="Arachnida",Z42="#N/C"),"",INDEX(ClassificationClasses[[Class]:[Infraorder]],MATCH(TRUE,ISNUMBER(SEARCH(Z42,ClassificationClasses[Key])),0),MATCH(Z42,INDEX(ClassificationClasses[#Data], MATCH(TRUE,ISNUMBER(SEARCH(Z42,ClassificationClasses[Key])),0), 0), 0)-1)),"")</f>
        <v>Insecta</v>
      </c>
      <c r="AB42" s="116" t="str" cm="1">
        <f t="array" ref="AB42">IFERROR(IF(OR(AA42="Insecta",AA42="Arachnida",AA42="#N/C"),"",INDEX(ClassificationClasses[[Class]:[Suborder]],MATCH(TRUE,ISNUMBER(SEARCH(AA42,ClassificationClasses[Key])),0),MATCH(AA42,INDEX(ClassificationClasses[#Data], MATCH(TRUE,ISNUMBER(SEARCH(AA42,ClassificationClasses[Key])),0), 0), 0)-1)),"")</f>
        <v/>
      </c>
      <c r="AC42" s="116" t="str" cm="1">
        <f t="array" ref="AC42">IFERROR(IF(OR(AB42="Insecta",AB42="Arachnida",AB42="#N/C"),"",INDEX(ClassificationClasses[[Class]:[Suborder]],MATCH(TRUE,ISNUMBER(SEARCH(AB42,ClassificationClasses[Key])),0),MATCH(AB42,INDEX(ClassificationClasses[#Data], MATCH(TRUE,ISNUMBER(SEARCH(AB42,ClassificationClasses[Key])),0), 0), 0)-1)),"")</f>
        <v/>
      </c>
      <c r="AD42" s="116" t="str" cm="1">
        <f t="array" ref="AD42">IFERROR(IF(OR(AC42="Insecta",AC42="Arachnida",AC42="#N/C"),"",INDEX(ClassificationClasses[[Class]:[Suborder]],MATCH(TRUE,ISNUMBER(SEARCH(AC42,ClassificationClasses[Key])),0),MATCH(AC42,INDEX(ClassificationClasses[#Data], MATCH(TRUE,ISNUMBER(SEARCH(AC42,ClassificationClasses[Key])),0), 0), 0)-1)),"")</f>
        <v/>
      </c>
      <c r="AE42" s="18" t="str">
        <f t="shared" si="2"/>
        <v>Insecta.Diptera.Brachycera.#N/C.#N/C.#N/C.#N/C.#N/C.#N/C</v>
      </c>
    </row>
    <row r="43" spans="1:31" x14ac:dyDescent="0.3">
      <c r="A43" s="91">
        <v>42</v>
      </c>
      <c r="B43" s="7">
        <v>44390</v>
      </c>
      <c r="C43" s="92" t="s">
        <v>109</v>
      </c>
      <c r="D43" s="93" t="str">
        <f>HYPERLINK(VLOOKUP(C43,Video_List!$F:$J,5),"video")</f>
        <v>video</v>
      </c>
      <c r="E43" s="94" t="str">
        <f>IFERROR(IF(MATCH(C43,Video_List!$F:$F,)&gt;0,"ok",""),"error")</f>
        <v>ok</v>
      </c>
      <c r="F43" s="92" t="s">
        <v>109</v>
      </c>
      <c r="G43" s="93" t="str">
        <f>HYPERLINK(VLOOKUP(F43,Video_List!$F:$J,5),"video")</f>
        <v>video</v>
      </c>
      <c r="H43" s="94" t="str">
        <f>IFERROR(IF(MATCH(F43,Video_List!$F:$F,)&gt;0,"ok",""),"error")</f>
        <v>ok</v>
      </c>
      <c r="I43" s="17">
        <v>44390.411666666667</v>
      </c>
      <c r="J43" s="8">
        <v>44390.411759259259</v>
      </c>
      <c r="K43" s="15">
        <f t="shared" si="0"/>
        <v>9.2592592409346253E-5</v>
      </c>
      <c r="L43" s="4" t="s">
        <v>44</v>
      </c>
      <c r="M43" s="4" t="s">
        <v>33</v>
      </c>
      <c r="N43" s="96" t="str">
        <f>IF(ISBLANK(C43),"",IF(C43=F43, "1 video",CONCATENATE((+COUNTIFS(Video_List!$C:$C,"&lt;=" &amp;Monitoring!J43)-COUNTIFS(Video_List!$C:$C,"&lt;=" &amp;Monitoring!I43))+1," videos")))</f>
        <v>1 video</v>
      </c>
      <c r="O43" s="27" t="s">
        <v>32</v>
      </c>
      <c r="P43" s="42" t="s">
        <v>37</v>
      </c>
      <c r="Q43" s="42" t="s">
        <v>110</v>
      </c>
      <c r="R43" s="42">
        <v>0</v>
      </c>
      <c r="S43" s="97">
        <f>+IFERROR(IF(T43="#N/C","#N/C",IF(U43=0,INDEX(Taxonomy_UniqueValues!D:D,MATCH(U43,Taxonomy_UniqueValues!F:F,0)),INDEX(Taxonomy_UniqueValues!D:D,MATCH(T43,Taxonomy_UniqueValues!E:E,0)))),"#N/C")</f>
        <v>0</v>
      </c>
      <c r="T43" s="42" t="s">
        <v>111</v>
      </c>
      <c r="U43" s="42" t="s">
        <v>112</v>
      </c>
      <c r="V43" s="42">
        <v>0</v>
      </c>
      <c r="W43" s="42" t="s">
        <v>113</v>
      </c>
      <c r="X43" s="28" t="s">
        <v>35</v>
      </c>
      <c r="Y43" s="69" t="str" cm="1">
        <f t="array" ref="Y43">_xlfn.LET(_xlpm.cls,P43, _xlpm.ord,IFERROR(Q43,"#N/C"), _xlpm.subord,IFERROR(R43,"#N/C"), _xlpm.infr,IFERROR(S43,"#N/C"), _xlpm.sf,IFERROR(T43,"#N/C"), _xlpm.fam,IFERROR(U43,"#N/C"), _xlpm.subfam,IF(TRIM(V43)="-","#N/C",IFERROR(V43,"#N/C")),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_xlpm.fallback,IF(IFERROR(Q43,"#N/C")="#N/C",P43,IF(IFERROR(R43,"#N/C")="#N/C",Q43,IF(IFERROR(S43,"#N/C")="#N/C",R43,IF(IFERROR(T43,"#N/C")="#N/C",S43,IF(IFERROR(U43,"#N/C")="#N/C",T43,IF(IFERROR(V43,"#N/C")="#N/C",U43,"#N/C")))))), _xlpm.finalResult,IF(OR(_xlpm.computedResult="",_xlpm.computedResult="#N/C"),_xlpm.fallback,_xlpm.computedResult), INDEX(_xlpm.finalResult,1))</f>
        <v>scorpion_fly</v>
      </c>
      <c r="Z43" s="116" t="str" cm="1">
        <f t="array" ref="Z43">IF(OR(Y43="Insecta",Y43="Arachnida",Y43="#N/C"),"",IFERROR(_xlfn.LET(_xlpm.fc,IFERROR(_xlfn._xlws.FILTER(ClassificationClasses[],ClassificationClasses[Classification Class]=Y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43,ClassificationClasses[Key])),0),MATCH(Y43,INDEX(ClassificationClasses[],MATCH(TRUE,ISNUMBER(SEARCH(Y43,ClassificationClasses[Key])),0),0),0)-1)))</f>
        <v>Mecoptera</v>
      </c>
      <c r="AA43" s="116" t="str" cm="1">
        <f t="array" ref="AA43">IFERROR(IF(OR(Z43="Insecta",Z43="Arachnida",Z43="#N/C"),"",INDEX(ClassificationClasses[[Class]:[Infraorder]],MATCH(TRUE,ISNUMBER(SEARCH(Z43,ClassificationClasses[Key])),0),MATCH(Z43,INDEX(ClassificationClasses[#Data], MATCH(TRUE,ISNUMBER(SEARCH(Z43,ClassificationClasses[Key])),0), 0), 0)-1)),"")</f>
        <v>Insecta</v>
      </c>
      <c r="AB43" s="116" t="str" cm="1">
        <f t="array" ref="AB43">IFERROR(IF(OR(AA43="Insecta",AA43="Arachnida",AA43="#N/C"),"",INDEX(ClassificationClasses[[Class]:[Suborder]],MATCH(TRUE,ISNUMBER(SEARCH(AA43,ClassificationClasses[Key])),0),MATCH(AA43,INDEX(ClassificationClasses[#Data], MATCH(TRUE,ISNUMBER(SEARCH(AA43,ClassificationClasses[Key])),0), 0), 0)-1)),"")</f>
        <v/>
      </c>
      <c r="AC43" s="116" t="str" cm="1">
        <f t="array" ref="AC43">IFERROR(IF(OR(AB43="Insecta",AB43="Arachnida",AB43="#N/C"),"",INDEX(ClassificationClasses[[Class]:[Suborder]],MATCH(TRUE,ISNUMBER(SEARCH(AB43,ClassificationClasses[Key])),0),MATCH(AB43,INDEX(ClassificationClasses[#Data], MATCH(TRUE,ISNUMBER(SEARCH(AB43,ClassificationClasses[Key])),0), 0), 0)-1)),"")</f>
        <v/>
      </c>
      <c r="AD43" s="116" t="str" cm="1">
        <f t="array" ref="AD43">IFERROR(IF(OR(AC43="Insecta",AC43="Arachnida",AC43="#N/C"),"",INDEX(ClassificationClasses[[Class]:[Suborder]],MATCH(TRUE,ISNUMBER(SEARCH(AC43,ClassificationClasses[Key])),0),MATCH(AC43,INDEX(ClassificationClasses[#Data], MATCH(TRUE,ISNUMBER(SEARCH(AC43,ClassificationClasses[Key])),0), 0), 0)-1)),"")</f>
        <v/>
      </c>
      <c r="AE43" s="18" t="str">
        <f t="shared" si="2"/>
        <v>Insecta.Mecoptera.0.0.Panorpoidea.Panorpidae.0.Panorpa.#N/C</v>
      </c>
    </row>
    <row r="44" spans="1:31" x14ac:dyDescent="0.3">
      <c r="A44" s="91">
        <v>43</v>
      </c>
      <c r="B44" s="7">
        <v>44390</v>
      </c>
      <c r="C44" s="92" t="s">
        <v>114</v>
      </c>
      <c r="D44" s="93" t="str">
        <f>HYPERLINK(VLOOKUP(C44,Video_List!$F:$J,5),"video")</f>
        <v>video</v>
      </c>
      <c r="E44" s="94" t="str">
        <f>IFERROR(IF(MATCH(C44,Video_List!$F:$F,)&gt;0,"ok",""),"error")</f>
        <v>ok</v>
      </c>
      <c r="F44" s="92" t="s">
        <v>114</v>
      </c>
      <c r="G44" s="93" t="str">
        <f>HYPERLINK(VLOOKUP(F44,Video_List!$F:$J,5),"video")</f>
        <v>video</v>
      </c>
      <c r="H44" s="94" t="str">
        <f>IFERROR(IF(MATCH(F44,Video_List!$F:$F,)&gt;0,"ok",""),"error")</f>
        <v>ok</v>
      </c>
      <c r="I44" s="17">
        <v>44390.416504629633</v>
      </c>
      <c r="J44" s="8">
        <v>44390.416608796295</v>
      </c>
      <c r="K44" s="15">
        <f t="shared" si="0"/>
        <v>1.0416666191304103E-4</v>
      </c>
      <c r="L44" s="95" t="s">
        <v>55</v>
      </c>
      <c r="M44" s="95" t="s">
        <v>55</v>
      </c>
      <c r="N44" s="96" t="str">
        <f>IF(ISBLANK(C44),"",IF(C44=F44, "1 video",CONCATENATE((+COUNTIFS(Video_List!$C:$C,"&lt;=" &amp;Monitoring!J44)-COUNTIFS(Video_List!$C:$C,"&lt;=" &amp;Monitoring!I44))+1," videos")))</f>
        <v>1 video</v>
      </c>
      <c r="O44" s="29" t="s">
        <v>44</v>
      </c>
      <c r="P44" s="42" t="s">
        <v>37</v>
      </c>
      <c r="Q44" s="42" t="s">
        <v>38</v>
      </c>
      <c r="R44" s="42" t="s">
        <v>39</v>
      </c>
      <c r="S44" s="97" t="str">
        <f>+IFERROR(IF(T44="#N/C","#N/C",IF(U44=0,INDEX(Taxonomy_UniqueValues!D:D,MATCH(U44,Taxonomy_UniqueValues!F:F,0)),INDEX(Taxonomy_UniqueValues!D:D,MATCH(T44,Taxonomy_UniqueValues!E:E,0)))),"#N/C")</f>
        <v>Muscomorpha</v>
      </c>
      <c r="T44" s="42" t="s">
        <v>46</v>
      </c>
      <c r="U44" s="42" t="s">
        <v>47</v>
      </c>
      <c r="V44" s="42" t="s">
        <v>48</v>
      </c>
      <c r="W44" s="42" t="s">
        <v>35</v>
      </c>
      <c r="X44" s="28" t="s">
        <v>35</v>
      </c>
      <c r="Y44" s="69" t="str" cm="1">
        <f t="array" ref="Y44">_xlfn.LET(_xlpm.cls,P44, _xlpm.ord,IFERROR(Q44,"#N/C"), _xlpm.subord,IFERROR(R44,"#N/C"), _xlpm.infr,IFERROR(S44,"#N/C"), _xlpm.sf,IFERROR(T44,"#N/C"), _xlpm.fam,IFERROR(U44,"#N/C"), _xlpm.subfam,IF(TRIM(V44)="-","#N/C",IFERROR(V44,"#N/C")),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_xlpm.fallback,IF(IFERROR(Q44,"#N/C")="#N/C",P44,IF(IFERROR(R44,"#N/C")="#N/C",Q44,IF(IFERROR(S44,"#N/C")="#N/C",R44,IF(IFERROR(T44,"#N/C")="#N/C",S44,IF(IFERROR(U44,"#N/C")="#N/C",T44,IF(IFERROR(V44,"#N/C")="#N/C",U44,"#N/C")))))), _xlpm.finalResult,IF(OR(_xlpm.computedResult="",_xlpm.computedResult="#N/C"),_xlpm.fallback,_xlpm.computedResult), INDEX(_xlpm.finalResult,1))</f>
        <v>hoverfly</v>
      </c>
      <c r="Z44" s="116" t="str" cm="1">
        <f t="array" ref="Z44">IF(OR(Y44="Insecta",Y44="Arachnida",Y44="#N/C"),"",IFERROR(_xlfn.LET(_xlpm.fc,IFERROR(_xlfn._xlws.FILTER(ClassificationClasses[],ClassificationClasses[Classification Class]=Y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44,ClassificationClasses[Key])),0),MATCH(Y44,INDEX(ClassificationClasses[],MATCH(TRUE,ISNUMBER(SEARCH(Y44,ClassificationClasses[Key])),0),0),0)-1)))</f>
        <v>Muscomorpha</v>
      </c>
      <c r="AA44" s="116" t="str" cm="1">
        <f t="array" ref="AA44">IFERROR(IF(OR(Z44="Insecta",Z44="Arachnida",Z44="#N/C"),"",INDEX(ClassificationClasses[[Class]:[Infraorder]],MATCH(TRUE,ISNUMBER(SEARCH(Z44,ClassificationClasses[Key])),0),MATCH(Z44,INDEX(ClassificationClasses[#Data], MATCH(TRUE,ISNUMBER(SEARCH(Z44,ClassificationClasses[Key])),0), 0), 0)-1)),"")</f>
        <v>Brachycera</v>
      </c>
      <c r="AB44" s="116" t="str" cm="1">
        <f t="array" ref="AB44">IFERROR(IF(OR(AA44="Insecta",AA44="Arachnida",AA44="#N/C"),"",INDEX(ClassificationClasses[[Class]:[Suborder]],MATCH(TRUE,ISNUMBER(SEARCH(AA44,ClassificationClasses[Key])),0),MATCH(AA44,INDEX(ClassificationClasses[#Data], MATCH(TRUE,ISNUMBER(SEARCH(AA44,ClassificationClasses[Key])),0), 0), 0)-1)),"")</f>
        <v>Diptera</v>
      </c>
      <c r="AC44" s="116" t="str" cm="1">
        <f t="array" ref="AC44">IFERROR(IF(OR(AB44="Insecta",AB44="Arachnida",AB44="#N/C"),"",INDEX(ClassificationClasses[[Class]:[Suborder]],MATCH(TRUE,ISNUMBER(SEARCH(AB44,ClassificationClasses[Key])),0),MATCH(AB44,INDEX(ClassificationClasses[#Data], MATCH(TRUE,ISNUMBER(SEARCH(AB44,ClassificationClasses[Key])),0), 0), 0)-1)),"")</f>
        <v>Insecta</v>
      </c>
      <c r="AD44" s="116" t="str" cm="1">
        <f t="array" ref="AD44">IFERROR(IF(OR(AC44="Insecta",AC44="Arachnida",AC44="#N/C"),"",INDEX(ClassificationClasses[[Class]:[Suborder]],MATCH(TRUE,ISNUMBER(SEARCH(AC44,ClassificationClasses[Key])),0),MATCH(AC44,INDEX(ClassificationClasses[#Data], MATCH(TRUE,ISNUMBER(SEARCH(AC44,ClassificationClasses[Key])),0), 0), 0)-1)),"")</f>
        <v/>
      </c>
      <c r="AE44" s="18" t="str">
        <f t="shared" si="2"/>
        <v>Insecta.Diptera.Brachycera.Muscomorpha.Syrphoidea.Syrphidae.Syrphinae.#N/C.#N/C</v>
      </c>
    </row>
    <row r="45" spans="1:31" x14ac:dyDescent="0.3">
      <c r="A45" s="91">
        <v>44</v>
      </c>
      <c r="B45" s="7">
        <v>44390</v>
      </c>
      <c r="C45" s="92" t="s">
        <v>115</v>
      </c>
      <c r="D45" s="93" t="str">
        <f>HYPERLINK(VLOOKUP(C45,Video_List!$F:$J,5),"video")</f>
        <v>video</v>
      </c>
      <c r="E45" s="94" t="str">
        <f>IFERROR(IF(MATCH(C45,Video_List!$F:$F,)&gt;0,"ok",""),"error")</f>
        <v>ok</v>
      </c>
      <c r="F45" s="92" t="s">
        <v>115</v>
      </c>
      <c r="G45" s="93" t="str">
        <f>HYPERLINK(VLOOKUP(F45,Video_List!$F:$J,5),"video")</f>
        <v>video</v>
      </c>
      <c r="H45" s="94" t="str">
        <f>IFERROR(IF(MATCH(F45,Video_List!$F:$F,)&gt;0,"ok",""),"error")</f>
        <v>ok</v>
      </c>
      <c r="I45" s="17">
        <v>44390.434108796297</v>
      </c>
      <c r="J45" s="8">
        <v>44390.434236111112</v>
      </c>
      <c r="K45" s="15">
        <f t="shared" si="0"/>
        <v>1.273148154723458E-4</v>
      </c>
      <c r="L45" s="95" t="s">
        <v>32</v>
      </c>
      <c r="M45" s="95" t="s">
        <v>33</v>
      </c>
      <c r="N45" s="96" t="str">
        <f>IF(ISBLANK(C45),"",IF(C45=F45, "1 video",CONCATENATE((+COUNTIFS(Video_List!$C:$C,"&lt;=" &amp;Monitoring!J45)-COUNTIFS(Video_List!$C:$C,"&lt;=" &amp;Monitoring!I45))+1," videos")))</f>
        <v>1 video</v>
      </c>
      <c r="O45" s="29" t="s">
        <v>44</v>
      </c>
      <c r="P45" s="42" t="s">
        <v>37</v>
      </c>
      <c r="Q45" s="42" t="s">
        <v>38</v>
      </c>
      <c r="R45" s="42" t="s">
        <v>39</v>
      </c>
      <c r="S45" s="97" t="str">
        <f>+IFERROR(IF(T45="#N/C","#N/C",IF(U45=0,INDEX(Taxonomy_UniqueValues!D:D,MATCH(U45,Taxonomy_UniqueValues!F:F,0)),INDEX(Taxonomy_UniqueValues!D:D,MATCH(T45,Taxonomy_UniqueValues!E:E,0)))),"#N/C")</f>
        <v>#N/C</v>
      </c>
      <c r="T45" s="42" t="s">
        <v>35</v>
      </c>
      <c r="U45" s="42" t="s">
        <v>35</v>
      </c>
      <c r="V45" s="42" t="s">
        <v>35</v>
      </c>
      <c r="W45" s="42" t="s">
        <v>35</v>
      </c>
      <c r="X45" s="28" t="s">
        <v>35</v>
      </c>
      <c r="Y45" s="69" t="str" cm="1">
        <f t="array" ref="Y45">_xlfn.LET(_xlpm.cls,P45, _xlpm.ord,IFERROR(Q45,"#N/C"), _xlpm.subord,IFERROR(R45,"#N/C"), _xlpm.infr,IFERROR(S45,"#N/C"), _xlpm.sf,IFERROR(T45,"#N/C"), _xlpm.fam,IFERROR(U45,"#N/C"), _xlpm.subfam,IF(TRIM(V45)="-","#N/C",IFERROR(V45,"#N/C")),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_xlpm.fallback,IF(IFERROR(Q45,"#N/C")="#N/C",P45,IF(IFERROR(R45,"#N/C")="#N/C",Q45,IF(IFERROR(S45,"#N/C")="#N/C",R45,IF(IFERROR(T45,"#N/C")="#N/C",S45,IF(IFERROR(U45,"#N/C")="#N/C",T45,IF(IFERROR(V45,"#N/C")="#N/C",U45,"#N/C")))))), _xlpm.finalResult,IF(OR(_xlpm.computedResult="",_xlpm.computedResult="#N/C"),_xlpm.fallback,_xlpm.computedResult), INDEX(_xlpm.finalResult,1))</f>
        <v>Brachycera</v>
      </c>
      <c r="Z45" s="116" t="str" cm="1">
        <f t="array" ref="Z45">IF(OR(Y45="Insecta",Y45="Arachnida",Y45="#N/C"),"",IFERROR(_xlfn.LET(_xlpm.fc,IFERROR(_xlfn._xlws.FILTER(ClassificationClasses[],ClassificationClasses[Classification Class]=Y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45,ClassificationClasses[Key])),0),MATCH(Y45,INDEX(ClassificationClasses[],MATCH(TRUE,ISNUMBER(SEARCH(Y45,ClassificationClasses[Key])),0),0),0)-1)))</f>
        <v>Diptera</v>
      </c>
      <c r="AA45" s="116" t="str" cm="1">
        <f t="array" ref="AA45">IFERROR(IF(OR(Z45="Insecta",Z45="Arachnida",Z45="#N/C"),"",INDEX(ClassificationClasses[[Class]:[Infraorder]],MATCH(TRUE,ISNUMBER(SEARCH(Z45,ClassificationClasses[Key])),0),MATCH(Z45,INDEX(ClassificationClasses[#Data], MATCH(TRUE,ISNUMBER(SEARCH(Z45,ClassificationClasses[Key])),0), 0), 0)-1)),"")</f>
        <v>Insecta</v>
      </c>
      <c r="AB45" s="116" t="str" cm="1">
        <f t="array" ref="AB45">IFERROR(IF(OR(AA45="Insecta",AA45="Arachnida",AA45="#N/C"),"",INDEX(ClassificationClasses[[Class]:[Suborder]],MATCH(TRUE,ISNUMBER(SEARCH(AA45,ClassificationClasses[Key])),0),MATCH(AA45,INDEX(ClassificationClasses[#Data], MATCH(TRUE,ISNUMBER(SEARCH(AA45,ClassificationClasses[Key])),0), 0), 0)-1)),"")</f>
        <v/>
      </c>
      <c r="AC45" s="116" t="str" cm="1">
        <f t="array" ref="AC45">IFERROR(IF(OR(AB45="Insecta",AB45="Arachnida",AB45="#N/C"),"",INDEX(ClassificationClasses[[Class]:[Suborder]],MATCH(TRUE,ISNUMBER(SEARCH(AB45,ClassificationClasses[Key])),0),MATCH(AB45,INDEX(ClassificationClasses[#Data], MATCH(TRUE,ISNUMBER(SEARCH(AB45,ClassificationClasses[Key])),0), 0), 0)-1)),"")</f>
        <v/>
      </c>
      <c r="AD45" s="116" t="str" cm="1">
        <f t="array" ref="AD45">IFERROR(IF(OR(AC45="Insecta",AC45="Arachnida",AC45="#N/C"),"",INDEX(ClassificationClasses[[Class]:[Suborder]],MATCH(TRUE,ISNUMBER(SEARCH(AC45,ClassificationClasses[Key])),0),MATCH(AC45,INDEX(ClassificationClasses[#Data], MATCH(TRUE,ISNUMBER(SEARCH(AC45,ClassificationClasses[Key])),0), 0), 0)-1)),"")</f>
        <v/>
      </c>
      <c r="AE45" s="18" t="str">
        <f t="shared" si="2"/>
        <v>Insecta.Diptera.Brachycera.#N/C.#N/C.#N/C.#N/C.#N/C.#N/C</v>
      </c>
    </row>
    <row r="46" spans="1:31" x14ac:dyDescent="0.3">
      <c r="A46" s="91">
        <v>45</v>
      </c>
      <c r="B46" s="7">
        <v>44390</v>
      </c>
      <c r="C46" s="92" t="s">
        <v>116</v>
      </c>
      <c r="D46" s="93" t="str">
        <f>HYPERLINK(VLOOKUP(C46,Video_List!$F:$J,5),"video")</f>
        <v>video</v>
      </c>
      <c r="E46" s="94" t="str">
        <f>IFERROR(IF(MATCH(C46,Video_List!$F:$F,)&gt;0,"ok",""),"error")</f>
        <v>ok</v>
      </c>
      <c r="F46" s="92" t="s">
        <v>117</v>
      </c>
      <c r="G46" s="93" t="str">
        <f>HYPERLINK(VLOOKUP(F46,Video_List!$F:$J,5),"video")</f>
        <v>video</v>
      </c>
      <c r="H46" s="94" t="str">
        <f>IFERROR(IF(MATCH(F46,Video_List!$F:$F,)&gt;0,"ok",""),"error")</f>
        <v>ok</v>
      </c>
      <c r="I46" s="17">
        <v>44390.460833333331</v>
      </c>
      <c r="J46" s="8">
        <v>44390.503692129627</v>
      </c>
      <c r="K46" s="15">
        <f t="shared" si="0"/>
        <v>4.2858796296059154E-2</v>
      </c>
      <c r="L46" s="95" t="s">
        <v>44</v>
      </c>
      <c r="M46" s="95" t="s">
        <v>118</v>
      </c>
      <c r="N46" s="96" t="str">
        <f>IF(ISBLANK(C46),"",IF(C46=F46, "1 video",CONCATENATE((+COUNTIFS(Video_List!$C:$C,"&lt;=" &amp;Monitoring!J46)-COUNTIFS(Video_List!$C:$C,"&lt;=" &amp;Monitoring!I46))+1," videos")))</f>
        <v>4 videos</v>
      </c>
      <c r="O46" s="29" t="s">
        <v>44</v>
      </c>
      <c r="P46" s="42" t="s">
        <v>37</v>
      </c>
      <c r="Q46" s="42" t="s">
        <v>41</v>
      </c>
      <c r="R46" s="42" t="s">
        <v>42</v>
      </c>
      <c r="S46" s="119" t="str">
        <f>+IFERROR(IF(T46="#N/C","#N/C",IF(U46=0,INDEX(Taxonomy_UniqueValues!D:D,MATCH(U46,Taxonomy_UniqueValues!F:F,0)),INDEX(Taxonomy_UniqueValues!D:D,MATCH(T46,Taxonomy_UniqueValues!E:E,0)))),"#N/C")</f>
        <v>Aculeata</v>
      </c>
      <c r="T46" s="120" t="str">
        <f>+IFERROR(IF(U46="#N/C","#N/C",INDEX(Taxonomy_UniqueValues!E:E,MATCH(U46,Taxonomy_UniqueValues!F:F,0))),"#N/C")</f>
        <v>Formicoidea</v>
      </c>
      <c r="U46" s="120" t="str">
        <f>+IFERROR(IF(V46="#N/C","#N/C",INDEX(Taxonomy_UniqueValues!F:F,MATCH(V46,Taxonomy_UniqueValues!G:G,0))),"#N/C")</f>
        <v>Formicidae</v>
      </c>
      <c r="V46" s="120" t="s">
        <v>121</v>
      </c>
      <c r="W46" s="42" t="s">
        <v>35</v>
      </c>
      <c r="X46" s="28" t="s">
        <v>35</v>
      </c>
      <c r="Y46" s="69" t="str" cm="1">
        <f t="array" ref="Y46">_xlfn.LET(_xlpm.cls,P46, _xlpm.ord,IFERROR(Q46,"#N/C"), _xlpm.subord,IFERROR(R46,"#N/C"), _xlpm.infr,IFERROR(S46,"#N/C"), _xlpm.sf,IFERROR(T46,"#N/C"), _xlpm.fam,IFERROR(U46,"#N/C"), _xlpm.subfam,IF(TRIM(V46)="-","#N/C",IFERROR(V46,"#N/C")),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_xlpm.fallback,IF(IFERROR(Q46,"#N/C")="#N/C",P46,IF(IFERROR(R46,"#N/C")="#N/C",Q46,IF(IFERROR(S46,"#N/C")="#N/C",R46,IF(IFERROR(T46,"#N/C")="#N/C",S46,IF(IFERROR(U46,"#N/C")="#N/C",T46,IF(IFERROR(V46,"#N/C")="#N/C",U46,"#N/C")))))), _xlpm.finalResult,IF(OR(_xlpm.computedResult="",_xlpm.computedResult="#N/C"),_xlpm.fallback,_xlpm.computedResult), INDEX(_xlpm.finalResult,1))</f>
        <v>ant</v>
      </c>
      <c r="Z46" s="116" t="str" cm="1">
        <f t="array" ref="Z46">IF(OR(Y46="Insecta",Y46="Arachnida",Y46="#N/C"),"",IFERROR(_xlfn.LET(_xlpm.fc,IFERROR(_xlfn._xlws.FILTER(ClassificationClasses[],ClassificationClasses[Classification Class]=Y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46,ClassificationClasses[Key])),0),MATCH(Y46,INDEX(ClassificationClasses[],MATCH(TRUE,ISNUMBER(SEARCH(Y46,ClassificationClasses[Key])),0),0),0)-1)))</f>
        <v>Aculeata</v>
      </c>
      <c r="AA46" s="116" t="str" cm="1">
        <f t="array" ref="AA46">IFERROR(IF(OR(Z46="Insecta",Z46="Arachnida",Z46="#N/C"),"",INDEX(ClassificationClasses[[Class]:[Infraorder]],MATCH(TRUE,ISNUMBER(SEARCH(Z46,ClassificationClasses[Key])),0),MATCH(Z46,INDEX(ClassificationClasses[#Data], MATCH(TRUE,ISNUMBER(SEARCH(Z46,ClassificationClasses[Key])),0), 0), 0)-1)),"")</f>
        <v>Apocrita</v>
      </c>
      <c r="AB46" s="116" t="str" cm="1">
        <f t="array" ref="AB46">IFERROR(IF(OR(AA46="Insecta",AA46="Arachnida",AA46="#N/C"),"",INDEX(ClassificationClasses[[Class]:[Suborder]],MATCH(TRUE,ISNUMBER(SEARCH(AA46,ClassificationClasses[Key])),0),MATCH(AA46,INDEX(ClassificationClasses[#Data], MATCH(TRUE,ISNUMBER(SEARCH(AA46,ClassificationClasses[Key])),0), 0), 0)-1)),"")</f>
        <v>Hymenoptera</v>
      </c>
      <c r="AC46" s="116" t="str" cm="1">
        <f t="array" ref="AC46">IFERROR(IF(OR(AB46="Insecta",AB46="Arachnida",AB46="#N/C"),"",INDEX(ClassificationClasses[[Class]:[Suborder]],MATCH(TRUE,ISNUMBER(SEARCH(AB46,ClassificationClasses[Key])),0),MATCH(AB46,INDEX(ClassificationClasses[#Data], MATCH(TRUE,ISNUMBER(SEARCH(AB46,ClassificationClasses[Key])),0), 0), 0)-1)),"")</f>
        <v>Insecta</v>
      </c>
      <c r="AD46" s="116" t="str" cm="1">
        <f t="array" ref="AD46">IFERROR(IF(OR(AC46="Insecta",AC46="Arachnida",AC46="#N/C"),"",INDEX(ClassificationClasses[[Class]:[Suborder]],MATCH(TRUE,ISNUMBER(SEARCH(AC46,ClassificationClasses[Key])),0),MATCH(AC46,INDEX(ClassificationClasses[#Data], MATCH(TRUE,ISNUMBER(SEARCH(AC46,ClassificationClasses[Key])),0), 0), 0)-1)),"")</f>
        <v/>
      </c>
      <c r="AE46" s="18" t="str">
        <f t="shared" si="2"/>
        <v>Insecta.Hymenoptera.Apocrita.Aculeata.Formicoidea.Formicidae.Formicinae.#N/C.#N/C</v>
      </c>
    </row>
    <row r="47" spans="1:31" x14ac:dyDescent="0.3">
      <c r="A47" s="91">
        <v>46</v>
      </c>
      <c r="B47" s="7">
        <v>44390</v>
      </c>
      <c r="C47" s="92" t="s">
        <v>116</v>
      </c>
      <c r="D47" s="93" t="str">
        <f>HYPERLINK(VLOOKUP(C47,Video_List!$F:$J,5),"video")</f>
        <v>video</v>
      </c>
      <c r="E47" s="94" t="str">
        <f>IFERROR(IF(MATCH(C47,Video_List!$F:$F,)&gt;0,"ok",""),"error")</f>
        <v>ok</v>
      </c>
      <c r="F47" s="92" t="s">
        <v>122</v>
      </c>
      <c r="G47" s="93" t="str">
        <f>HYPERLINK(VLOOKUP(F47,Video_List!$F:$J,5),"video")</f>
        <v>video</v>
      </c>
      <c r="H47" s="94" t="str">
        <f>IFERROR(IF(MATCH(F47,Video_List!$F:$F,)&gt;0,"ok",""),"error")</f>
        <v>ok</v>
      </c>
      <c r="I47" s="17">
        <v>44390.466192129628</v>
      </c>
      <c r="J47" s="8">
        <v>44390.466666666667</v>
      </c>
      <c r="K47" s="15">
        <f t="shared" si="0"/>
        <v>4.7453703882638365E-4</v>
      </c>
      <c r="L47" s="4" t="s">
        <v>44</v>
      </c>
      <c r="M47" s="4" t="s">
        <v>33</v>
      </c>
      <c r="N47" s="96" t="str">
        <f>IF(ISBLANK(C47),"",IF(C47=F47, "1 video",CONCATENATE((+COUNTIFS(Video_List!$C:$C,"&lt;=" &amp;Monitoring!J47)-COUNTIFS(Video_List!$C:$C,"&lt;=" &amp;Monitoring!I47))+1," videos")))</f>
        <v>2 videos</v>
      </c>
      <c r="O47" s="29" t="s">
        <v>44</v>
      </c>
      <c r="P47" s="42" t="s">
        <v>37</v>
      </c>
      <c r="Q47" s="42" t="s">
        <v>123</v>
      </c>
      <c r="R47" s="42" t="s">
        <v>124</v>
      </c>
      <c r="S47" s="97" t="str">
        <f>+IFERROR(IF(T47="#N/C","#N/C",IF(U47=0,INDEX(Taxonomy_UniqueValues!D:D,MATCH(U47,Taxonomy_UniqueValues!F:F,0)),INDEX(Taxonomy_UniqueValues!D:D,MATCH(T47,Taxonomy_UniqueValues!E:E,0)))),"#N/C")</f>
        <v>Acrididea</v>
      </c>
      <c r="T47" s="42" t="s">
        <v>125</v>
      </c>
      <c r="U47" s="42" t="s">
        <v>126</v>
      </c>
      <c r="V47" s="42" t="s">
        <v>35</v>
      </c>
      <c r="W47" s="42" t="s">
        <v>35</v>
      </c>
      <c r="X47" s="28" t="s">
        <v>35</v>
      </c>
      <c r="Y47" s="69" t="str" cm="1">
        <f t="array" ref="Y47">_xlfn.LET(_xlpm.cls,P47, _xlpm.ord,IFERROR(Q47,"#N/C"), _xlpm.subord,IFERROR(R47,"#N/C"), _xlpm.infr,IFERROR(S47,"#N/C"), _xlpm.sf,IFERROR(T47,"#N/C"), _xlpm.fam,IFERROR(U47,"#N/C"), _xlpm.subfam,IF(TRIM(V47)="-","#N/C",IFERROR(V47,"#N/C")),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_xlpm.fallback,IF(IFERROR(Q47,"#N/C")="#N/C",P47,IF(IFERROR(R47,"#N/C")="#N/C",Q47,IF(IFERROR(S47,"#N/C")="#N/C",R47,IF(IFERROR(T47,"#N/C")="#N/C",S47,IF(IFERROR(U47,"#N/C")="#N/C",T47,IF(IFERROR(V47,"#N/C")="#N/C",U47,"#N/C")))))), _xlpm.finalResult,IF(OR(_xlpm.computedResult="",_xlpm.computedResult="#N/C"),_xlpm.fallback,_xlpm.computedResult), INDEX(_xlpm.finalResult,1))</f>
        <v>grasshopper</v>
      </c>
      <c r="Z47" s="116" t="str" cm="1">
        <f t="array" ref="Z47">IF(OR(Y47="Insecta",Y47="Arachnida",Y47="#N/C"),"",IFERROR(_xlfn.LET(_xlpm.fc,IFERROR(_xlfn._xlws.FILTER(ClassificationClasses[],ClassificationClasses[Classification Class]=Y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47,ClassificationClasses[Key])),0),MATCH(Y47,INDEX(ClassificationClasses[],MATCH(TRUE,ISNUMBER(SEARCH(Y47,ClassificationClasses[Key])),0),0),0)-1)))</f>
        <v>Orthoptera</v>
      </c>
      <c r="AA47" s="116" t="str" cm="1">
        <f t="array" ref="AA47">IFERROR(IF(OR(Z47="Insecta",Z47="Arachnida",Z47="#N/C"),"",INDEX(ClassificationClasses[[Class]:[Infraorder]],MATCH(TRUE,ISNUMBER(SEARCH(Z47,ClassificationClasses[Key])),0),MATCH(Z47,INDEX(ClassificationClasses[#Data], MATCH(TRUE,ISNUMBER(SEARCH(Z47,ClassificationClasses[Key])),0), 0), 0)-1)),"")</f>
        <v>Insecta</v>
      </c>
      <c r="AB47" s="116" t="str" cm="1">
        <f t="array" ref="AB47">IFERROR(IF(OR(AA47="Insecta",AA47="Arachnida",AA47="#N/C"),"",INDEX(ClassificationClasses[[Class]:[Suborder]],MATCH(TRUE,ISNUMBER(SEARCH(AA47,ClassificationClasses[Key])),0),MATCH(AA47,INDEX(ClassificationClasses[#Data], MATCH(TRUE,ISNUMBER(SEARCH(AA47,ClassificationClasses[Key])),0), 0), 0)-1)),"")</f>
        <v/>
      </c>
      <c r="AC47" s="116" t="str" cm="1">
        <f t="array" ref="AC47">IFERROR(IF(OR(AB47="Insecta",AB47="Arachnida",AB47="#N/C"),"",INDEX(ClassificationClasses[[Class]:[Suborder]],MATCH(TRUE,ISNUMBER(SEARCH(AB47,ClassificationClasses[Key])),0),MATCH(AB47,INDEX(ClassificationClasses[#Data], MATCH(TRUE,ISNUMBER(SEARCH(AB47,ClassificationClasses[Key])),0), 0), 0)-1)),"")</f>
        <v/>
      </c>
      <c r="AD47" s="116" t="str" cm="1">
        <f t="array" ref="AD47">IFERROR(IF(OR(AC47="Insecta",AC47="Arachnida",AC47="#N/C"),"",INDEX(ClassificationClasses[[Class]:[Suborder]],MATCH(TRUE,ISNUMBER(SEARCH(AC47,ClassificationClasses[Key])),0),MATCH(AC47,INDEX(ClassificationClasses[#Data], MATCH(TRUE,ISNUMBER(SEARCH(AC47,ClassificationClasses[Key])),0), 0), 0)-1)),"")</f>
        <v/>
      </c>
      <c r="AE47" s="18" t="str">
        <f t="shared" si="2"/>
        <v>Insecta.Orthoptera.Caelifera.Acrididea.Acridoidea.Acrididae.#N/C.#N/C.#N/C</v>
      </c>
    </row>
    <row r="48" spans="1:31" x14ac:dyDescent="0.3">
      <c r="A48" s="91">
        <v>47</v>
      </c>
      <c r="B48" s="7">
        <v>44390</v>
      </c>
      <c r="C48" s="92" t="s">
        <v>122</v>
      </c>
      <c r="D48" s="93" t="str">
        <f>HYPERLINK(VLOOKUP(C48,Video_List!$F:$J,5),"video")</f>
        <v>video</v>
      </c>
      <c r="E48" s="94" t="str">
        <f>IFERROR(IF(MATCH(C48,Video_List!$F:$F,)&gt;0,"ok",""),"error")</f>
        <v>ok</v>
      </c>
      <c r="F48" s="92" t="s">
        <v>117</v>
      </c>
      <c r="G48" s="93" t="str">
        <f>HYPERLINK(VLOOKUP(F48,Video_List!$F:$J,5),"video")</f>
        <v>video</v>
      </c>
      <c r="H48" s="94" t="str">
        <f>IFERROR(IF(MATCH(F48,Video_List!$F:$F,)&gt;0,"ok",""),"error")</f>
        <v>ok</v>
      </c>
      <c r="I48" s="17">
        <v>44390.490682870368</v>
      </c>
      <c r="J48" s="8">
        <v>44390.496527777781</v>
      </c>
      <c r="K48" s="15">
        <f t="shared" si="0"/>
        <v>5.8449074131203815E-3</v>
      </c>
      <c r="L48" s="4" t="s">
        <v>44</v>
      </c>
      <c r="M48" s="4" t="s">
        <v>33</v>
      </c>
      <c r="N48" s="96" t="str">
        <f>IF(ISBLANK(C48),"",IF(C48=F48, "1 video",CONCATENATE((+COUNTIFS(Video_List!$C:$C,"&lt;=" &amp;Monitoring!J48)-COUNTIFS(Video_List!$C:$C,"&lt;=" &amp;Monitoring!I48))+1," videos")))</f>
        <v>3 videos</v>
      </c>
      <c r="O48" s="27" t="s">
        <v>32</v>
      </c>
      <c r="P48" s="42" t="s">
        <v>37</v>
      </c>
      <c r="Q48" s="42" t="s">
        <v>76</v>
      </c>
      <c r="R48" s="42" t="s">
        <v>77</v>
      </c>
      <c r="S48" s="97" t="str">
        <f>+IFERROR(IF(T48="#N/C","#N/C",IF(U48=0,INDEX(Taxonomy_UniqueValues!D:D,MATCH(U48,Taxonomy_UniqueValues!F:F,0)),INDEX(Taxonomy_UniqueValues!D:D,MATCH(T48,Taxonomy_UniqueValues!E:E,0)))),"#N/C")</f>
        <v>Cucujiformia</v>
      </c>
      <c r="T48" s="42" t="s">
        <v>78</v>
      </c>
      <c r="U48" s="42" t="s">
        <v>79</v>
      </c>
      <c r="V48" s="42" t="s">
        <v>80</v>
      </c>
      <c r="W48" s="42" t="s">
        <v>127</v>
      </c>
      <c r="X48" s="28" t="s">
        <v>128</v>
      </c>
      <c r="Y48" s="69" t="str" cm="1">
        <f t="array" ref="Y48">_xlfn.LET(_xlpm.cls,P48, _xlpm.ord,IFERROR(Q48,"#N/C"), _xlpm.subord,IFERROR(R48,"#N/C"), _xlpm.infr,IFERROR(S48,"#N/C"), _xlpm.sf,IFERROR(T48,"#N/C"), _xlpm.fam,IFERROR(U48,"#N/C"), _xlpm.subfam,IF(TRIM(V48)="-","#N/C",IFERROR(V48,"#N/C")),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_xlpm.fallback,IF(IFERROR(Q48,"#N/C")="#N/C",P48,IF(IFERROR(R48,"#N/C")="#N/C",Q48,IF(IFERROR(S48,"#N/C")="#N/C",R48,IF(IFERROR(T48,"#N/C")="#N/C",S48,IF(IFERROR(U48,"#N/C")="#N/C",T48,IF(IFERROR(V48,"#N/C")="#N/C",U48,"#N/C")))))), _xlpm.finalResult,IF(OR(_xlpm.computedResult="",_xlpm.computedResult="#N/C"),_xlpm.fallback,_xlpm.computedResult), INDEX(_xlpm.finalResult,1))</f>
        <v>ladybug</v>
      </c>
      <c r="Z48" s="116" t="str" cm="1">
        <f t="array" ref="Z48">IF(OR(Y48="Insecta",Y48="Arachnida",Y48="#N/C"),"",IFERROR(_xlfn.LET(_xlpm.fc,IFERROR(_xlfn._xlws.FILTER(ClassificationClasses[],ClassificationClasses[Classification Class]=Y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48,ClassificationClasses[Key])),0),MATCH(Y48,INDEX(ClassificationClasses[],MATCH(TRUE,ISNUMBER(SEARCH(Y48,ClassificationClasses[Key])),0),0),0)-1)))</f>
        <v>Cucujiformia</v>
      </c>
      <c r="AA48" s="116" t="str" cm="1">
        <f t="array" ref="AA48">IFERROR(IF(OR(Z48="Insecta",Z48="Arachnida",Z48="#N/C"),"",INDEX(ClassificationClasses[[Class]:[Infraorder]],MATCH(TRUE,ISNUMBER(SEARCH(Z48,ClassificationClasses[Key])),0),MATCH(Z48,INDEX(ClassificationClasses[#Data], MATCH(TRUE,ISNUMBER(SEARCH(Z48,ClassificationClasses[Key])),0), 0), 0)-1)),"")</f>
        <v>Polyphaga</v>
      </c>
      <c r="AB48" s="116" t="str" cm="1">
        <f t="array" ref="AB48">IFERROR(IF(OR(AA48="Insecta",AA48="Arachnida",AA48="#N/C"),"",INDEX(ClassificationClasses[[Class]:[Suborder]],MATCH(TRUE,ISNUMBER(SEARCH(AA48,ClassificationClasses[Key])),0),MATCH(AA48,INDEX(ClassificationClasses[#Data], MATCH(TRUE,ISNUMBER(SEARCH(AA48,ClassificationClasses[Key])),0), 0), 0)-1)),"")</f>
        <v>Coleoptera</v>
      </c>
      <c r="AC48" s="116" t="str" cm="1">
        <f t="array" ref="AC48">IFERROR(IF(OR(AB48="Insecta",AB48="Arachnida",AB48="#N/C"),"",INDEX(ClassificationClasses[[Class]:[Suborder]],MATCH(TRUE,ISNUMBER(SEARCH(AB48,ClassificationClasses[Key])),0),MATCH(AB48,INDEX(ClassificationClasses[#Data], MATCH(TRUE,ISNUMBER(SEARCH(AB48,ClassificationClasses[Key])),0), 0), 0)-1)),"")</f>
        <v>Insecta</v>
      </c>
      <c r="AD48" s="116" t="str" cm="1">
        <f t="array" ref="AD48">IFERROR(IF(OR(AC48="Insecta",AC48="Arachnida",AC48="#N/C"),"",INDEX(ClassificationClasses[[Class]:[Suborder]],MATCH(TRUE,ISNUMBER(SEARCH(AC48,ClassificationClasses[Key])),0),MATCH(AC48,INDEX(ClassificationClasses[#Data], MATCH(TRUE,ISNUMBER(SEARCH(AC48,ClassificationClasses[Key])),0), 0), 0)-1)),"")</f>
        <v/>
      </c>
      <c r="AE48" s="18" t="str">
        <f t="shared" si="2"/>
        <v>Insecta.Coleoptera.Polyphaga.Cucujiformia.Coccinelloidea.Coccinellidae.Coccinellinae.Psyllobora.vigintiduopunctata</v>
      </c>
    </row>
    <row r="49" spans="1:31" x14ac:dyDescent="0.3">
      <c r="A49" s="91">
        <v>48</v>
      </c>
      <c r="B49" s="7">
        <v>44390</v>
      </c>
      <c r="C49" s="92" t="s">
        <v>129</v>
      </c>
      <c r="D49" s="93" t="str">
        <f>HYPERLINK(VLOOKUP(C49,Video_List!$F:$J,5),"video")</f>
        <v>video</v>
      </c>
      <c r="E49" s="94" t="str">
        <f>IFERROR(IF(MATCH(C49,Video_List!$F:$F,)&gt;0,"ok",""),"error")</f>
        <v>ok</v>
      </c>
      <c r="F49" s="92" t="s">
        <v>129</v>
      </c>
      <c r="G49" s="93" t="str">
        <f>HYPERLINK(VLOOKUP(F49,Video_List!$F:$J,5),"video")</f>
        <v>video</v>
      </c>
      <c r="H49" s="94" t="str">
        <f>IFERROR(IF(MATCH(F49,Video_List!$F:$F,)&gt;0,"ok",""),"error")</f>
        <v>ok</v>
      </c>
      <c r="I49" s="17">
        <v>44390.515324074076</v>
      </c>
      <c r="J49" s="8">
        <v>44390.515405092592</v>
      </c>
      <c r="K49" s="15">
        <f t="shared" si="0"/>
        <v>8.1018515629693866E-5</v>
      </c>
      <c r="L49" s="95" t="s">
        <v>32</v>
      </c>
      <c r="M49" s="95" t="s">
        <v>33</v>
      </c>
      <c r="N49" s="96" t="str">
        <f>IF(ISBLANK(C49),"",IF(C49=F49, "1 video",CONCATENATE((+COUNTIFS(Video_List!$C:$C,"&lt;=" &amp;Monitoring!J49)-COUNTIFS(Video_List!$C:$C,"&lt;=" &amp;Monitoring!I49))+1," videos")))</f>
        <v>1 video</v>
      </c>
      <c r="O49" s="29" t="s">
        <v>44</v>
      </c>
      <c r="P49" s="42" t="s">
        <v>37</v>
      </c>
      <c r="Q49" s="42" t="s">
        <v>38</v>
      </c>
      <c r="R49" s="42" t="s">
        <v>39</v>
      </c>
      <c r="S49" s="97" t="str">
        <f>+IFERROR(IF(T49="#N/C","#N/C",IF(U49=0,INDEX(Taxonomy_UniqueValues!D:D,MATCH(U49,Taxonomy_UniqueValues!F:F,0)),INDEX(Taxonomy_UniqueValues!D:D,MATCH(T49,Taxonomy_UniqueValues!E:E,0)))),"#N/C")</f>
        <v>#N/C</v>
      </c>
      <c r="T49" s="42" t="s">
        <v>35</v>
      </c>
      <c r="U49" s="42" t="s">
        <v>35</v>
      </c>
      <c r="V49" s="42" t="s">
        <v>35</v>
      </c>
      <c r="W49" s="42" t="s">
        <v>35</v>
      </c>
      <c r="X49" s="28" t="s">
        <v>35</v>
      </c>
      <c r="Y49" s="69" t="str" cm="1">
        <f t="array" ref="Y49">_xlfn.LET(_xlpm.cls,P49, _xlpm.ord,IFERROR(Q49,"#N/C"), _xlpm.subord,IFERROR(R49,"#N/C"), _xlpm.infr,IFERROR(S49,"#N/C"), _xlpm.sf,IFERROR(T49,"#N/C"), _xlpm.fam,IFERROR(U49,"#N/C"), _xlpm.subfam,IF(TRIM(V49)="-","#N/C",IFERROR(V49,"#N/C")),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_xlpm.fallback,IF(IFERROR(Q49,"#N/C")="#N/C",P49,IF(IFERROR(R49,"#N/C")="#N/C",Q49,IF(IFERROR(S49,"#N/C")="#N/C",R49,IF(IFERROR(T49,"#N/C")="#N/C",S49,IF(IFERROR(U49,"#N/C")="#N/C",T49,IF(IFERROR(V49,"#N/C")="#N/C",U49,"#N/C")))))), _xlpm.finalResult,IF(OR(_xlpm.computedResult="",_xlpm.computedResult="#N/C"),_xlpm.fallback,_xlpm.computedResult), INDEX(_xlpm.finalResult,1))</f>
        <v>Brachycera</v>
      </c>
      <c r="Z49" s="116" t="str" cm="1">
        <f t="array" ref="Z49">IF(OR(Y49="Insecta",Y49="Arachnida",Y49="#N/C"),"",IFERROR(_xlfn.LET(_xlpm.fc,IFERROR(_xlfn._xlws.FILTER(ClassificationClasses[],ClassificationClasses[Classification Class]=Y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49,ClassificationClasses[Key])),0),MATCH(Y49,INDEX(ClassificationClasses[],MATCH(TRUE,ISNUMBER(SEARCH(Y49,ClassificationClasses[Key])),0),0),0)-1)))</f>
        <v>Diptera</v>
      </c>
      <c r="AA49" s="116" t="str" cm="1">
        <f t="array" ref="AA49">IFERROR(IF(OR(Z49="Insecta",Z49="Arachnida",Z49="#N/C"),"",INDEX(ClassificationClasses[[Class]:[Infraorder]],MATCH(TRUE,ISNUMBER(SEARCH(Z49,ClassificationClasses[Key])),0),MATCH(Z49,INDEX(ClassificationClasses[#Data], MATCH(TRUE,ISNUMBER(SEARCH(Z49,ClassificationClasses[Key])),0), 0), 0)-1)),"")</f>
        <v>Insecta</v>
      </c>
      <c r="AB49" s="116" t="str" cm="1">
        <f t="array" ref="AB49">IFERROR(IF(OR(AA49="Insecta",AA49="Arachnida",AA49="#N/C"),"",INDEX(ClassificationClasses[[Class]:[Suborder]],MATCH(TRUE,ISNUMBER(SEARCH(AA49,ClassificationClasses[Key])),0),MATCH(AA49,INDEX(ClassificationClasses[#Data], MATCH(TRUE,ISNUMBER(SEARCH(AA49,ClassificationClasses[Key])),0), 0), 0)-1)),"")</f>
        <v/>
      </c>
      <c r="AC49" s="116" t="str" cm="1">
        <f t="array" ref="AC49">IFERROR(IF(OR(AB49="Insecta",AB49="Arachnida",AB49="#N/C"),"",INDEX(ClassificationClasses[[Class]:[Suborder]],MATCH(TRUE,ISNUMBER(SEARCH(AB49,ClassificationClasses[Key])),0),MATCH(AB49,INDEX(ClassificationClasses[#Data], MATCH(TRUE,ISNUMBER(SEARCH(AB49,ClassificationClasses[Key])),0), 0), 0)-1)),"")</f>
        <v/>
      </c>
      <c r="AD49" s="116" t="str" cm="1">
        <f t="array" ref="AD49">IFERROR(IF(OR(AC49="Insecta",AC49="Arachnida",AC49="#N/C"),"",INDEX(ClassificationClasses[[Class]:[Suborder]],MATCH(TRUE,ISNUMBER(SEARCH(AC49,ClassificationClasses[Key])),0),MATCH(AC49,INDEX(ClassificationClasses[#Data], MATCH(TRUE,ISNUMBER(SEARCH(AC49,ClassificationClasses[Key])),0), 0), 0)-1)),"")</f>
        <v/>
      </c>
      <c r="AE49" s="18" t="str">
        <f t="shared" si="2"/>
        <v>Insecta.Diptera.Brachycera.#N/C.#N/C.#N/C.#N/C.#N/C.#N/C</v>
      </c>
    </row>
    <row r="50" spans="1:31" x14ac:dyDescent="0.3">
      <c r="A50" s="91">
        <v>49</v>
      </c>
      <c r="B50" s="7">
        <v>44390</v>
      </c>
      <c r="C50" s="92" t="s">
        <v>130</v>
      </c>
      <c r="D50" s="93" t="str">
        <f>HYPERLINK(VLOOKUP(C50,Video_List!$F:$J,5),"video")</f>
        <v>video</v>
      </c>
      <c r="E50" s="94" t="str">
        <f>IFERROR(IF(MATCH(C50,Video_List!$F:$F,)&gt;0,"ok",""),"error")</f>
        <v>ok</v>
      </c>
      <c r="F50" s="92" t="s">
        <v>130</v>
      </c>
      <c r="G50" s="93" t="str">
        <f>HYPERLINK(VLOOKUP(F50,Video_List!$F:$J,5),"video")</f>
        <v>video</v>
      </c>
      <c r="H50" s="94" t="str">
        <f>IFERROR(IF(MATCH(F50,Video_List!$F:$F,)&gt;0,"ok",""),"error")</f>
        <v>ok</v>
      </c>
      <c r="I50" s="17">
        <v>44390.518541666665</v>
      </c>
      <c r="J50" s="8">
        <v>44390.518587962964</v>
      </c>
      <c r="K50" s="15">
        <f t="shared" si="0"/>
        <v>4.6296299842651933E-5</v>
      </c>
      <c r="L50" s="4" t="s">
        <v>32</v>
      </c>
      <c r="M50" s="4" t="s">
        <v>33</v>
      </c>
      <c r="N50" s="96" t="str">
        <f>IF(ISBLANK(C50),"",IF(C50=F50, "1 video",CONCATENATE((+COUNTIFS(Video_List!$C:$C,"&lt;=" &amp;Monitoring!J50)-COUNTIFS(Video_List!$C:$C,"&lt;=" &amp;Monitoring!I50))+1," videos")))</f>
        <v>1 video</v>
      </c>
      <c r="O50" s="27" t="s">
        <v>32</v>
      </c>
      <c r="P50" s="42" t="s">
        <v>37</v>
      </c>
      <c r="Q50" s="42" t="s">
        <v>41</v>
      </c>
      <c r="R50" s="42" t="s">
        <v>42</v>
      </c>
      <c r="S50" s="97" t="str">
        <f>+IFERROR(IF(T50="#N/C","#N/C",IF(U50=0,INDEX(Taxonomy_UniqueValues!D:D,MATCH(U50,Taxonomy_UniqueValues!F:F,0)),INDEX(Taxonomy_UniqueValues!D:D,MATCH(T50,Taxonomy_UniqueValues!E:E,0)))),"#N/C")</f>
        <v>Aculeata</v>
      </c>
      <c r="T50" s="42" t="s">
        <v>131</v>
      </c>
      <c r="U50" s="42" t="s">
        <v>132</v>
      </c>
      <c r="V50" s="42" t="s">
        <v>133</v>
      </c>
      <c r="W50" s="42" t="s">
        <v>134</v>
      </c>
      <c r="X50" s="28" t="s">
        <v>35</v>
      </c>
      <c r="Y50" s="69" t="str" cm="1">
        <f t="array" ref="Y50">_xlfn.LET(_xlpm.cls,P50, _xlpm.ord,IFERROR(Q50,"#N/C"), _xlpm.subord,IFERROR(R50,"#N/C"), _xlpm.infr,IFERROR(S50,"#N/C"), _xlpm.sf,IFERROR(T50,"#N/C"), _xlpm.fam,IFERROR(U50,"#N/C"), _xlpm.subfam,IF(TRIM(V50)="-","#N/C",IFERROR(V50,"#N/C")),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_xlpm.fallback,IF(IFERROR(Q50,"#N/C")="#N/C",P50,IF(IFERROR(R50,"#N/C")="#N/C",Q50,IF(IFERROR(S50,"#N/C")="#N/C",R50,IF(IFERROR(T50,"#N/C")="#N/C",S50,IF(IFERROR(U50,"#N/C")="#N/C",T50,IF(IFERROR(V50,"#N/C")="#N/C",U50,"#N/C")))))), _xlpm.finalResult,IF(OR(_xlpm.computedResult="",_xlpm.computedResult="#N/C"),_xlpm.fallback,_xlpm.computedResult), INDEX(_xlpm.finalResult,1))</f>
        <v>bee</v>
      </c>
      <c r="Z50" s="116" t="str" cm="1">
        <f t="array" ref="Z50">IF(OR(Y50="Insecta",Y50="Arachnida",Y50="#N/C"),"",IFERROR(_xlfn.LET(_xlpm.fc,IFERROR(_xlfn._xlws.FILTER(ClassificationClasses[],ClassificationClasses[Classification Class]=Y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50,ClassificationClasses[Key])),0),MATCH(Y50,INDEX(ClassificationClasses[],MATCH(TRUE,ISNUMBER(SEARCH(Y50,ClassificationClasses[Key])),0),0),0)-1)))</f>
        <v>Aculeata</v>
      </c>
      <c r="AA50" s="116" t="str" cm="1">
        <f t="array" ref="AA50">IFERROR(IF(OR(Z50="Insecta",Z50="Arachnida",Z50="#N/C"),"",INDEX(ClassificationClasses[[Class]:[Infraorder]],MATCH(TRUE,ISNUMBER(SEARCH(Z50,ClassificationClasses[Key])),0),MATCH(Z50,INDEX(ClassificationClasses[#Data], MATCH(TRUE,ISNUMBER(SEARCH(Z50,ClassificationClasses[Key])),0), 0), 0)-1)),"")</f>
        <v>Apocrita</v>
      </c>
      <c r="AB50" s="116" t="str" cm="1">
        <f t="array" ref="AB50">IFERROR(IF(OR(AA50="Insecta",AA50="Arachnida",AA50="#N/C"),"",INDEX(ClassificationClasses[[Class]:[Suborder]],MATCH(TRUE,ISNUMBER(SEARCH(AA50,ClassificationClasses[Key])),0),MATCH(AA50,INDEX(ClassificationClasses[#Data], MATCH(TRUE,ISNUMBER(SEARCH(AA50,ClassificationClasses[Key])),0), 0), 0)-1)),"")</f>
        <v>Hymenoptera</v>
      </c>
      <c r="AC50" s="116" t="str" cm="1">
        <f t="array" ref="AC50">IFERROR(IF(OR(AB50="Insecta",AB50="Arachnida",AB50="#N/C"),"",INDEX(ClassificationClasses[[Class]:[Suborder]],MATCH(TRUE,ISNUMBER(SEARCH(AB50,ClassificationClasses[Key])),0),MATCH(AB50,INDEX(ClassificationClasses[#Data], MATCH(TRUE,ISNUMBER(SEARCH(AB50,ClassificationClasses[Key])),0), 0), 0)-1)),"")</f>
        <v>Insecta</v>
      </c>
      <c r="AD50" s="116" t="str" cm="1">
        <f t="array" ref="AD50">IFERROR(IF(OR(AC50="Insecta",AC50="Arachnida",AC50="#N/C"),"",INDEX(ClassificationClasses[[Class]:[Suborder]],MATCH(TRUE,ISNUMBER(SEARCH(AC50,ClassificationClasses[Key])),0),MATCH(AC50,INDEX(ClassificationClasses[#Data], MATCH(TRUE,ISNUMBER(SEARCH(AC50,ClassificationClasses[Key])),0), 0), 0)-1)),"")</f>
        <v/>
      </c>
      <c r="AE50" s="18" t="str">
        <f t="shared" si="2"/>
        <v>Insecta.Hymenoptera.Apocrita.Aculeata.Apoidea.Apidae.Apinae.Bombus.#N/C</v>
      </c>
    </row>
    <row r="51" spans="1:31" x14ac:dyDescent="0.3">
      <c r="A51" s="91">
        <v>50</v>
      </c>
      <c r="B51" s="7">
        <v>44390</v>
      </c>
      <c r="C51" s="92" t="s">
        <v>135</v>
      </c>
      <c r="D51" s="93" t="str">
        <f>HYPERLINK(VLOOKUP(C51,Video_List!$F:$J,5),"video")</f>
        <v>video</v>
      </c>
      <c r="E51" s="94" t="str">
        <f>IFERROR(IF(MATCH(C51,Video_List!$F:$F,)&gt;0,"ok",""),"error")</f>
        <v>ok</v>
      </c>
      <c r="F51" s="92" t="s">
        <v>135</v>
      </c>
      <c r="G51" s="93" t="str">
        <f>HYPERLINK(VLOOKUP(F51,Video_List!$F:$J,5),"video")</f>
        <v>video</v>
      </c>
      <c r="H51" s="94" t="str">
        <f>IFERROR(IF(MATCH(F51,Video_List!$F:$F,)&gt;0,"ok",""),"error")</f>
        <v>ok</v>
      </c>
      <c r="I51" s="17">
        <v>44390.52721064815</v>
      </c>
      <c r="J51" s="8">
        <v>44390.527268518519</v>
      </c>
      <c r="K51" s="15">
        <f t="shared" si="0"/>
        <v>5.7870369346346706E-5</v>
      </c>
      <c r="L51" s="4" t="s">
        <v>44</v>
      </c>
      <c r="M51" s="4" t="s">
        <v>33</v>
      </c>
      <c r="N51" s="96" t="str">
        <f>IF(ISBLANK(C51),"",IF(C51=F51, "1 video",CONCATENATE((+COUNTIFS(Video_List!$C:$C,"&lt;=" &amp;Monitoring!J51)-COUNTIFS(Video_List!$C:$C,"&lt;=" &amp;Monitoring!I51))+1," videos")))</f>
        <v>1 video</v>
      </c>
      <c r="O51" s="27" t="s">
        <v>32</v>
      </c>
      <c r="P51" s="42" t="s">
        <v>37</v>
      </c>
      <c r="Q51" s="42" t="s">
        <v>41</v>
      </c>
      <c r="R51" s="42" t="s">
        <v>42</v>
      </c>
      <c r="S51" s="97" t="str">
        <f>+IFERROR(IF(T51="#N/C","#N/C",IF(U51=0,INDEX(Taxonomy_UniqueValues!D:D,MATCH(U51,Taxonomy_UniqueValues!F:F,0)),INDEX(Taxonomy_UniqueValues!D:D,MATCH(T51,Taxonomy_UniqueValues!E:E,0)))),"#N/C")</f>
        <v>Parasitica</v>
      </c>
      <c r="T51" s="42" t="s">
        <v>71</v>
      </c>
      <c r="U51" s="42" t="s">
        <v>72</v>
      </c>
      <c r="V51" s="42" t="s">
        <v>136</v>
      </c>
      <c r="W51" s="120" t="s">
        <v>137</v>
      </c>
      <c r="X51" s="120" t="s">
        <v>138</v>
      </c>
      <c r="Y51" s="69" t="str" cm="1">
        <f t="array" ref="Y51">_xlfn.LET(_xlpm.cls,P51, _xlpm.ord,IFERROR(Q51,"#N/C"), _xlpm.subord,IFERROR(R51,"#N/C"), _xlpm.infr,IFERROR(S51,"#N/C"), _xlpm.sf,IFERROR(T51,"#N/C"), _xlpm.fam,IFERROR(U51,"#N/C"), _xlpm.subfam,IF(TRIM(V51)="-","#N/C",IFERROR(V51,"#N/C")),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_xlpm.fallback,IF(IFERROR(Q51,"#N/C")="#N/C",P51,IF(IFERROR(R51,"#N/C")="#N/C",Q51,IF(IFERROR(S51,"#N/C")="#N/C",R51,IF(IFERROR(T51,"#N/C")="#N/C",S51,IF(IFERROR(U51,"#N/C")="#N/C",T51,IF(IFERROR(V51,"#N/C")="#N/C",U51,"#N/C")))))), _xlpm.finalResult,IF(OR(_xlpm.computedResult="",_xlpm.computedResult="#N/C"),_xlpm.fallback,_xlpm.computedResult), INDEX(_xlpm.finalResult,1))</f>
        <v>Ichneumonidae</v>
      </c>
      <c r="Z51" s="116" t="str" cm="1">
        <f t="array" ref="Z51">IF(OR(Y51="Insecta",Y51="Arachnida",Y51="#N/C"),"",IFERROR(_xlfn.LET(_xlpm.fc,IFERROR(_xlfn._xlws.FILTER(ClassificationClasses[],ClassificationClasses[Classification Class]=Y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51,ClassificationClasses[Key])),0),MATCH(Y51,INDEX(ClassificationClasses[],MATCH(TRUE,ISNUMBER(SEARCH(Y51,ClassificationClasses[Key])),0),0),0)-1)))</f>
        <v>Ichneumonoidea</v>
      </c>
      <c r="AA51" s="116" t="str" cm="1">
        <f t="array" ref="AA51">IFERROR(IF(OR(Z51="Insecta",Z51="Arachnida",Z51="#N/C"),"",INDEX(ClassificationClasses[[Class]:[Infraorder]],MATCH(TRUE,ISNUMBER(SEARCH(Z51,ClassificationClasses[Key])),0),MATCH(Z51,INDEX(ClassificationClasses[#Data], MATCH(TRUE,ISNUMBER(SEARCH(Z51,ClassificationClasses[Key])),0), 0), 0)-1)),"")</f>
        <v>Parasitica</v>
      </c>
      <c r="AB51" s="116" t="str" cm="1">
        <f t="array" ref="AB51">IFERROR(IF(OR(AA51="Insecta",AA51="Arachnida",AA51="#N/C"),"",INDEX(ClassificationClasses[[Class]:[Suborder]],MATCH(TRUE,ISNUMBER(SEARCH(AA51,ClassificationClasses[Key])),0),MATCH(AA51,INDEX(ClassificationClasses[#Data], MATCH(TRUE,ISNUMBER(SEARCH(AA51,ClassificationClasses[Key])),0), 0), 0)-1)),"")</f>
        <v>Apocrita</v>
      </c>
      <c r="AC51" s="116" t="str" cm="1">
        <f t="array" ref="AC51">IFERROR(IF(OR(AB51="Insecta",AB51="Arachnida",AB51="#N/C"),"",INDEX(ClassificationClasses[[Class]:[Suborder]],MATCH(TRUE,ISNUMBER(SEARCH(AB51,ClassificationClasses[Key])),0),MATCH(AB51,INDEX(ClassificationClasses[#Data], MATCH(TRUE,ISNUMBER(SEARCH(AB51,ClassificationClasses[Key])),0), 0), 0)-1)),"")</f>
        <v>Hymenoptera</v>
      </c>
      <c r="AD51" s="116" t="str" cm="1">
        <f t="array" ref="AD51">IFERROR(IF(OR(AC51="Insecta",AC51="Arachnida",AC51="#N/C"),"",INDEX(ClassificationClasses[[Class]:[Suborder]],MATCH(TRUE,ISNUMBER(SEARCH(AC51,ClassificationClasses[Key])),0),MATCH(AC51,INDEX(ClassificationClasses[#Data], MATCH(TRUE,ISNUMBER(SEARCH(AC51,ClassificationClasses[Key])),0), 0), 0)-1)),"")</f>
        <v>Insecta</v>
      </c>
      <c r="AE51" s="18" t="str">
        <f t="shared" si="2"/>
        <v>Insecta.Hymenoptera.Apocrita.Parasitica.Ichneumonoidea.Ichneumonidae.Pimplinae.Pimpla.rufipes</v>
      </c>
    </row>
    <row r="52" spans="1:31" x14ac:dyDescent="0.3">
      <c r="A52" s="91">
        <v>51</v>
      </c>
      <c r="B52" s="7">
        <v>44390</v>
      </c>
      <c r="C52" s="92" t="s">
        <v>139</v>
      </c>
      <c r="D52" s="93" t="str">
        <f>HYPERLINK(VLOOKUP(C52,Video_List!$F:$J,5),"video")</f>
        <v>video</v>
      </c>
      <c r="E52" s="94" t="str">
        <f>IFERROR(IF(MATCH(C52,Video_List!$F:$F,)&gt;0,"ok",""),"error")</f>
        <v>ok</v>
      </c>
      <c r="F52" s="92" t="s">
        <v>139</v>
      </c>
      <c r="G52" s="93" t="str">
        <f>HYPERLINK(VLOOKUP(F52,Video_List!$F:$J,5),"video")</f>
        <v>video</v>
      </c>
      <c r="H52" s="94" t="str">
        <f>IFERROR(IF(MATCH(F52,Video_List!$F:$F,)&gt;0,"ok",""),"error")</f>
        <v>ok</v>
      </c>
      <c r="I52" s="17">
        <v>44390.546655092592</v>
      </c>
      <c r="J52" s="8">
        <v>44390.546701388892</v>
      </c>
      <c r="K52" s="15">
        <f t="shared" si="0"/>
        <v>4.6296299842651933E-5</v>
      </c>
      <c r="L52" s="95" t="s">
        <v>55</v>
      </c>
      <c r="M52" s="95" t="s">
        <v>55</v>
      </c>
      <c r="N52" s="96" t="str">
        <f>IF(ISBLANK(C52),"",IF(C52=F52, "1 video",CONCATENATE((+COUNTIFS(Video_List!$C:$C,"&lt;=" &amp;Monitoring!J52)-COUNTIFS(Video_List!$C:$C,"&lt;=" &amp;Monitoring!I52))+1," videos")))</f>
        <v>1 video</v>
      </c>
      <c r="O52" s="29" t="s">
        <v>44</v>
      </c>
      <c r="P52" s="42" t="s">
        <v>37</v>
      </c>
      <c r="Q52" s="42" t="s">
        <v>38</v>
      </c>
      <c r="R52" s="42" t="s">
        <v>39</v>
      </c>
      <c r="S52" s="97" t="str">
        <f>+IFERROR(IF(T52="#N/C","#N/C",IF(U52=0,INDEX(Taxonomy_UniqueValues!D:D,MATCH(U52,Taxonomy_UniqueValues!F:F,0)),INDEX(Taxonomy_UniqueValues!D:D,MATCH(T52,Taxonomy_UniqueValues!E:E,0)))),"#N/C")</f>
        <v>#N/C</v>
      </c>
      <c r="T52" s="42" t="s">
        <v>35</v>
      </c>
      <c r="U52" s="42" t="s">
        <v>35</v>
      </c>
      <c r="V52" s="42" t="s">
        <v>35</v>
      </c>
      <c r="W52" s="42" t="s">
        <v>35</v>
      </c>
      <c r="X52" s="28" t="s">
        <v>35</v>
      </c>
      <c r="Y52" s="69" t="str" cm="1">
        <f t="array" ref="Y52">_xlfn.LET(_xlpm.cls,P52, _xlpm.ord,IFERROR(Q52,"#N/C"), _xlpm.subord,IFERROR(R52,"#N/C"), _xlpm.infr,IFERROR(S52,"#N/C"), _xlpm.sf,IFERROR(T52,"#N/C"), _xlpm.fam,IFERROR(U52,"#N/C"), _xlpm.subfam,IF(TRIM(V52)="-","#N/C",IFERROR(V52,"#N/C")),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_xlpm.fallback,IF(IFERROR(Q52,"#N/C")="#N/C",P52,IF(IFERROR(R52,"#N/C")="#N/C",Q52,IF(IFERROR(S52,"#N/C")="#N/C",R52,IF(IFERROR(T52,"#N/C")="#N/C",S52,IF(IFERROR(U52,"#N/C")="#N/C",T52,IF(IFERROR(V52,"#N/C")="#N/C",U52,"#N/C")))))), _xlpm.finalResult,IF(OR(_xlpm.computedResult="",_xlpm.computedResult="#N/C"),_xlpm.fallback,_xlpm.computedResult), INDEX(_xlpm.finalResult,1))</f>
        <v>Brachycera</v>
      </c>
      <c r="Z52" s="116" t="str" cm="1">
        <f t="array" ref="Z52">IF(OR(Y52="Insecta",Y52="Arachnida",Y52="#N/C"),"",IFERROR(_xlfn.LET(_xlpm.fc,IFERROR(_xlfn._xlws.FILTER(ClassificationClasses[],ClassificationClasses[Classification Class]=Y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52,ClassificationClasses[Key])),0),MATCH(Y52,INDEX(ClassificationClasses[],MATCH(TRUE,ISNUMBER(SEARCH(Y52,ClassificationClasses[Key])),0),0),0)-1)))</f>
        <v>Diptera</v>
      </c>
      <c r="AA52" s="116" t="str" cm="1">
        <f t="array" ref="AA52">IFERROR(IF(OR(Z52="Insecta",Z52="Arachnida",Z52="#N/C"),"",INDEX(ClassificationClasses[[Class]:[Infraorder]],MATCH(TRUE,ISNUMBER(SEARCH(Z52,ClassificationClasses[Key])),0),MATCH(Z52,INDEX(ClassificationClasses[#Data], MATCH(TRUE,ISNUMBER(SEARCH(Z52,ClassificationClasses[Key])),0), 0), 0)-1)),"")</f>
        <v>Insecta</v>
      </c>
      <c r="AB52" s="116" t="str" cm="1">
        <f t="array" ref="AB52">IFERROR(IF(OR(AA52="Insecta",AA52="Arachnida",AA52="#N/C"),"",INDEX(ClassificationClasses[[Class]:[Suborder]],MATCH(TRUE,ISNUMBER(SEARCH(AA52,ClassificationClasses[Key])),0),MATCH(AA52,INDEX(ClassificationClasses[#Data], MATCH(TRUE,ISNUMBER(SEARCH(AA52,ClassificationClasses[Key])),0), 0), 0)-1)),"")</f>
        <v/>
      </c>
      <c r="AC52" s="116" t="str" cm="1">
        <f t="array" ref="AC52">IFERROR(IF(OR(AB52="Insecta",AB52="Arachnida",AB52="#N/C"),"",INDEX(ClassificationClasses[[Class]:[Suborder]],MATCH(TRUE,ISNUMBER(SEARCH(AB52,ClassificationClasses[Key])),0),MATCH(AB52,INDEX(ClassificationClasses[#Data], MATCH(TRUE,ISNUMBER(SEARCH(AB52,ClassificationClasses[Key])),0), 0), 0)-1)),"")</f>
        <v/>
      </c>
      <c r="AD52" s="116" t="str" cm="1">
        <f t="array" ref="AD52">IFERROR(IF(OR(AC52="Insecta",AC52="Arachnida",AC52="#N/C"),"",INDEX(ClassificationClasses[[Class]:[Suborder]],MATCH(TRUE,ISNUMBER(SEARCH(AC52,ClassificationClasses[Key])),0),MATCH(AC52,INDEX(ClassificationClasses[#Data], MATCH(TRUE,ISNUMBER(SEARCH(AC52,ClassificationClasses[Key])),0), 0), 0)-1)),"")</f>
        <v/>
      </c>
      <c r="AE52" s="18" t="str">
        <f t="shared" si="2"/>
        <v>Insecta.Diptera.Brachycera.#N/C.#N/C.#N/C.#N/C.#N/C.#N/C</v>
      </c>
    </row>
    <row r="53" spans="1:31" x14ac:dyDescent="0.3">
      <c r="A53" s="91">
        <v>52</v>
      </c>
      <c r="B53" s="7">
        <v>44390</v>
      </c>
      <c r="C53" s="92" t="s">
        <v>140</v>
      </c>
      <c r="D53" s="93" t="str">
        <f>HYPERLINK(VLOOKUP(C53,Video_List!$F:$J,5),"video")</f>
        <v>video</v>
      </c>
      <c r="E53" s="94" t="str">
        <f>IFERROR(IF(MATCH(C53,Video_List!$F:$F,)&gt;0,"ok",""),"error")</f>
        <v>ok</v>
      </c>
      <c r="F53" s="92" t="s">
        <v>140</v>
      </c>
      <c r="G53" s="93" t="str">
        <f>HYPERLINK(VLOOKUP(F53,Video_List!$F:$J,5),"video")</f>
        <v>video</v>
      </c>
      <c r="H53" s="94" t="str">
        <f>IFERROR(IF(MATCH(F53,Video_List!$F:$F,)&gt;0,"ok",""),"error")</f>
        <v>ok</v>
      </c>
      <c r="I53" s="17">
        <v>44390.556006944447</v>
      </c>
      <c r="J53" s="8">
        <v>44390.556122685186</v>
      </c>
      <c r="K53" s="15">
        <f t="shared" si="0"/>
        <v>1.1574073869269341E-4</v>
      </c>
      <c r="L53" s="95" t="s">
        <v>32</v>
      </c>
      <c r="M53" s="95" t="s">
        <v>33</v>
      </c>
      <c r="N53" s="96" t="str">
        <f>IF(ISBLANK(C53),"",IF(C53=F53, "1 video",CONCATENATE((+COUNTIFS(Video_List!$C:$C,"&lt;=" &amp;Monitoring!J53)-COUNTIFS(Video_List!$C:$C,"&lt;=" &amp;Monitoring!I53))+1," videos")))</f>
        <v>1 video</v>
      </c>
      <c r="O53" s="29" t="s">
        <v>44</v>
      </c>
      <c r="P53" s="42" t="s">
        <v>37</v>
      </c>
      <c r="Q53" s="42" t="s">
        <v>38</v>
      </c>
      <c r="R53" s="42" t="s">
        <v>39</v>
      </c>
      <c r="S53" s="97" t="str">
        <f>+IFERROR(IF(T53="#N/C","#N/C",IF(U53=0,INDEX(Taxonomy_UniqueValues!D:D,MATCH(U53,Taxonomy_UniqueValues!F:F,0)),INDEX(Taxonomy_UniqueValues!D:D,MATCH(T53,Taxonomy_UniqueValues!E:E,0)))),"#N/C")</f>
        <v>#N/C</v>
      </c>
      <c r="T53" s="42" t="s">
        <v>35</v>
      </c>
      <c r="U53" s="42" t="s">
        <v>35</v>
      </c>
      <c r="V53" s="42" t="s">
        <v>35</v>
      </c>
      <c r="W53" s="42" t="s">
        <v>35</v>
      </c>
      <c r="X53" s="28" t="s">
        <v>35</v>
      </c>
      <c r="Y53" s="69" t="str" cm="1">
        <f t="array" ref="Y53">_xlfn.LET(_xlpm.cls,P53, _xlpm.ord,IFERROR(Q53,"#N/C"), _xlpm.subord,IFERROR(R53,"#N/C"), _xlpm.infr,IFERROR(S53,"#N/C"), _xlpm.sf,IFERROR(T53,"#N/C"), _xlpm.fam,IFERROR(U53,"#N/C"), _xlpm.subfam,IF(TRIM(V53)="-","#N/C",IFERROR(V53,"#N/C")),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_xlpm.fallback,IF(IFERROR(Q53,"#N/C")="#N/C",P53,IF(IFERROR(R53,"#N/C")="#N/C",Q53,IF(IFERROR(S53,"#N/C")="#N/C",R53,IF(IFERROR(T53,"#N/C")="#N/C",S53,IF(IFERROR(U53,"#N/C")="#N/C",T53,IF(IFERROR(V53,"#N/C")="#N/C",U53,"#N/C")))))), _xlpm.finalResult,IF(OR(_xlpm.computedResult="",_xlpm.computedResult="#N/C"),_xlpm.fallback,_xlpm.computedResult), INDEX(_xlpm.finalResult,1))</f>
        <v>Brachycera</v>
      </c>
      <c r="Z53" s="116" t="str" cm="1">
        <f t="array" ref="Z53">IF(OR(Y53="Insecta",Y53="Arachnida",Y53="#N/C"),"",IFERROR(_xlfn.LET(_xlpm.fc,IFERROR(_xlfn._xlws.FILTER(ClassificationClasses[],ClassificationClasses[Classification Class]=Y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53,ClassificationClasses[Key])),0),MATCH(Y53,INDEX(ClassificationClasses[],MATCH(TRUE,ISNUMBER(SEARCH(Y53,ClassificationClasses[Key])),0),0),0)-1)))</f>
        <v>Diptera</v>
      </c>
      <c r="AA53" s="116" t="str" cm="1">
        <f t="array" ref="AA53">IFERROR(IF(OR(Z53="Insecta",Z53="Arachnida",Z53="#N/C"),"",INDEX(ClassificationClasses[[Class]:[Infraorder]],MATCH(TRUE,ISNUMBER(SEARCH(Z53,ClassificationClasses[Key])),0),MATCH(Z53,INDEX(ClassificationClasses[#Data], MATCH(TRUE,ISNUMBER(SEARCH(Z53,ClassificationClasses[Key])),0), 0), 0)-1)),"")</f>
        <v>Insecta</v>
      </c>
      <c r="AB53" s="116" t="str" cm="1">
        <f t="array" ref="AB53">IFERROR(IF(OR(AA53="Insecta",AA53="Arachnida",AA53="#N/C"),"",INDEX(ClassificationClasses[[Class]:[Suborder]],MATCH(TRUE,ISNUMBER(SEARCH(AA53,ClassificationClasses[Key])),0),MATCH(AA53,INDEX(ClassificationClasses[#Data], MATCH(TRUE,ISNUMBER(SEARCH(AA53,ClassificationClasses[Key])),0), 0), 0)-1)),"")</f>
        <v/>
      </c>
      <c r="AC53" s="116" t="str" cm="1">
        <f t="array" ref="AC53">IFERROR(IF(OR(AB53="Insecta",AB53="Arachnida",AB53="#N/C"),"",INDEX(ClassificationClasses[[Class]:[Suborder]],MATCH(TRUE,ISNUMBER(SEARCH(AB53,ClassificationClasses[Key])),0),MATCH(AB53,INDEX(ClassificationClasses[#Data], MATCH(TRUE,ISNUMBER(SEARCH(AB53,ClassificationClasses[Key])),0), 0), 0)-1)),"")</f>
        <v/>
      </c>
      <c r="AD53" s="116" t="str" cm="1">
        <f t="array" ref="AD53">IFERROR(IF(OR(AC53="Insecta",AC53="Arachnida",AC53="#N/C"),"",INDEX(ClassificationClasses[[Class]:[Suborder]],MATCH(TRUE,ISNUMBER(SEARCH(AC53,ClassificationClasses[Key])),0),MATCH(AC53,INDEX(ClassificationClasses[#Data], MATCH(TRUE,ISNUMBER(SEARCH(AC53,ClassificationClasses[Key])),0), 0), 0)-1)),"")</f>
        <v/>
      </c>
      <c r="AE53" s="18" t="str">
        <f t="shared" si="2"/>
        <v>Insecta.Diptera.Brachycera.#N/C.#N/C.#N/C.#N/C.#N/C.#N/C</v>
      </c>
    </row>
    <row r="54" spans="1:31" x14ac:dyDescent="0.3">
      <c r="A54" s="91">
        <v>53</v>
      </c>
      <c r="B54" s="7">
        <v>44390</v>
      </c>
      <c r="C54" s="92" t="s">
        <v>141</v>
      </c>
      <c r="D54" s="93" t="str">
        <f>HYPERLINK(VLOOKUP(C54,Video_List!$F:$J,5),"video")</f>
        <v>video</v>
      </c>
      <c r="E54" s="94" t="str">
        <f>IFERROR(IF(MATCH(C54,Video_List!$F:$F,)&gt;0,"ok",""),"error")</f>
        <v>ok</v>
      </c>
      <c r="F54" s="92" t="s">
        <v>142</v>
      </c>
      <c r="G54" s="93" t="str">
        <f>HYPERLINK(VLOOKUP(F54,Video_List!$F:$J,5),"video")</f>
        <v>video</v>
      </c>
      <c r="H54" s="94" t="str">
        <f>IFERROR(IF(MATCH(F54,Video_List!$F:$F,)&gt;0,"ok",""),"error")</f>
        <v>ok</v>
      </c>
      <c r="I54" s="17">
        <v>44390.56077546296</v>
      </c>
      <c r="J54" s="8">
        <v>44390.601481481484</v>
      </c>
      <c r="K54" s="15">
        <f t="shared" si="0"/>
        <v>4.0706018524360843E-2</v>
      </c>
      <c r="L54" s="95" t="s">
        <v>55</v>
      </c>
      <c r="M54" s="95" t="s">
        <v>55</v>
      </c>
      <c r="N54" s="96" t="str">
        <f>IF(ISBLANK(C54),"",IF(C54=F54, "1 video",CONCATENATE((+COUNTIFS(Video_List!$C:$C,"&lt;=" &amp;Monitoring!J54)-COUNTIFS(Video_List!$C:$C,"&lt;=" &amp;Monitoring!I54))+1," videos")))</f>
        <v>5 videos</v>
      </c>
      <c r="O54" s="27" t="s">
        <v>32</v>
      </c>
      <c r="P54" s="42" t="s">
        <v>37</v>
      </c>
      <c r="Q54" s="42" t="s">
        <v>76</v>
      </c>
      <c r="R54" s="42" t="s">
        <v>77</v>
      </c>
      <c r="S54" s="97" t="str">
        <f>+IFERROR(IF(T54="#N/C","#N/C",IF(U54=0,INDEX(Taxonomy_UniqueValues!D:D,MATCH(U54,Taxonomy_UniqueValues!F:F,0)),INDEX(Taxonomy_UniqueValues!D:D,MATCH(T54,Taxonomy_UniqueValues!E:E,0)))),"#N/C")</f>
        <v>Cucujiformia</v>
      </c>
      <c r="T54" s="42" t="s">
        <v>143</v>
      </c>
      <c r="U54" s="42" t="s">
        <v>144</v>
      </c>
      <c r="V54" s="42" t="s">
        <v>145</v>
      </c>
      <c r="W54" s="120" t="s">
        <v>146</v>
      </c>
      <c r="X54" s="28" t="s">
        <v>147</v>
      </c>
      <c r="Y54" s="69" t="str" cm="1">
        <f t="array" ref="Y54">_xlfn.LET(_xlpm.cls,P54, _xlpm.ord,IFERROR(Q54,"#N/C"), _xlpm.subord,IFERROR(R54,"#N/C"), _xlpm.infr,IFERROR(S54,"#N/C"), _xlpm.sf,IFERROR(T54,"#N/C"), _xlpm.fam,IFERROR(U54,"#N/C"), _xlpm.subfam,IF(TRIM(V54)="-","#N/C",IFERROR(V54,"#N/C")),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_xlpm.fallback,IF(IFERROR(Q54,"#N/C")="#N/C",P54,IF(IFERROR(R54,"#N/C")="#N/C",Q54,IF(IFERROR(S54,"#N/C")="#N/C",R54,IF(IFERROR(T54,"#N/C")="#N/C",S54,IF(IFERROR(U54,"#N/C")="#N/C",T54,IF(IFERROR(V54,"#N/C")="#N/C",U54,"#N/C")))))), _xlpm.finalResult,IF(OR(_xlpm.computedResult="",_xlpm.computedResult="#N/C"),_xlpm.fallback,_xlpm.computedResult), INDEX(_xlpm.finalResult,1))</f>
        <v>pollen_feeding_beetle</v>
      </c>
      <c r="Z54" s="116" t="str" cm="1">
        <f t="array" ref="Z54">IF(OR(Y54="Insecta",Y54="Arachnida",Y54="#N/C"),"",IFERROR(_xlfn.LET(_xlpm.fc,IFERROR(_xlfn._xlws.FILTER(ClassificationClasses[],ClassificationClasses[Classification Class]=Y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54,ClassificationClasses[Key])),0),MATCH(Y54,INDEX(ClassificationClasses[],MATCH(TRUE,ISNUMBER(SEARCH(Y54,ClassificationClasses[Key])),0),0),0)-1)))</f>
        <v>Cucujiformia</v>
      </c>
      <c r="AA54" s="116" t="str" cm="1">
        <f t="array" ref="AA54">IFERROR(IF(OR(Z54="Insecta",Z54="Arachnida",Z54="#N/C"),"",INDEX(ClassificationClasses[[Class]:[Infraorder]],MATCH(TRUE,ISNUMBER(SEARCH(Z54,ClassificationClasses[Key])),0),MATCH(Z54,INDEX(ClassificationClasses[#Data], MATCH(TRUE,ISNUMBER(SEARCH(Z54,ClassificationClasses[Key])),0), 0), 0)-1)),"")</f>
        <v>Polyphaga</v>
      </c>
      <c r="AB54" s="116" t="str" cm="1">
        <f t="array" ref="AB54">IFERROR(IF(OR(AA54="Insecta",AA54="Arachnida",AA54="#N/C"),"",INDEX(ClassificationClasses[[Class]:[Suborder]],MATCH(TRUE,ISNUMBER(SEARCH(AA54,ClassificationClasses[Key])),0),MATCH(AA54,INDEX(ClassificationClasses[#Data], MATCH(TRUE,ISNUMBER(SEARCH(AA54,ClassificationClasses[Key])),0), 0), 0)-1)),"")</f>
        <v>Coleoptera</v>
      </c>
      <c r="AC54" s="116" t="str" cm="1">
        <f t="array" ref="AC54">IFERROR(IF(OR(AB54="Insecta",AB54="Arachnida",AB54="#N/C"),"",INDEX(ClassificationClasses[[Class]:[Suborder]],MATCH(TRUE,ISNUMBER(SEARCH(AB54,ClassificationClasses[Key])),0),MATCH(AB54,INDEX(ClassificationClasses[#Data], MATCH(TRUE,ISNUMBER(SEARCH(AB54,ClassificationClasses[Key])),0), 0), 0)-1)),"")</f>
        <v>Insecta</v>
      </c>
      <c r="AD54" s="116" t="str" cm="1">
        <f t="array" ref="AD54">IFERROR(IF(OR(AC54="Insecta",AC54="Arachnida",AC54="#N/C"),"",INDEX(ClassificationClasses[[Class]:[Suborder]],MATCH(TRUE,ISNUMBER(SEARCH(AC54,ClassificationClasses[Key])),0),MATCH(AC54,INDEX(ClassificationClasses[#Data], MATCH(TRUE,ISNUMBER(SEARCH(AC54,ClassificationClasses[Key])),0), 0), 0)-1)),"")</f>
        <v/>
      </c>
      <c r="AE54" s="18" t="str">
        <f t="shared" si="2"/>
        <v>Insecta.Coleoptera.Polyphaga.Cucujiformia.Tenebrionoidea.Oedemeridae.Nacerdinae.Chrysanthia.viridissima</v>
      </c>
    </row>
    <row r="55" spans="1:31" s="4" customFormat="1" x14ac:dyDescent="0.3">
      <c r="A55" s="91">
        <v>54</v>
      </c>
      <c r="B55" s="7">
        <v>44390</v>
      </c>
      <c r="C55" s="92" t="s">
        <v>148</v>
      </c>
      <c r="D55" s="93" t="str">
        <f>HYPERLINK(VLOOKUP(C55,Video_List!$F:$J,5),"video")</f>
        <v>video</v>
      </c>
      <c r="E55" s="94" t="str">
        <f>IFERROR(IF(MATCH(C55,Video_List!$F:$F,)&gt;0,"ok",""),"error")</f>
        <v>ok</v>
      </c>
      <c r="F55" s="92" t="s">
        <v>148</v>
      </c>
      <c r="G55" s="93" t="str">
        <f>HYPERLINK(VLOOKUP(F55,Video_List!$F:$J,5),"video")</f>
        <v>video</v>
      </c>
      <c r="H55" s="94" t="str">
        <f>IFERROR(IF(MATCH(F55,Video_List!$F:$F,)&gt;0,"ok",""),"error")</f>
        <v>ok</v>
      </c>
      <c r="I55" s="17">
        <v>44390.596354166664</v>
      </c>
      <c r="J55" s="8">
        <v>44390.596365740741</v>
      </c>
      <c r="K55" s="15">
        <f t="shared" si="0"/>
        <v>1.1574076779652387E-5</v>
      </c>
      <c r="L55" s="95" t="s">
        <v>32</v>
      </c>
      <c r="M55" s="95" t="s">
        <v>33</v>
      </c>
      <c r="N55" s="96" t="str">
        <f>IF(ISBLANK(C55),"",IF(C55=F55, "1 video",CONCATENATE((+COUNTIFS(Video_List!$C:$C,"&lt;=" &amp;Monitoring!J55)-COUNTIFS(Video_List!$C:$C,"&lt;=" &amp;Monitoring!I55))+1," videos")))</f>
        <v>1 video</v>
      </c>
      <c r="O55" s="29" t="s">
        <v>44</v>
      </c>
      <c r="P55" s="42" t="s">
        <v>37</v>
      </c>
      <c r="Q55" s="42" t="s">
        <v>38</v>
      </c>
      <c r="R55" s="42" t="s">
        <v>39</v>
      </c>
      <c r="S55" s="97" t="str">
        <f>+IFERROR(IF(T55="#N/C","#N/C",IF(U55=0,INDEX(Taxonomy_UniqueValues!D:D,MATCH(U55,Taxonomy_UniqueValues!F:F,0)),INDEX(Taxonomy_UniqueValues!D:D,MATCH(T55,Taxonomy_UniqueValues!E:E,0)))),"#N/C")</f>
        <v>Asilomorpha</v>
      </c>
      <c r="T55" s="42" t="s">
        <v>149</v>
      </c>
      <c r="U55" s="42" t="s">
        <v>150</v>
      </c>
      <c r="V55" s="42" t="s">
        <v>151</v>
      </c>
      <c r="W55" s="42" t="s">
        <v>34</v>
      </c>
      <c r="X55" s="28" t="s">
        <v>35</v>
      </c>
      <c r="Y55" s="69" t="str" cm="1">
        <f t="array" ref="Y55">_xlfn.LET(_xlpm.cls,P55, _xlpm.ord,IFERROR(Q55,"#N/C"), _xlpm.subord,IFERROR(R55,"#N/C"), _xlpm.infr,IFERROR(S55,"#N/C"), _xlpm.sf,IFERROR(T55,"#N/C"), _xlpm.fam,IFERROR(U55,"#N/C"), _xlpm.subfam,IF(TRIM(V55)="-","#N/C",IFERROR(V55,"#N/C")),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_xlpm.fallback,IF(IFERROR(Q55,"#N/C")="#N/C",P55,IF(IFERROR(R55,"#N/C")="#N/C",Q55,IF(IFERROR(S55,"#N/C")="#N/C",R55,IF(IFERROR(T55,"#N/C")="#N/C",S55,IF(IFERROR(U55,"#N/C")="#N/C",T55,IF(IFERROR(V55,"#N/C")="#N/C",U55,"#N/C")))))), _xlpm.finalResult,IF(OR(_xlpm.computedResult="",_xlpm.computedResult="#N/C"),_xlpm.fallback,_xlpm.computedResult), INDEX(_xlpm.finalResult,1))</f>
        <v>robber_fly</v>
      </c>
      <c r="Z55" s="116" t="str" cm="1">
        <f t="array" ref="Z55">IF(OR(Y55="Insecta",Y55="Arachnida",Y55="#N/C"),"",IFERROR(_xlfn.LET(_xlpm.fc,IFERROR(_xlfn._xlws.FILTER(ClassificationClasses[],ClassificationClasses[Classification Class]=Y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55,ClassificationClasses[Key])),0),MATCH(Y55,INDEX(ClassificationClasses[],MATCH(TRUE,ISNUMBER(SEARCH(Y55,ClassificationClasses[Key])),0),0),0)-1)))</f>
        <v>Asilomorpha</v>
      </c>
      <c r="AA55" s="116" t="str" cm="1">
        <f t="array" ref="AA55">IFERROR(IF(OR(Z55="Insecta",Z55="Arachnida",Z55="#N/C"),"",INDEX(ClassificationClasses[[Class]:[Infraorder]],MATCH(TRUE,ISNUMBER(SEARCH(Z55,ClassificationClasses[Key])),0),MATCH(Z55,INDEX(ClassificationClasses[#Data], MATCH(TRUE,ISNUMBER(SEARCH(Z55,ClassificationClasses[Key])),0), 0), 0)-1)),"")</f>
        <v>Brachycera</v>
      </c>
      <c r="AB55" s="116" t="str" cm="1">
        <f t="array" ref="AB55">IFERROR(IF(OR(AA55="Insecta",AA55="Arachnida",AA55="#N/C"),"",INDEX(ClassificationClasses[[Class]:[Suborder]],MATCH(TRUE,ISNUMBER(SEARCH(AA55,ClassificationClasses[Key])),0),MATCH(AA55,INDEX(ClassificationClasses[#Data], MATCH(TRUE,ISNUMBER(SEARCH(AA55,ClassificationClasses[Key])),0), 0), 0)-1)),"")</f>
        <v>Diptera</v>
      </c>
      <c r="AC55" s="116" t="str" cm="1">
        <f t="array" ref="AC55">IFERROR(IF(OR(AB55="Insecta",AB55="Arachnida",AB55="#N/C"),"",INDEX(ClassificationClasses[[Class]:[Suborder]],MATCH(TRUE,ISNUMBER(SEARCH(AB55,ClassificationClasses[Key])),0),MATCH(AB55,INDEX(ClassificationClasses[#Data], MATCH(TRUE,ISNUMBER(SEARCH(AB55,ClassificationClasses[Key])),0), 0), 0)-1)),"")</f>
        <v>Insecta</v>
      </c>
      <c r="AD55" s="116" t="str" cm="1">
        <f t="array" ref="AD55">IFERROR(IF(OR(AC55="Insecta",AC55="Arachnida",AC55="#N/C"),"",INDEX(ClassificationClasses[[Class]:[Suborder]],MATCH(TRUE,ISNUMBER(SEARCH(AC55,ClassificationClasses[Key])),0),MATCH(AC55,INDEX(ClassificationClasses[#Data], MATCH(TRUE,ISNUMBER(SEARCH(AC55,ClassificationClasses[Key])),0), 0), 0)-1)),"")</f>
        <v/>
      </c>
      <c r="AE55" s="18" t="str">
        <f t="shared" si="2"/>
        <v>Insecta.Diptera.Brachycera.Asilomorpha.Asiloidea.Asilidae.Asilinae.Tolmerus.#N/C</v>
      </c>
    </row>
    <row r="56" spans="1:31" s="4" customFormat="1" x14ac:dyDescent="0.3">
      <c r="A56" s="91">
        <v>55</v>
      </c>
      <c r="B56" s="7">
        <v>44390</v>
      </c>
      <c r="C56" s="92" t="s">
        <v>152</v>
      </c>
      <c r="D56" s="93" t="str">
        <f>HYPERLINK(VLOOKUP(C56,Video_List!$F:$J,5),"video")</f>
        <v>video</v>
      </c>
      <c r="E56" s="94" t="str">
        <f>IFERROR(IF(MATCH(C56,Video_List!$F:$F,)&gt;0,"ok",""),"error")</f>
        <v>ok</v>
      </c>
      <c r="F56" s="92" t="s">
        <v>142</v>
      </c>
      <c r="G56" s="93" t="str">
        <f>HYPERLINK(VLOOKUP(F56,Video_List!$F:$J,5),"video")</f>
        <v>video</v>
      </c>
      <c r="H56" s="94" t="str">
        <f>IFERROR(IF(MATCH(F56,Video_List!$F:$F,)&gt;0,"ok",""),"error")</f>
        <v>ok</v>
      </c>
      <c r="I56" s="17">
        <v>44390.600243055553</v>
      </c>
      <c r="J56" s="8">
        <v>44390.601469907408</v>
      </c>
      <c r="K56" s="15">
        <f t="shared" si="0"/>
        <v>1.2268518548808061E-3</v>
      </c>
      <c r="L56" s="95" t="s">
        <v>32</v>
      </c>
      <c r="M56" s="95" t="s">
        <v>33</v>
      </c>
      <c r="N56" s="96" t="str">
        <f>IF(ISBLANK(C56),"",IF(C56=F56, "1 video",CONCATENATE((+COUNTIFS(Video_List!$C:$C,"&lt;=" &amp;Monitoring!J56)-COUNTIFS(Video_List!$C:$C,"&lt;=" &amp;Monitoring!I56))+1," videos")))</f>
        <v>2 videos</v>
      </c>
      <c r="O56" s="29" t="s">
        <v>44</v>
      </c>
      <c r="P56" s="42" t="s">
        <v>37</v>
      </c>
      <c r="Q56" s="42" t="s">
        <v>38</v>
      </c>
      <c r="R56" s="42" t="s">
        <v>39</v>
      </c>
      <c r="S56" s="97" t="str">
        <f>+IFERROR(IF(T56="#N/C","#N/C",IF(U56=0,INDEX(Taxonomy_UniqueValues!D:D,MATCH(U56,Taxonomy_UniqueValues!F:F,0)),INDEX(Taxonomy_UniqueValues!D:D,MATCH(T56,Taxonomy_UniqueValues!E:E,0)))),"#N/C")</f>
        <v>Asilomorpha</v>
      </c>
      <c r="T56" s="42" t="s">
        <v>149</v>
      </c>
      <c r="U56" s="42" t="s">
        <v>150</v>
      </c>
      <c r="V56" s="42" t="s">
        <v>151</v>
      </c>
      <c r="W56" s="42" t="s">
        <v>35</v>
      </c>
      <c r="X56" s="28" t="s">
        <v>35</v>
      </c>
      <c r="Y56" s="69" t="str" cm="1">
        <f t="array" ref="Y56">_xlfn.LET(_xlpm.cls,P56, _xlpm.ord,IFERROR(Q56,"#N/C"), _xlpm.subord,IFERROR(R56,"#N/C"), _xlpm.infr,IFERROR(S56,"#N/C"), _xlpm.sf,IFERROR(T56,"#N/C"), _xlpm.fam,IFERROR(U56,"#N/C"), _xlpm.subfam,IF(TRIM(V56)="-","#N/C",IFERROR(V56,"#N/C")),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_xlpm.fallback,IF(IFERROR(Q56,"#N/C")="#N/C",P56,IF(IFERROR(R56,"#N/C")="#N/C",Q56,IF(IFERROR(S56,"#N/C")="#N/C",R56,IF(IFERROR(T56,"#N/C")="#N/C",S56,IF(IFERROR(U56,"#N/C")="#N/C",T56,IF(IFERROR(V56,"#N/C")="#N/C",U56,"#N/C")))))), _xlpm.finalResult,IF(OR(_xlpm.computedResult="",_xlpm.computedResult="#N/C"),_xlpm.fallback,_xlpm.computedResult), INDEX(_xlpm.finalResult,1))</f>
        <v>robber_fly</v>
      </c>
      <c r="Z56" s="116" t="str" cm="1">
        <f t="array" ref="Z56">IF(OR(Y56="Insecta",Y56="Arachnida",Y56="#N/C"),"",IFERROR(_xlfn.LET(_xlpm.fc,IFERROR(_xlfn._xlws.FILTER(ClassificationClasses[],ClassificationClasses[Classification Class]=Y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56,ClassificationClasses[Key])),0),MATCH(Y56,INDEX(ClassificationClasses[],MATCH(TRUE,ISNUMBER(SEARCH(Y56,ClassificationClasses[Key])),0),0),0)-1)))</f>
        <v>Asilomorpha</v>
      </c>
      <c r="AA56" s="116" t="str" cm="1">
        <f t="array" ref="AA56">IFERROR(IF(OR(Z56="Insecta",Z56="Arachnida",Z56="#N/C"),"",INDEX(ClassificationClasses[[Class]:[Infraorder]],MATCH(TRUE,ISNUMBER(SEARCH(Z56,ClassificationClasses[Key])),0),MATCH(Z56,INDEX(ClassificationClasses[#Data], MATCH(TRUE,ISNUMBER(SEARCH(Z56,ClassificationClasses[Key])),0), 0), 0)-1)),"")</f>
        <v>Brachycera</v>
      </c>
      <c r="AB56" s="116" t="str" cm="1">
        <f t="array" ref="AB56">IFERROR(IF(OR(AA56="Insecta",AA56="Arachnida",AA56="#N/C"),"",INDEX(ClassificationClasses[[Class]:[Suborder]],MATCH(TRUE,ISNUMBER(SEARCH(AA56,ClassificationClasses[Key])),0),MATCH(AA56,INDEX(ClassificationClasses[#Data], MATCH(TRUE,ISNUMBER(SEARCH(AA56,ClassificationClasses[Key])),0), 0), 0)-1)),"")</f>
        <v>Diptera</v>
      </c>
      <c r="AC56" s="116" t="str" cm="1">
        <f t="array" ref="AC56">IFERROR(IF(OR(AB56="Insecta",AB56="Arachnida",AB56="#N/C"),"",INDEX(ClassificationClasses[[Class]:[Suborder]],MATCH(TRUE,ISNUMBER(SEARCH(AB56,ClassificationClasses[Key])),0),MATCH(AB56,INDEX(ClassificationClasses[#Data], MATCH(TRUE,ISNUMBER(SEARCH(AB56,ClassificationClasses[Key])),0), 0), 0)-1)),"")</f>
        <v>Insecta</v>
      </c>
      <c r="AD56" s="116" t="str" cm="1">
        <f t="array" ref="AD56">IFERROR(IF(OR(AC56="Insecta",AC56="Arachnida",AC56="#N/C"),"",INDEX(ClassificationClasses[[Class]:[Suborder]],MATCH(TRUE,ISNUMBER(SEARCH(AC56,ClassificationClasses[Key])),0),MATCH(AC56,INDEX(ClassificationClasses[#Data], MATCH(TRUE,ISNUMBER(SEARCH(AC56,ClassificationClasses[Key])),0), 0), 0)-1)),"")</f>
        <v/>
      </c>
      <c r="AE56" s="18" t="str">
        <f t="shared" si="2"/>
        <v>Insecta.Diptera.Brachycera.Asilomorpha.Asiloidea.Asilidae.Asilinae.#N/C.#N/C</v>
      </c>
    </row>
    <row r="57" spans="1:31" s="4" customFormat="1" x14ac:dyDescent="0.3">
      <c r="A57" s="91">
        <v>56</v>
      </c>
      <c r="B57" s="7">
        <v>44390</v>
      </c>
      <c r="C57" s="92" t="s">
        <v>153</v>
      </c>
      <c r="D57" s="93" t="str">
        <f>HYPERLINK(VLOOKUP(C57,Video_List!$F:$J,5),"video")</f>
        <v>video</v>
      </c>
      <c r="E57" s="94" t="str">
        <f>IFERROR(IF(MATCH(C57,Video_List!$F:$F,)&gt;0,"ok",""),"error")</f>
        <v>ok</v>
      </c>
      <c r="F57" s="92" t="s">
        <v>153</v>
      </c>
      <c r="G57" s="93" t="str">
        <f>HYPERLINK(VLOOKUP(F57,Video_List!$F:$J,5),"video")</f>
        <v>video</v>
      </c>
      <c r="H57" s="94" t="str">
        <f>IFERROR(IF(MATCH(F57,Video_List!$F:$F,)&gt;0,"ok",""),"error")</f>
        <v>ok</v>
      </c>
      <c r="I57" s="17">
        <v>44390.604456018518</v>
      </c>
      <c r="J57" s="8">
        <v>44390.604618055557</v>
      </c>
      <c r="K57" s="15">
        <f t="shared" si="0"/>
        <v>1.6203703853534535E-4</v>
      </c>
      <c r="L57" s="95" t="s">
        <v>55</v>
      </c>
      <c r="M57" s="95" t="s">
        <v>33</v>
      </c>
      <c r="N57" s="96" t="str">
        <f>IF(ISBLANK(C57),"",IF(C57=F57, "1 video",CONCATENATE((+COUNTIFS(Video_List!$C:$C,"&lt;=" &amp;Monitoring!J57)-COUNTIFS(Video_List!$C:$C,"&lt;=" &amp;Monitoring!I57))+1," videos")))</f>
        <v>1 video</v>
      </c>
      <c r="O57" s="29" t="s">
        <v>44</v>
      </c>
      <c r="P57" s="42" t="s">
        <v>37</v>
      </c>
      <c r="Q57" s="42" t="s">
        <v>38</v>
      </c>
      <c r="R57" s="42" t="s">
        <v>39</v>
      </c>
      <c r="S57" s="97" t="str">
        <f>+IFERROR(IF(T57="#N/C","#N/C",IF(U57=0,INDEX(Taxonomy_UniqueValues!D:D,MATCH(U57,Taxonomy_UniqueValues!F:F,0)),INDEX(Taxonomy_UniqueValues!D:D,MATCH(T57,Taxonomy_UniqueValues!E:E,0)))),"#N/C")</f>
        <v>Asilomorpha</v>
      </c>
      <c r="T57" s="42" t="s">
        <v>149</v>
      </c>
      <c r="U57" s="42" t="s">
        <v>150</v>
      </c>
      <c r="V57" s="42" t="s">
        <v>151</v>
      </c>
      <c r="W57" s="42" t="s">
        <v>35</v>
      </c>
      <c r="X57" s="28" t="s">
        <v>35</v>
      </c>
      <c r="Y57" s="69" t="str" cm="1">
        <f t="array" ref="Y57">_xlfn.LET(_xlpm.cls,P57, _xlpm.ord,IFERROR(Q57,"#N/C"), _xlpm.subord,IFERROR(R57,"#N/C"), _xlpm.infr,IFERROR(S57,"#N/C"), _xlpm.sf,IFERROR(T57,"#N/C"), _xlpm.fam,IFERROR(U57,"#N/C"), _xlpm.subfam,IF(TRIM(V57)="-","#N/C",IFERROR(V57,"#N/C")),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_xlpm.fallback,IF(IFERROR(Q57,"#N/C")="#N/C",P57,IF(IFERROR(R57,"#N/C")="#N/C",Q57,IF(IFERROR(S57,"#N/C")="#N/C",R57,IF(IFERROR(T57,"#N/C")="#N/C",S57,IF(IFERROR(U57,"#N/C")="#N/C",T57,IF(IFERROR(V57,"#N/C")="#N/C",U57,"#N/C")))))), _xlpm.finalResult,IF(OR(_xlpm.computedResult="",_xlpm.computedResult="#N/C"),_xlpm.fallback,_xlpm.computedResult), INDEX(_xlpm.finalResult,1))</f>
        <v>robber_fly</v>
      </c>
      <c r="Z57" s="116" t="str" cm="1">
        <f t="array" ref="Z57">IF(OR(Y57="Insecta",Y57="Arachnida",Y57="#N/C"),"",IFERROR(_xlfn.LET(_xlpm.fc,IFERROR(_xlfn._xlws.FILTER(ClassificationClasses[],ClassificationClasses[Classification Class]=Y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57,ClassificationClasses[Key])),0),MATCH(Y57,INDEX(ClassificationClasses[],MATCH(TRUE,ISNUMBER(SEARCH(Y57,ClassificationClasses[Key])),0),0),0)-1)))</f>
        <v>Asilomorpha</v>
      </c>
      <c r="AA57" s="116" t="str" cm="1">
        <f t="array" ref="AA57">IFERROR(IF(OR(Z57="Insecta",Z57="Arachnida",Z57="#N/C"),"",INDEX(ClassificationClasses[[Class]:[Infraorder]],MATCH(TRUE,ISNUMBER(SEARCH(Z57,ClassificationClasses[Key])),0),MATCH(Z57,INDEX(ClassificationClasses[#Data], MATCH(TRUE,ISNUMBER(SEARCH(Z57,ClassificationClasses[Key])),0), 0), 0)-1)),"")</f>
        <v>Brachycera</v>
      </c>
      <c r="AB57" s="116" t="str" cm="1">
        <f t="array" ref="AB57">IFERROR(IF(OR(AA57="Insecta",AA57="Arachnida",AA57="#N/C"),"",INDEX(ClassificationClasses[[Class]:[Suborder]],MATCH(TRUE,ISNUMBER(SEARCH(AA57,ClassificationClasses[Key])),0),MATCH(AA57,INDEX(ClassificationClasses[#Data], MATCH(TRUE,ISNUMBER(SEARCH(AA57,ClassificationClasses[Key])),0), 0), 0)-1)),"")</f>
        <v>Diptera</v>
      </c>
      <c r="AC57" s="116" t="str" cm="1">
        <f t="array" ref="AC57">IFERROR(IF(OR(AB57="Insecta",AB57="Arachnida",AB57="#N/C"),"",INDEX(ClassificationClasses[[Class]:[Suborder]],MATCH(TRUE,ISNUMBER(SEARCH(AB57,ClassificationClasses[Key])),0),MATCH(AB57,INDEX(ClassificationClasses[#Data], MATCH(TRUE,ISNUMBER(SEARCH(AB57,ClassificationClasses[Key])),0), 0), 0)-1)),"")</f>
        <v>Insecta</v>
      </c>
      <c r="AD57" s="116" t="str" cm="1">
        <f t="array" ref="AD57">IFERROR(IF(OR(AC57="Insecta",AC57="Arachnida",AC57="#N/C"),"",INDEX(ClassificationClasses[[Class]:[Suborder]],MATCH(TRUE,ISNUMBER(SEARCH(AC57,ClassificationClasses[Key])),0),MATCH(AC57,INDEX(ClassificationClasses[#Data], MATCH(TRUE,ISNUMBER(SEARCH(AC57,ClassificationClasses[Key])),0), 0), 0)-1)),"")</f>
        <v/>
      </c>
      <c r="AE57" s="18" t="str">
        <f t="shared" si="2"/>
        <v>Insecta.Diptera.Brachycera.Asilomorpha.Asiloidea.Asilidae.Asilinae.#N/C.#N/C</v>
      </c>
    </row>
    <row r="58" spans="1:31" s="4" customFormat="1" x14ac:dyDescent="0.3">
      <c r="A58" s="91">
        <v>57</v>
      </c>
      <c r="B58" s="7">
        <v>44390</v>
      </c>
      <c r="C58" s="92" t="s">
        <v>154</v>
      </c>
      <c r="D58" s="93" t="str">
        <f>HYPERLINK(VLOOKUP(C58,Video_List!$F:$J,5),"video")</f>
        <v>video</v>
      </c>
      <c r="E58" s="94" t="str">
        <f>IFERROR(IF(MATCH(C58,Video_List!$F:$F,)&gt;0,"ok",""),"error")</f>
        <v>ok</v>
      </c>
      <c r="F58" s="92" t="s">
        <v>155</v>
      </c>
      <c r="G58" s="93" t="str">
        <f>HYPERLINK(VLOOKUP(F58,Video_List!$F:$J,5),"video")</f>
        <v>video</v>
      </c>
      <c r="H58" s="94" t="str">
        <f>IFERROR(IF(MATCH(F58,Video_List!$F:$F,)&gt;0,"ok",""),"error")</f>
        <v>ok</v>
      </c>
      <c r="I58" s="17">
        <v>44390.610208333332</v>
      </c>
      <c r="J58" s="8">
        <v>44390.615567129629</v>
      </c>
      <c r="K58" s="15">
        <f t="shared" si="0"/>
        <v>5.3587962975143455E-3</v>
      </c>
      <c r="L58" s="95" t="s">
        <v>32</v>
      </c>
      <c r="M58" s="95" t="s">
        <v>33</v>
      </c>
      <c r="N58" s="96" t="str">
        <f>IF(ISBLANK(C58),"",IF(C58=F58, "1 video",CONCATENATE((+COUNTIFS(Video_List!$C:$C,"&lt;=" &amp;Monitoring!J58)-COUNTIFS(Video_List!$C:$C,"&lt;=" &amp;Monitoring!I58))+1," videos")))</f>
        <v>5 videos</v>
      </c>
      <c r="O58" s="29" t="s">
        <v>44</v>
      </c>
      <c r="P58" s="42" t="s">
        <v>37</v>
      </c>
      <c r="Q58" s="42" t="s">
        <v>38</v>
      </c>
      <c r="R58" s="42" t="s">
        <v>39</v>
      </c>
      <c r="S58" s="97" t="str">
        <f>+IFERROR(IF(T58="#N/C","#N/C",IF(U58=0,INDEX(Taxonomy_UniqueValues!D:D,MATCH(U58,Taxonomy_UniqueValues!F:F,0)),INDEX(Taxonomy_UniqueValues!D:D,MATCH(T58,Taxonomy_UniqueValues!E:E,0)))),"#N/C")</f>
        <v>#N/C</v>
      </c>
      <c r="T58" s="42" t="s">
        <v>35</v>
      </c>
      <c r="U58" s="42" t="s">
        <v>35</v>
      </c>
      <c r="V58" s="42" t="s">
        <v>35</v>
      </c>
      <c r="W58" s="42" t="s">
        <v>35</v>
      </c>
      <c r="X58" s="28" t="s">
        <v>35</v>
      </c>
      <c r="Y58" s="69" t="str" cm="1">
        <f t="array" ref="Y58">_xlfn.LET(_xlpm.cls,P58, _xlpm.ord,IFERROR(Q58,"#N/C"), _xlpm.subord,IFERROR(R58,"#N/C"), _xlpm.infr,IFERROR(S58,"#N/C"), _xlpm.sf,IFERROR(T58,"#N/C"), _xlpm.fam,IFERROR(U58,"#N/C"), _xlpm.subfam,IF(TRIM(V58)="-","#N/C",IFERROR(V58,"#N/C")),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_xlpm.fallback,IF(IFERROR(Q58,"#N/C")="#N/C",P58,IF(IFERROR(R58,"#N/C")="#N/C",Q58,IF(IFERROR(S58,"#N/C")="#N/C",R58,IF(IFERROR(T58,"#N/C")="#N/C",S58,IF(IFERROR(U58,"#N/C")="#N/C",T58,IF(IFERROR(V58,"#N/C")="#N/C",U58,"#N/C")))))), _xlpm.finalResult,IF(OR(_xlpm.computedResult="",_xlpm.computedResult="#N/C"),_xlpm.fallback,_xlpm.computedResult), INDEX(_xlpm.finalResult,1))</f>
        <v>Brachycera</v>
      </c>
      <c r="Z58" s="116" t="str" cm="1">
        <f t="array" ref="Z58">IF(OR(Y58="Insecta",Y58="Arachnida",Y58="#N/C"),"",IFERROR(_xlfn.LET(_xlpm.fc,IFERROR(_xlfn._xlws.FILTER(ClassificationClasses[],ClassificationClasses[Classification Class]=Y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58,ClassificationClasses[Key])),0),MATCH(Y58,INDEX(ClassificationClasses[],MATCH(TRUE,ISNUMBER(SEARCH(Y58,ClassificationClasses[Key])),0),0),0)-1)))</f>
        <v>Diptera</v>
      </c>
      <c r="AA58" s="116" t="str" cm="1">
        <f t="array" ref="AA58">IFERROR(IF(OR(Z58="Insecta",Z58="Arachnida",Z58="#N/C"),"",INDEX(ClassificationClasses[[Class]:[Infraorder]],MATCH(TRUE,ISNUMBER(SEARCH(Z58,ClassificationClasses[Key])),0),MATCH(Z58,INDEX(ClassificationClasses[#Data], MATCH(TRUE,ISNUMBER(SEARCH(Z58,ClassificationClasses[Key])),0), 0), 0)-1)),"")</f>
        <v>Insecta</v>
      </c>
      <c r="AB58" s="116" t="str" cm="1">
        <f t="array" ref="AB58">IFERROR(IF(OR(AA58="Insecta",AA58="Arachnida",AA58="#N/C"),"",INDEX(ClassificationClasses[[Class]:[Suborder]],MATCH(TRUE,ISNUMBER(SEARCH(AA58,ClassificationClasses[Key])),0),MATCH(AA58,INDEX(ClassificationClasses[#Data], MATCH(TRUE,ISNUMBER(SEARCH(AA58,ClassificationClasses[Key])),0), 0), 0)-1)),"")</f>
        <v/>
      </c>
      <c r="AC58" s="116" t="str" cm="1">
        <f t="array" ref="AC58">IFERROR(IF(OR(AB58="Insecta",AB58="Arachnida",AB58="#N/C"),"",INDEX(ClassificationClasses[[Class]:[Suborder]],MATCH(TRUE,ISNUMBER(SEARCH(AB58,ClassificationClasses[Key])),0),MATCH(AB58,INDEX(ClassificationClasses[#Data], MATCH(TRUE,ISNUMBER(SEARCH(AB58,ClassificationClasses[Key])),0), 0), 0)-1)),"")</f>
        <v/>
      </c>
      <c r="AD58" s="116" t="str" cm="1">
        <f t="array" ref="AD58">IFERROR(IF(OR(AC58="Insecta",AC58="Arachnida",AC58="#N/C"),"",INDEX(ClassificationClasses[[Class]:[Suborder]],MATCH(TRUE,ISNUMBER(SEARCH(AC58,ClassificationClasses[Key])),0),MATCH(AC58,INDEX(ClassificationClasses[#Data], MATCH(TRUE,ISNUMBER(SEARCH(AC58,ClassificationClasses[Key])),0), 0), 0)-1)),"")</f>
        <v/>
      </c>
      <c r="AE58" s="18" t="str">
        <f t="shared" si="2"/>
        <v>Insecta.Diptera.Brachycera.#N/C.#N/C.#N/C.#N/C.#N/C.#N/C</v>
      </c>
    </row>
    <row r="59" spans="1:31" s="4" customFormat="1" x14ac:dyDescent="0.3">
      <c r="A59" s="91">
        <v>58</v>
      </c>
      <c r="B59" s="7">
        <v>44390</v>
      </c>
      <c r="C59" s="92" t="s">
        <v>156</v>
      </c>
      <c r="D59" s="93" t="str">
        <f>HYPERLINK(VLOOKUP(C59,Video_List!$F:$J,5),"video")</f>
        <v>video</v>
      </c>
      <c r="E59" s="94" t="str">
        <f>IFERROR(IF(MATCH(C59,Video_List!$F:$F,)&gt;0,"ok",""),"error")</f>
        <v>ok</v>
      </c>
      <c r="F59" s="92" t="s">
        <v>156</v>
      </c>
      <c r="G59" s="93" t="str">
        <f>HYPERLINK(VLOOKUP(F59,Video_List!$F:$J,5),"video")</f>
        <v>video</v>
      </c>
      <c r="H59" s="94" t="str">
        <f>IFERROR(IF(MATCH(F59,Video_List!$F:$F,)&gt;0,"ok",""),"error")</f>
        <v>ok</v>
      </c>
      <c r="I59" s="17">
        <v>44390.615925925929</v>
      </c>
      <c r="J59" s="8">
        <v>44390.616006944445</v>
      </c>
      <c r="K59" s="15">
        <f t="shared" si="0"/>
        <v>8.1018515629693866E-5</v>
      </c>
      <c r="L59" s="95" t="s">
        <v>32</v>
      </c>
      <c r="M59" s="95" t="s">
        <v>33</v>
      </c>
      <c r="N59" s="96" t="str">
        <f>IF(ISBLANK(C59),"",IF(C59=F59, "1 video",CONCATENATE((+COUNTIFS(Video_List!$C:$C,"&lt;=" &amp;Monitoring!J59)-COUNTIFS(Video_List!$C:$C,"&lt;=" &amp;Monitoring!I59))+1," videos")))</f>
        <v>1 video</v>
      </c>
      <c r="O59" s="29" t="s">
        <v>44</v>
      </c>
      <c r="P59" s="42" t="s">
        <v>37</v>
      </c>
      <c r="Q59" s="42" t="s">
        <v>38</v>
      </c>
      <c r="R59" s="42" t="s">
        <v>39</v>
      </c>
      <c r="S59" s="97" t="str">
        <f>+IFERROR(IF(T59="#N/C","#N/C",IF(U59=0,INDEX(Taxonomy_UniqueValues!D:D,MATCH(U59,Taxonomy_UniqueValues!F:F,0)),INDEX(Taxonomy_UniqueValues!D:D,MATCH(T59,Taxonomy_UniqueValues!E:E,0)))),"#N/C")</f>
        <v>#N/C</v>
      </c>
      <c r="T59" s="42" t="s">
        <v>35</v>
      </c>
      <c r="U59" s="42" t="s">
        <v>35</v>
      </c>
      <c r="V59" s="42" t="s">
        <v>35</v>
      </c>
      <c r="W59" s="42" t="s">
        <v>35</v>
      </c>
      <c r="X59" s="28" t="s">
        <v>35</v>
      </c>
      <c r="Y59" s="69" t="str" cm="1">
        <f t="array" ref="Y59">_xlfn.LET(_xlpm.cls,P59, _xlpm.ord,IFERROR(Q59,"#N/C"), _xlpm.subord,IFERROR(R59,"#N/C"), _xlpm.infr,IFERROR(S59,"#N/C"), _xlpm.sf,IFERROR(T59,"#N/C"), _xlpm.fam,IFERROR(U59,"#N/C"), _xlpm.subfam,IF(TRIM(V59)="-","#N/C",IFERROR(V59,"#N/C")),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_xlpm.fallback,IF(IFERROR(Q59,"#N/C")="#N/C",P59,IF(IFERROR(R59,"#N/C")="#N/C",Q59,IF(IFERROR(S59,"#N/C")="#N/C",R59,IF(IFERROR(T59,"#N/C")="#N/C",S59,IF(IFERROR(U59,"#N/C")="#N/C",T59,IF(IFERROR(V59,"#N/C")="#N/C",U59,"#N/C")))))), _xlpm.finalResult,IF(OR(_xlpm.computedResult="",_xlpm.computedResult="#N/C"),_xlpm.fallback,_xlpm.computedResult), INDEX(_xlpm.finalResult,1))</f>
        <v>Brachycera</v>
      </c>
      <c r="Z59" s="116" t="str" cm="1">
        <f t="array" ref="Z59">IF(OR(Y59="Insecta",Y59="Arachnida",Y59="#N/C"),"",IFERROR(_xlfn.LET(_xlpm.fc,IFERROR(_xlfn._xlws.FILTER(ClassificationClasses[],ClassificationClasses[Classification Class]=Y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59,ClassificationClasses[Key])),0),MATCH(Y59,INDEX(ClassificationClasses[],MATCH(TRUE,ISNUMBER(SEARCH(Y59,ClassificationClasses[Key])),0),0),0)-1)))</f>
        <v>Diptera</v>
      </c>
      <c r="AA59" s="116" t="str" cm="1">
        <f t="array" ref="AA59">IFERROR(IF(OR(Z59="Insecta",Z59="Arachnida",Z59="#N/C"),"",INDEX(ClassificationClasses[[Class]:[Infraorder]],MATCH(TRUE,ISNUMBER(SEARCH(Z59,ClassificationClasses[Key])),0),MATCH(Z59,INDEX(ClassificationClasses[#Data], MATCH(TRUE,ISNUMBER(SEARCH(Z59,ClassificationClasses[Key])),0), 0), 0)-1)),"")</f>
        <v>Insecta</v>
      </c>
      <c r="AB59" s="116" t="str" cm="1">
        <f t="array" ref="AB59">IFERROR(IF(OR(AA59="Insecta",AA59="Arachnida",AA59="#N/C"),"",INDEX(ClassificationClasses[[Class]:[Suborder]],MATCH(TRUE,ISNUMBER(SEARCH(AA59,ClassificationClasses[Key])),0),MATCH(AA59,INDEX(ClassificationClasses[#Data], MATCH(TRUE,ISNUMBER(SEARCH(AA59,ClassificationClasses[Key])),0), 0), 0)-1)),"")</f>
        <v/>
      </c>
      <c r="AC59" s="116" t="str" cm="1">
        <f t="array" ref="AC59">IFERROR(IF(OR(AB59="Insecta",AB59="Arachnida",AB59="#N/C"),"",INDEX(ClassificationClasses[[Class]:[Suborder]],MATCH(TRUE,ISNUMBER(SEARCH(AB59,ClassificationClasses[Key])),0),MATCH(AB59,INDEX(ClassificationClasses[#Data], MATCH(TRUE,ISNUMBER(SEARCH(AB59,ClassificationClasses[Key])),0), 0), 0)-1)),"")</f>
        <v/>
      </c>
      <c r="AD59" s="116" t="str" cm="1">
        <f t="array" ref="AD59">IFERROR(IF(OR(AC59="Insecta",AC59="Arachnida",AC59="#N/C"),"",INDEX(ClassificationClasses[[Class]:[Suborder]],MATCH(TRUE,ISNUMBER(SEARCH(AC59,ClassificationClasses[Key])),0),MATCH(AC59,INDEX(ClassificationClasses[#Data], MATCH(TRUE,ISNUMBER(SEARCH(AC59,ClassificationClasses[Key])),0), 0), 0)-1)),"")</f>
        <v/>
      </c>
      <c r="AE59" s="18" t="str">
        <f t="shared" si="2"/>
        <v>Insecta.Diptera.Brachycera.#N/C.#N/C.#N/C.#N/C.#N/C.#N/C</v>
      </c>
    </row>
    <row r="60" spans="1:31" s="4" customFormat="1" x14ac:dyDescent="0.3">
      <c r="A60" s="91">
        <v>59</v>
      </c>
      <c r="B60" s="7">
        <v>44390</v>
      </c>
      <c r="C60" s="92" t="s">
        <v>157</v>
      </c>
      <c r="D60" s="93" t="str">
        <f>HYPERLINK(VLOOKUP(C60,Video_List!$F:$J,5),"video")</f>
        <v>video</v>
      </c>
      <c r="E60" s="94" t="str">
        <f>IFERROR(IF(MATCH(C60,Video_List!$F:$F,)&gt;0,"ok",""),"error")</f>
        <v>ok</v>
      </c>
      <c r="F60" s="92" t="s">
        <v>157</v>
      </c>
      <c r="G60" s="93" t="str">
        <f>HYPERLINK(VLOOKUP(F60,Video_List!$F:$J,5),"video")</f>
        <v>video</v>
      </c>
      <c r="H60" s="94" t="str">
        <f>IFERROR(IF(MATCH(F60,Video_List!$F:$F,)&gt;0,"ok",""),"error")</f>
        <v>ok</v>
      </c>
      <c r="I60" s="17">
        <v>44390.621030092596</v>
      </c>
      <c r="J60" s="8">
        <v>44390.621099537035</v>
      </c>
      <c r="K60" s="15">
        <f t="shared" si="0"/>
        <v>6.9444438850041479E-5</v>
      </c>
      <c r="L60" s="95" t="s">
        <v>32</v>
      </c>
      <c r="M60" s="95" t="s">
        <v>33</v>
      </c>
      <c r="N60" s="96" t="str">
        <f>IF(ISBLANK(C60),"",IF(C60=F60, "1 video",CONCATENATE((+COUNTIFS(Video_List!$C:$C,"&lt;=" &amp;Monitoring!J60)-COUNTIFS(Video_List!$C:$C,"&lt;=" &amp;Monitoring!I60))+1," videos")))</f>
        <v>1 video</v>
      </c>
      <c r="O60" s="29" t="s">
        <v>44</v>
      </c>
      <c r="P60" s="42" t="s">
        <v>37</v>
      </c>
      <c r="Q60" s="42" t="s">
        <v>38</v>
      </c>
      <c r="R60" s="42" t="s">
        <v>39</v>
      </c>
      <c r="S60" s="97" t="str">
        <f>+IFERROR(IF(T60="#N/C","#N/C",IF(U60=0,INDEX(Taxonomy_UniqueValues!D:D,MATCH(U60,Taxonomy_UniqueValues!F:F,0)),INDEX(Taxonomy_UniqueValues!D:D,MATCH(T60,Taxonomy_UniqueValues!E:E,0)))),"#N/C")</f>
        <v>#N/C</v>
      </c>
      <c r="T60" s="42" t="s">
        <v>35</v>
      </c>
      <c r="U60" s="42" t="s">
        <v>35</v>
      </c>
      <c r="V60" s="42" t="s">
        <v>35</v>
      </c>
      <c r="W60" s="42" t="s">
        <v>35</v>
      </c>
      <c r="X60" s="28" t="s">
        <v>35</v>
      </c>
      <c r="Y60" s="69" t="str" cm="1">
        <f t="array" ref="Y60">_xlfn.LET(_xlpm.cls,P60, _xlpm.ord,IFERROR(Q60,"#N/C"), _xlpm.subord,IFERROR(R60,"#N/C"), _xlpm.infr,IFERROR(S60,"#N/C"), _xlpm.sf,IFERROR(T60,"#N/C"), _xlpm.fam,IFERROR(U60,"#N/C"), _xlpm.subfam,IF(TRIM(V60)="-","#N/C",IFERROR(V60,"#N/C")),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_xlpm.fallback,IF(IFERROR(Q60,"#N/C")="#N/C",P60,IF(IFERROR(R60,"#N/C")="#N/C",Q60,IF(IFERROR(S60,"#N/C")="#N/C",R60,IF(IFERROR(T60,"#N/C")="#N/C",S60,IF(IFERROR(U60,"#N/C")="#N/C",T60,IF(IFERROR(V60,"#N/C")="#N/C",U60,"#N/C")))))), _xlpm.finalResult,IF(OR(_xlpm.computedResult="",_xlpm.computedResult="#N/C"),_xlpm.fallback,_xlpm.computedResult), INDEX(_xlpm.finalResult,1))</f>
        <v>Brachycera</v>
      </c>
      <c r="Z60" s="116" t="str" cm="1">
        <f t="array" ref="Z60">IF(OR(Y60="Insecta",Y60="Arachnida",Y60="#N/C"),"",IFERROR(_xlfn.LET(_xlpm.fc,IFERROR(_xlfn._xlws.FILTER(ClassificationClasses[],ClassificationClasses[Classification Class]=Y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60,ClassificationClasses[Key])),0),MATCH(Y60,INDEX(ClassificationClasses[],MATCH(TRUE,ISNUMBER(SEARCH(Y60,ClassificationClasses[Key])),0),0),0)-1)))</f>
        <v>Diptera</v>
      </c>
      <c r="AA60" s="116" t="str" cm="1">
        <f t="array" ref="AA60">IFERROR(IF(OR(Z60="Insecta",Z60="Arachnida",Z60="#N/C"),"",INDEX(ClassificationClasses[[Class]:[Infraorder]],MATCH(TRUE,ISNUMBER(SEARCH(Z60,ClassificationClasses[Key])),0),MATCH(Z60,INDEX(ClassificationClasses[#Data], MATCH(TRUE,ISNUMBER(SEARCH(Z60,ClassificationClasses[Key])),0), 0), 0)-1)),"")</f>
        <v>Insecta</v>
      </c>
      <c r="AB60" s="116" t="str" cm="1">
        <f t="array" ref="AB60">IFERROR(IF(OR(AA60="Insecta",AA60="Arachnida",AA60="#N/C"),"",INDEX(ClassificationClasses[[Class]:[Suborder]],MATCH(TRUE,ISNUMBER(SEARCH(AA60,ClassificationClasses[Key])),0),MATCH(AA60,INDEX(ClassificationClasses[#Data], MATCH(TRUE,ISNUMBER(SEARCH(AA60,ClassificationClasses[Key])),0), 0), 0)-1)),"")</f>
        <v/>
      </c>
      <c r="AC60" s="116" t="str" cm="1">
        <f t="array" ref="AC60">IFERROR(IF(OR(AB60="Insecta",AB60="Arachnida",AB60="#N/C"),"",INDEX(ClassificationClasses[[Class]:[Suborder]],MATCH(TRUE,ISNUMBER(SEARCH(AB60,ClassificationClasses[Key])),0),MATCH(AB60,INDEX(ClassificationClasses[#Data], MATCH(TRUE,ISNUMBER(SEARCH(AB60,ClassificationClasses[Key])),0), 0), 0)-1)),"")</f>
        <v/>
      </c>
      <c r="AD60" s="116" t="str" cm="1">
        <f t="array" ref="AD60">IFERROR(IF(OR(AC60="Insecta",AC60="Arachnida",AC60="#N/C"),"",INDEX(ClassificationClasses[[Class]:[Suborder]],MATCH(TRUE,ISNUMBER(SEARCH(AC60,ClassificationClasses[Key])),0),MATCH(AC60,INDEX(ClassificationClasses[#Data], MATCH(TRUE,ISNUMBER(SEARCH(AC60,ClassificationClasses[Key])),0), 0), 0)-1)),"")</f>
        <v/>
      </c>
      <c r="AE60" s="18" t="str">
        <f t="shared" si="2"/>
        <v>Insecta.Diptera.Brachycera.#N/C.#N/C.#N/C.#N/C.#N/C.#N/C</v>
      </c>
    </row>
    <row r="61" spans="1:31" x14ac:dyDescent="0.3">
      <c r="A61" s="91">
        <v>60</v>
      </c>
      <c r="B61" s="7">
        <v>44390</v>
      </c>
      <c r="C61" s="92" t="s">
        <v>158</v>
      </c>
      <c r="D61" s="93" t="str">
        <f>HYPERLINK(VLOOKUP(C61,Video_List!$F:$J,5),"video")</f>
        <v>video</v>
      </c>
      <c r="E61" s="94" t="str">
        <f>IFERROR(IF(MATCH(C61,Video_List!$F:$F,)&gt;0,"ok",""),"error")</f>
        <v>ok</v>
      </c>
      <c r="F61" s="92" t="s">
        <v>158</v>
      </c>
      <c r="G61" s="93" t="str">
        <f>HYPERLINK(VLOOKUP(F61,Video_List!$F:$J,5),"video")</f>
        <v>video</v>
      </c>
      <c r="H61" s="94" t="str">
        <f>IFERROR(IF(MATCH(F61,Video_List!$F:$F,)&gt;0,"ok",""),"error")</f>
        <v>ok</v>
      </c>
      <c r="I61" s="17">
        <v>44390.642222222225</v>
      </c>
      <c r="J61" s="8">
        <v>44390.642245370371</v>
      </c>
      <c r="K61" s="15">
        <f t="shared" si="0"/>
        <v>2.314814628334716E-5</v>
      </c>
      <c r="L61" s="95" t="s">
        <v>32</v>
      </c>
      <c r="M61" s="95" t="s">
        <v>33</v>
      </c>
      <c r="N61" s="96" t="str">
        <f>IF(ISBLANK(C61),"",IF(C61=F61, "1 video",CONCATENATE((+COUNTIFS(Video_List!$C:$C,"&lt;=" &amp;Monitoring!J61)-COUNTIFS(Video_List!$C:$C,"&lt;=" &amp;Monitoring!I61))+1," videos")))</f>
        <v>1 video</v>
      </c>
      <c r="O61" s="27" t="s">
        <v>32</v>
      </c>
      <c r="P61" s="42" t="s">
        <v>37</v>
      </c>
      <c r="Q61" s="42" t="s">
        <v>41</v>
      </c>
      <c r="R61" s="42" t="s">
        <v>42</v>
      </c>
      <c r="S61" s="97" t="str">
        <f>+IFERROR(IF(T61="#N/C","#N/C",IF(U61=0,INDEX(Taxonomy_UniqueValues!D:D,MATCH(U61,Taxonomy_UniqueValues!F:F,0)),INDEX(Taxonomy_UniqueValues!D:D,MATCH(T61,Taxonomy_UniqueValues!E:E,0)))),"#N/C")</f>
        <v>Aculeata</v>
      </c>
      <c r="T61" s="42" t="s">
        <v>131</v>
      </c>
      <c r="U61" s="42" t="s">
        <v>132</v>
      </c>
      <c r="V61" s="42" t="s">
        <v>133</v>
      </c>
      <c r="W61" s="42" t="s">
        <v>134</v>
      </c>
      <c r="X61" s="28" t="s">
        <v>35</v>
      </c>
      <c r="Y61" s="69" t="str" cm="1">
        <f t="array" ref="Y61">_xlfn.LET(_xlpm.cls,P61, _xlpm.ord,IFERROR(Q61,"#N/C"), _xlpm.subord,IFERROR(R61,"#N/C"), _xlpm.infr,IFERROR(S61,"#N/C"), _xlpm.sf,IFERROR(T61,"#N/C"), _xlpm.fam,IFERROR(U61,"#N/C"), _xlpm.subfam,IF(TRIM(V61)="-","#N/C",IFERROR(V61,"#N/C")),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_xlpm.fallback,IF(IFERROR(Q61,"#N/C")="#N/C",P61,IF(IFERROR(R61,"#N/C")="#N/C",Q61,IF(IFERROR(S61,"#N/C")="#N/C",R61,IF(IFERROR(T61,"#N/C")="#N/C",S61,IF(IFERROR(U61,"#N/C")="#N/C",T61,IF(IFERROR(V61,"#N/C")="#N/C",U61,"#N/C")))))), _xlpm.finalResult,IF(OR(_xlpm.computedResult="",_xlpm.computedResult="#N/C"),_xlpm.fallback,_xlpm.computedResult), INDEX(_xlpm.finalResult,1))</f>
        <v>bee</v>
      </c>
      <c r="Z61" s="116" t="str" cm="1">
        <f t="array" ref="Z61">IF(OR(Y61="Insecta",Y61="Arachnida",Y61="#N/C"),"",IFERROR(_xlfn.LET(_xlpm.fc,IFERROR(_xlfn._xlws.FILTER(ClassificationClasses[],ClassificationClasses[Classification Class]=Y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61,ClassificationClasses[Key])),0),MATCH(Y61,INDEX(ClassificationClasses[],MATCH(TRUE,ISNUMBER(SEARCH(Y61,ClassificationClasses[Key])),0),0),0)-1)))</f>
        <v>Aculeata</v>
      </c>
      <c r="AA61" s="116" t="str" cm="1">
        <f t="array" ref="AA61">IFERROR(IF(OR(Z61="Insecta",Z61="Arachnida",Z61="#N/C"),"",INDEX(ClassificationClasses[[Class]:[Infraorder]],MATCH(TRUE,ISNUMBER(SEARCH(Z61,ClassificationClasses[Key])),0),MATCH(Z61,INDEX(ClassificationClasses[#Data], MATCH(TRUE,ISNUMBER(SEARCH(Z61,ClassificationClasses[Key])),0), 0), 0)-1)),"")</f>
        <v>Apocrita</v>
      </c>
      <c r="AB61" s="116" t="str" cm="1">
        <f t="array" ref="AB61">IFERROR(IF(OR(AA61="Insecta",AA61="Arachnida",AA61="#N/C"),"",INDEX(ClassificationClasses[[Class]:[Suborder]],MATCH(TRUE,ISNUMBER(SEARCH(AA61,ClassificationClasses[Key])),0),MATCH(AA61,INDEX(ClassificationClasses[#Data], MATCH(TRUE,ISNUMBER(SEARCH(AA61,ClassificationClasses[Key])),0), 0), 0)-1)),"")</f>
        <v>Hymenoptera</v>
      </c>
      <c r="AC61" s="116" t="str" cm="1">
        <f t="array" ref="AC61">IFERROR(IF(OR(AB61="Insecta",AB61="Arachnida",AB61="#N/C"),"",INDEX(ClassificationClasses[[Class]:[Suborder]],MATCH(TRUE,ISNUMBER(SEARCH(AB61,ClassificationClasses[Key])),0),MATCH(AB61,INDEX(ClassificationClasses[#Data], MATCH(TRUE,ISNUMBER(SEARCH(AB61,ClassificationClasses[Key])),0), 0), 0)-1)),"")</f>
        <v>Insecta</v>
      </c>
      <c r="AD61" s="116" t="str" cm="1">
        <f t="array" ref="AD61">IFERROR(IF(OR(AC61="Insecta",AC61="Arachnida",AC61="#N/C"),"",INDEX(ClassificationClasses[[Class]:[Suborder]],MATCH(TRUE,ISNUMBER(SEARCH(AC61,ClassificationClasses[Key])),0),MATCH(AC61,INDEX(ClassificationClasses[#Data], MATCH(TRUE,ISNUMBER(SEARCH(AC61,ClassificationClasses[Key])),0), 0), 0)-1)),"")</f>
        <v/>
      </c>
      <c r="AE61" s="18" t="str">
        <f t="shared" si="2"/>
        <v>Insecta.Hymenoptera.Apocrita.Aculeata.Apoidea.Apidae.Apinae.Bombus.#N/C</v>
      </c>
    </row>
    <row r="62" spans="1:31" x14ac:dyDescent="0.3">
      <c r="A62" s="91">
        <v>61</v>
      </c>
      <c r="B62" s="7">
        <v>44390</v>
      </c>
      <c r="C62" s="92" t="s">
        <v>159</v>
      </c>
      <c r="D62" s="93" t="str">
        <f>HYPERLINK(VLOOKUP(C62,Video_List!$F:$J,5),"video")</f>
        <v>video</v>
      </c>
      <c r="E62" s="94" t="str">
        <f>IFERROR(IF(MATCH(C62,Video_List!$F:$F,)&gt;0,"ok",""),"error")</f>
        <v>ok</v>
      </c>
      <c r="F62" s="92" t="s">
        <v>159</v>
      </c>
      <c r="G62" s="93" t="str">
        <f>HYPERLINK(VLOOKUP(F62,Video_List!$F:$J,5),"video")</f>
        <v>video</v>
      </c>
      <c r="H62" s="94" t="str">
        <f>IFERROR(IF(MATCH(F62,Video_List!$F:$F,)&gt;0,"ok",""),"error")</f>
        <v>ok</v>
      </c>
      <c r="I62" s="17">
        <v>44390.652685185189</v>
      </c>
      <c r="J62" s="8">
        <v>44390.652731481481</v>
      </c>
      <c r="K62" s="15">
        <f t="shared" si="0"/>
        <v>4.6296292566694319E-5</v>
      </c>
      <c r="L62" s="95" t="s">
        <v>32</v>
      </c>
      <c r="M62" s="95" t="s">
        <v>33</v>
      </c>
      <c r="N62" s="96" t="str">
        <f>IF(ISBLANK(C62),"",IF(C62=F62, "1 video",CONCATENATE((+COUNTIFS(Video_List!$C:$C,"&lt;=" &amp;Monitoring!J62)-COUNTIFS(Video_List!$C:$C,"&lt;=" &amp;Monitoring!I62))+1," videos")))</f>
        <v>1 video</v>
      </c>
      <c r="O62" s="29" t="s">
        <v>44</v>
      </c>
      <c r="P62" s="42" t="s">
        <v>37</v>
      </c>
      <c r="Q62" s="42" t="s">
        <v>38</v>
      </c>
      <c r="R62" s="42" t="s">
        <v>39</v>
      </c>
      <c r="S62" s="97" t="str">
        <f>+IFERROR(IF(T62="#N/C","#N/C",IF(U62=0,INDEX(Taxonomy_UniqueValues!D:D,MATCH(U62,Taxonomy_UniqueValues!F:F,0)),INDEX(Taxonomy_UniqueValues!D:D,MATCH(T62,Taxonomy_UniqueValues!E:E,0)))),"#N/C")</f>
        <v>#N/C</v>
      </c>
      <c r="T62" s="42" t="s">
        <v>35</v>
      </c>
      <c r="U62" s="42" t="s">
        <v>35</v>
      </c>
      <c r="V62" s="42" t="s">
        <v>35</v>
      </c>
      <c r="W62" s="42" t="s">
        <v>35</v>
      </c>
      <c r="X62" s="28" t="s">
        <v>35</v>
      </c>
      <c r="Y62" s="69" t="str" cm="1">
        <f t="array" ref="Y62">_xlfn.LET(_xlpm.cls,P62, _xlpm.ord,IFERROR(Q62,"#N/C"), _xlpm.subord,IFERROR(R62,"#N/C"), _xlpm.infr,IFERROR(S62,"#N/C"), _xlpm.sf,IFERROR(T62,"#N/C"), _xlpm.fam,IFERROR(U62,"#N/C"), _xlpm.subfam,IF(TRIM(V62)="-","#N/C",IFERROR(V62,"#N/C")),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_xlpm.fallback,IF(IFERROR(Q62,"#N/C")="#N/C",P62,IF(IFERROR(R62,"#N/C")="#N/C",Q62,IF(IFERROR(S62,"#N/C")="#N/C",R62,IF(IFERROR(T62,"#N/C")="#N/C",S62,IF(IFERROR(U62,"#N/C")="#N/C",T62,IF(IFERROR(V62,"#N/C")="#N/C",U62,"#N/C")))))), _xlpm.finalResult,IF(OR(_xlpm.computedResult="",_xlpm.computedResult="#N/C"),_xlpm.fallback,_xlpm.computedResult), INDEX(_xlpm.finalResult,1))</f>
        <v>Brachycera</v>
      </c>
      <c r="Z62" s="116" t="str" cm="1">
        <f t="array" ref="Z62">IF(OR(Y62="Insecta",Y62="Arachnida",Y62="#N/C"),"",IFERROR(_xlfn.LET(_xlpm.fc,IFERROR(_xlfn._xlws.FILTER(ClassificationClasses[],ClassificationClasses[Classification Class]=Y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62,ClassificationClasses[Key])),0),MATCH(Y62,INDEX(ClassificationClasses[],MATCH(TRUE,ISNUMBER(SEARCH(Y62,ClassificationClasses[Key])),0),0),0)-1)))</f>
        <v>Diptera</v>
      </c>
      <c r="AA62" s="116" t="str" cm="1">
        <f t="array" ref="AA62">IFERROR(IF(OR(Z62="Insecta",Z62="Arachnida",Z62="#N/C"),"",INDEX(ClassificationClasses[[Class]:[Infraorder]],MATCH(TRUE,ISNUMBER(SEARCH(Z62,ClassificationClasses[Key])),0),MATCH(Z62,INDEX(ClassificationClasses[#Data], MATCH(TRUE,ISNUMBER(SEARCH(Z62,ClassificationClasses[Key])),0), 0), 0)-1)),"")</f>
        <v>Insecta</v>
      </c>
      <c r="AB62" s="116" t="str" cm="1">
        <f t="array" ref="AB62">IFERROR(IF(OR(AA62="Insecta",AA62="Arachnida",AA62="#N/C"),"",INDEX(ClassificationClasses[[Class]:[Suborder]],MATCH(TRUE,ISNUMBER(SEARCH(AA62,ClassificationClasses[Key])),0),MATCH(AA62,INDEX(ClassificationClasses[#Data], MATCH(TRUE,ISNUMBER(SEARCH(AA62,ClassificationClasses[Key])),0), 0), 0)-1)),"")</f>
        <v/>
      </c>
      <c r="AC62" s="116" t="str" cm="1">
        <f t="array" ref="AC62">IFERROR(IF(OR(AB62="Insecta",AB62="Arachnida",AB62="#N/C"),"",INDEX(ClassificationClasses[[Class]:[Suborder]],MATCH(TRUE,ISNUMBER(SEARCH(AB62,ClassificationClasses[Key])),0),MATCH(AB62,INDEX(ClassificationClasses[#Data], MATCH(TRUE,ISNUMBER(SEARCH(AB62,ClassificationClasses[Key])),0), 0), 0)-1)),"")</f>
        <v/>
      </c>
      <c r="AD62" s="116" t="str" cm="1">
        <f t="array" ref="AD62">IFERROR(IF(OR(AC62="Insecta",AC62="Arachnida",AC62="#N/C"),"",INDEX(ClassificationClasses[[Class]:[Suborder]],MATCH(TRUE,ISNUMBER(SEARCH(AC62,ClassificationClasses[Key])),0),MATCH(AC62,INDEX(ClassificationClasses[#Data], MATCH(TRUE,ISNUMBER(SEARCH(AC62,ClassificationClasses[Key])),0), 0), 0)-1)),"")</f>
        <v/>
      </c>
      <c r="AE62" s="18" t="str">
        <f t="shared" si="2"/>
        <v>Insecta.Diptera.Brachycera.#N/C.#N/C.#N/C.#N/C.#N/C.#N/C</v>
      </c>
    </row>
    <row r="63" spans="1:31" x14ac:dyDescent="0.3">
      <c r="A63" s="91">
        <v>62</v>
      </c>
      <c r="B63" s="7">
        <v>44390</v>
      </c>
      <c r="C63" s="92" t="s">
        <v>160</v>
      </c>
      <c r="D63" s="93" t="str">
        <f>HYPERLINK(VLOOKUP(C63,Video_List!$F:$J,5),"video")</f>
        <v>video</v>
      </c>
      <c r="E63" s="94" t="str">
        <f>IFERROR(IF(MATCH(C63,Video_List!$F:$F,)&gt;0,"ok",""),"error")</f>
        <v>ok</v>
      </c>
      <c r="F63" s="92" t="s">
        <v>160</v>
      </c>
      <c r="G63" s="93" t="str">
        <f>HYPERLINK(VLOOKUP(F63,Video_List!$F:$J,5),"video")</f>
        <v>video</v>
      </c>
      <c r="H63" s="94" t="str">
        <f>IFERROR(IF(MATCH(F63,Video_List!$F:$F,)&gt;0,"ok",""),"error")</f>
        <v>ok</v>
      </c>
      <c r="I63" s="17">
        <v>44390.662824074076</v>
      </c>
      <c r="J63" s="8">
        <v>44390.662951388891</v>
      </c>
      <c r="K63" s="15">
        <f t="shared" si="0"/>
        <v>1.273148154723458E-4</v>
      </c>
      <c r="L63" s="95" t="s">
        <v>32</v>
      </c>
      <c r="M63" s="95" t="s">
        <v>33</v>
      </c>
      <c r="N63" s="96" t="str">
        <f>IF(ISBLANK(C63),"",IF(C63=F63, "1 video",CONCATENATE((+COUNTIFS(Video_List!$C:$C,"&lt;=" &amp;Monitoring!J63)-COUNTIFS(Video_List!$C:$C,"&lt;=" &amp;Monitoring!I63))+1," videos")))</f>
        <v>1 video</v>
      </c>
      <c r="O63" s="29" t="s">
        <v>44</v>
      </c>
      <c r="P63" s="42" t="s">
        <v>37</v>
      </c>
      <c r="Q63" s="42" t="s">
        <v>38</v>
      </c>
      <c r="R63" s="42" t="s">
        <v>39</v>
      </c>
      <c r="S63" s="97" t="str">
        <f>+IFERROR(IF(T63="#N/C","#N/C",IF(U63=0,INDEX(Taxonomy_UniqueValues!D:D,MATCH(U63,Taxonomy_UniqueValues!F:F,0)),INDEX(Taxonomy_UniqueValues!D:D,MATCH(T63,Taxonomy_UniqueValues!E:E,0)))),"#N/C")</f>
        <v>#N/C</v>
      </c>
      <c r="T63" s="42" t="s">
        <v>35</v>
      </c>
      <c r="U63" s="42" t="s">
        <v>35</v>
      </c>
      <c r="V63" s="42" t="s">
        <v>35</v>
      </c>
      <c r="W63" s="42" t="s">
        <v>35</v>
      </c>
      <c r="X63" s="28" t="s">
        <v>35</v>
      </c>
      <c r="Y63" s="69" t="str" cm="1">
        <f t="array" ref="Y63">_xlfn.LET(_xlpm.cls,P63, _xlpm.ord,IFERROR(Q63,"#N/C"), _xlpm.subord,IFERROR(R63,"#N/C"), _xlpm.infr,IFERROR(S63,"#N/C"), _xlpm.sf,IFERROR(T63,"#N/C"), _xlpm.fam,IFERROR(U63,"#N/C"), _xlpm.subfam,IF(TRIM(V63)="-","#N/C",IFERROR(V63,"#N/C")),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_xlpm.fallback,IF(IFERROR(Q63,"#N/C")="#N/C",P63,IF(IFERROR(R63,"#N/C")="#N/C",Q63,IF(IFERROR(S63,"#N/C")="#N/C",R63,IF(IFERROR(T63,"#N/C")="#N/C",S63,IF(IFERROR(U63,"#N/C")="#N/C",T63,IF(IFERROR(V63,"#N/C")="#N/C",U63,"#N/C")))))), _xlpm.finalResult,IF(OR(_xlpm.computedResult="",_xlpm.computedResult="#N/C"),_xlpm.fallback,_xlpm.computedResult), INDEX(_xlpm.finalResult,1))</f>
        <v>Brachycera</v>
      </c>
      <c r="Z63" s="116" t="str" cm="1">
        <f t="array" ref="Z63">IF(OR(Y63="Insecta",Y63="Arachnida",Y63="#N/C"),"",IFERROR(_xlfn.LET(_xlpm.fc,IFERROR(_xlfn._xlws.FILTER(ClassificationClasses[],ClassificationClasses[Classification Class]=Y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63,ClassificationClasses[Key])),0),MATCH(Y63,INDEX(ClassificationClasses[],MATCH(TRUE,ISNUMBER(SEARCH(Y63,ClassificationClasses[Key])),0),0),0)-1)))</f>
        <v>Diptera</v>
      </c>
      <c r="AA63" s="116" t="str" cm="1">
        <f t="array" ref="AA63">IFERROR(IF(OR(Z63="Insecta",Z63="Arachnida",Z63="#N/C"),"",INDEX(ClassificationClasses[[Class]:[Infraorder]],MATCH(TRUE,ISNUMBER(SEARCH(Z63,ClassificationClasses[Key])),0),MATCH(Z63,INDEX(ClassificationClasses[#Data], MATCH(TRUE,ISNUMBER(SEARCH(Z63,ClassificationClasses[Key])),0), 0), 0)-1)),"")</f>
        <v>Insecta</v>
      </c>
      <c r="AB63" s="116" t="str" cm="1">
        <f t="array" ref="AB63">IFERROR(IF(OR(AA63="Insecta",AA63="Arachnida",AA63="#N/C"),"",INDEX(ClassificationClasses[[Class]:[Suborder]],MATCH(TRUE,ISNUMBER(SEARCH(AA63,ClassificationClasses[Key])),0),MATCH(AA63,INDEX(ClassificationClasses[#Data], MATCH(TRUE,ISNUMBER(SEARCH(AA63,ClassificationClasses[Key])),0), 0), 0)-1)),"")</f>
        <v/>
      </c>
      <c r="AC63" s="116" t="str" cm="1">
        <f t="array" ref="AC63">IFERROR(IF(OR(AB63="Insecta",AB63="Arachnida",AB63="#N/C"),"",INDEX(ClassificationClasses[[Class]:[Suborder]],MATCH(TRUE,ISNUMBER(SEARCH(AB63,ClassificationClasses[Key])),0),MATCH(AB63,INDEX(ClassificationClasses[#Data], MATCH(TRUE,ISNUMBER(SEARCH(AB63,ClassificationClasses[Key])),0), 0), 0)-1)),"")</f>
        <v/>
      </c>
      <c r="AD63" s="116" t="str" cm="1">
        <f t="array" ref="AD63">IFERROR(IF(OR(AC63="Insecta",AC63="Arachnida",AC63="#N/C"),"",INDEX(ClassificationClasses[[Class]:[Suborder]],MATCH(TRUE,ISNUMBER(SEARCH(AC63,ClassificationClasses[Key])),0),MATCH(AC63,INDEX(ClassificationClasses[#Data], MATCH(TRUE,ISNUMBER(SEARCH(AC63,ClassificationClasses[Key])),0), 0), 0)-1)),"")</f>
        <v/>
      </c>
      <c r="AE63" s="18" t="str">
        <f t="shared" si="2"/>
        <v>Insecta.Diptera.Brachycera.#N/C.#N/C.#N/C.#N/C.#N/C.#N/C</v>
      </c>
    </row>
    <row r="64" spans="1:31" x14ac:dyDescent="0.3">
      <c r="A64" s="91">
        <v>63</v>
      </c>
      <c r="B64" s="7">
        <v>44390</v>
      </c>
      <c r="C64" s="92" t="s">
        <v>160</v>
      </c>
      <c r="D64" s="93" t="str">
        <f>HYPERLINK(VLOOKUP(C64,Video_List!$F:$J,5),"video")</f>
        <v>video</v>
      </c>
      <c r="E64" s="94" t="str">
        <f>IFERROR(IF(MATCH(C64,Video_List!$F:$F,)&gt;0,"ok",""),"error")</f>
        <v>ok</v>
      </c>
      <c r="F64" s="92" t="s">
        <v>160</v>
      </c>
      <c r="G64" s="93" t="str">
        <f>HYPERLINK(VLOOKUP(F64,Video_List!$F:$J,5),"video")</f>
        <v>video</v>
      </c>
      <c r="H64" s="94" t="str">
        <f>IFERROR(IF(MATCH(F64,Video_List!$F:$F,)&gt;0,"ok",""),"error")</f>
        <v>ok</v>
      </c>
      <c r="I64" s="17">
        <v>44390.663113425922</v>
      </c>
      <c r="J64" s="8">
        <v>44390.667129629626</v>
      </c>
      <c r="K64" s="15">
        <f t="shared" si="0"/>
        <v>4.016203703940846E-3</v>
      </c>
      <c r="L64" s="4" t="s">
        <v>32</v>
      </c>
      <c r="M64" s="4" t="s">
        <v>33</v>
      </c>
      <c r="N64" s="96" t="str">
        <f>IF(ISBLANK(C64),"",IF(C64=F64, "1 video",CONCATENATE((+COUNTIFS(Video_List!$C:$C,"&lt;=" &amp;Monitoring!J64)-COUNTIFS(Video_List!$C:$C,"&lt;=" &amp;Monitoring!I64))+1," videos")))</f>
        <v>1 video</v>
      </c>
      <c r="O64" s="27" t="s">
        <v>32</v>
      </c>
      <c r="P64" s="42" t="s">
        <v>37</v>
      </c>
      <c r="Q64" s="42" t="s">
        <v>38</v>
      </c>
      <c r="R64" s="42" t="s">
        <v>39</v>
      </c>
      <c r="S64" s="97" t="str">
        <f>+IFERROR(IF(T64="#N/C","#N/C",IF(U64=0,INDEX(Taxonomy_UniqueValues!D:D,MATCH(U64,Taxonomy_UniqueValues!F:F,0)),INDEX(Taxonomy_UniqueValues!D:D,MATCH(T64,Taxonomy_UniqueValues!E:E,0)))),"#N/C")</f>
        <v>Muscomorpha</v>
      </c>
      <c r="T64" s="120" t="s">
        <v>161</v>
      </c>
      <c r="U64" s="42" t="s">
        <v>162</v>
      </c>
      <c r="V64" s="42" t="s">
        <v>163</v>
      </c>
      <c r="W64" s="42" t="s">
        <v>164</v>
      </c>
      <c r="X64" s="28" t="s">
        <v>35</v>
      </c>
      <c r="Y64" s="69" t="str" cm="1">
        <f t="array" ref="Y64">_xlfn.LET(_xlpm.cls,P64, _xlpm.ord,IFERROR(Q64,"#N/C"), _xlpm.subord,IFERROR(R64,"#N/C"), _xlpm.infr,IFERROR(S64,"#N/C"), _xlpm.sf,IFERROR(T64,"#N/C"), _xlpm.fam,IFERROR(U64,"#N/C"), _xlpm.subfam,IF(TRIM(V64)="-","#N/C",IFERROR(V64,"#N/C")),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_xlpm.fallback,IF(IFERROR(Q64,"#N/C")="#N/C",P64,IF(IFERROR(R64,"#N/C")="#N/C",Q64,IF(IFERROR(S64,"#N/C")="#N/C",R64,IF(IFERROR(T64,"#N/C")="#N/C",S64,IF(IFERROR(U64,"#N/C")="#N/C",T64,IF(IFERROR(V64,"#N/C")="#N/C",U64,"#N/C")))))), _xlpm.finalResult,IF(OR(_xlpm.computedResult="",_xlpm.computedResult="#N/C"),_xlpm.fallback,_xlpm.computedResult), INDEX(_xlpm.finalResult,1))</f>
        <v>scavenger_fly</v>
      </c>
      <c r="Z64" s="116" t="str" cm="1">
        <f t="array" ref="Z64">IF(OR(Y64="Insecta",Y64="Arachnida",Y64="#N/C"),"",IFERROR(_xlfn.LET(_xlpm.fc,IFERROR(_xlfn._xlws.FILTER(ClassificationClasses[],ClassificationClasses[Classification Class]=Y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64,ClassificationClasses[Key])),0),MATCH(Y64,INDEX(ClassificationClasses[],MATCH(TRUE,ISNUMBER(SEARCH(Y64,ClassificationClasses[Key])),0),0),0)-1)))</f>
        <v>Muscomorpha</v>
      </c>
      <c r="AA64" s="116" t="str" cm="1">
        <f t="array" ref="AA64">IFERROR(IF(OR(Z64="Insecta",Z64="Arachnida",Z64="#N/C"),"",INDEX(ClassificationClasses[[Class]:[Infraorder]],MATCH(TRUE,ISNUMBER(SEARCH(Z64,ClassificationClasses[Key])),0),MATCH(Z64,INDEX(ClassificationClasses[#Data], MATCH(TRUE,ISNUMBER(SEARCH(Z64,ClassificationClasses[Key])),0), 0), 0)-1)),"")</f>
        <v>Brachycera</v>
      </c>
      <c r="AB64" s="116" t="str" cm="1">
        <f t="array" ref="AB64">IFERROR(IF(OR(AA64="Insecta",AA64="Arachnida",AA64="#N/C"),"",INDEX(ClassificationClasses[[Class]:[Suborder]],MATCH(TRUE,ISNUMBER(SEARCH(AA64,ClassificationClasses[Key])),0),MATCH(AA64,INDEX(ClassificationClasses[#Data], MATCH(TRUE,ISNUMBER(SEARCH(AA64,ClassificationClasses[Key])),0), 0), 0)-1)),"")</f>
        <v>Diptera</v>
      </c>
      <c r="AC64" s="116" t="str" cm="1">
        <f t="array" ref="AC64">IFERROR(IF(OR(AB64="Insecta",AB64="Arachnida",AB64="#N/C"),"",INDEX(ClassificationClasses[[Class]:[Suborder]],MATCH(TRUE,ISNUMBER(SEARCH(AB64,ClassificationClasses[Key])),0),MATCH(AB64,INDEX(ClassificationClasses[#Data], MATCH(TRUE,ISNUMBER(SEARCH(AB64,ClassificationClasses[Key])),0), 0), 0)-1)),"")</f>
        <v>Insecta</v>
      </c>
      <c r="AD64" s="116" t="str" cm="1">
        <f t="array" ref="AD64">IFERROR(IF(OR(AC64="Insecta",AC64="Arachnida",AC64="#N/C"),"",INDEX(ClassificationClasses[[Class]:[Suborder]],MATCH(TRUE,ISNUMBER(SEARCH(AC64,ClassificationClasses[Key])),0),MATCH(AC64,INDEX(ClassificationClasses[#Data], MATCH(TRUE,ISNUMBER(SEARCH(AC64,ClassificationClasses[Key])),0), 0), 0)-1)),"")</f>
        <v/>
      </c>
      <c r="AE64" s="18" t="str">
        <f t="shared" si="2"/>
        <v>Insecta.Diptera.Brachycera.Muscomorpha.Sciomyzoidea.Sepsidae.Sepsinae.Sepsis.#N/C</v>
      </c>
    </row>
    <row r="65" spans="1:31" x14ac:dyDescent="0.3">
      <c r="A65" s="91">
        <v>64</v>
      </c>
      <c r="B65" s="7">
        <v>44390</v>
      </c>
      <c r="C65" s="92" t="s">
        <v>165</v>
      </c>
      <c r="D65" s="93" t="str">
        <f>HYPERLINK(VLOOKUP(C65,Video_List!$F:$J,5),"video")</f>
        <v>video</v>
      </c>
      <c r="E65" s="94" t="str">
        <f>IFERROR(IF(MATCH(C65,Video_List!$F:$F,)&gt;0,"ok",""),"error")</f>
        <v>ok</v>
      </c>
      <c r="F65" s="92" t="s">
        <v>165</v>
      </c>
      <c r="G65" s="93" t="str">
        <f>HYPERLINK(VLOOKUP(F65,Video_List!$F:$J,5),"video")</f>
        <v>video</v>
      </c>
      <c r="H65" s="94" t="str">
        <f>IFERROR(IF(MATCH(F65,Video_List!$F:$F,)&gt;0,"ok",""),"error")</f>
        <v>ok</v>
      </c>
      <c r="I65" s="17">
        <v>44390.669652777775</v>
      </c>
      <c r="J65" s="8">
        <v>44390.669791666667</v>
      </c>
      <c r="K65" s="15">
        <f t="shared" si="0"/>
        <v>1.3888889225199819E-4</v>
      </c>
      <c r="L65" s="95" t="s">
        <v>32</v>
      </c>
      <c r="M65" s="95" t="s">
        <v>33</v>
      </c>
      <c r="N65" s="96" t="str">
        <f>IF(ISBLANK(C65),"",IF(C65=F65, "1 video",CONCATENATE((+COUNTIFS(Video_List!$C:$C,"&lt;=" &amp;Monitoring!J65)-COUNTIFS(Video_List!$C:$C,"&lt;=" &amp;Monitoring!I65))+1," videos")))</f>
        <v>1 video</v>
      </c>
      <c r="O65" s="29" t="s">
        <v>44</v>
      </c>
      <c r="P65" s="42" t="s">
        <v>37</v>
      </c>
      <c r="Q65" s="42" t="s">
        <v>38</v>
      </c>
      <c r="R65" s="42" t="s">
        <v>39</v>
      </c>
      <c r="S65" s="97" t="str">
        <f>+IFERROR(IF(T65="#N/C","#N/C",IF(U65=0,INDEX(Taxonomy_UniqueValues!D:D,MATCH(U65,Taxonomy_UniqueValues!F:F,0)),INDEX(Taxonomy_UniqueValues!D:D,MATCH(T65,Taxonomy_UniqueValues!E:E,0)))),"#N/C")</f>
        <v>#N/C</v>
      </c>
      <c r="T65" s="42" t="s">
        <v>35</v>
      </c>
      <c r="U65" s="42" t="s">
        <v>35</v>
      </c>
      <c r="V65" s="42" t="s">
        <v>35</v>
      </c>
      <c r="W65" s="42" t="s">
        <v>35</v>
      </c>
      <c r="X65" s="28" t="s">
        <v>35</v>
      </c>
      <c r="Y65" s="69" t="str" cm="1">
        <f t="array" ref="Y65">_xlfn.LET(_xlpm.cls,P65, _xlpm.ord,IFERROR(Q65,"#N/C"), _xlpm.subord,IFERROR(R65,"#N/C"), _xlpm.infr,IFERROR(S65,"#N/C"), _xlpm.sf,IFERROR(T65,"#N/C"), _xlpm.fam,IFERROR(U65,"#N/C"), _xlpm.subfam,IF(TRIM(V65)="-","#N/C",IFERROR(V65,"#N/C")),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_xlpm.fallback,IF(IFERROR(Q65,"#N/C")="#N/C",P65,IF(IFERROR(R65,"#N/C")="#N/C",Q65,IF(IFERROR(S65,"#N/C")="#N/C",R65,IF(IFERROR(T65,"#N/C")="#N/C",S65,IF(IFERROR(U65,"#N/C")="#N/C",T65,IF(IFERROR(V65,"#N/C")="#N/C",U65,"#N/C")))))), _xlpm.finalResult,IF(OR(_xlpm.computedResult="",_xlpm.computedResult="#N/C"),_xlpm.fallback,_xlpm.computedResult), INDEX(_xlpm.finalResult,1))</f>
        <v>Brachycera</v>
      </c>
      <c r="Z65" s="116" t="str" cm="1">
        <f t="array" ref="Z65">IF(OR(Y65="Insecta",Y65="Arachnida",Y65="#N/C"),"",IFERROR(_xlfn.LET(_xlpm.fc,IFERROR(_xlfn._xlws.FILTER(ClassificationClasses[],ClassificationClasses[Classification Class]=Y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65,ClassificationClasses[Key])),0),MATCH(Y65,INDEX(ClassificationClasses[],MATCH(TRUE,ISNUMBER(SEARCH(Y65,ClassificationClasses[Key])),0),0),0)-1)))</f>
        <v>Diptera</v>
      </c>
      <c r="AA65" s="116" t="str" cm="1">
        <f t="array" ref="AA65">IFERROR(IF(OR(Z65="Insecta",Z65="Arachnida",Z65="#N/C"),"",INDEX(ClassificationClasses[[Class]:[Infraorder]],MATCH(TRUE,ISNUMBER(SEARCH(Z65,ClassificationClasses[Key])),0),MATCH(Z65,INDEX(ClassificationClasses[#Data], MATCH(TRUE,ISNUMBER(SEARCH(Z65,ClassificationClasses[Key])),0), 0), 0)-1)),"")</f>
        <v>Insecta</v>
      </c>
      <c r="AB65" s="116" t="str" cm="1">
        <f t="array" ref="AB65">IFERROR(IF(OR(AA65="Insecta",AA65="Arachnida",AA65="#N/C"),"",INDEX(ClassificationClasses[[Class]:[Suborder]],MATCH(TRUE,ISNUMBER(SEARCH(AA65,ClassificationClasses[Key])),0),MATCH(AA65,INDEX(ClassificationClasses[#Data], MATCH(TRUE,ISNUMBER(SEARCH(AA65,ClassificationClasses[Key])),0), 0), 0)-1)),"")</f>
        <v/>
      </c>
      <c r="AC65" s="116" t="str" cm="1">
        <f t="array" ref="AC65">IFERROR(IF(OR(AB65="Insecta",AB65="Arachnida",AB65="#N/C"),"",INDEX(ClassificationClasses[[Class]:[Suborder]],MATCH(TRUE,ISNUMBER(SEARCH(AB65,ClassificationClasses[Key])),0),MATCH(AB65,INDEX(ClassificationClasses[#Data], MATCH(TRUE,ISNUMBER(SEARCH(AB65,ClassificationClasses[Key])),0), 0), 0)-1)),"")</f>
        <v/>
      </c>
      <c r="AD65" s="116" t="str" cm="1">
        <f t="array" ref="AD65">IFERROR(IF(OR(AC65="Insecta",AC65="Arachnida",AC65="#N/C"),"",INDEX(ClassificationClasses[[Class]:[Suborder]],MATCH(TRUE,ISNUMBER(SEARCH(AC65,ClassificationClasses[Key])),0),MATCH(AC65,INDEX(ClassificationClasses[#Data], MATCH(TRUE,ISNUMBER(SEARCH(AC65,ClassificationClasses[Key])),0), 0), 0)-1)),"")</f>
        <v/>
      </c>
      <c r="AE65" s="18" t="str">
        <f t="shared" si="2"/>
        <v>Insecta.Diptera.Brachycera.#N/C.#N/C.#N/C.#N/C.#N/C.#N/C</v>
      </c>
    </row>
    <row r="66" spans="1:31" x14ac:dyDescent="0.3">
      <c r="A66" s="91">
        <v>65</v>
      </c>
      <c r="B66" s="7">
        <v>44390</v>
      </c>
      <c r="C66" s="92" t="s">
        <v>166</v>
      </c>
      <c r="D66" s="93" t="str">
        <f>HYPERLINK(VLOOKUP(C66,Video_List!$F:$J,5),"video")</f>
        <v>video</v>
      </c>
      <c r="E66" s="94" t="str">
        <f>IFERROR(IF(MATCH(C66,Video_List!$F:$F,)&gt;0,"ok",""),"error")</f>
        <v>ok</v>
      </c>
      <c r="F66" s="92" t="s">
        <v>166</v>
      </c>
      <c r="G66" s="93" t="str">
        <f>HYPERLINK(VLOOKUP(F66,Video_List!$F:$J,5),"video")</f>
        <v>video</v>
      </c>
      <c r="H66" s="94" t="str">
        <f>IFERROR(IF(MATCH(F66,Video_List!$F:$F,)&gt;0,"ok",""),"error")</f>
        <v>ok</v>
      </c>
      <c r="I66" s="17">
        <v>44390.690555555557</v>
      </c>
      <c r="J66" s="8">
        <v>44390.690613425926</v>
      </c>
      <c r="K66" s="15">
        <f t="shared" ref="K66:K129" si="3">J66-I66</f>
        <v>5.7870369346346706E-5</v>
      </c>
      <c r="L66" s="95" t="s">
        <v>32</v>
      </c>
      <c r="M66" s="95" t="s">
        <v>33</v>
      </c>
      <c r="N66" s="96" t="str">
        <f>IF(ISBLANK(C66),"",IF(C66=F66, "1 video",CONCATENATE((+COUNTIFS(Video_List!$C:$C,"&lt;=" &amp;Monitoring!J66)-COUNTIFS(Video_List!$C:$C,"&lt;=" &amp;Monitoring!I66))+1," videos")))</f>
        <v>1 video</v>
      </c>
      <c r="O66" s="29" t="s">
        <v>44</v>
      </c>
      <c r="P66" s="42" t="s">
        <v>37</v>
      </c>
      <c r="Q66" s="42" t="s">
        <v>38</v>
      </c>
      <c r="R66" s="42" t="s">
        <v>39</v>
      </c>
      <c r="S66" s="97" t="str">
        <f>+IFERROR(IF(T66="#N/C","#N/C",IF(U66=0,INDEX(Taxonomy_UniqueValues!D:D,MATCH(U66,Taxonomy_UniqueValues!F:F,0)),INDEX(Taxonomy_UniqueValues!D:D,MATCH(T66,Taxonomy_UniqueValues!E:E,0)))),"#N/C")</f>
        <v>#N/C</v>
      </c>
      <c r="T66" s="42" t="s">
        <v>35</v>
      </c>
      <c r="U66" s="42" t="s">
        <v>35</v>
      </c>
      <c r="V66" s="42" t="s">
        <v>35</v>
      </c>
      <c r="W66" s="42" t="s">
        <v>35</v>
      </c>
      <c r="X66" s="28" t="s">
        <v>35</v>
      </c>
      <c r="Y66" s="69" t="str" cm="1">
        <f t="array" ref="Y66">_xlfn.LET(_xlpm.cls,P66, _xlpm.ord,IFERROR(Q66,"#N/C"), _xlpm.subord,IFERROR(R66,"#N/C"), _xlpm.infr,IFERROR(S66,"#N/C"), _xlpm.sf,IFERROR(T66,"#N/C"), _xlpm.fam,IFERROR(U66,"#N/C"), _xlpm.subfam,IF(TRIM(V66)="-","#N/C",IFERROR(V66,"#N/C")),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_xlpm.fallback,IF(IFERROR(Q66,"#N/C")="#N/C",P66,IF(IFERROR(R66,"#N/C")="#N/C",Q66,IF(IFERROR(S66,"#N/C")="#N/C",R66,IF(IFERROR(T66,"#N/C")="#N/C",S66,IF(IFERROR(U66,"#N/C")="#N/C",T66,IF(IFERROR(V66,"#N/C")="#N/C",U66,"#N/C")))))), _xlpm.finalResult,IF(OR(_xlpm.computedResult="",_xlpm.computedResult="#N/C"),_xlpm.fallback,_xlpm.computedResult), INDEX(_xlpm.finalResult,1))</f>
        <v>Brachycera</v>
      </c>
      <c r="Z66" s="116" t="str" cm="1">
        <f t="array" ref="Z66">IF(OR(Y66="Insecta",Y66="Arachnida",Y66="#N/C"),"",IFERROR(_xlfn.LET(_xlpm.fc,IFERROR(_xlfn._xlws.FILTER(ClassificationClasses[],ClassificationClasses[Classification Class]=Y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66,ClassificationClasses[Key])),0),MATCH(Y66,INDEX(ClassificationClasses[],MATCH(TRUE,ISNUMBER(SEARCH(Y66,ClassificationClasses[Key])),0),0),0)-1)))</f>
        <v>Diptera</v>
      </c>
      <c r="AA66" s="116" t="str" cm="1">
        <f t="array" ref="AA66">IFERROR(IF(OR(Z66="Insecta",Z66="Arachnida",Z66="#N/C"),"",INDEX(ClassificationClasses[[Class]:[Infraorder]],MATCH(TRUE,ISNUMBER(SEARCH(Z66,ClassificationClasses[Key])),0),MATCH(Z66,INDEX(ClassificationClasses[#Data], MATCH(TRUE,ISNUMBER(SEARCH(Z66,ClassificationClasses[Key])),0), 0), 0)-1)),"")</f>
        <v>Insecta</v>
      </c>
      <c r="AB66" s="116" t="str" cm="1">
        <f t="array" ref="AB66">IFERROR(IF(OR(AA66="Insecta",AA66="Arachnida",AA66="#N/C"),"",INDEX(ClassificationClasses[[Class]:[Suborder]],MATCH(TRUE,ISNUMBER(SEARCH(AA66,ClassificationClasses[Key])),0),MATCH(AA66,INDEX(ClassificationClasses[#Data], MATCH(TRUE,ISNUMBER(SEARCH(AA66,ClassificationClasses[Key])),0), 0), 0)-1)),"")</f>
        <v/>
      </c>
      <c r="AC66" s="116" t="str" cm="1">
        <f t="array" ref="AC66">IFERROR(IF(OR(AB66="Insecta",AB66="Arachnida",AB66="#N/C"),"",INDEX(ClassificationClasses[[Class]:[Suborder]],MATCH(TRUE,ISNUMBER(SEARCH(AB66,ClassificationClasses[Key])),0),MATCH(AB66,INDEX(ClassificationClasses[#Data], MATCH(TRUE,ISNUMBER(SEARCH(AB66,ClassificationClasses[Key])),0), 0), 0)-1)),"")</f>
        <v/>
      </c>
      <c r="AD66" s="116" t="str" cm="1">
        <f t="array" ref="AD66">IFERROR(IF(OR(AC66="Insecta",AC66="Arachnida",AC66="#N/C"),"",INDEX(ClassificationClasses[[Class]:[Suborder]],MATCH(TRUE,ISNUMBER(SEARCH(AC66,ClassificationClasses[Key])),0),MATCH(AC66,INDEX(ClassificationClasses[#Data], MATCH(TRUE,ISNUMBER(SEARCH(AC66,ClassificationClasses[Key])),0), 0), 0)-1)),"")</f>
        <v/>
      </c>
      <c r="AE66" s="18" t="str">
        <f t="shared" si="2"/>
        <v>Insecta.Diptera.Brachycera.#N/C.#N/C.#N/C.#N/C.#N/C.#N/C</v>
      </c>
    </row>
    <row r="67" spans="1:31" x14ac:dyDescent="0.3">
      <c r="A67" s="91">
        <v>66</v>
      </c>
      <c r="B67" s="7">
        <v>44390</v>
      </c>
      <c r="C67" s="92" t="s">
        <v>167</v>
      </c>
      <c r="D67" s="93" t="str">
        <f>HYPERLINK(VLOOKUP(C67,Video_List!$F:$J,5),"video")</f>
        <v>video</v>
      </c>
      <c r="E67" s="94" t="str">
        <f>IFERROR(IF(MATCH(C67,Video_List!$F:$F,)&gt;0,"ok",""),"error")</f>
        <v>ok</v>
      </c>
      <c r="F67" s="92" t="s">
        <v>167</v>
      </c>
      <c r="G67" s="93" t="str">
        <f>HYPERLINK(VLOOKUP(F67,Video_List!$F:$J,5),"video")</f>
        <v>video</v>
      </c>
      <c r="H67" s="94" t="str">
        <f>IFERROR(IF(MATCH(F67,Video_List!$F:$F,)&gt;0,"ok",""),"error")</f>
        <v>ok</v>
      </c>
      <c r="I67" s="17">
        <v>44390.695104166669</v>
      </c>
      <c r="J67" s="8">
        <v>44390.695162037038</v>
      </c>
      <c r="K67" s="15">
        <f t="shared" si="3"/>
        <v>5.7870369346346706E-5</v>
      </c>
      <c r="L67" s="95" t="s">
        <v>32</v>
      </c>
      <c r="M67" s="95" t="s">
        <v>33</v>
      </c>
      <c r="N67" s="96" t="str">
        <f>IF(ISBLANK(C67),"",IF(C67=F67, "1 video",CONCATENATE((+COUNTIFS(Video_List!$C:$C,"&lt;=" &amp;Monitoring!J67)-COUNTIFS(Video_List!$C:$C,"&lt;=" &amp;Monitoring!I67))+1," videos")))</f>
        <v>1 video</v>
      </c>
      <c r="O67" s="29" t="s">
        <v>44</v>
      </c>
      <c r="P67" s="42" t="s">
        <v>37</v>
      </c>
      <c r="Q67" s="42" t="s">
        <v>38</v>
      </c>
      <c r="R67" s="42" t="s">
        <v>39</v>
      </c>
      <c r="S67" s="97" t="str">
        <f>+IFERROR(IF(T67="#N/C","#N/C",IF(U67=0,INDEX(Taxonomy_UniqueValues!D:D,MATCH(U67,Taxonomy_UniqueValues!F:F,0)),INDEX(Taxonomy_UniqueValues!D:D,MATCH(T67,Taxonomy_UniqueValues!E:E,0)))),"#N/C")</f>
        <v>#N/C</v>
      </c>
      <c r="T67" s="42" t="s">
        <v>35</v>
      </c>
      <c r="U67" s="42" t="s">
        <v>35</v>
      </c>
      <c r="V67" s="42" t="s">
        <v>35</v>
      </c>
      <c r="W67" s="42" t="s">
        <v>35</v>
      </c>
      <c r="X67" s="28" t="s">
        <v>35</v>
      </c>
      <c r="Y67" s="69" t="str" cm="1">
        <f t="array" ref="Y67">_xlfn.LET(_xlpm.cls,P67, _xlpm.ord,IFERROR(Q67,"#N/C"), _xlpm.subord,IFERROR(R67,"#N/C"), _xlpm.infr,IFERROR(S67,"#N/C"), _xlpm.sf,IFERROR(T67,"#N/C"), _xlpm.fam,IFERROR(U67,"#N/C"), _xlpm.subfam,IF(TRIM(V67)="-","#N/C",IFERROR(V67,"#N/C")),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_xlpm.fallback,IF(IFERROR(Q67,"#N/C")="#N/C",P67,IF(IFERROR(R67,"#N/C")="#N/C",Q67,IF(IFERROR(S67,"#N/C")="#N/C",R67,IF(IFERROR(T67,"#N/C")="#N/C",S67,IF(IFERROR(U67,"#N/C")="#N/C",T67,IF(IFERROR(V67,"#N/C")="#N/C",U67,"#N/C")))))), _xlpm.finalResult,IF(OR(_xlpm.computedResult="",_xlpm.computedResult="#N/C"),_xlpm.fallback,_xlpm.computedResult), INDEX(_xlpm.finalResult,1))</f>
        <v>Brachycera</v>
      </c>
      <c r="Z67" s="116" t="str" cm="1">
        <f t="array" ref="Z67">IF(OR(Y67="Insecta",Y67="Arachnida",Y67="#N/C"),"",IFERROR(_xlfn.LET(_xlpm.fc,IFERROR(_xlfn._xlws.FILTER(ClassificationClasses[],ClassificationClasses[Classification Class]=Y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67,ClassificationClasses[Key])),0),MATCH(Y67,INDEX(ClassificationClasses[],MATCH(TRUE,ISNUMBER(SEARCH(Y67,ClassificationClasses[Key])),0),0),0)-1)))</f>
        <v>Diptera</v>
      </c>
      <c r="AA67" s="116" t="str" cm="1">
        <f t="array" ref="AA67">IFERROR(IF(OR(Z67="Insecta",Z67="Arachnida",Z67="#N/C"),"",INDEX(ClassificationClasses[[Class]:[Infraorder]],MATCH(TRUE,ISNUMBER(SEARCH(Z67,ClassificationClasses[Key])),0),MATCH(Z67,INDEX(ClassificationClasses[#Data], MATCH(TRUE,ISNUMBER(SEARCH(Z67,ClassificationClasses[Key])),0), 0), 0)-1)),"")</f>
        <v>Insecta</v>
      </c>
      <c r="AB67" s="116" t="str" cm="1">
        <f t="array" ref="AB67">IFERROR(IF(OR(AA67="Insecta",AA67="Arachnida",AA67="#N/C"),"",INDEX(ClassificationClasses[[Class]:[Suborder]],MATCH(TRUE,ISNUMBER(SEARCH(AA67,ClassificationClasses[Key])),0),MATCH(AA67,INDEX(ClassificationClasses[#Data], MATCH(TRUE,ISNUMBER(SEARCH(AA67,ClassificationClasses[Key])),0), 0), 0)-1)),"")</f>
        <v/>
      </c>
      <c r="AC67" s="116" t="str" cm="1">
        <f t="array" ref="AC67">IFERROR(IF(OR(AB67="Insecta",AB67="Arachnida",AB67="#N/C"),"",INDEX(ClassificationClasses[[Class]:[Suborder]],MATCH(TRUE,ISNUMBER(SEARCH(AB67,ClassificationClasses[Key])),0),MATCH(AB67,INDEX(ClassificationClasses[#Data], MATCH(TRUE,ISNUMBER(SEARCH(AB67,ClassificationClasses[Key])),0), 0), 0)-1)),"")</f>
        <v/>
      </c>
      <c r="AD67" s="116" t="str" cm="1">
        <f t="array" ref="AD67">IFERROR(IF(OR(AC67="Insecta",AC67="Arachnida",AC67="#N/C"),"",INDEX(ClassificationClasses[[Class]:[Suborder]],MATCH(TRUE,ISNUMBER(SEARCH(AC67,ClassificationClasses[Key])),0),MATCH(AC67,INDEX(ClassificationClasses[#Data], MATCH(TRUE,ISNUMBER(SEARCH(AC67,ClassificationClasses[Key])),0), 0), 0)-1)),"")</f>
        <v/>
      </c>
      <c r="AE67" s="18" t="str">
        <f t="shared" si="2"/>
        <v>Insecta.Diptera.Brachycera.#N/C.#N/C.#N/C.#N/C.#N/C.#N/C</v>
      </c>
    </row>
    <row r="68" spans="1:31" x14ac:dyDescent="0.3">
      <c r="A68" s="91">
        <v>67</v>
      </c>
      <c r="B68" s="7">
        <v>44390</v>
      </c>
      <c r="C68" s="92" t="s">
        <v>168</v>
      </c>
      <c r="D68" s="93" t="str">
        <f>HYPERLINK(VLOOKUP(C68,Video_List!$F:$J,5),"video")</f>
        <v>video</v>
      </c>
      <c r="E68" s="94" t="str">
        <f>IFERROR(IF(MATCH(C68,Video_List!$F:$F,)&gt;0,"ok",""),"error")</f>
        <v>ok</v>
      </c>
      <c r="F68" s="92" t="s">
        <v>168</v>
      </c>
      <c r="G68" s="93" t="str">
        <f>HYPERLINK(VLOOKUP(F68,Video_List!$F:$J,5),"video")</f>
        <v>video</v>
      </c>
      <c r="H68" s="94" t="str">
        <f>IFERROR(IF(MATCH(F68,Video_List!$F:$F,)&gt;0,"ok",""),"error")</f>
        <v>ok</v>
      </c>
      <c r="I68" s="17">
        <v>44390.698530092595</v>
      </c>
      <c r="J68" s="8">
        <v>44390.698599537034</v>
      </c>
      <c r="K68" s="15">
        <f t="shared" si="3"/>
        <v>6.9444438850041479E-5</v>
      </c>
      <c r="L68" s="95" t="s">
        <v>32</v>
      </c>
      <c r="M68" s="95" t="s">
        <v>33</v>
      </c>
      <c r="N68" s="96" t="str">
        <f>IF(ISBLANK(C68),"",IF(C68=F68, "1 video",CONCATENATE((+COUNTIFS(Video_List!$C:$C,"&lt;=" &amp;Monitoring!J68)-COUNTIFS(Video_List!$C:$C,"&lt;=" &amp;Monitoring!I68))+1," videos")))</f>
        <v>1 video</v>
      </c>
      <c r="O68" s="29" t="s">
        <v>44</v>
      </c>
      <c r="P68" s="42" t="s">
        <v>37</v>
      </c>
      <c r="Q68" s="42" t="s">
        <v>38</v>
      </c>
      <c r="R68" s="42" t="s">
        <v>39</v>
      </c>
      <c r="S68" s="97" t="str">
        <f>+IFERROR(IF(T68="#N/C","#N/C",IF(U68=0,INDEX(Taxonomy_UniqueValues!D:D,MATCH(U68,Taxonomy_UniqueValues!F:F,0)),INDEX(Taxonomy_UniqueValues!D:D,MATCH(T68,Taxonomy_UniqueValues!E:E,0)))),"#N/C")</f>
        <v>#N/C</v>
      </c>
      <c r="T68" s="42" t="s">
        <v>35</v>
      </c>
      <c r="U68" s="42" t="s">
        <v>35</v>
      </c>
      <c r="V68" s="42" t="s">
        <v>35</v>
      </c>
      <c r="W68" s="42" t="s">
        <v>35</v>
      </c>
      <c r="X68" s="28" t="s">
        <v>35</v>
      </c>
      <c r="Y68" s="69" t="str" cm="1">
        <f t="array" ref="Y68">_xlfn.LET(_xlpm.cls,P68, _xlpm.ord,IFERROR(Q68,"#N/C"), _xlpm.subord,IFERROR(R68,"#N/C"), _xlpm.infr,IFERROR(S68,"#N/C"), _xlpm.sf,IFERROR(T68,"#N/C"), _xlpm.fam,IFERROR(U68,"#N/C"), _xlpm.subfam,IF(TRIM(V68)="-","#N/C",IFERROR(V68,"#N/C")),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_xlpm.fallback,IF(IFERROR(Q68,"#N/C")="#N/C",P68,IF(IFERROR(R68,"#N/C")="#N/C",Q68,IF(IFERROR(S68,"#N/C")="#N/C",R68,IF(IFERROR(T68,"#N/C")="#N/C",S68,IF(IFERROR(U68,"#N/C")="#N/C",T68,IF(IFERROR(V68,"#N/C")="#N/C",U68,"#N/C")))))), _xlpm.finalResult,IF(OR(_xlpm.computedResult="",_xlpm.computedResult="#N/C"),_xlpm.fallback,_xlpm.computedResult), INDEX(_xlpm.finalResult,1))</f>
        <v>Brachycera</v>
      </c>
      <c r="Z68" s="116" t="str" cm="1">
        <f t="array" ref="Z68">IF(OR(Y68="Insecta",Y68="Arachnida",Y68="#N/C"),"",IFERROR(_xlfn.LET(_xlpm.fc,IFERROR(_xlfn._xlws.FILTER(ClassificationClasses[],ClassificationClasses[Classification Class]=Y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68,ClassificationClasses[Key])),0),MATCH(Y68,INDEX(ClassificationClasses[],MATCH(TRUE,ISNUMBER(SEARCH(Y68,ClassificationClasses[Key])),0),0),0)-1)))</f>
        <v>Diptera</v>
      </c>
      <c r="AA68" s="116" t="str" cm="1">
        <f t="array" ref="AA68">IFERROR(IF(OR(Z68="Insecta",Z68="Arachnida",Z68="#N/C"),"",INDEX(ClassificationClasses[[Class]:[Infraorder]],MATCH(TRUE,ISNUMBER(SEARCH(Z68,ClassificationClasses[Key])),0),MATCH(Z68,INDEX(ClassificationClasses[#Data], MATCH(TRUE,ISNUMBER(SEARCH(Z68,ClassificationClasses[Key])),0), 0), 0)-1)),"")</f>
        <v>Insecta</v>
      </c>
      <c r="AB68" s="116" t="str" cm="1">
        <f t="array" ref="AB68">IFERROR(IF(OR(AA68="Insecta",AA68="Arachnida",AA68="#N/C"),"",INDEX(ClassificationClasses[[Class]:[Suborder]],MATCH(TRUE,ISNUMBER(SEARCH(AA68,ClassificationClasses[Key])),0),MATCH(AA68,INDEX(ClassificationClasses[#Data], MATCH(TRUE,ISNUMBER(SEARCH(AA68,ClassificationClasses[Key])),0), 0), 0)-1)),"")</f>
        <v/>
      </c>
      <c r="AC68" s="116" t="str" cm="1">
        <f t="array" ref="AC68">IFERROR(IF(OR(AB68="Insecta",AB68="Arachnida",AB68="#N/C"),"",INDEX(ClassificationClasses[[Class]:[Suborder]],MATCH(TRUE,ISNUMBER(SEARCH(AB68,ClassificationClasses[Key])),0),MATCH(AB68,INDEX(ClassificationClasses[#Data], MATCH(TRUE,ISNUMBER(SEARCH(AB68,ClassificationClasses[Key])),0), 0), 0)-1)),"")</f>
        <v/>
      </c>
      <c r="AD68" s="116" t="str" cm="1">
        <f t="array" ref="AD68">IFERROR(IF(OR(AC68="Insecta",AC68="Arachnida",AC68="#N/C"),"",INDEX(ClassificationClasses[[Class]:[Suborder]],MATCH(TRUE,ISNUMBER(SEARCH(AC68,ClassificationClasses[Key])),0),MATCH(AC68,INDEX(ClassificationClasses[#Data], MATCH(TRUE,ISNUMBER(SEARCH(AC68,ClassificationClasses[Key])),0), 0), 0)-1)),"")</f>
        <v/>
      </c>
      <c r="AE68" s="18" t="str">
        <f t="shared" si="2"/>
        <v>Insecta.Diptera.Brachycera.#N/C.#N/C.#N/C.#N/C.#N/C.#N/C</v>
      </c>
    </row>
    <row r="69" spans="1:31" x14ac:dyDescent="0.3">
      <c r="A69" s="91">
        <v>68</v>
      </c>
      <c r="B69" s="7">
        <v>44390</v>
      </c>
      <c r="C69" s="92" t="s">
        <v>169</v>
      </c>
      <c r="D69" s="93" t="str">
        <f>HYPERLINK(VLOOKUP(C69,Video_List!$F:$J,5),"video")</f>
        <v>video</v>
      </c>
      <c r="E69" s="94" t="str">
        <f>IFERROR(IF(MATCH(C69,Video_List!$F:$F,)&gt;0,"ok",""),"error")</f>
        <v>ok</v>
      </c>
      <c r="F69" s="92" t="s">
        <v>169</v>
      </c>
      <c r="G69" s="93" t="str">
        <f>HYPERLINK(VLOOKUP(F69,Video_List!$F:$J,5),"video")</f>
        <v>video</v>
      </c>
      <c r="H69" s="94" t="str">
        <f>IFERROR(IF(MATCH(F69,Video_List!$F:$F,)&gt;0,"ok",""),"error")</f>
        <v>ok</v>
      </c>
      <c r="I69" s="17">
        <v>44390.702256944445</v>
      </c>
      <c r="J69" s="8">
        <v>44390.702592592592</v>
      </c>
      <c r="K69" s="15">
        <f t="shared" si="3"/>
        <v>3.3564814657438546E-4</v>
      </c>
      <c r="L69" s="95" t="s">
        <v>55</v>
      </c>
      <c r="M69" s="95" t="s">
        <v>55</v>
      </c>
      <c r="N69" s="96" t="str">
        <f>IF(ISBLANK(C69),"",IF(C69=F69, "1 video",CONCATENATE((+COUNTIFS(Video_List!$C:$C,"&lt;=" &amp;Monitoring!J69)-COUNTIFS(Video_List!$C:$C,"&lt;=" &amp;Monitoring!I69))+1," videos")))</f>
        <v>1 video</v>
      </c>
      <c r="O69" s="29" t="s">
        <v>44</v>
      </c>
      <c r="P69" s="42" t="s">
        <v>37</v>
      </c>
      <c r="Q69" s="42" t="s">
        <v>38</v>
      </c>
      <c r="R69" s="42" t="s">
        <v>39</v>
      </c>
      <c r="S69" s="97" t="str">
        <f>+IFERROR(IF(T69="#N/C","#N/C",IF(U69=0,INDEX(Taxonomy_UniqueValues!D:D,MATCH(U69,Taxonomy_UniqueValues!F:F,0)),INDEX(Taxonomy_UniqueValues!D:D,MATCH(T69,Taxonomy_UniqueValues!E:E,0)))),"#N/C")</f>
        <v>#N/C</v>
      </c>
      <c r="T69" s="42" t="s">
        <v>35</v>
      </c>
      <c r="U69" s="42" t="s">
        <v>35</v>
      </c>
      <c r="V69" s="42" t="s">
        <v>35</v>
      </c>
      <c r="W69" s="42" t="s">
        <v>35</v>
      </c>
      <c r="X69" s="28" t="s">
        <v>35</v>
      </c>
      <c r="Y69" s="69" t="str" cm="1">
        <f t="array" ref="Y69">_xlfn.LET(_xlpm.cls,P69, _xlpm.ord,IFERROR(Q69,"#N/C"), _xlpm.subord,IFERROR(R69,"#N/C"), _xlpm.infr,IFERROR(S69,"#N/C"), _xlpm.sf,IFERROR(T69,"#N/C"), _xlpm.fam,IFERROR(U69,"#N/C"), _xlpm.subfam,IF(TRIM(V69)="-","#N/C",IFERROR(V69,"#N/C")),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_xlpm.fallback,IF(IFERROR(Q69,"#N/C")="#N/C",P69,IF(IFERROR(R69,"#N/C")="#N/C",Q69,IF(IFERROR(S69,"#N/C")="#N/C",R69,IF(IFERROR(T69,"#N/C")="#N/C",S69,IF(IFERROR(U69,"#N/C")="#N/C",T69,IF(IFERROR(V69,"#N/C")="#N/C",U69,"#N/C")))))), _xlpm.finalResult,IF(OR(_xlpm.computedResult="",_xlpm.computedResult="#N/C"),_xlpm.fallback,_xlpm.computedResult), INDEX(_xlpm.finalResult,1))</f>
        <v>Brachycera</v>
      </c>
      <c r="Z69" s="116" t="str" cm="1">
        <f t="array" ref="Z69">IF(OR(Y69="Insecta",Y69="Arachnida",Y69="#N/C"),"",IFERROR(_xlfn.LET(_xlpm.fc,IFERROR(_xlfn._xlws.FILTER(ClassificationClasses[],ClassificationClasses[Classification Class]=Y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69,ClassificationClasses[Key])),0),MATCH(Y69,INDEX(ClassificationClasses[],MATCH(TRUE,ISNUMBER(SEARCH(Y69,ClassificationClasses[Key])),0),0),0)-1)))</f>
        <v>Diptera</v>
      </c>
      <c r="AA69" s="116" t="str" cm="1">
        <f t="array" ref="AA69">IFERROR(IF(OR(Z69="Insecta",Z69="Arachnida",Z69="#N/C"),"",INDEX(ClassificationClasses[[Class]:[Infraorder]],MATCH(TRUE,ISNUMBER(SEARCH(Z69,ClassificationClasses[Key])),0),MATCH(Z69,INDEX(ClassificationClasses[#Data], MATCH(TRUE,ISNUMBER(SEARCH(Z69,ClassificationClasses[Key])),0), 0), 0)-1)),"")</f>
        <v>Insecta</v>
      </c>
      <c r="AB69" s="116" t="str" cm="1">
        <f t="array" ref="AB69">IFERROR(IF(OR(AA69="Insecta",AA69="Arachnida",AA69="#N/C"),"",INDEX(ClassificationClasses[[Class]:[Suborder]],MATCH(TRUE,ISNUMBER(SEARCH(AA69,ClassificationClasses[Key])),0),MATCH(AA69,INDEX(ClassificationClasses[#Data], MATCH(TRUE,ISNUMBER(SEARCH(AA69,ClassificationClasses[Key])),0), 0), 0)-1)),"")</f>
        <v/>
      </c>
      <c r="AC69" s="116" t="str" cm="1">
        <f t="array" ref="AC69">IFERROR(IF(OR(AB69="Insecta",AB69="Arachnida",AB69="#N/C"),"",INDEX(ClassificationClasses[[Class]:[Suborder]],MATCH(TRUE,ISNUMBER(SEARCH(AB69,ClassificationClasses[Key])),0),MATCH(AB69,INDEX(ClassificationClasses[#Data], MATCH(TRUE,ISNUMBER(SEARCH(AB69,ClassificationClasses[Key])),0), 0), 0)-1)),"")</f>
        <v/>
      </c>
      <c r="AD69" s="116" t="str" cm="1">
        <f t="array" ref="AD69">IFERROR(IF(OR(AC69="Insecta",AC69="Arachnida",AC69="#N/C"),"",INDEX(ClassificationClasses[[Class]:[Suborder]],MATCH(TRUE,ISNUMBER(SEARCH(AC69,ClassificationClasses[Key])),0),MATCH(AC69,INDEX(ClassificationClasses[#Data], MATCH(TRUE,ISNUMBER(SEARCH(AC69,ClassificationClasses[Key])),0), 0), 0)-1)),"")</f>
        <v/>
      </c>
      <c r="AE69" s="18" t="str">
        <f t="shared" si="2"/>
        <v>Insecta.Diptera.Brachycera.#N/C.#N/C.#N/C.#N/C.#N/C.#N/C</v>
      </c>
    </row>
    <row r="70" spans="1:31" x14ac:dyDescent="0.3">
      <c r="A70" s="91">
        <v>69</v>
      </c>
      <c r="B70" s="7">
        <v>44390</v>
      </c>
      <c r="C70" s="92" t="s">
        <v>169</v>
      </c>
      <c r="D70" s="93" t="str">
        <f>HYPERLINK(VLOOKUP(C70,Video_List!$F:$J,5),"video")</f>
        <v>video</v>
      </c>
      <c r="E70" s="94" t="str">
        <f>IFERROR(IF(MATCH(C70,Video_List!$F:$F,)&gt;0,"ok",""),"error")</f>
        <v>ok</v>
      </c>
      <c r="F70" s="92" t="s">
        <v>169</v>
      </c>
      <c r="G70" s="93" t="str">
        <f>HYPERLINK(VLOOKUP(F70,Video_List!$F:$J,5),"video")</f>
        <v>video</v>
      </c>
      <c r="H70" s="94" t="str">
        <f>IFERROR(IF(MATCH(F70,Video_List!$F:$F,)&gt;0,"ok",""),"error")</f>
        <v>ok</v>
      </c>
      <c r="I70" s="17">
        <v>44390.702256944445</v>
      </c>
      <c r="J70" s="8">
        <v>44390.702592592592</v>
      </c>
      <c r="K70" s="15">
        <f t="shared" si="3"/>
        <v>3.3564814657438546E-4</v>
      </c>
      <c r="L70" s="95" t="s">
        <v>55</v>
      </c>
      <c r="M70" s="95" t="s">
        <v>55</v>
      </c>
      <c r="N70" s="96" t="str">
        <f>IF(ISBLANK(C70),"",IF(C70=F70, "1 video",CONCATENATE((+COUNTIFS(Video_List!$C:$C,"&lt;=" &amp;Monitoring!J70)-COUNTIFS(Video_List!$C:$C,"&lt;=" &amp;Monitoring!I70))+1," videos")))</f>
        <v>1 video</v>
      </c>
      <c r="O70" s="29" t="s">
        <v>44</v>
      </c>
      <c r="P70" s="42" t="s">
        <v>37</v>
      </c>
      <c r="Q70" s="42" t="s">
        <v>38</v>
      </c>
      <c r="R70" s="42" t="s">
        <v>39</v>
      </c>
      <c r="S70" s="97" t="str">
        <f>+IFERROR(IF(T70="#N/C","#N/C",IF(U70=0,INDEX(Taxonomy_UniqueValues!D:D,MATCH(U70,Taxonomy_UniqueValues!F:F,0)),INDEX(Taxonomy_UniqueValues!D:D,MATCH(T70,Taxonomy_UniqueValues!E:E,0)))),"#N/C")</f>
        <v>#N/C</v>
      </c>
      <c r="T70" s="42" t="s">
        <v>35</v>
      </c>
      <c r="U70" s="42" t="s">
        <v>35</v>
      </c>
      <c r="V70" s="42" t="s">
        <v>35</v>
      </c>
      <c r="W70" s="42" t="s">
        <v>35</v>
      </c>
      <c r="X70" s="28" t="s">
        <v>35</v>
      </c>
      <c r="Y70" s="69" t="str" cm="1">
        <f t="array" ref="Y70">_xlfn.LET(_xlpm.cls,P70, _xlpm.ord,IFERROR(Q70,"#N/C"), _xlpm.subord,IFERROR(R70,"#N/C"), _xlpm.infr,IFERROR(S70,"#N/C"), _xlpm.sf,IFERROR(T70,"#N/C"), _xlpm.fam,IFERROR(U70,"#N/C"), _xlpm.subfam,IF(TRIM(V70)="-","#N/C",IFERROR(V70,"#N/C")),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_xlpm.fallback,IF(IFERROR(Q70,"#N/C")="#N/C",P70,IF(IFERROR(R70,"#N/C")="#N/C",Q70,IF(IFERROR(S70,"#N/C")="#N/C",R70,IF(IFERROR(T70,"#N/C")="#N/C",S70,IF(IFERROR(U70,"#N/C")="#N/C",T70,IF(IFERROR(V70,"#N/C")="#N/C",U70,"#N/C")))))), _xlpm.finalResult,IF(OR(_xlpm.computedResult="",_xlpm.computedResult="#N/C"),_xlpm.fallback,_xlpm.computedResult), INDEX(_xlpm.finalResult,1))</f>
        <v>Brachycera</v>
      </c>
      <c r="Z70" s="116" t="str" cm="1">
        <f t="array" ref="Z70">IF(OR(Y70="Insecta",Y70="Arachnida",Y70="#N/C"),"",IFERROR(_xlfn.LET(_xlpm.fc,IFERROR(_xlfn._xlws.FILTER(ClassificationClasses[],ClassificationClasses[Classification Class]=Y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70,ClassificationClasses[Key])),0),MATCH(Y70,INDEX(ClassificationClasses[],MATCH(TRUE,ISNUMBER(SEARCH(Y70,ClassificationClasses[Key])),0),0),0)-1)))</f>
        <v>Diptera</v>
      </c>
      <c r="AA70" s="116" t="str" cm="1">
        <f t="array" ref="AA70">IFERROR(IF(OR(Z70="Insecta",Z70="Arachnida",Z70="#N/C"),"",INDEX(ClassificationClasses[[Class]:[Infraorder]],MATCH(TRUE,ISNUMBER(SEARCH(Z70,ClassificationClasses[Key])),0),MATCH(Z70,INDEX(ClassificationClasses[#Data], MATCH(TRUE,ISNUMBER(SEARCH(Z70,ClassificationClasses[Key])),0), 0), 0)-1)),"")</f>
        <v>Insecta</v>
      </c>
      <c r="AB70" s="116" t="str" cm="1">
        <f t="array" ref="AB70">IFERROR(IF(OR(AA70="Insecta",AA70="Arachnida",AA70="#N/C"),"",INDEX(ClassificationClasses[[Class]:[Suborder]],MATCH(TRUE,ISNUMBER(SEARCH(AA70,ClassificationClasses[Key])),0),MATCH(AA70,INDEX(ClassificationClasses[#Data], MATCH(TRUE,ISNUMBER(SEARCH(AA70,ClassificationClasses[Key])),0), 0), 0)-1)),"")</f>
        <v/>
      </c>
      <c r="AC70" s="116" t="str" cm="1">
        <f t="array" ref="AC70">IFERROR(IF(OR(AB70="Insecta",AB70="Arachnida",AB70="#N/C"),"",INDEX(ClassificationClasses[[Class]:[Suborder]],MATCH(TRUE,ISNUMBER(SEARCH(AB70,ClassificationClasses[Key])),0),MATCH(AB70,INDEX(ClassificationClasses[#Data], MATCH(TRUE,ISNUMBER(SEARCH(AB70,ClassificationClasses[Key])),0), 0), 0)-1)),"")</f>
        <v/>
      </c>
      <c r="AD70" s="116" t="str" cm="1">
        <f t="array" ref="AD70">IFERROR(IF(OR(AC70="Insecta",AC70="Arachnida",AC70="#N/C"),"",INDEX(ClassificationClasses[[Class]:[Suborder]],MATCH(TRUE,ISNUMBER(SEARCH(AC70,ClassificationClasses[Key])),0),MATCH(AC70,INDEX(ClassificationClasses[#Data], MATCH(TRUE,ISNUMBER(SEARCH(AC70,ClassificationClasses[Key])),0), 0), 0)-1)),"")</f>
        <v/>
      </c>
      <c r="AE70" s="18" t="str">
        <f t="shared" si="2"/>
        <v>Insecta.Diptera.Brachycera.#N/C.#N/C.#N/C.#N/C.#N/C.#N/C</v>
      </c>
    </row>
    <row r="71" spans="1:31" x14ac:dyDescent="0.3">
      <c r="A71" s="91">
        <v>70</v>
      </c>
      <c r="B71" s="7">
        <v>44390</v>
      </c>
      <c r="C71" s="92" t="s">
        <v>170</v>
      </c>
      <c r="D71" s="93" t="str">
        <f>HYPERLINK(VLOOKUP(C71,Video_List!$F:$J,5),"video")</f>
        <v>video</v>
      </c>
      <c r="E71" s="94" t="str">
        <f>IFERROR(IF(MATCH(C71,Video_List!$F:$F,)&gt;0,"ok",""),"error")</f>
        <v>ok</v>
      </c>
      <c r="F71" s="92" t="s">
        <v>170</v>
      </c>
      <c r="G71" s="93" t="str">
        <f>HYPERLINK(VLOOKUP(F71,Video_List!$F:$J,5),"video")</f>
        <v>video</v>
      </c>
      <c r="H71" s="94" t="str">
        <f>IFERROR(IF(MATCH(F71,Video_List!$F:$F,)&gt;0,"ok",""),"error")</f>
        <v>ok</v>
      </c>
      <c r="I71" s="17">
        <v>44390.703842592593</v>
      </c>
      <c r="J71" s="8">
        <v>44390.703877314816</v>
      </c>
      <c r="K71" s="15">
        <f t="shared" si="3"/>
        <v>3.4722223062999547E-5</v>
      </c>
      <c r="L71" s="95" t="s">
        <v>32</v>
      </c>
      <c r="M71" s="95" t="s">
        <v>33</v>
      </c>
      <c r="N71" s="96" t="str">
        <f>IF(ISBLANK(C71),"",IF(C71=F71, "1 video",CONCATENATE((+COUNTIFS(Video_List!$C:$C,"&lt;=" &amp;Monitoring!J71)-COUNTIFS(Video_List!$C:$C,"&lt;=" &amp;Monitoring!I71))+1," videos")))</f>
        <v>1 video</v>
      </c>
      <c r="O71" s="29" t="s">
        <v>44</v>
      </c>
      <c r="P71" s="42" t="s">
        <v>37</v>
      </c>
      <c r="Q71" s="42" t="s">
        <v>38</v>
      </c>
      <c r="R71" s="42" t="s">
        <v>39</v>
      </c>
      <c r="S71" s="97" t="str">
        <f>+IFERROR(IF(T71="#N/C","#N/C",IF(U71=0,INDEX(Taxonomy_UniqueValues!D:D,MATCH(U71,Taxonomy_UniqueValues!F:F,0)),INDEX(Taxonomy_UniqueValues!D:D,MATCH(T71,Taxonomy_UniqueValues!E:E,0)))),"#N/C")</f>
        <v>#N/C</v>
      </c>
      <c r="T71" s="42" t="s">
        <v>35</v>
      </c>
      <c r="U71" s="42" t="s">
        <v>35</v>
      </c>
      <c r="V71" s="42" t="s">
        <v>35</v>
      </c>
      <c r="W71" s="42" t="s">
        <v>35</v>
      </c>
      <c r="X71" s="28" t="s">
        <v>35</v>
      </c>
      <c r="Y71" s="69" t="str" cm="1">
        <f t="array" ref="Y71">_xlfn.LET(_xlpm.cls,P71, _xlpm.ord,IFERROR(Q71,"#N/C"), _xlpm.subord,IFERROR(R71,"#N/C"), _xlpm.infr,IFERROR(S71,"#N/C"), _xlpm.sf,IFERROR(T71,"#N/C"), _xlpm.fam,IFERROR(U71,"#N/C"), _xlpm.subfam,IF(TRIM(V71)="-","#N/C",IFERROR(V71,"#N/C")),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_xlpm.fallback,IF(IFERROR(Q71,"#N/C")="#N/C",P71,IF(IFERROR(R71,"#N/C")="#N/C",Q71,IF(IFERROR(S71,"#N/C")="#N/C",R71,IF(IFERROR(T71,"#N/C")="#N/C",S71,IF(IFERROR(U71,"#N/C")="#N/C",T71,IF(IFERROR(V71,"#N/C")="#N/C",U71,"#N/C")))))), _xlpm.finalResult,IF(OR(_xlpm.computedResult="",_xlpm.computedResult="#N/C"),_xlpm.fallback,_xlpm.computedResult), INDEX(_xlpm.finalResult,1))</f>
        <v>Brachycera</v>
      </c>
      <c r="Z71" s="116" t="str" cm="1">
        <f t="array" ref="Z71">IF(OR(Y71="Insecta",Y71="Arachnida",Y71="#N/C"),"",IFERROR(_xlfn.LET(_xlpm.fc,IFERROR(_xlfn._xlws.FILTER(ClassificationClasses[],ClassificationClasses[Classification Class]=Y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71,ClassificationClasses[Key])),0),MATCH(Y71,INDEX(ClassificationClasses[],MATCH(TRUE,ISNUMBER(SEARCH(Y71,ClassificationClasses[Key])),0),0),0)-1)))</f>
        <v>Diptera</v>
      </c>
      <c r="AA71" s="116" t="str" cm="1">
        <f t="array" ref="AA71">IFERROR(IF(OR(Z71="Insecta",Z71="Arachnida",Z71="#N/C"),"",INDEX(ClassificationClasses[[Class]:[Infraorder]],MATCH(TRUE,ISNUMBER(SEARCH(Z71,ClassificationClasses[Key])),0),MATCH(Z71,INDEX(ClassificationClasses[#Data], MATCH(TRUE,ISNUMBER(SEARCH(Z71,ClassificationClasses[Key])),0), 0), 0)-1)),"")</f>
        <v>Insecta</v>
      </c>
      <c r="AB71" s="116" t="str" cm="1">
        <f t="array" ref="AB71">IFERROR(IF(OR(AA71="Insecta",AA71="Arachnida",AA71="#N/C"),"",INDEX(ClassificationClasses[[Class]:[Suborder]],MATCH(TRUE,ISNUMBER(SEARCH(AA71,ClassificationClasses[Key])),0),MATCH(AA71,INDEX(ClassificationClasses[#Data], MATCH(TRUE,ISNUMBER(SEARCH(AA71,ClassificationClasses[Key])),0), 0), 0)-1)),"")</f>
        <v/>
      </c>
      <c r="AC71" s="116" t="str" cm="1">
        <f t="array" ref="AC71">IFERROR(IF(OR(AB71="Insecta",AB71="Arachnida",AB71="#N/C"),"",INDEX(ClassificationClasses[[Class]:[Suborder]],MATCH(TRUE,ISNUMBER(SEARCH(AB71,ClassificationClasses[Key])),0),MATCH(AB71,INDEX(ClassificationClasses[#Data], MATCH(TRUE,ISNUMBER(SEARCH(AB71,ClassificationClasses[Key])),0), 0), 0)-1)),"")</f>
        <v/>
      </c>
      <c r="AD71" s="116" t="str" cm="1">
        <f t="array" ref="AD71">IFERROR(IF(OR(AC71="Insecta",AC71="Arachnida",AC71="#N/C"),"",INDEX(ClassificationClasses[[Class]:[Suborder]],MATCH(TRUE,ISNUMBER(SEARCH(AC71,ClassificationClasses[Key])),0),MATCH(AC71,INDEX(ClassificationClasses[#Data], MATCH(TRUE,ISNUMBER(SEARCH(AC71,ClassificationClasses[Key])),0), 0), 0)-1)),"")</f>
        <v/>
      </c>
      <c r="AE71" s="18" t="str">
        <f t="shared" si="2"/>
        <v>Insecta.Diptera.Brachycera.#N/C.#N/C.#N/C.#N/C.#N/C.#N/C</v>
      </c>
    </row>
    <row r="72" spans="1:31" x14ac:dyDescent="0.3">
      <c r="A72" s="91">
        <v>71</v>
      </c>
      <c r="B72" s="7">
        <v>44390</v>
      </c>
      <c r="C72" s="92" t="s">
        <v>171</v>
      </c>
      <c r="D72" s="93" t="str">
        <f>HYPERLINK(VLOOKUP(C72,Video_List!$F:$J,5),"video")</f>
        <v>video</v>
      </c>
      <c r="E72" s="94" t="str">
        <f>IFERROR(IF(MATCH(C72,Video_List!$F:$F,)&gt;0,"ok",""),"error")</f>
        <v>ok</v>
      </c>
      <c r="F72" s="92" t="s">
        <v>171</v>
      </c>
      <c r="G72" s="93" t="str">
        <f>HYPERLINK(VLOOKUP(F72,Video_List!$F:$J,5),"video")</f>
        <v>video</v>
      </c>
      <c r="H72" s="94" t="str">
        <f>IFERROR(IF(MATCH(F72,Video_List!$F:$F,)&gt;0,"ok",""),"error")</f>
        <v>ok</v>
      </c>
      <c r="I72" s="17">
        <v>44390.704895833333</v>
      </c>
      <c r="J72" s="8">
        <v>44390.704942129632</v>
      </c>
      <c r="K72" s="15">
        <f t="shared" si="3"/>
        <v>4.6296299842651933E-5</v>
      </c>
      <c r="L72" s="95" t="s">
        <v>32</v>
      </c>
      <c r="M72" s="95" t="s">
        <v>33</v>
      </c>
      <c r="N72" s="96" t="str">
        <f>IF(ISBLANK(C72),"",IF(C72=F72, "1 video",CONCATENATE((+COUNTIFS(Video_List!$C:$C,"&lt;=" &amp;Monitoring!J72)-COUNTIFS(Video_List!$C:$C,"&lt;=" &amp;Monitoring!I72))+1," videos")))</f>
        <v>1 video</v>
      </c>
      <c r="O72" s="29" t="s">
        <v>44</v>
      </c>
      <c r="P72" s="42" t="s">
        <v>37</v>
      </c>
      <c r="Q72" s="42" t="s">
        <v>38</v>
      </c>
      <c r="R72" s="42" t="s">
        <v>39</v>
      </c>
      <c r="S72" s="97" t="str">
        <f>+IFERROR(IF(T72="#N/C","#N/C",IF(U72=0,INDEX(Taxonomy_UniqueValues!D:D,MATCH(U72,Taxonomy_UniqueValues!F:F,0)),INDEX(Taxonomy_UniqueValues!D:D,MATCH(T72,Taxonomy_UniqueValues!E:E,0)))),"#N/C")</f>
        <v>#N/C</v>
      </c>
      <c r="T72" s="42" t="s">
        <v>35</v>
      </c>
      <c r="U72" s="42" t="s">
        <v>35</v>
      </c>
      <c r="V72" s="42" t="s">
        <v>35</v>
      </c>
      <c r="W72" s="42" t="s">
        <v>35</v>
      </c>
      <c r="X72" s="28" t="s">
        <v>35</v>
      </c>
      <c r="Y72" s="69" t="str" cm="1">
        <f t="array" ref="Y72">_xlfn.LET(_xlpm.cls,P72, _xlpm.ord,IFERROR(Q72,"#N/C"), _xlpm.subord,IFERROR(R72,"#N/C"), _xlpm.infr,IFERROR(S72,"#N/C"), _xlpm.sf,IFERROR(T72,"#N/C"), _xlpm.fam,IFERROR(U72,"#N/C"), _xlpm.subfam,IF(TRIM(V72)="-","#N/C",IFERROR(V72,"#N/C")),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_xlpm.fallback,IF(IFERROR(Q72,"#N/C")="#N/C",P72,IF(IFERROR(R72,"#N/C")="#N/C",Q72,IF(IFERROR(S72,"#N/C")="#N/C",R72,IF(IFERROR(T72,"#N/C")="#N/C",S72,IF(IFERROR(U72,"#N/C")="#N/C",T72,IF(IFERROR(V72,"#N/C")="#N/C",U72,"#N/C")))))), _xlpm.finalResult,IF(OR(_xlpm.computedResult="",_xlpm.computedResult="#N/C"),_xlpm.fallback,_xlpm.computedResult), INDEX(_xlpm.finalResult,1))</f>
        <v>Brachycera</v>
      </c>
      <c r="Z72" s="116" t="str" cm="1">
        <f t="array" ref="Z72">IF(OR(Y72="Insecta",Y72="Arachnida",Y72="#N/C"),"",IFERROR(_xlfn.LET(_xlpm.fc,IFERROR(_xlfn._xlws.FILTER(ClassificationClasses[],ClassificationClasses[Classification Class]=Y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72,ClassificationClasses[Key])),0),MATCH(Y72,INDEX(ClassificationClasses[],MATCH(TRUE,ISNUMBER(SEARCH(Y72,ClassificationClasses[Key])),0),0),0)-1)))</f>
        <v>Diptera</v>
      </c>
      <c r="AA72" s="116" t="str" cm="1">
        <f t="array" ref="AA72">IFERROR(IF(OR(Z72="Insecta",Z72="Arachnida",Z72="#N/C"),"",INDEX(ClassificationClasses[[Class]:[Infraorder]],MATCH(TRUE,ISNUMBER(SEARCH(Z72,ClassificationClasses[Key])),0),MATCH(Z72,INDEX(ClassificationClasses[#Data], MATCH(TRUE,ISNUMBER(SEARCH(Z72,ClassificationClasses[Key])),0), 0), 0)-1)),"")</f>
        <v>Insecta</v>
      </c>
      <c r="AB72" s="116" t="str" cm="1">
        <f t="array" ref="AB72">IFERROR(IF(OR(AA72="Insecta",AA72="Arachnida",AA72="#N/C"),"",INDEX(ClassificationClasses[[Class]:[Suborder]],MATCH(TRUE,ISNUMBER(SEARCH(AA72,ClassificationClasses[Key])),0),MATCH(AA72,INDEX(ClassificationClasses[#Data], MATCH(TRUE,ISNUMBER(SEARCH(AA72,ClassificationClasses[Key])),0), 0), 0)-1)),"")</f>
        <v/>
      </c>
      <c r="AC72" s="116" t="str" cm="1">
        <f t="array" ref="AC72">IFERROR(IF(OR(AB72="Insecta",AB72="Arachnida",AB72="#N/C"),"",INDEX(ClassificationClasses[[Class]:[Suborder]],MATCH(TRUE,ISNUMBER(SEARCH(AB72,ClassificationClasses[Key])),0),MATCH(AB72,INDEX(ClassificationClasses[#Data], MATCH(TRUE,ISNUMBER(SEARCH(AB72,ClassificationClasses[Key])),0), 0), 0)-1)),"")</f>
        <v/>
      </c>
      <c r="AD72" s="116" t="str" cm="1">
        <f t="array" ref="AD72">IFERROR(IF(OR(AC72="Insecta",AC72="Arachnida",AC72="#N/C"),"",INDEX(ClassificationClasses[[Class]:[Suborder]],MATCH(TRUE,ISNUMBER(SEARCH(AC72,ClassificationClasses[Key])),0),MATCH(AC72,INDEX(ClassificationClasses[#Data], MATCH(TRUE,ISNUMBER(SEARCH(AC72,ClassificationClasses[Key])),0), 0), 0)-1)),"")</f>
        <v/>
      </c>
      <c r="AE72" s="18" t="str">
        <f t="shared" ref="AE72:AE135" si="4">+CONCATENATE(P72,".",Q72,".",R72,".",S72,".",T72,".",U72,".",V72,".",W72,".",X72)</f>
        <v>Insecta.Diptera.Brachycera.#N/C.#N/C.#N/C.#N/C.#N/C.#N/C</v>
      </c>
    </row>
    <row r="73" spans="1:31" x14ac:dyDescent="0.3">
      <c r="A73" s="91">
        <v>72</v>
      </c>
      <c r="B73" s="7">
        <v>44390</v>
      </c>
      <c r="C73" s="92" t="s">
        <v>172</v>
      </c>
      <c r="D73" s="93" t="str">
        <f>HYPERLINK(VLOOKUP(C73,Video_List!$F:$J,5),"video")</f>
        <v>video</v>
      </c>
      <c r="E73" s="94" t="str">
        <f>IFERROR(IF(MATCH(C73,Video_List!$F:$F,)&gt;0,"ok",""),"error")</f>
        <v>ok</v>
      </c>
      <c r="F73" s="92" t="s">
        <v>172</v>
      </c>
      <c r="G73" s="93" t="str">
        <f>HYPERLINK(VLOOKUP(F73,Video_List!$F:$J,5),"video")</f>
        <v>video</v>
      </c>
      <c r="H73" s="94" t="str">
        <f>IFERROR(IF(MATCH(F73,Video_List!$F:$F,)&gt;0,"ok",""),"error")</f>
        <v>ok</v>
      </c>
      <c r="I73" s="17">
        <v>44390.706562500003</v>
      </c>
      <c r="J73" s="8">
        <v>44390.706736111111</v>
      </c>
      <c r="K73" s="15">
        <f t="shared" si="3"/>
        <v>1.7361110803904012E-4</v>
      </c>
      <c r="L73" s="95" t="s">
        <v>55</v>
      </c>
      <c r="M73" s="95" t="s">
        <v>55</v>
      </c>
      <c r="N73" s="96" t="str">
        <f>IF(ISBLANK(C73),"",IF(C73=F73, "1 video",CONCATENATE((+COUNTIFS(Video_List!$C:$C,"&lt;=" &amp;Monitoring!J73)-COUNTIFS(Video_List!$C:$C,"&lt;=" &amp;Monitoring!I73))+1," videos")))</f>
        <v>1 video</v>
      </c>
      <c r="O73" s="29" t="s">
        <v>44</v>
      </c>
      <c r="P73" s="42" t="s">
        <v>37</v>
      </c>
      <c r="Q73" s="42" t="s">
        <v>123</v>
      </c>
      <c r="R73" s="42" t="s">
        <v>124</v>
      </c>
      <c r="S73" s="97" t="str">
        <f>+IFERROR(IF(T73="#N/C","#N/C",IF(U73=0,INDEX(Taxonomy_UniqueValues!D:D,MATCH(U73,Taxonomy_UniqueValues!F:F,0)),INDEX(Taxonomy_UniqueValues!D:D,MATCH(T73,Taxonomy_UniqueValues!E:E,0)))),"#N/C")</f>
        <v>Acrididea</v>
      </c>
      <c r="T73" s="42" t="s">
        <v>125</v>
      </c>
      <c r="U73" s="42" t="s">
        <v>126</v>
      </c>
      <c r="V73" s="42" t="s">
        <v>173</v>
      </c>
      <c r="W73" s="42" t="s">
        <v>174</v>
      </c>
      <c r="X73" s="28" t="s">
        <v>35</v>
      </c>
      <c r="Y73" s="69" t="str" cm="1">
        <f t="array" ref="Y73">_xlfn.LET(_xlpm.cls,P73, _xlpm.ord,IFERROR(Q73,"#N/C"), _xlpm.subord,IFERROR(R73,"#N/C"), _xlpm.infr,IFERROR(S73,"#N/C"), _xlpm.sf,IFERROR(T73,"#N/C"), _xlpm.fam,IFERROR(U73,"#N/C"), _xlpm.subfam,IF(TRIM(V73)="-","#N/C",IFERROR(V73,"#N/C")),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_xlpm.fallback,IF(IFERROR(Q73,"#N/C")="#N/C",P73,IF(IFERROR(R73,"#N/C")="#N/C",Q73,IF(IFERROR(S73,"#N/C")="#N/C",R73,IF(IFERROR(T73,"#N/C")="#N/C",S73,IF(IFERROR(U73,"#N/C")="#N/C",T73,IF(IFERROR(V73,"#N/C")="#N/C",U73,"#N/C")))))), _xlpm.finalResult,IF(OR(_xlpm.computedResult="",_xlpm.computedResult="#N/C"),_xlpm.fallback,_xlpm.computedResult), INDEX(_xlpm.finalResult,1))</f>
        <v>grasshopper</v>
      </c>
      <c r="Z73" s="116" t="str" cm="1">
        <f t="array" ref="Z73">IF(OR(Y73="Insecta",Y73="Arachnida",Y73="#N/C"),"",IFERROR(_xlfn.LET(_xlpm.fc,IFERROR(_xlfn._xlws.FILTER(ClassificationClasses[],ClassificationClasses[Classification Class]=Y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73,ClassificationClasses[Key])),0),MATCH(Y73,INDEX(ClassificationClasses[],MATCH(TRUE,ISNUMBER(SEARCH(Y73,ClassificationClasses[Key])),0),0),0)-1)))</f>
        <v>Orthoptera</v>
      </c>
      <c r="AA73" s="116" t="str" cm="1">
        <f t="array" ref="AA73">IFERROR(IF(OR(Z73="Insecta",Z73="Arachnida",Z73="#N/C"),"",INDEX(ClassificationClasses[[Class]:[Infraorder]],MATCH(TRUE,ISNUMBER(SEARCH(Z73,ClassificationClasses[Key])),0),MATCH(Z73,INDEX(ClassificationClasses[#Data], MATCH(TRUE,ISNUMBER(SEARCH(Z73,ClassificationClasses[Key])),0), 0), 0)-1)),"")</f>
        <v>Insecta</v>
      </c>
      <c r="AB73" s="116" t="str" cm="1">
        <f t="array" ref="AB73">IFERROR(IF(OR(AA73="Insecta",AA73="Arachnida",AA73="#N/C"),"",INDEX(ClassificationClasses[[Class]:[Suborder]],MATCH(TRUE,ISNUMBER(SEARCH(AA73,ClassificationClasses[Key])),0),MATCH(AA73,INDEX(ClassificationClasses[#Data], MATCH(TRUE,ISNUMBER(SEARCH(AA73,ClassificationClasses[Key])),0), 0), 0)-1)),"")</f>
        <v/>
      </c>
      <c r="AC73" s="116" t="str" cm="1">
        <f t="array" ref="AC73">IFERROR(IF(OR(AB73="Insecta",AB73="Arachnida",AB73="#N/C"),"",INDEX(ClassificationClasses[[Class]:[Suborder]],MATCH(TRUE,ISNUMBER(SEARCH(AB73,ClassificationClasses[Key])),0),MATCH(AB73,INDEX(ClassificationClasses[#Data], MATCH(TRUE,ISNUMBER(SEARCH(AB73,ClassificationClasses[Key])),0), 0), 0)-1)),"")</f>
        <v/>
      </c>
      <c r="AD73" s="116" t="str" cm="1">
        <f t="array" ref="AD73">IFERROR(IF(OR(AC73="Insecta",AC73="Arachnida",AC73="#N/C"),"",INDEX(ClassificationClasses[[Class]:[Suborder]],MATCH(TRUE,ISNUMBER(SEARCH(AC73,ClassificationClasses[Key])),0),MATCH(AC73,INDEX(ClassificationClasses[#Data], MATCH(TRUE,ISNUMBER(SEARCH(AC73,ClassificationClasses[Key])),0), 0), 0)-1)),"")</f>
        <v/>
      </c>
      <c r="AE73" s="18" t="str">
        <f t="shared" si="4"/>
        <v>Insecta.Orthoptera.Caelifera.Acrididea.Acridoidea.Acrididae.Gomphocerinae.Chorthippus.#N/C</v>
      </c>
    </row>
    <row r="74" spans="1:31" x14ac:dyDescent="0.3">
      <c r="A74" s="91">
        <v>73</v>
      </c>
      <c r="B74" s="7">
        <v>44390</v>
      </c>
      <c r="C74" s="92" t="s">
        <v>172</v>
      </c>
      <c r="D74" s="93" t="str">
        <f>HYPERLINK(VLOOKUP(C74,Video_List!$F:$J,5),"video")</f>
        <v>video</v>
      </c>
      <c r="E74" s="94" t="str">
        <f>IFERROR(IF(MATCH(C74,Video_List!$F:$F,)&gt;0,"ok",""),"error")</f>
        <v>ok</v>
      </c>
      <c r="F74" s="92" t="s">
        <v>172</v>
      </c>
      <c r="G74" s="93" t="str">
        <f>HYPERLINK(VLOOKUP(F74,Video_List!$F:$J,5),"video")</f>
        <v>video</v>
      </c>
      <c r="H74" s="94" t="str">
        <f>IFERROR(IF(MATCH(F74,Video_List!$F:$F,)&gt;0,"ok",""),"error")</f>
        <v>ok</v>
      </c>
      <c r="I74" s="17">
        <v>44390.706886574073</v>
      </c>
      <c r="J74" s="8">
        <v>44390.70689814815</v>
      </c>
      <c r="K74" s="15">
        <f t="shared" si="3"/>
        <v>1.1574076779652387E-5</v>
      </c>
      <c r="L74" s="4" t="s">
        <v>32</v>
      </c>
      <c r="M74" s="4" t="s">
        <v>33</v>
      </c>
      <c r="N74" s="96" t="str">
        <f>IF(ISBLANK(C74),"",IF(C74=F74, "1 video",CONCATENATE((+COUNTIFS(Video_List!$C:$C,"&lt;=" &amp;Monitoring!J74)-COUNTIFS(Video_List!$C:$C,"&lt;=" &amp;Monitoring!I74))+1," videos")))</f>
        <v>1 video</v>
      </c>
      <c r="O74" s="27" t="s">
        <v>32</v>
      </c>
      <c r="P74" s="42" t="s">
        <v>37</v>
      </c>
      <c r="Q74" s="42" t="s">
        <v>38</v>
      </c>
      <c r="R74" s="42" t="s">
        <v>39</v>
      </c>
      <c r="S74" s="97" t="str">
        <f>+IFERROR(IF(T74="#N/C","#N/C",IF(U74=0,INDEX(Taxonomy_UniqueValues!D:D,MATCH(U74,Taxonomy_UniqueValues!F:F,0)),INDEX(Taxonomy_UniqueValues!D:D,MATCH(T74,Taxonomy_UniqueValues!E:E,0)))),"#N/C")</f>
        <v>Muscomorpha</v>
      </c>
      <c r="T74" s="42" t="s">
        <v>175</v>
      </c>
      <c r="U74" s="42" t="s">
        <v>176</v>
      </c>
      <c r="V74" s="42">
        <v>0</v>
      </c>
      <c r="W74" s="42" t="s">
        <v>177</v>
      </c>
      <c r="X74" s="28" t="s">
        <v>35</v>
      </c>
      <c r="Y74" s="69" t="str" cm="1">
        <f t="array" ref="Y74">_xlfn.LET(_xlpm.cls,P74, _xlpm.ord,IFERROR(Q74,"#N/C"), _xlpm.subord,IFERROR(R74,"#N/C"), _xlpm.infr,IFERROR(S74,"#N/C"), _xlpm.sf,IFERROR(T74,"#N/C"), _xlpm.fam,IFERROR(U74,"#N/C"), _xlpm.subfam,IF(TRIM(V74)="-","#N/C",IFERROR(V74,"#N/C")),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_xlpm.fallback,IF(IFERROR(Q74,"#N/C")="#N/C",P74,IF(IFERROR(R74,"#N/C")="#N/C",Q74,IF(IFERROR(S74,"#N/C")="#N/C",R74,IF(IFERROR(T74,"#N/C")="#N/C",S74,IF(IFERROR(U74,"#N/C")="#N/C",T74,IF(IFERROR(V74,"#N/C")="#N/C",U74,"#N/C")))))), _xlpm.finalResult,IF(OR(_xlpm.computedResult="",_xlpm.computedResult="#N/C"),_xlpm.fallback,_xlpm.computedResult), INDEX(_xlpm.finalResult,1))</f>
        <v>fly</v>
      </c>
      <c r="Z74" s="116" t="str" cm="1">
        <f t="array" ref="Z74">IF(OR(Y74="Insecta",Y74="Arachnida",Y74="#N/C"),"",IFERROR(_xlfn.LET(_xlpm.fc,IFERROR(_xlfn._xlws.FILTER(ClassificationClasses[],ClassificationClasses[Classification Class]=Y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74,ClassificationClasses[Key])),0),MATCH(Y74,INDEX(ClassificationClasses[],MATCH(TRUE,ISNUMBER(SEARCH(Y74,ClassificationClasses[Key])),0),0),0)-1)))</f>
        <v>Muscomorpha</v>
      </c>
      <c r="AA74" s="116" t="str" cm="1">
        <f t="array" ref="AA74">IFERROR(IF(OR(Z74="Insecta",Z74="Arachnida",Z74="#N/C"),"",INDEX(ClassificationClasses[[Class]:[Infraorder]],MATCH(TRUE,ISNUMBER(SEARCH(Z74,ClassificationClasses[Key])),0),MATCH(Z74,INDEX(ClassificationClasses[#Data], MATCH(TRUE,ISNUMBER(SEARCH(Z74,ClassificationClasses[Key])),0), 0), 0)-1)),"")</f>
        <v>Brachycera</v>
      </c>
      <c r="AB74" s="116" t="str" cm="1">
        <f t="array" ref="AB74">IFERROR(IF(OR(AA74="Insecta",AA74="Arachnida",AA74="#N/C"),"",INDEX(ClassificationClasses[[Class]:[Suborder]],MATCH(TRUE,ISNUMBER(SEARCH(AA74,ClassificationClasses[Key])),0),MATCH(AA74,INDEX(ClassificationClasses[#Data], MATCH(TRUE,ISNUMBER(SEARCH(AA74,ClassificationClasses[Key])),0), 0), 0)-1)),"")</f>
        <v>Diptera</v>
      </c>
      <c r="AC74" s="116" t="str" cm="1">
        <f t="array" ref="AC74">IFERROR(IF(OR(AB74="Insecta",AB74="Arachnida",AB74="#N/C"),"",INDEX(ClassificationClasses[[Class]:[Suborder]],MATCH(TRUE,ISNUMBER(SEARCH(AB74,ClassificationClasses[Key])),0),MATCH(AB74,INDEX(ClassificationClasses[#Data], MATCH(TRUE,ISNUMBER(SEARCH(AB74,ClassificationClasses[Key])),0), 0), 0)-1)),"")</f>
        <v>Insecta</v>
      </c>
      <c r="AD74" s="116" t="str" cm="1">
        <f t="array" ref="AD74">IFERROR(IF(OR(AC74="Insecta",AC74="Arachnida",AC74="#N/C"),"",INDEX(ClassificationClasses[[Class]:[Suborder]],MATCH(TRUE,ISNUMBER(SEARCH(AC74,ClassificationClasses[Key])),0),MATCH(AC74,INDEX(ClassificationClasses[#Data], MATCH(TRUE,ISNUMBER(SEARCH(AC74,ClassificationClasses[Key])),0), 0), 0)-1)),"")</f>
        <v/>
      </c>
      <c r="AE74" s="18" t="str">
        <f t="shared" si="4"/>
        <v>Insecta.Diptera.Brachycera.Muscomorpha.Muscoidea.Fanniidae.0.Fannia.#N/C</v>
      </c>
    </row>
    <row r="75" spans="1:31" x14ac:dyDescent="0.3">
      <c r="A75" s="91">
        <v>74</v>
      </c>
      <c r="B75" s="7">
        <v>44390</v>
      </c>
      <c r="C75" s="92" t="s">
        <v>178</v>
      </c>
      <c r="D75" s="93" t="str">
        <f>HYPERLINK(VLOOKUP(C75,Video_List!$F:$J,5),"video")</f>
        <v>video</v>
      </c>
      <c r="E75" s="94" t="str">
        <f>IFERROR(IF(MATCH(C75,Video_List!$F:$F,)&gt;0,"ok",""),"error")</f>
        <v>ok</v>
      </c>
      <c r="F75" s="92" t="s">
        <v>178</v>
      </c>
      <c r="G75" s="93" t="str">
        <f>HYPERLINK(VLOOKUP(F75,Video_List!$F:$J,5),"video")</f>
        <v>video</v>
      </c>
      <c r="H75" s="94" t="str">
        <f>IFERROR(IF(MATCH(F75,Video_List!$F:$F,)&gt;0,"ok",""),"error")</f>
        <v>ok</v>
      </c>
      <c r="I75" s="17">
        <v>44390.715763888889</v>
      </c>
      <c r="J75" s="8">
        <v>44390.715821759259</v>
      </c>
      <c r="K75" s="15">
        <f t="shared" si="3"/>
        <v>5.7870369346346706E-5</v>
      </c>
      <c r="L75" s="4" t="s">
        <v>55</v>
      </c>
      <c r="M75" s="4" t="s">
        <v>55</v>
      </c>
      <c r="N75" s="96" t="str">
        <f>IF(ISBLANK(C75),"",IF(C75=F75, "1 video",CONCATENATE((+COUNTIFS(Video_List!$C:$C,"&lt;=" &amp;Monitoring!J75)-COUNTIFS(Video_List!$C:$C,"&lt;=" &amp;Monitoring!I75))+1," videos")))</f>
        <v>1 video</v>
      </c>
      <c r="O75" s="27" t="s">
        <v>32</v>
      </c>
      <c r="P75" s="120" t="str">
        <f>+IFERROR(IF(Q75="#N/C","#N/C",INDEX(Taxonomy_UniqueValues!A:A,MATCH(Q75,Taxonomy_UniqueValues!B:B,0))),"#N/C")</f>
        <v>Insecta</v>
      </c>
      <c r="Q75" s="120" t="str">
        <f>+IFERROR(IF(R75="#N/C","#N/C",INDEX(Taxonomy_UniqueValues!B:B,MATCH(R75,Taxonomy_UniqueValues!C:C,0))),"#N/C")</f>
        <v>Hymenoptera</v>
      </c>
      <c r="R75" s="120" t="str">
        <f>+IFERROR(IF(S75="#N/C","#N/C",INDEX(Taxonomy_UniqueValues!C:C,MATCH(S75,Taxonomy_UniqueValues!D:D,0))),"#N/C")</f>
        <v>Apocrita</v>
      </c>
      <c r="S75" s="120" t="str">
        <f>+IFERROR(IF(T75="#N/C","#N/C",INDEX(Taxonomy_UniqueValues!D:D,MATCH(T75,Taxonomy_UniqueValues!E:E,0))),"#N/C")</f>
        <v>Aculeata</v>
      </c>
      <c r="T75" s="120" t="str">
        <f>+IFERROR(IF(U75="#N/C","#N/C",INDEX(Taxonomy_UniqueValues!E:E,MATCH(U75,Taxonomy_UniqueValues!F:F,0))),"#N/C")</f>
        <v>Formicoidea</v>
      </c>
      <c r="U75" s="120" t="str">
        <f>+IFERROR(IF(V75="#N/C","#N/C",INDEX(Taxonomy_UniqueValues!F:F,MATCH(V75,Taxonomy_UniqueValues!G:G,0))),"#N/C")</f>
        <v>Formicidae</v>
      </c>
      <c r="V75" s="120" t="str">
        <f>+IFERROR(IF(W75="#N/C","#N/C",INDEX(Taxonomy_UniqueValues!G:G,MATCH(W75,Taxonomy_UniqueValues!H:H,0))),"#N/C")</f>
        <v>Formicinae</v>
      </c>
      <c r="W75" s="42" t="s">
        <v>179</v>
      </c>
      <c r="X75" s="28" t="s">
        <v>180</v>
      </c>
      <c r="Y75" s="69" t="str" cm="1">
        <f t="array" ref="Y75">_xlfn.LET(_xlpm.cls,P75, _xlpm.ord,IFERROR(Q75,"#N/C"), _xlpm.subord,IFERROR(R75,"#N/C"), _xlpm.infr,IFERROR(S75,"#N/C"), _xlpm.sf,IFERROR(T75,"#N/C"), _xlpm.fam,IFERROR(U75,"#N/C"), _xlpm.subfam,IF(TRIM(V75)="-","#N/C",IFERROR(V75,"#N/C")),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_xlpm.fallback,IF(IFERROR(Q75,"#N/C")="#N/C",P75,IF(IFERROR(R75,"#N/C")="#N/C",Q75,IF(IFERROR(S75,"#N/C")="#N/C",R75,IF(IFERROR(T75,"#N/C")="#N/C",S75,IF(IFERROR(U75,"#N/C")="#N/C",T75,IF(IFERROR(V75,"#N/C")="#N/C",U75,"#N/C")))))), _xlpm.finalResult,IF(OR(_xlpm.computedResult="",_xlpm.computedResult="#N/C"),_xlpm.fallback,_xlpm.computedResult), INDEX(_xlpm.finalResult,1))</f>
        <v>ant</v>
      </c>
      <c r="Z75" s="116" t="str" cm="1">
        <f t="array" ref="Z75">IF(OR(Y75="Insecta",Y75="Arachnida",Y75="#N/C"),"",IFERROR(_xlfn.LET(_xlpm.fc,IFERROR(_xlfn._xlws.FILTER(ClassificationClasses[],ClassificationClasses[Classification Class]=Y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75,ClassificationClasses[Key])),0),MATCH(Y75,INDEX(ClassificationClasses[],MATCH(TRUE,ISNUMBER(SEARCH(Y75,ClassificationClasses[Key])),0),0),0)-1)))</f>
        <v>Aculeata</v>
      </c>
      <c r="AA75" s="116" t="str" cm="1">
        <f t="array" ref="AA75">IFERROR(IF(OR(Z75="Insecta",Z75="Arachnida",Z75="#N/C"),"",INDEX(ClassificationClasses[[Class]:[Infraorder]],MATCH(TRUE,ISNUMBER(SEARCH(Z75,ClassificationClasses[Key])),0),MATCH(Z75,INDEX(ClassificationClasses[#Data], MATCH(TRUE,ISNUMBER(SEARCH(Z75,ClassificationClasses[Key])),0), 0), 0)-1)),"")</f>
        <v>Apocrita</v>
      </c>
      <c r="AB75" s="116" t="str" cm="1">
        <f t="array" ref="AB75">IFERROR(IF(OR(AA75="Insecta",AA75="Arachnida",AA75="#N/C"),"",INDEX(ClassificationClasses[[Class]:[Suborder]],MATCH(TRUE,ISNUMBER(SEARCH(AA75,ClassificationClasses[Key])),0),MATCH(AA75,INDEX(ClassificationClasses[#Data], MATCH(TRUE,ISNUMBER(SEARCH(AA75,ClassificationClasses[Key])),0), 0), 0)-1)),"")</f>
        <v>Hymenoptera</v>
      </c>
      <c r="AC75" s="116" t="str" cm="1">
        <f t="array" ref="AC75">IFERROR(IF(OR(AB75="Insecta",AB75="Arachnida",AB75="#N/C"),"",INDEX(ClassificationClasses[[Class]:[Suborder]],MATCH(TRUE,ISNUMBER(SEARCH(AB75,ClassificationClasses[Key])),0),MATCH(AB75,INDEX(ClassificationClasses[#Data], MATCH(TRUE,ISNUMBER(SEARCH(AB75,ClassificationClasses[Key])),0), 0), 0)-1)),"")</f>
        <v>Insecta</v>
      </c>
      <c r="AD75" s="116" t="str" cm="1">
        <f t="array" ref="AD75">IFERROR(IF(OR(AC75="Insecta",AC75="Arachnida",AC75="#N/C"),"",INDEX(ClassificationClasses[[Class]:[Suborder]],MATCH(TRUE,ISNUMBER(SEARCH(AC75,ClassificationClasses[Key])),0),MATCH(AC75,INDEX(ClassificationClasses[#Data], MATCH(TRUE,ISNUMBER(SEARCH(AC75,ClassificationClasses[Key])),0), 0), 0)-1)),"")</f>
        <v/>
      </c>
      <c r="AE75" s="18" t="str">
        <f t="shared" si="4"/>
        <v>Insecta.Hymenoptera.Apocrita.Aculeata.Formicoidea.Formicidae.Formicinae.Lasius.fuliginosus</v>
      </c>
    </row>
    <row r="76" spans="1:31" x14ac:dyDescent="0.3">
      <c r="A76" s="91">
        <v>75</v>
      </c>
      <c r="B76" s="7">
        <v>44390</v>
      </c>
      <c r="C76" s="92" t="s">
        <v>181</v>
      </c>
      <c r="D76" s="93" t="str">
        <f>HYPERLINK(VLOOKUP(C76,Video_List!$F:$J,5),"video")</f>
        <v>video</v>
      </c>
      <c r="E76" s="94" t="str">
        <f>IFERROR(IF(MATCH(C76,Video_List!$F:$F,)&gt;0,"ok",""),"error")</f>
        <v>ok</v>
      </c>
      <c r="F76" s="92" t="s">
        <v>181</v>
      </c>
      <c r="G76" s="93" t="str">
        <f>HYPERLINK(VLOOKUP(F76,Video_List!$F:$J,5),"video")</f>
        <v>video</v>
      </c>
      <c r="H76" s="94" t="str">
        <f>IFERROR(IF(MATCH(F76,Video_List!$F:$F,)&gt;0,"ok",""),"error")</f>
        <v>ok</v>
      </c>
      <c r="I76" s="17">
        <v>44390.717997685184</v>
      </c>
      <c r="J76" s="8">
        <v>44390.718043981484</v>
      </c>
      <c r="K76" s="15">
        <f t="shared" si="3"/>
        <v>4.6296299842651933E-5</v>
      </c>
      <c r="L76" s="4" t="s">
        <v>55</v>
      </c>
      <c r="M76" s="4" t="s">
        <v>55</v>
      </c>
      <c r="N76" s="96" t="str">
        <f>IF(ISBLANK(C76),"",IF(C76=F76, "1 video",CONCATENATE((+COUNTIFS(Video_List!$C:$C,"&lt;=" &amp;Monitoring!J76)-COUNTIFS(Video_List!$C:$C,"&lt;=" &amp;Monitoring!I76))+1," videos")))</f>
        <v>1 video</v>
      </c>
      <c r="O76" s="29" t="s">
        <v>44</v>
      </c>
      <c r="P76" s="42" t="s">
        <v>37</v>
      </c>
      <c r="Q76" s="42" t="s">
        <v>38</v>
      </c>
      <c r="R76" s="42" t="s">
        <v>39</v>
      </c>
      <c r="S76" s="97" t="str">
        <f>+IFERROR(IF(T76="#N/C","#N/C",IF(U76=0,INDEX(Taxonomy_UniqueValues!D:D,MATCH(U76,Taxonomy_UniqueValues!F:F,0)),INDEX(Taxonomy_UniqueValues!D:D,MATCH(T76,Taxonomy_UniqueValues!E:E,0)))),"#N/C")</f>
        <v>Muscomorpha</v>
      </c>
      <c r="T76" s="42" t="s">
        <v>46</v>
      </c>
      <c r="U76" s="42" t="s">
        <v>47</v>
      </c>
      <c r="V76" s="42" t="s">
        <v>48</v>
      </c>
      <c r="W76" s="42" t="s">
        <v>182</v>
      </c>
      <c r="X76" s="28" t="s">
        <v>35</v>
      </c>
      <c r="Y76" s="69" t="str" cm="1">
        <f t="array" ref="Y76">_xlfn.LET(_xlpm.cls,P76, _xlpm.ord,IFERROR(Q76,"#N/C"), _xlpm.subord,IFERROR(R76,"#N/C"), _xlpm.infr,IFERROR(S76,"#N/C"), _xlpm.sf,IFERROR(T76,"#N/C"), _xlpm.fam,IFERROR(U76,"#N/C"), _xlpm.subfam,IF(TRIM(V76)="-","#N/C",IFERROR(V76,"#N/C")),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_xlpm.fallback,IF(IFERROR(Q76,"#N/C")="#N/C",P76,IF(IFERROR(R76,"#N/C")="#N/C",Q76,IF(IFERROR(S76,"#N/C")="#N/C",R76,IF(IFERROR(T76,"#N/C")="#N/C",S76,IF(IFERROR(U76,"#N/C")="#N/C",T76,IF(IFERROR(V76,"#N/C")="#N/C",U76,"#N/C")))))), _xlpm.finalResult,IF(OR(_xlpm.computedResult="",_xlpm.computedResult="#N/C"),_xlpm.fallback,_xlpm.computedResult), INDEX(_xlpm.finalResult,1))</f>
        <v>hoverfly</v>
      </c>
      <c r="Z76" s="116" t="str" cm="1">
        <f t="array" ref="Z76">IF(OR(Y76="Insecta",Y76="Arachnida",Y76="#N/C"),"",IFERROR(_xlfn.LET(_xlpm.fc,IFERROR(_xlfn._xlws.FILTER(ClassificationClasses[],ClassificationClasses[Classification Class]=Y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76,ClassificationClasses[Key])),0),MATCH(Y76,INDEX(ClassificationClasses[],MATCH(TRUE,ISNUMBER(SEARCH(Y76,ClassificationClasses[Key])),0),0),0)-1)))</f>
        <v>Muscomorpha</v>
      </c>
      <c r="AA76" s="116" t="str" cm="1">
        <f t="array" ref="AA76">IFERROR(IF(OR(Z76="Insecta",Z76="Arachnida",Z76="#N/C"),"",INDEX(ClassificationClasses[[Class]:[Infraorder]],MATCH(TRUE,ISNUMBER(SEARCH(Z76,ClassificationClasses[Key])),0),MATCH(Z76,INDEX(ClassificationClasses[#Data], MATCH(TRUE,ISNUMBER(SEARCH(Z76,ClassificationClasses[Key])),0), 0), 0)-1)),"")</f>
        <v>Brachycera</v>
      </c>
      <c r="AB76" s="116" t="str" cm="1">
        <f t="array" ref="AB76">IFERROR(IF(OR(AA76="Insecta",AA76="Arachnida",AA76="#N/C"),"",INDEX(ClassificationClasses[[Class]:[Suborder]],MATCH(TRUE,ISNUMBER(SEARCH(AA76,ClassificationClasses[Key])),0),MATCH(AA76,INDEX(ClassificationClasses[#Data], MATCH(TRUE,ISNUMBER(SEARCH(AA76,ClassificationClasses[Key])),0), 0), 0)-1)),"")</f>
        <v>Diptera</v>
      </c>
      <c r="AC76" s="116" t="str" cm="1">
        <f t="array" ref="AC76">IFERROR(IF(OR(AB76="Insecta",AB76="Arachnida",AB76="#N/C"),"",INDEX(ClassificationClasses[[Class]:[Suborder]],MATCH(TRUE,ISNUMBER(SEARCH(AB76,ClassificationClasses[Key])),0),MATCH(AB76,INDEX(ClassificationClasses[#Data], MATCH(TRUE,ISNUMBER(SEARCH(AB76,ClassificationClasses[Key])),0), 0), 0)-1)),"")</f>
        <v>Insecta</v>
      </c>
      <c r="AD76" s="116" t="str" cm="1">
        <f t="array" ref="AD76">IFERROR(IF(OR(AC76="Insecta",AC76="Arachnida",AC76="#N/C"),"",INDEX(ClassificationClasses[[Class]:[Suborder]],MATCH(TRUE,ISNUMBER(SEARCH(AC76,ClassificationClasses[Key])),0),MATCH(AC76,INDEX(ClassificationClasses[#Data], MATCH(TRUE,ISNUMBER(SEARCH(AC76,ClassificationClasses[Key])),0), 0), 0)-1)),"")</f>
        <v/>
      </c>
      <c r="AE76" s="18" t="str">
        <f t="shared" si="4"/>
        <v>Insecta.Diptera.Brachycera.Muscomorpha.Syrphoidea.Syrphidae.Syrphinae.Melanostoma.#N/C</v>
      </c>
    </row>
    <row r="77" spans="1:31" x14ac:dyDescent="0.3">
      <c r="A77" s="91">
        <v>76</v>
      </c>
      <c r="B77" s="7">
        <v>44390</v>
      </c>
      <c r="C77" s="92" t="s">
        <v>183</v>
      </c>
      <c r="D77" s="93" t="str">
        <f>HYPERLINK(VLOOKUP(C77,Video_List!$F:$J,5),"video")</f>
        <v>video</v>
      </c>
      <c r="E77" s="94" t="str">
        <f>IFERROR(IF(MATCH(C77,Video_List!$F:$F,)&gt;0,"ok",""),"error")</f>
        <v>ok</v>
      </c>
      <c r="F77" s="92" t="s">
        <v>183</v>
      </c>
      <c r="G77" s="93" t="str">
        <f>HYPERLINK(VLOOKUP(F77,Video_List!$F:$J,5),"video")</f>
        <v>video</v>
      </c>
      <c r="H77" s="94" t="str">
        <f>IFERROR(IF(MATCH(F77,Video_List!$F:$F,)&gt;0,"ok",""),"error")</f>
        <v>ok</v>
      </c>
      <c r="I77" s="17">
        <v>44390.730613425927</v>
      </c>
      <c r="J77" s="8">
        <v>44390.730706018519</v>
      </c>
      <c r="K77" s="15">
        <f t="shared" si="3"/>
        <v>9.2592592409346253E-5</v>
      </c>
      <c r="L77" s="95" t="s">
        <v>32</v>
      </c>
      <c r="M77" s="95" t="s">
        <v>33</v>
      </c>
      <c r="N77" s="96" t="str">
        <f>IF(ISBLANK(C77),"",IF(C77=F77, "1 video",CONCATENATE((+COUNTIFS(Video_List!$C:$C,"&lt;=" &amp;Monitoring!J77)-COUNTIFS(Video_List!$C:$C,"&lt;=" &amp;Monitoring!I77))+1," videos")))</f>
        <v>1 video</v>
      </c>
      <c r="O77" s="29" t="s">
        <v>44</v>
      </c>
      <c r="P77" s="42" t="s">
        <v>37</v>
      </c>
      <c r="Q77" s="42" t="s">
        <v>38</v>
      </c>
      <c r="R77" s="42" t="s">
        <v>39</v>
      </c>
      <c r="S77" s="97" t="str">
        <f>+IFERROR(IF(T77="#N/C","#N/C",IF(U77=0,INDEX(Taxonomy_UniqueValues!D:D,MATCH(U77,Taxonomy_UniqueValues!F:F,0)),INDEX(Taxonomy_UniqueValues!D:D,MATCH(T77,Taxonomy_UniqueValues!E:E,0)))),"#N/C")</f>
        <v>#N/C</v>
      </c>
      <c r="T77" s="42" t="s">
        <v>35</v>
      </c>
      <c r="U77" s="42" t="s">
        <v>35</v>
      </c>
      <c r="V77" s="42" t="s">
        <v>35</v>
      </c>
      <c r="W77" s="42" t="s">
        <v>35</v>
      </c>
      <c r="X77" s="28" t="s">
        <v>35</v>
      </c>
      <c r="Y77" s="69" t="str" cm="1">
        <f t="array" ref="Y77">_xlfn.LET(_xlpm.cls,P77, _xlpm.ord,IFERROR(Q77,"#N/C"), _xlpm.subord,IFERROR(R77,"#N/C"), _xlpm.infr,IFERROR(S77,"#N/C"), _xlpm.sf,IFERROR(T77,"#N/C"), _xlpm.fam,IFERROR(U77,"#N/C"), _xlpm.subfam,IF(TRIM(V77)="-","#N/C",IFERROR(V77,"#N/C")),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_xlpm.fallback,IF(IFERROR(Q77,"#N/C")="#N/C",P77,IF(IFERROR(R77,"#N/C")="#N/C",Q77,IF(IFERROR(S77,"#N/C")="#N/C",R77,IF(IFERROR(T77,"#N/C")="#N/C",S77,IF(IFERROR(U77,"#N/C")="#N/C",T77,IF(IFERROR(V77,"#N/C")="#N/C",U77,"#N/C")))))), _xlpm.finalResult,IF(OR(_xlpm.computedResult="",_xlpm.computedResult="#N/C"),_xlpm.fallback,_xlpm.computedResult), INDEX(_xlpm.finalResult,1))</f>
        <v>Brachycera</v>
      </c>
      <c r="Z77" s="116" t="str" cm="1">
        <f t="array" ref="Z77">IF(OR(Y77="Insecta",Y77="Arachnida",Y77="#N/C"),"",IFERROR(_xlfn.LET(_xlpm.fc,IFERROR(_xlfn._xlws.FILTER(ClassificationClasses[],ClassificationClasses[Classification Class]=Y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77,ClassificationClasses[Key])),0),MATCH(Y77,INDEX(ClassificationClasses[],MATCH(TRUE,ISNUMBER(SEARCH(Y77,ClassificationClasses[Key])),0),0),0)-1)))</f>
        <v>Diptera</v>
      </c>
      <c r="AA77" s="116" t="str" cm="1">
        <f t="array" ref="AA77">IFERROR(IF(OR(Z77="Insecta",Z77="Arachnida",Z77="#N/C"),"",INDEX(ClassificationClasses[[Class]:[Infraorder]],MATCH(TRUE,ISNUMBER(SEARCH(Z77,ClassificationClasses[Key])),0),MATCH(Z77,INDEX(ClassificationClasses[#Data], MATCH(TRUE,ISNUMBER(SEARCH(Z77,ClassificationClasses[Key])),0), 0), 0)-1)),"")</f>
        <v>Insecta</v>
      </c>
      <c r="AB77" s="116" t="str" cm="1">
        <f t="array" ref="AB77">IFERROR(IF(OR(AA77="Insecta",AA77="Arachnida",AA77="#N/C"),"",INDEX(ClassificationClasses[[Class]:[Suborder]],MATCH(TRUE,ISNUMBER(SEARCH(AA77,ClassificationClasses[Key])),0),MATCH(AA77,INDEX(ClassificationClasses[#Data], MATCH(TRUE,ISNUMBER(SEARCH(AA77,ClassificationClasses[Key])),0), 0), 0)-1)),"")</f>
        <v/>
      </c>
      <c r="AC77" s="116" t="str" cm="1">
        <f t="array" ref="AC77">IFERROR(IF(OR(AB77="Insecta",AB77="Arachnida",AB77="#N/C"),"",INDEX(ClassificationClasses[[Class]:[Suborder]],MATCH(TRUE,ISNUMBER(SEARCH(AB77,ClassificationClasses[Key])),0),MATCH(AB77,INDEX(ClassificationClasses[#Data], MATCH(TRUE,ISNUMBER(SEARCH(AB77,ClassificationClasses[Key])),0), 0), 0)-1)),"")</f>
        <v/>
      </c>
      <c r="AD77" s="116" t="str" cm="1">
        <f t="array" ref="AD77">IFERROR(IF(OR(AC77="Insecta",AC77="Arachnida",AC77="#N/C"),"",INDEX(ClassificationClasses[[Class]:[Suborder]],MATCH(TRUE,ISNUMBER(SEARCH(AC77,ClassificationClasses[Key])),0),MATCH(AC77,INDEX(ClassificationClasses[#Data], MATCH(TRUE,ISNUMBER(SEARCH(AC77,ClassificationClasses[Key])),0), 0), 0)-1)),"")</f>
        <v/>
      </c>
      <c r="AE77" s="18" t="str">
        <f t="shared" si="4"/>
        <v>Insecta.Diptera.Brachycera.#N/C.#N/C.#N/C.#N/C.#N/C.#N/C</v>
      </c>
    </row>
    <row r="78" spans="1:31" x14ac:dyDescent="0.3">
      <c r="A78" s="91">
        <v>77</v>
      </c>
      <c r="B78" s="7">
        <v>44390</v>
      </c>
      <c r="C78" s="92" t="s">
        <v>184</v>
      </c>
      <c r="D78" s="93" t="str">
        <f>HYPERLINK(VLOOKUP(C78,Video_List!$F:$J,5),"video")</f>
        <v>video</v>
      </c>
      <c r="E78" s="94" t="str">
        <f>IFERROR(IF(MATCH(C78,Video_List!$F:$F,)&gt;0,"ok",""),"error")</f>
        <v>ok</v>
      </c>
      <c r="F78" s="92" t="s">
        <v>184</v>
      </c>
      <c r="G78" s="93" t="str">
        <f>HYPERLINK(VLOOKUP(F78,Video_List!$F:$J,5),"video")</f>
        <v>video</v>
      </c>
      <c r="H78" s="94" t="str">
        <f>IFERROR(IF(MATCH(F78,Video_List!$F:$F,)&gt;0,"ok",""),"error")</f>
        <v>ok</v>
      </c>
      <c r="I78" s="17">
        <v>44390.739953703705</v>
      </c>
      <c r="J78" s="8">
        <v>44390.74</v>
      </c>
      <c r="K78" s="15">
        <f t="shared" si="3"/>
        <v>4.6296292566694319E-5</v>
      </c>
      <c r="L78" s="95" t="s">
        <v>32</v>
      </c>
      <c r="M78" s="95" t="s">
        <v>33</v>
      </c>
      <c r="N78" s="96" t="str">
        <f>IF(ISBLANK(C78),"",IF(C78=F78, "1 video",CONCATENATE((+COUNTIFS(Video_List!$C:$C,"&lt;=" &amp;Monitoring!J78)-COUNTIFS(Video_List!$C:$C,"&lt;=" &amp;Monitoring!I78))+1," videos")))</f>
        <v>1 video</v>
      </c>
      <c r="O78" s="29" t="s">
        <v>44</v>
      </c>
      <c r="P78" s="42" t="s">
        <v>37</v>
      </c>
      <c r="Q78" s="42" t="s">
        <v>38</v>
      </c>
      <c r="R78" s="42" t="s">
        <v>185</v>
      </c>
      <c r="S78" s="97" t="str">
        <f>+IFERROR(IF(T78="#N/C","#N/C",IF(U78=0,INDEX(Taxonomy_UniqueValues!D:D,MATCH(U78,Taxonomy_UniqueValues!F:F,0)),INDEX(Taxonomy_UniqueValues!D:D,MATCH(T78,Taxonomy_UniqueValues!E:E,0)))),"#N/C")</f>
        <v>Bibionomorpha</v>
      </c>
      <c r="T78" s="42" t="s">
        <v>186</v>
      </c>
      <c r="U78" s="42" t="s">
        <v>187</v>
      </c>
      <c r="V78" s="42" t="s">
        <v>188</v>
      </c>
      <c r="W78" s="42" t="s">
        <v>189</v>
      </c>
      <c r="X78" s="28" t="s">
        <v>35</v>
      </c>
      <c r="Y78" s="69" t="str" cm="1">
        <f t="array" ref="Y78">_xlfn.LET(_xlpm.cls,P78, _xlpm.ord,IFERROR(Q78,"#N/C"), _xlpm.subord,IFERROR(R78,"#N/C"), _xlpm.infr,IFERROR(S78,"#N/C"), _xlpm.sf,IFERROR(T78,"#N/C"), _xlpm.fam,IFERROR(U78,"#N/C"), _xlpm.subfam,IF(TRIM(V78)="-","#N/C",IFERROR(V78,"#N/C")),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_xlpm.fallback,IF(IFERROR(Q78,"#N/C")="#N/C",P78,IF(IFERROR(R78,"#N/C")="#N/C",Q78,IF(IFERROR(S78,"#N/C")="#N/C",R78,IF(IFERROR(T78,"#N/C")="#N/C",S78,IF(IFERROR(U78,"#N/C")="#N/C",T78,IF(IFERROR(V78,"#N/C")="#N/C",U78,"#N/C")))))), _xlpm.finalResult,IF(OR(_xlpm.computedResult="",_xlpm.computedResult="#N/C"),_xlpm.fallback,_xlpm.computedResult), INDEX(_xlpm.finalResult,1))</f>
        <v>Sciaroidea</v>
      </c>
      <c r="Z78" s="116" t="str" cm="1">
        <f t="array" ref="Z78">IF(OR(Y78="Insecta",Y78="Arachnida",Y78="#N/C"),"",IFERROR(_xlfn.LET(_xlpm.fc,IFERROR(_xlfn._xlws.FILTER(ClassificationClasses[],ClassificationClasses[Classification Class]=Y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78,ClassificationClasses[Key])),0),MATCH(Y78,INDEX(ClassificationClasses[],MATCH(TRUE,ISNUMBER(SEARCH(Y78,ClassificationClasses[Key])),0),0),0)-1)))</f>
        <v>Bibionomorpha</v>
      </c>
      <c r="AA78" s="116" t="str" cm="1">
        <f t="array" ref="AA78">IFERROR(IF(OR(Z78="Insecta",Z78="Arachnida",Z78="#N/C"),"",INDEX(ClassificationClasses[[Class]:[Infraorder]],MATCH(TRUE,ISNUMBER(SEARCH(Z78,ClassificationClasses[Key])),0),MATCH(Z78,INDEX(ClassificationClasses[#Data], MATCH(TRUE,ISNUMBER(SEARCH(Z78,ClassificationClasses[Key])),0), 0), 0)-1)),"")</f>
        <v>Nematocera</v>
      </c>
      <c r="AB78" s="116" t="str" cm="1">
        <f t="array" ref="AB78">IFERROR(IF(OR(AA78="Insecta",AA78="Arachnida",AA78="#N/C"),"",INDEX(ClassificationClasses[[Class]:[Suborder]],MATCH(TRUE,ISNUMBER(SEARCH(AA78,ClassificationClasses[Key])),0),MATCH(AA78,INDEX(ClassificationClasses[#Data], MATCH(TRUE,ISNUMBER(SEARCH(AA78,ClassificationClasses[Key])),0), 0), 0)-1)),"")</f>
        <v>Diptera</v>
      </c>
      <c r="AC78" s="116" t="str" cm="1">
        <f t="array" ref="AC78">IFERROR(IF(OR(AB78="Insecta",AB78="Arachnida",AB78="#N/C"),"",INDEX(ClassificationClasses[[Class]:[Suborder]],MATCH(TRUE,ISNUMBER(SEARCH(AB78,ClassificationClasses[Key])),0),MATCH(AB78,INDEX(ClassificationClasses[#Data], MATCH(TRUE,ISNUMBER(SEARCH(AB78,ClassificationClasses[Key])),0), 0), 0)-1)),"")</f>
        <v>Insecta</v>
      </c>
      <c r="AD78" s="116" t="str" cm="1">
        <f t="array" ref="AD78">IFERROR(IF(OR(AC78="Insecta",AC78="Arachnida",AC78="#N/C"),"",INDEX(ClassificationClasses[[Class]:[Suborder]],MATCH(TRUE,ISNUMBER(SEARCH(AC78,ClassificationClasses[Key])),0),MATCH(AC78,INDEX(ClassificationClasses[#Data], MATCH(TRUE,ISNUMBER(SEARCH(AC78,ClassificationClasses[Key])),0), 0), 0)-1)),"")</f>
        <v/>
      </c>
      <c r="AE78" s="18" t="str">
        <f t="shared" si="4"/>
        <v>Insecta.Diptera.Nematocera.Bibionomorpha.Sciaroidea.Keroplatidae.Macrocerinae.Macrocera.#N/C</v>
      </c>
    </row>
    <row r="79" spans="1:31" x14ac:dyDescent="0.3">
      <c r="A79" s="91">
        <v>78</v>
      </c>
      <c r="B79" s="7">
        <v>44390</v>
      </c>
      <c r="C79" s="92" t="s">
        <v>190</v>
      </c>
      <c r="D79" s="93" t="str">
        <f>HYPERLINK(VLOOKUP(C79,Video_List!$F:$J,5),"video")</f>
        <v>video</v>
      </c>
      <c r="E79" s="94" t="str">
        <f>IFERROR(IF(MATCH(C79,Video_List!$F:$F,)&gt;0,"ok",""),"error")</f>
        <v>ok</v>
      </c>
      <c r="F79" s="92" t="s">
        <v>190</v>
      </c>
      <c r="G79" s="93" t="str">
        <f>HYPERLINK(VLOOKUP(F79,Video_List!$F:$J,5),"video")</f>
        <v>video</v>
      </c>
      <c r="H79" s="94" t="str">
        <f>IFERROR(IF(MATCH(F79,Video_List!$F:$F,)&gt;0,"ok",""),"error")</f>
        <v>ok</v>
      </c>
      <c r="I79" s="17">
        <v>44390.747824074075</v>
      </c>
      <c r="J79" s="8">
        <v>44390.747916666667</v>
      </c>
      <c r="K79" s="15">
        <f t="shared" si="3"/>
        <v>9.2592592409346253E-5</v>
      </c>
      <c r="L79" s="95" t="s">
        <v>32</v>
      </c>
      <c r="M79" s="95" t="s">
        <v>33</v>
      </c>
      <c r="N79" s="96" t="str">
        <f>IF(ISBLANK(C79),"",IF(C79=F79, "1 video",CONCATENATE((+COUNTIFS(Video_List!$C:$C,"&lt;=" &amp;Monitoring!J79)-COUNTIFS(Video_List!$C:$C,"&lt;=" &amp;Monitoring!I79))+1," videos")))</f>
        <v>1 video</v>
      </c>
      <c r="O79" s="29" t="s">
        <v>44</v>
      </c>
      <c r="P79" s="42" t="s">
        <v>37</v>
      </c>
      <c r="Q79" s="42" t="s">
        <v>38</v>
      </c>
      <c r="R79" s="42" t="s">
        <v>39</v>
      </c>
      <c r="S79" s="97" t="str">
        <f>+IFERROR(IF(T79="#N/C","#N/C",IF(U79=0,INDEX(Taxonomy_UniqueValues!D:D,MATCH(U79,Taxonomy_UniqueValues!F:F,0)),INDEX(Taxonomy_UniqueValues!D:D,MATCH(T79,Taxonomy_UniqueValues!E:E,0)))),"#N/C")</f>
        <v>#N/C</v>
      </c>
      <c r="T79" s="42" t="s">
        <v>35</v>
      </c>
      <c r="U79" s="42" t="s">
        <v>35</v>
      </c>
      <c r="V79" s="42" t="s">
        <v>35</v>
      </c>
      <c r="W79" s="42" t="s">
        <v>35</v>
      </c>
      <c r="X79" s="28" t="s">
        <v>35</v>
      </c>
      <c r="Y79" s="69" t="str" cm="1">
        <f t="array" ref="Y79">_xlfn.LET(_xlpm.cls,P79, _xlpm.ord,IFERROR(Q79,"#N/C"), _xlpm.subord,IFERROR(R79,"#N/C"), _xlpm.infr,IFERROR(S79,"#N/C"), _xlpm.sf,IFERROR(T79,"#N/C"), _xlpm.fam,IFERROR(U79,"#N/C"), _xlpm.subfam,IF(TRIM(V79)="-","#N/C",IFERROR(V79,"#N/C")),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_xlpm.fallback,IF(IFERROR(Q79,"#N/C")="#N/C",P79,IF(IFERROR(R79,"#N/C")="#N/C",Q79,IF(IFERROR(S79,"#N/C")="#N/C",R79,IF(IFERROR(T79,"#N/C")="#N/C",S79,IF(IFERROR(U79,"#N/C")="#N/C",T79,IF(IFERROR(V79,"#N/C")="#N/C",U79,"#N/C")))))), _xlpm.finalResult,IF(OR(_xlpm.computedResult="",_xlpm.computedResult="#N/C"),_xlpm.fallback,_xlpm.computedResult), INDEX(_xlpm.finalResult,1))</f>
        <v>Brachycera</v>
      </c>
      <c r="Z79" s="116" t="str" cm="1">
        <f t="array" ref="Z79">IF(OR(Y79="Insecta",Y79="Arachnida",Y79="#N/C"),"",IFERROR(_xlfn.LET(_xlpm.fc,IFERROR(_xlfn._xlws.FILTER(ClassificationClasses[],ClassificationClasses[Classification Class]=Y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79,ClassificationClasses[Key])),0),MATCH(Y79,INDEX(ClassificationClasses[],MATCH(TRUE,ISNUMBER(SEARCH(Y79,ClassificationClasses[Key])),0),0),0)-1)))</f>
        <v>Diptera</v>
      </c>
      <c r="AA79" s="116" t="str" cm="1">
        <f t="array" ref="AA79">IFERROR(IF(OR(Z79="Insecta",Z79="Arachnida",Z79="#N/C"),"",INDEX(ClassificationClasses[[Class]:[Infraorder]],MATCH(TRUE,ISNUMBER(SEARCH(Z79,ClassificationClasses[Key])),0),MATCH(Z79,INDEX(ClassificationClasses[#Data], MATCH(TRUE,ISNUMBER(SEARCH(Z79,ClassificationClasses[Key])),0), 0), 0)-1)),"")</f>
        <v>Insecta</v>
      </c>
      <c r="AB79" s="116" t="str" cm="1">
        <f t="array" ref="AB79">IFERROR(IF(OR(AA79="Insecta",AA79="Arachnida",AA79="#N/C"),"",INDEX(ClassificationClasses[[Class]:[Suborder]],MATCH(TRUE,ISNUMBER(SEARCH(AA79,ClassificationClasses[Key])),0),MATCH(AA79,INDEX(ClassificationClasses[#Data], MATCH(TRUE,ISNUMBER(SEARCH(AA79,ClassificationClasses[Key])),0), 0), 0)-1)),"")</f>
        <v/>
      </c>
      <c r="AC79" s="116" t="str" cm="1">
        <f t="array" ref="AC79">IFERROR(IF(OR(AB79="Insecta",AB79="Arachnida",AB79="#N/C"),"",INDEX(ClassificationClasses[[Class]:[Suborder]],MATCH(TRUE,ISNUMBER(SEARCH(AB79,ClassificationClasses[Key])),0),MATCH(AB79,INDEX(ClassificationClasses[#Data], MATCH(TRUE,ISNUMBER(SEARCH(AB79,ClassificationClasses[Key])),0), 0), 0)-1)),"")</f>
        <v/>
      </c>
      <c r="AD79" s="116" t="str" cm="1">
        <f t="array" ref="AD79">IFERROR(IF(OR(AC79="Insecta",AC79="Arachnida",AC79="#N/C"),"",INDEX(ClassificationClasses[[Class]:[Suborder]],MATCH(TRUE,ISNUMBER(SEARCH(AC79,ClassificationClasses[Key])),0),MATCH(AC79,INDEX(ClassificationClasses[#Data], MATCH(TRUE,ISNUMBER(SEARCH(AC79,ClassificationClasses[Key])),0), 0), 0)-1)),"")</f>
        <v/>
      </c>
      <c r="AE79" s="18" t="str">
        <f t="shared" si="4"/>
        <v>Insecta.Diptera.Brachycera.#N/C.#N/C.#N/C.#N/C.#N/C.#N/C</v>
      </c>
    </row>
    <row r="80" spans="1:31" x14ac:dyDescent="0.3">
      <c r="A80" s="91">
        <v>79</v>
      </c>
      <c r="B80" s="7">
        <v>44390</v>
      </c>
      <c r="C80" s="92" t="s">
        <v>191</v>
      </c>
      <c r="D80" s="93" t="str">
        <f>HYPERLINK(VLOOKUP(C80,Video_List!$F:$J,5),"video")</f>
        <v>video</v>
      </c>
      <c r="E80" s="94" t="str">
        <f>IFERROR(IF(MATCH(C80,Video_List!$F:$F,)&gt;0,"ok",""),"error")</f>
        <v>ok</v>
      </c>
      <c r="F80" s="92" t="s">
        <v>191</v>
      </c>
      <c r="G80" s="93" t="str">
        <f>HYPERLINK(VLOOKUP(F80,Video_List!$F:$J,5),"video")</f>
        <v>video</v>
      </c>
      <c r="H80" s="94" t="str">
        <f>IFERROR(IF(MATCH(F80,Video_List!$F:$F,)&gt;0,"ok",""),"error")</f>
        <v>ok</v>
      </c>
      <c r="I80" s="17">
        <v>44390.749537037038</v>
      </c>
      <c r="J80" s="8">
        <v>44390.749606481484</v>
      </c>
      <c r="K80" s="15">
        <f t="shared" si="3"/>
        <v>6.9444446125999093E-5</v>
      </c>
      <c r="L80" s="95" t="s">
        <v>32</v>
      </c>
      <c r="M80" s="95" t="s">
        <v>33</v>
      </c>
      <c r="N80" s="96" t="str">
        <f>IF(ISBLANK(C80),"",IF(C80=F80, "1 video",CONCATENATE((+COUNTIFS(Video_List!$C:$C,"&lt;=" &amp;Monitoring!J80)-COUNTIFS(Video_List!$C:$C,"&lt;=" &amp;Monitoring!I80))+1," videos")))</f>
        <v>1 video</v>
      </c>
      <c r="O80" s="29" t="s">
        <v>44</v>
      </c>
      <c r="P80" s="42" t="s">
        <v>37</v>
      </c>
      <c r="Q80" s="42" t="s">
        <v>38</v>
      </c>
      <c r="R80" s="42" t="s">
        <v>39</v>
      </c>
      <c r="S80" s="97" t="str">
        <f>+IFERROR(IF(T80="#N/C","#N/C",IF(U80=0,INDEX(Taxonomy_UniqueValues!D:D,MATCH(U80,Taxonomy_UniqueValues!F:F,0)),INDEX(Taxonomy_UniqueValues!D:D,MATCH(T80,Taxonomy_UniqueValues!E:E,0)))),"#N/C")</f>
        <v>#N/C</v>
      </c>
      <c r="T80" s="42" t="s">
        <v>35</v>
      </c>
      <c r="U80" s="42" t="s">
        <v>35</v>
      </c>
      <c r="V80" s="42" t="s">
        <v>35</v>
      </c>
      <c r="W80" s="42" t="s">
        <v>35</v>
      </c>
      <c r="X80" s="28" t="s">
        <v>35</v>
      </c>
      <c r="Y80" s="69" t="str" cm="1">
        <f t="array" ref="Y80">_xlfn.LET(_xlpm.cls,P80, _xlpm.ord,IFERROR(Q80,"#N/C"), _xlpm.subord,IFERROR(R80,"#N/C"), _xlpm.infr,IFERROR(S80,"#N/C"), _xlpm.sf,IFERROR(T80,"#N/C"), _xlpm.fam,IFERROR(U80,"#N/C"), _xlpm.subfam,IF(TRIM(V80)="-","#N/C",IFERROR(V80,"#N/C")),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_xlpm.fallback,IF(IFERROR(Q80,"#N/C")="#N/C",P80,IF(IFERROR(R80,"#N/C")="#N/C",Q80,IF(IFERROR(S80,"#N/C")="#N/C",R80,IF(IFERROR(T80,"#N/C")="#N/C",S80,IF(IFERROR(U80,"#N/C")="#N/C",T80,IF(IFERROR(V80,"#N/C")="#N/C",U80,"#N/C")))))), _xlpm.finalResult,IF(OR(_xlpm.computedResult="",_xlpm.computedResult="#N/C"),_xlpm.fallback,_xlpm.computedResult), INDEX(_xlpm.finalResult,1))</f>
        <v>Brachycera</v>
      </c>
      <c r="Z80" s="116" t="str" cm="1">
        <f t="array" ref="Z80">IF(OR(Y80="Insecta",Y80="Arachnida",Y80="#N/C"),"",IFERROR(_xlfn.LET(_xlpm.fc,IFERROR(_xlfn._xlws.FILTER(ClassificationClasses[],ClassificationClasses[Classification Class]=Y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80,ClassificationClasses[Key])),0),MATCH(Y80,INDEX(ClassificationClasses[],MATCH(TRUE,ISNUMBER(SEARCH(Y80,ClassificationClasses[Key])),0),0),0)-1)))</f>
        <v>Diptera</v>
      </c>
      <c r="AA80" s="116" t="str" cm="1">
        <f t="array" ref="AA80">IFERROR(IF(OR(Z80="Insecta",Z80="Arachnida",Z80="#N/C"),"",INDEX(ClassificationClasses[[Class]:[Infraorder]],MATCH(TRUE,ISNUMBER(SEARCH(Z80,ClassificationClasses[Key])),0),MATCH(Z80,INDEX(ClassificationClasses[#Data], MATCH(TRUE,ISNUMBER(SEARCH(Z80,ClassificationClasses[Key])),0), 0), 0)-1)),"")</f>
        <v>Insecta</v>
      </c>
      <c r="AB80" s="116" t="str" cm="1">
        <f t="array" ref="AB80">IFERROR(IF(OR(AA80="Insecta",AA80="Arachnida",AA80="#N/C"),"",INDEX(ClassificationClasses[[Class]:[Suborder]],MATCH(TRUE,ISNUMBER(SEARCH(AA80,ClassificationClasses[Key])),0),MATCH(AA80,INDEX(ClassificationClasses[#Data], MATCH(TRUE,ISNUMBER(SEARCH(AA80,ClassificationClasses[Key])),0), 0), 0)-1)),"")</f>
        <v/>
      </c>
      <c r="AC80" s="116" t="str" cm="1">
        <f t="array" ref="AC80">IFERROR(IF(OR(AB80="Insecta",AB80="Arachnida",AB80="#N/C"),"",INDEX(ClassificationClasses[[Class]:[Suborder]],MATCH(TRUE,ISNUMBER(SEARCH(AB80,ClassificationClasses[Key])),0),MATCH(AB80,INDEX(ClassificationClasses[#Data], MATCH(TRUE,ISNUMBER(SEARCH(AB80,ClassificationClasses[Key])),0), 0), 0)-1)),"")</f>
        <v/>
      </c>
      <c r="AD80" s="116" t="str" cm="1">
        <f t="array" ref="AD80">IFERROR(IF(OR(AC80="Insecta",AC80="Arachnida",AC80="#N/C"),"",INDEX(ClassificationClasses[[Class]:[Suborder]],MATCH(TRUE,ISNUMBER(SEARCH(AC80,ClassificationClasses[Key])),0),MATCH(AC80,INDEX(ClassificationClasses[#Data], MATCH(TRUE,ISNUMBER(SEARCH(AC80,ClassificationClasses[Key])),0), 0), 0)-1)),"")</f>
        <v/>
      </c>
      <c r="AE80" s="18" t="str">
        <f t="shared" si="4"/>
        <v>Insecta.Diptera.Brachycera.#N/C.#N/C.#N/C.#N/C.#N/C.#N/C</v>
      </c>
    </row>
    <row r="81" spans="1:31" x14ac:dyDescent="0.3">
      <c r="A81" s="91">
        <v>80</v>
      </c>
      <c r="B81" s="7">
        <v>44390</v>
      </c>
      <c r="C81" s="92" t="s">
        <v>192</v>
      </c>
      <c r="D81" s="93" t="str">
        <f>HYPERLINK(VLOOKUP(C81,Video_List!$F:$J,5),"video")</f>
        <v>video</v>
      </c>
      <c r="E81" s="94" t="str">
        <f>IFERROR(IF(MATCH(C81,Video_List!$F:$F,)&gt;0,"ok",""),"error")</f>
        <v>ok</v>
      </c>
      <c r="F81" s="92" t="s">
        <v>192</v>
      </c>
      <c r="G81" s="93" t="str">
        <f>HYPERLINK(VLOOKUP(F81,Video_List!$F:$J,5),"video")</f>
        <v>video</v>
      </c>
      <c r="H81" s="94" t="str">
        <f>IFERROR(IF(MATCH(F81,Video_List!$F:$F,)&gt;0,"ok",""),"error")</f>
        <v>ok</v>
      </c>
      <c r="I81" s="17">
        <v>44390.752175925925</v>
      </c>
      <c r="J81" s="8">
        <v>44390.752280092594</v>
      </c>
      <c r="K81" s="15">
        <f t="shared" si="3"/>
        <v>1.0416666918899864E-4</v>
      </c>
      <c r="L81" s="95" t="s">
        <v>32</v>
      </c>
      <c r="M81" s="95" t="s">
        <v>33</v>
      </c>
      <c r="N81" s="96" t="str">
        <f>IF(ISBLANK(C81),"",IF(C81=F81, "1 video",CONCATENATE((+COUNTIFS(Video_List!$C:$C,"&lt;=" &amp;Monitoring!J81)-COUNTIFS(Video_List!$C:$C,"&lt;=" &amp;Monitoring!I81))+1," videos")))</f>
        <v>1 video</v>
      </c>
      <c r="O81" s="29" t="s">
        <v>44</v>
      </c>
      <c r="P81" s="42" t="s">
        <v>37</v>
      </c>
      <c r="Q81" s="42" t="s">
        <v>38</v>
      </c>
      <c r="R81" s="42" t="s">
        <v>39</v>
      </c>
      <c r="S81" s="97" t="str">
        <f>+IFERROR(IF(T81="#N/C","#N/C",IF(U81=0,INDEX(Taxonomy_UniqueValues!D:D,MATCH(U81,Taxonomy_UniqueValues!F:F,0)),INDEX(Taxonomy_UniqueValues!D:D,MATCH(T81,Taxonomy_UniqueValues!E:E,0)))),"#N/C")</f>
        <v>#N/C</v>
      </c>
      <c r="T81" s="42" t="s">
        <v>35</v>
      </c>
      <c r="U81" s="42" t="s">
        <v>35</v>
      </c>
      <c r="V81" s="42" t="s">
        <v>35</v>
      </c>
      <c r="W81" s="42" t="s">
        <v>35</v>
      </c>
      <c r="X81" s="28" t="s">
        <v>35</v>
      </c>
      <c r="Y81" s="69" t="str" cm="1">
        <f t="array" ref="Y81">_xlfn.LET(_xlpm.cls,P81, _xlpm.ord,IFERROR(Q81,"#N/C"), _xlpm.subord,IFERROR(R81,"#N/C"), _xlpm.infr,IFERROR(S81,"#N/C"), _xlpm.sf,IFERROR(T81,"#N/C"), _xlpm.fam,IFERROR(U81,"#N/C"), _xlpm.subfam,IF(TRIM(V81)="-","#N/C",IFERROR(V81,"#N/C")),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_xlpm.fallback,IF(IFERROR(Q81,"#N/C")="#N/C",P81,IF(IFERROR(R81,"#N/C")="#N/C",Q81,IF(IFERROR(S81,"#N/C")="#N/C",R81,IF(IFERROR(T81,"#N/C")="#N/C",S81,IF(IFERROR(U81,"#N/C")="#N/C",T81,IF(IFERROR(V81,"#N/C")="#N/C",U81,"#N/C")))))), _xlpm.finalResult,IF(OR(_xlpm.computedResult="",_xlpm.computedResult="#N/C"),_xlpm.fallback,_xlpm.computedResult), INDEX(_xlpm.finalResult,1))</f>
        <v>Brachycera</v>
      </c>
      <c r="Z81" s="116" t="str" cm="1">
        <f t="array" ref="Z81">IF(OR(Y81="Insecta",Y81="Arachnida",Y81="#N/C"),"",IFERROR(_xlfn.LET(_xlpm.fc,IFERROR(_xlfn._xlws.FILTER(ClassificationClasses[],ClassificationClasses[Classification Class]=Y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81,ClassificationClasses[Key])),0),MATCH(Y81,INDEX(ClassificationClasses[],MATCH(TRUE,ISNUMBER(SEARCH(Y81,ClassificationClasses[Key])),0),0),0)-1)))</f>
        <v>Diptera</v>
      </c>
      <c r="AA81" s="116" t="str" cm="1">
        <f t="array" ref="AA81">IFERROR(IF(OR(Z81="Insecta",Z81="Arachnida",Z81="#N/C"),"",INDEX(ClassificationClasses[[Class]:[Infraorder]],MATCH(TRUE,ISNUMBER(SEARCH(Z81,ClassificationClasses[Key])),0),MATCH(Z81,INDEX(ClassificationClasses[#Data], MATCH(TRUE,ISNUMBER(SEARCH(Z81,ClassificationClasses[Key])),0), 0), 0)-1)),"")</f>
        <v>Insecta</v>
      </c>
      <c r="AB81" s="116" t="str" cm="1">
        <f t="array" ref="AB81">IFERROR(IF(OR(AA81="Insecta",AA81="Arachnida",AA81="#N/C"),"",INDEX(ClassificationClasses[[Class]:[Suborder]],MATCH(TRUE,ISNUMBER(SEARCH(AA81,ClassificationClasses[Key])),0),MATCH(AA81,INDEX(ClassificationClasses[#Data], MATCH(TRUE,ISNUMBER(SEARCH(AA81,ClassificationClasses[Key])),0), 0), 0)-1)),"")</f>
        <v/>
      </c>
      <c r="AC81" s="116" t="str" cm="1">
        <f t="array" ref="AC81">IFERROR(IF(OR(AB81="Insecta",AB81="Arachnida",AB81="#N/C"),"",INDEX(ClassificationClasses[[Class]:[Suborder]],MATCH(TRUE,ISNUMBER(SEARCH(AB81,ClassificationClasses[Key])),0),MATCH(AB81,INDEX(ClassificationClasses[#Data], MATCH(TRUE,ISNUMBER(SEARCH(AB81,ClassificationClasses[Key])),0), 0), 0)-1)),"")</f>
        <v/>
      </c>
      <c r="AD81" s="116" t="str" cm="1">
        <f t="array" ref="AD81">IFERROR(IF(OR(AC81="Insecta",AC81="Arachnida",AC81="#N/C"),"",INDEX(ClassificationClasses[[Class]:[Suborder]],MATCH(TRUE,ISNUMBER(SEARCH(AC81,ClassificationClasses[Key])),0),MATCH(AC81,INDEX(ClassificationClasses[#Data], MATCH(TRUE,ISNUMBER(SEARCH(AC81,ClassificationClasses[Key])),0), 0), 0)-1)),"")</f>
        <v/>
      </c>
      <c r="AE81" s="18" t="str">
        <f t="shared" si="4"/>
        <v>Insecta.Diptera.Brachycera.#N/C.#N/C.#N/C.#N/C.#N/C.#N/C</v>
      </c>
    </row>
    <row r="82" spans="1:31" x14ac:dyDescent="0.3">
      <c r="A82" s="91">
        <v>81</v>
      </c>
      <c r="B82" s="7">
        <v>44390</v>
      </c>
      <c r="C82" s="92" t="s">
        <v>193</v>
      </c>
      <c r="D82" s="93" t="str">
        <f>HYPERLINK(VLOOKUP(C82,Video_List!$F:$J,5),"video")</f>
        <v>video</v>
      </c>
      <c r="E82" s="94" t="str">
        <f>IFERROR(IF(MATCH(C82,Video_List!$F:$F,)&gt;0,"ok",""),"error")</f>
        <v>ok</v>
      </c>
      <c r="F82" s="92" t="s">
        <v>193</v>
      </c>
      <c r="G82" s="93" t="str">
        <f>HYPERLINK(VLOOKUP(F82,Video_List!$F:$J,5),"video")</f>
        <v>video</v>
      </c>
      <c r="H82" s="94" t="str">
        <f>IFERROR(IF(MATCH(F82,Video_List!$F:$F,)&gt;0,"ok",""),"error")</f>
        <v>ok</v>
      </c>
      <c r="I82" s="17">
        <v>44390.779814814814</v>
      </c>
      <c r="J82" s="8">
        <v>44390.779895833337</v>
      </c>
      <c r="K82" s="15">
        <f t="shared" si="3"/>
        <v>8.101852290565148E-5</v>
      </c>
      <c r="L82" s="95" t="s">
        <v>32</v>
      </c>
      <c r="M82" s="95" t="s">
        <v>33</v>
      </c>
      <c r="N82" s="96" t="str">
        <f>IF(ISBLANK(C82),"",IF(C82=F82, "1 video",CONCATENATE((+COUNTIFS(Video_List!$C:$C,"&lt;=" &amp;Monitoring!J82)-COUNTIFS(Video_List!$C:$C,"&lt;=" &amp;Monitoring!I82))+1," videos")))</f>
        <v>1 video</v>
      </c>
      <c r="O82" s="29" t="s">
        <v>44</v>
      </c>
      <c r="P82" s="42" t="s">
        <v>37</v>
      </c>
      <c r="Q82" s="42" t="s">
        <v>38</v>
      </c>
      <c r="R82" s="42" t="s">
        <v>39</v>
      </c>
      <c r="S82" s="97" t="str">
        <f>+IFERROR(IF(T82="#N/C","#N/C",IF(U82=0,INDEX(Taxonomy_UniqueValues!D:D,MATCH(U82,Taxonomy_UniqueValues!F:F,0)),INDEX(Taxonomy_UniqueValues!D:D,MATCH(T82,Taxonomy_UniqueValues!E:E,0)))),"#N/C")</f>
        <v>#N/C</v>
      </c>
      <c r="T82" s="42" t="s">
        <v>35</v>
      </c>
      <c r="U82" s="42" t="s">
        <v>35</v>
      </c>
      <c r="V82" s="42" t="s">
        <v>35</v>
      </c>
      <c r="W82" s="42" t="s">
        <v>35</v>
      </c>
      <c r="X82" s="28" t="s">
        <v>35</v>
      </c>
      <c r="Y82" s="69" t="str" cm="1">
        <f t="array" ref="Y82">_xlfn.LET(_xlpm.cls,P82, _xlpm.ord,IFERROR(Q82,"#N/C"), _xlpm.subord,IFERROR(R82,"#N/C"), _xlpm.infr,IFERROR(S82,"#N/C"), _xlpm.sf,IFERROR(T82,"#N/C"), _xlpm.fam,IFERROR(U82,"#N/C"), _xlpm.subfam,IF(TRIM(V82)="-","#N/C",IFERROR(V82,"#N/C")),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_xlpm.fallback,IF(IFERROR(Q82,"#N/C")="#N/C",P82,IF(IFERROR(R82,"#N/C")="#N/C",Q82,IF(IFERROR(S82,"#N/C")="#N/C",R82,IF(IFERROR(T82,"#N/C")="#N/C",S82,IF(IFERROR(U82,"#N/C")="#N/C",T82,IF(IFERROR(V82,"#N/C")="#N/C",U82,"#N/C")))))), _xlpm.finalResult,IF(OR(_xlpm.computedResult="",_xlpm.computedResult="#N/C"),_xlpm.fallback,_xlpm.computedResult), INDEX(_xlpm.finalResult,1))</f>
        <v>Brachycera</v>
      </c>
      <c r="Z82" s="116" t="str" cm="1">
        <f t="array" ref="Z82">IF(OR(Y82="Insecta",Y82="Arachnida",Y82="#N/C"),"",IFERROR(_xlfn.LET(_xlpm.fc,IFERROR(_xlfn._xlws.FILTER(ClassificationClasses[],ClassificationClasses[Classification Class]=Y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82,ClassificationClasses[Key])),0),MATCH(Y82,INDEX(ClassificationClasses[],MATCH(TRUE,ISNUMBER(SEARCH(Y82,ClassificationClasses[Key])),0),0),0)-1)))</f>
        <v>Diptera</v>
      </c>
      <c r="AA82" s="116" t="str" cm="1">
        <f t="array" ref="AA82">IFERROR(IF(OR(Z82="Insecta",Z82="Arachnida",Z82="#N/C"),"",INDEX(ClassificationClasses[[Class]:[Infraorder]],MATCH(TRUE,ISNUMBER(SEARCH(Z82,ClassificationClasses[Key])),0),MATCH(Z82,INDEX(ClassificationClasses[#Data], MATCH(TRUE,ISNUMBER(SEARCH(Z82,ClassificationClasses[Key])),0), 0), 0)-1)),"")</f>
        <v>Insecta</v>
      </c>
      <c r="AB82" s="116" t="str" cm="1">
        <f t="array" ref="AB82">IFERROR(IF(OR(AA82="Insecta",AA82="Arachnida",AA82="#N/C"),"",INDEX(ClassificationClasses[[Class]:[Suborder]],MATCH(TRUE,ISNUMBER(SEARCH(AA82,ClassificationClasses[Key])),0),MATCH(AA82,INDEX(ClassificationClasses[#Data], MATCH(TRUE,ISNUMBER(SEARCH(AA82,ClassificationClasses[Key])),0), 0), 0)-1)),"")</f>
        <v/>
      </c>
      <c r="AC82" s="116" t="str" cm="1">
        <f t="array" ref="AC82">IFERROR(IF(OR(AB82="Insecta",AB82="Arachnida",AB82="#N/C"),"",INDEX(ClassificationClasses[[Class]:[Suborder]],MATCH(TRUE,ISNUMBER(SEARCH(AB82,ClassificationClasses[Key])),0),MATCH(AB82,INDEX(ClassificationClasses[#Data], MATCH(TRUE,ISNUMBER(SEARCH(AB82,ClassificationClasses[Key])),0), 0), 0)-1)),"")</f>
        <v/>
      </c>
      <c r="AD82" s="116" t="str" cm="1">
        <f t="array" ref="AD82">IFERROR(IF(OR(AC82="Insecta",AC82="Arachnida",AC82="#N/C"),"",INDEX(ClassificationClasses[[Class]:[Suborder]],MATCH(TRUE,ISNUMBER(SEARCH(AC82,ClassificationClasses[Key])),0),MATCH(AC82,INDEX(ClassificationClasses[#Data], MATCH(TRUE,ISNUMBER(SEARCH(AC82,ClassificationClasses[Key])),0), 0), 0)-1)),"")</f>
        <v/>
      </c>
      <c r="AE82" s="18" t="str">
        <f t="shared" si="4"/>
        <v>Insecta.Diptera.Brachycera.#N/C.#N/C.#N/C.#N/C.#N/C.#N/C</v>
      </c>
    </row>
    <row r="83" spans="1:31" x14ac:dyDescent="0.3">
      <c r="A83" s="91">
        <v>82</v>
      </c>
      <c r="B83" s="7">
        <v>44390</v>
      </c>
      <c r="C83" s="92" t="s">
        <v>194</v>
      </c>
      <c r="D83" s="93" t="str">
        <f>HYPERLINK(VLOOKUP(C83,Video_List!$F:$J,5),"video")</f>
        <v>video</v>
      </c>
      <c r="E83" s="94" t="str">
        <f>IFERROR(IF(MATCH(C83,Video_List!$F:$F,)&gt;0,"ok",""),"error")</f>
        <v>ok</v>
      </c>
      <c r="F83" s="92" t="s">
        <v>194</v>
      </c>
      <c r="G83" s="93" t="str">
        <f>HYPERLINK(VLOOKUP(F83,Video_List!$F:$J,5),"video")</f>
        <v>video</v>
      </c>
      <c r="H83" s="94" t="str">
        <f>IFERROR(IF(MATCH(F83,Video_List!$F:$F,)&gt;0,"ok",""),"error")</f>
        <v>ok</v>
      </c>
      <c r="I83" s="17">
        <v>44390.782280092593</v>
      </c>
      <c r="J83" s="8">
        <v>44390.782326388886</v>
      </c>
      <c r="K83" s="15">
        <f t="shared" si="3"/>
        <v>4.6296292566694319E-5</v>
      </c>
      <c r="L83" s="95" t="s">
        <v>32</v>
      </c>
      <c r="M83" s="95" t="s">
        <v>33</v>
      </c>
      <c r="N83" s="96" t="str">
        <f>IF(ISBLANK(C83),"",IF(C83=F83, "1 video",CONCATENATE((+COUNTIFS(Video_List!$C:$C,"&lt;=" &amp;Monitoring!J83)-COUNTIFS(Video_List!$C:$C,"&lt;=" &amp;Monitoring!I83))+1," videos")))</f>
        <v>1 video</v>
      </c>
      <c r="O83" s="29" t="s">
        <v>44</v>
      </c>
      <c r="P83" s="42" t="s">
        <v>37</v>
      </c>
      <c r="Q83" s="42" t="s">
        <v>38</v>
      </c>
      <c r="R83" s="42" t="s">
        <v>39</v>
      </c>
      <c r="S83" s="97" t="str">
        <f>+IFERROR(IF(T83="#N/C","#N/C",IF(U83=0,INDEX(Taxonomy_UniqueValues!D:D,MATCH(U83,Taxonomy_UniqueValues!F:F,0)),INDEX(Taxonomy_UniqueValues!D:D,MATCH(T83,Taxonomy_UniqueValues!E:E,0)))),"#N/C")</f>
        <v>#N/C</v>
      </c>
      <c r="T83" s="42" t="s">
        <v>35</v>
      </c>
      <c r="U83" s="42" t="s">
        <v>35</v>
      </c>
      <c r="V83" s="42" t="s">
        <v>35</v>
      </c>
      <c r="W83" s="42" t="s">
        <v>35</v>
      </c>
      <c r="X83" s="28" t="s">
        <v>35</v>
      </c>
      <c r="Y83" s="69" t="str" cm="1">
        <f t="array" ref="Y83">_xlfn.LET(_xlpm.cls,P83, _xlpm.ord,IFERROR(Q83,"#N/C"), _xlpm.subord,IFERROR(R83,"#N/C"), _xlpm.infr,IFERROR(S83,"#N/C"), _xlpm.sf,IFERROR(T83,"#N/C"), _xlpm.fam,IFERROR(U83,"#N/C"), _xlpm.subfam,IF(TRIM(V83)="-","#N/C",IFERROR(V83,"#N/C")),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_xlpm.fallback,IF(IFERROR(Q83,"#N/C")="#N/C",P83,IF(IFERROR(R83,"#N/C")="#N/C",Q83,IF(IFERROR(S83,"#N/C")="#N/C",R83,IF(IFERROR(T83,"#N/C")="#N/C",S83,IF(IFERROR(U83,"#N/C")="#N/C",T83,IF(IFERROR(V83,"#N/C")="#N/C",U83,"#N/C")))))), _xlpm.finalResult,IF(OR(_xlpm.computedResult="",_xlpm.computedResult="#N/C"),_xlpm.fallback,_xlpm.computedResult), INDEX(_xlpm.finalResult,1))</f>
        <v>Brachycera</v>
      </c>
      <c r="Z83" s="116" t="str" cm="1">
        <f t="array" ref="Z83">IF(OR(Y83="Insecta",Y83="Arachnida",Y83="#N/C"),"",IFERROR(_xlfn.LET(_xlpm.fc,IFERROR(_xlfn._xlws.FILTER(ClassificationClasses[],ClassificationClasses[Classification Class]=Y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83,ClassificationClasses[Key])),0),MATCH(Y83,INDEX(ClassificationClasses[],MATCH(TRUE,ISNUMBER(SEARCH(Y83,ClassificationClasses[Key])),0),0),0)-1)))</f>
        <v>Diptera</v>
      </c>
      <c r="AA83" s="116" t="str" cm="1">
        <f t="array" ref="AA83">IFERROR(IF(OR(Z83="Insecta",Z83="Arachnida",Z83="#N/C"),"",INDEX(ClassificationClasses[[Class]:[Infraorder]],MATCH(TRUE,ISNUMBER(SEARCH(Z83,ClassificationClasses[Key])),0),MATCH(Z83,INDEX(ClassificationClasses[#Data], MATCH(TRUE,ISNUMBER(SEARCH(Z83,ClassificationClasses[Key])),0), 0), 0)-1)),"")</f>
        <v>Insecta</v>
      </c>
      <c r="AB83" s="116" t="str" cm="1">
        <f t="array" ref="AB83">IFERROR(IF(OR(AA83="Insecta",AA83="Arachnida",AA83="#N/C"),"",INDEX(ClassificationClasses[[Class]:[Suborder]],MATCH(TRUE,ISNUMBER(SEARCH(AA83,ClassificationClasses[Key])),0),MATCH(AA83,INDEX(ClassificationClasses[#Data], MATCH(TRUE,ISNUMBER(SEARCH(AA83,ClassificationClasses[Key])),0), 0), 0)-1)),"")</f>
        <v/>
      </c>
      <c r="AC83" s="116" t="str" cm="1">
        <f t="array" ref="AC83">IFERROR(IF(OR(AB83="Insecta",AB83="Arachnida",AB83="#N/C"),"",INDEX(ClassificationClasses[[Class]:[Suborder]],MATCH(TRUE,ISNUMBER(SEARCH(AB83,ClassificationClasses[Key])),0),MATCH(AB83,INDEX(ClassificationClasses[#Data], MATCH(TRUE,ISNUMBER(SEARCH(AB83,ClassificationClasses[Key])),0), 0), 0)-1)),"")</f>
        <v/>
      </c>
      <c r="AD83" s="116" t="str" cm="1">
        <f t="array" ref="AD83">IFERROR(IF(OR(AC83="Insecta",AC83="Arachnida",AC83="#N/C"),"",INDEX(ClassificationClasses[[Class]:[Suborder]],MATCH(TRUE,ISNUMBER(SEARCH(AC83,ClassificationClasses[Key])),0),MATCH(AC83,INDEX(ClassificationClasses[#Data], MATCH(TRUE,ISNUMBER(SEARCH(AC83,ClassificationClasses[Key])),0), 0), 0)-1)),"")</f>
        <v/>
      </c>
      <c r="AE83" s="18" t="str">
        <f t="shared" si="4"/>
        <v>Insecta.Diptera.Brachycera.#N/C.#N/C.#N/C.#N/C.#N/C.#N/C</v>
      </c>
    </row>
    <row r="84" spans="1:31" x14ac:dyDescent="0.3">
      <c r="A84" s="91">
        <v>83</v>
      </c>
      <c r="B84" s="7">
        <v>44390</v>
      </c>
      <c r="C84" s="92" t="s">
        <v>195</v>
      </c>
      <c r="D84" s="93" t="str">
        <f>HYPERLINK(VLOOKUP(C84,Video_List!$F:$J,5),"video")</f>
        <v>video</v>
      </c>
      <c r="E84" s="94" t="str">
        <f>IFERROR(IF(MATCH(C84,Video_List!$F:$F,)&gt;0,"ok",""),"error")</f>
        <v>ok</v>
      </c>
      <c r="F84" s="92" t="s">
        <v>195</v>
      </c>
      <c r="G84" s="93" t="str">
        <f>HYPERLINK(VLOOKUP(F84,Video_List!$F:$J,5),"video")</f>
        <v>video</v>
      </c>
      <c r="H84" s="94" t="str">
        <f>IFERROR(IF(MATCH(F84,Video_List!$F:$F,)&gt;0,"ok",""),"error")</f>
        <v>ok</v>
      </c>
      <c r="I84" s="17">
        <v>44390.783229166664</v>
      </c>
      <c r="J84" s="8">
        <v>44390.78329861111</v>
      </c>
      <c r="K84" s="15">
        <f t="shared" si="3"/>
        <v>6.9444446125999093E-5</v>
      </c>
      <c r="L84" s="95" t="s">
        <v>32</v>
      </c>
      <c r="M84" s="95" t="s">
        <v>33</v>
      </c>
      <c r="N84" s="96" t="str">
        <f>IF(ISBLANK(C84),"",IF(C84=F84, "1 video",CONCATENATE((+COUNTIFS(Video_List!$C:$C,"&lt;=" &amp;Monitoring!J84)-COUNTIFS(Video_List!$C:$C,"&lt;=" &amp;Monitoring!I84))+1," videos")))</f>
        <v>1 video</v>
      </c>
      <c r="O84" s="29" t="s">
        <v>44</v>
      </c>
      <c r="P84" s="42" t="s">
        <v>37</v>
      </c>
      <c r="Q84" s="42" t="s">
        <v>38</v>
      </c>
      <c r="R84" s="42" t="s">
        <v>39</v>
      </c>
      <c r="S84" s="97" t="str">
        <f>+IFERROR(IF(T84="#N/C","#N/C",IF(U84=0,INDEX(Taxonomy_UniqueValues!D:D,MATCH(U84,Taxonomy_UniqueValues!F:F,0)),INDEX(Taxonomy_UniqueValues!D:D,MATCH(T84,Taxonomy_UniqueValues!E:E,0)))),"#N/C")</f>
        <v>#N/C</v>
      </c>
      <c r="T84" s="42" t="s">
        <v>35</v>
      </c>
      <c r="U84" s="42" t="s">
        <v>35</v>
      </c>
      <c r="V84" s="42" t="s">
        <v>35</v>
      </c>
      <c r="W84" s="42" t="s">
        <v>35</v>
      </c>
      <c r="X84" s="28" t="s">
        <v>35</v>
      </c>
      <c r="Y84" s="69" t="str" cm="1">
        <f t="array" ref="Y84">_xlfn.LET(_xlpm.cls,P84, _xlpm.ord,IFERROR(Q84,"#N/C"), _xlpm.subord,IFERROR(R84,"#N/C"), _xlpm.infr,IFERROR(S84,"#N/C"), _xlpm.sf,IFERROR(T84,"#N/C"), _xlpm.fam,IFERROR(U84,"#N/C"), _xlpm.subfam,IF(TRIM(V84)="-","#N/C",IFERROR(V84,"#N/C")),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_xlpm.fallback,IF(IFERROR(Q84,"#N/C")="#N/C",P84,IF(IFERROR(R84,"#N/C")="#N/C",Q84,IF(IFERROR(S84,"#N/C")="#N/C",R84,IF(IFERROR(T84,"#N/C")="#N/C",S84,IF(IFERROR(U84,"#N/C")="#N/C",T84,IF(IFERROR(V84,"#N/C")="#N/C",U84,"#N/C")))))), _xlpm.finalResult,IF(OR(_xlpm.computedResult="",_xlpm.computedResult="#N/C"),_xlpm.fallback,_xlpm.computedResult), INDEX(_xlpm.finalResult,1))</f>
        <v>Brachycera</v>
      </c>
      <c r="Z84" s="116" t="str" cm="1">
        <f t="array" ref="Z84">IF(OR(Y84="Insecta",Y84="Arachnida",Y84="#N/C"),"",IFERROR(_xlfn.LET(_xlpm.fc,IFERROR(_xlfn._xlws.FILTER(ClassificationClasses[],ClassificationClasses[Classification Class]=Y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84,ClassificationClasses[Key])),0),MATCH(Y84,INDEX(ClassificationClasses[],MATCH(TRUE,ISNUMBER(SEARCH(Y84,ClassificationClasses[Key])),0),0),0)-1)))</f>
        <v>Diptera</v>
      </c>
      <c r="AA84" s="116" t="str" cm="1">
        <f t="array" ref="AA84">IFERROR(IF(OR(Z84="Insecta",Z84="Arachnida",Z84="#N/C"),"",INDEX(ClassificationClasses[[Class]:[Infraorder]],MATCH(TRUE,ISNUMBER(SEARCH(Z84,ClassificationClasses[Key])),0),MATCH(Z84,INDEX(ClassificationClasses[#Data], MATCH(TRUE,ISNUMBER(SEARCH(Z84,ClassificationClasses[Key])),0), 0), 0)-1)),"")</f>
        <v>Insecta</v>
      </c>
      <c r="AB84" s="116" t="str" cm="1">
        <f t="array" ref="AB84">IFERROR(IF(OR(AA84="Insecta",AA84="Arachnida",AA84="#N/C"),"",INDEX(ClassificationClasses[[Class]:[Suborder]],MATCH(TRUE,ISNUMBER(SEARCH(AA84,ClassificationClasses[Key])),0),MATCH(AA84,INDEX(ClassificationClasses[#Data], MATCH(TRUE,ISNUMBER(SEARCH(AA84,ClassificationClasses[Key])),0), 0), 0)-1)),"")</f>
        <v/>
      </c>
      <c r="AC84" s="116" t="str" cm="1">
        <f t="array" ref="AC84">IFERROR(IF(OR(AB84="Insecta",AB84="Arachnida",AB84="#N/C"),"",INDEX(ClassificationClasses[[Class]:[Suborder]],MATCH(TRUE,ISNUMBER(SEARCH(AB84,ClassificationClasses[Key])),0),MATCH(AB84,INDEX(ClassificationClasses[#Data], MATCH(TRUE,ISNUMBER(SEARCH(AB84,ClassificationClasses[Key])),0), 0), 0)-1)),"")</f>
        <v/>
      </c>
      <c r="AD84" s="116" t="str" cm="1">
        <f t="array" ref="AD84">IFERROR(IF(OR(AC84="Insecta",AC84="Arachnida",AC84="#N/C"),"",INDEX(ClassificationClasses[[Class]:[Suborder]],MATCH(TRUE,ISNUMBER(SEARCH(AC84,ClassificationClasses[Key])),0),MATCH(AC84,INDEX(ClassificationClasses[#Data], MATCH(TRUE,ISNUMBER(SEARCH(AC84,ClassificationClasses[Key])),0), 0), 0)-1)),"")</f>
        <v/>
      </c>
      <c r="AE84" s="18" t="str">
        <f t="shared" si="4"/>
        <v>Insecta.Diptera.Brachycera.#N/C.#N/C.#N/C.#N/C.#N/C.#N/C</v>
      </c>
    </row>
    <row r="85" spans="1:31" x14ac:dyDescent="0.3">
      <c r="A85" s="91">
        <v>84</v>
      </c>
      <c r="B85" s="7">
        <v>44390</v>
      </c>
      <c r="C85" s="92" t="s">
        <v>196</v>
      </c>
      <c r="D85" s="93" t="str">
        <f>HYPERLINK(VLOOKUP(C85,Video_List!$F:$J,5),"video")</f>
        <v>video</v>
      </c>
      <c r="E85" s="94" t="str">
        <f>IFERROR(IF(MATCH(C85,Video_List!$F:$F,)&gt;0,"ok",""),"error")</f>
        <v>ok</v>
      </c>
      <c r="F85" s="92" t="s">
        <v>196</v>
      </c>
      <c r="G85" s="93" t="str">
        <f>HYPERLINK(VLOOKUP(F85,Video_List!$F:$J,5),"video")</f>
        <v>video</v>
      </c>
      <c r="H85" s="94" t="str">
        <f>IFERROR(IF(MATCH(F85,Video_List!$F:$F,)&gt;0,"ok",""),"error")</f>
        <v>ok</v>
      </c>
      <c r="I85" s="17">
        <v>44390.794849537036</v>
      </c>
      <c r="J85" s="8">
        <v>44390.794930555552</v>
      </c>
      <c r="K85" s="15">
        <f t="shared" si="3"/>
        <v>8.1018515629693866E-5</v>
      </c>
      <c r="L85" s="95" t="s">
        <v>32</v>
      </c>
      <c r="M85" s="95" t="s">
        <v>33</v>
      </c>
      <c r="N85" s="96" t="str">
        <f>IF(ISBLANK(C85),"",IF(C85=F85, "1 video",CONCATENATE((+COUNTIFS(Video_List!$C:$C,"&lt;=" &amp;Monitoring!J85)-COUNTIFS(Video_List!$C:$C,"&lt;=" &amp;Monitoring!I85))+1," videos")))</f>
        <v>1 video</v>
      </c>
      <c r="O85" s="29" t="s">
        <v>44</v>
      </c>
      <c r="P85" s="42" t="s">
        <v>37</v>
      </c>
      <c r="Q85" s="42" t="s">
        <v>38</v>
      </c>
      <c r="R85" s="42" t="s">
        <v>39</v>
      </c>
      <c r="S85" s="97" t="str">
        <f>+IFERROR(IF(T85="#N/C","#N/C",IF(U85=0,INDEX(Taxonomy_UniqueValues!D:D,MATCH(U85,Taxonomy_UniqueValues!F:F,0)),INDEX(Taxonomy_UniqueValues!D:D,MATCH(T85,Taxonomy_UniqueValues!E:E,0)))),"#N/C")</f>
        <v>#N/C</v>
      </c>
      <c r="T85" s="42" t="s">
        <v>35</v>
      </c>
      <c r="U85" s="42" t="s">
        <v>35</v>
      </c>
      <c r="V85" s="42" t="s">
        <v>35</v>
      </c>
      <c r="W85" s="42" t="s">
        <v>35</v>
      </c>
      <c r="X85" s="28" t="s">
        <v>35</v>
      </c>
      <c r="Y85" s="69" t="str" cm="1">
        <f t="array" ref="Y85">_xlfn.LET(_xlpm.cls,P85, _xlpm.ord,IFERROR(Q85,"#N/C"), _xlpm.subord,IFERROR(R85,"#N/C"), _xlpm.infr,IFERROR(S85,"#N/C"), _xlpm.sf,IFERROR(T85,"#N/C"), _xlpm.fam,IFERROR(U85,"#N/C"), _xlpm.subfam,IF(TRIM(V85)="-","#N/C",IFERROR(V85,"#N/C")),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_xlpm.fallback,IF(IFERROR(Q85,"#N/C")="#N/C",P85,IF(IFERROR(R85,"#N/C")="#N/C",Q85,IF(IFERROR(S85,"#N/C")="#N/C",R85,IF(IFERROR(T85,"#N/C")="#N/C",S85,IF(IFERROR(U85,"#N/C")="#N/C",T85,IF(IFERROR(V85,"#N/C")="#N/C",U85,"#N/C")))))), _xlpm.finalResult,IF(OR(_xlpm.computedResult="",_xlpm.computedResult="#N/C"),_xlpm.fallback,_xlpm.computedResult), INDEX(_xlpm.finalResult,1))</f>
        <v>Brachycera</v>
      </c>
      <c r="Z85" s="116" t="str" cm="1">
        <f t="array" ref="Z85">IF(OR(Y85="Insecta",Y85="Arachnida",Y85="#N/C"),"",IFERROR(_xlfn.LET(_xlpm.fc,IFERROR(_xlfn._xlws.FILTER(ClassificationClasses[],ClassificationClasses[Classification Class]=Y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85,ClassificationClasses[Key])),0),MATCH(Y85,INDEX(ClassificationClasses[],MATCH(TRUE,ISNUMBER(SEARCH(Y85,ClassificationClasses[Key])),0),0),0)-1)))</f>
        <v>Diptera</v>
      </c>
      <c r="AA85" s="116" t="str" cm="1">
        <f t="array" ref="AA85">IFERROR(IF(OR(Z85="Insecta",Z85="Arachnida",Z85="#N/C"),"",INDEX(ClassificationClasses[[Class]:[Infraorder]],MATCH(TRUE,ISNUMBER(SEARCH(Z85,ClassificationClasses[Key])),0),MATCH(Z85,INDEX(ClassificationClasses[#Data], MATCH(TRUE,ISNUMBER(SEARCH(Z85,ClassificationClasses[Key])),0), 0), 0)-1)),"")</f>
        <v>Insecta</v>
      </c>
      <c r="AB85" s="116" t="str" cm="1">
        <f t="array" ref="AB85">IFERROR(IF(OR(AA85="Insecta",AA85="Arachnida",AA85="#N/C"),"",INDEX(ClassificationClasses[[Class]:[Suborder]],MATCH(TRUE,ISNUMBER(SEARCH(AA85,ClassificationClasses[Key])),0),MATCH(AA85,INDEX(ClassificationClasses[#Data], MATCH(TRUE,ISNUMBER(SEARCH(AA85,ClassificationClasses[Key])),0), 0), 0)-1)),"")</f>
        <v/>
      </c>
      <c r="AC85" s="116" t="str" cm="1">
        <f t="array" ref="AC85">IFERROR(IF(OR(AB85="Insecta",AB85="Arachnida",AB85="#N/C"),"",INDEX(ClassificationClasses[[Class]:[Suborder]],MATCH(TRUE,ISNUMBER(SEARCH(AB85,ClassificationClasses[Key])),0),MATCH(AB85,INDEX(ClassificationClasses[#Data], MATCH(TRUE,ISNUMBER(SEARCH(AB85,ClassificationClasses[Key])),0), 0), 0)-1)),"")</f>
        <v/>
      </c>
      <c r="AD85" s="116" t="str" cm="1">
        <f t="array" ref="AD85">IFERROR(IF(OR(AC85="Insecta",AC85="Arachnida",AC85="#N/C"),"",INDEX(ClassificationClasses[[Class]:[Suborder]],MATCH(TRUE,ISNUMBER(SEARCH(AC85,ClassificationClasses[Key])),0),MATCH(AC85,INDEX(ClassificationClasses[#Data], MATCH(TRUE,ISNUMBER(SEARCH(AC85,ClassificationClasses[Key])),0), 0), 0)-1)),"")</f>
        <v/>
      </c>
      <c r="AE85" s="18" t="str">
        <f t="shared" si="4"/>
        <v>Insecta.Diptera.Brachycera.#N/C.#N/C.#N/C.#N/C.#N/C.#N/C</v>
      </c>
    </row>
    <row r="86" spans="1:31" x14ac:dyDescent="0.3">
      <c r="A86" s="91">
        <v>85</v>
      </c>
      <c r="B86" s="7">
        <v>44390</v>
      </c>
      <c r="C86" s="92" t="s">
        <v>197</v>
      </c>
      <c r="D86" s="93" t="str">
        <f>HYPERLINK(VLOOKUP(C86,Video_List!$F:$J,5),"video")</f>
        <v>video</v>
      </c>
      <c r="E86" s="94" t="str">
        <f>IFERROR(IF(MATCH(C86,Video_List!$F:$F,)&gt;0,"ok",""),"error")</f>
        <v>ok</v>
      </c>
      <c r="F86" s="92" t="s">
        <v>197</v>
      </c>
      <c r="G86" s="93" t="str">
        <f>HYPERLINK(VLOOKUP(F86,Video_List!$F:$J,5),"video")</f>
        <v>video</v>
      </c>
      <c r="H86" s="94" t="str">
        <f>IFERROR(IF(MATCH(F86,Video_List!$F:$F,)&gt;0,"ok",""),"error")</f>
        <v>ok</v>
      </c>
      <c r="I86" s="17">
        <v>44390.796724537038</v>
      </c>
      <c r="J86" s="8">
        <v>44390.796770833331</v>
      </c>
      <c r="K86" s="15">
        <f t="shared" si="3"/>
        <v>4.6296292566694319E-5</v>
      </c>
      <c r="L86" s="95" t="s">
        <v>32</v>
      </c>
      <c r="M86" s="95" t="s">
        <v>33</v>
      </c>
      <c r="N86" s="96" t="str">
        <f>IF(ISBLANK(C86),"",IF(C86=F86, "1 video",CONCATENATE((+COUNTIFS(Video_List!$C:$C,"&lt;=" &amp;Monitoring!J86)-COUNTIFS(Video_List!$C:$C,"&lt;=" &amp;Monitoring!I86))+1," videos")))</f>
        <v>1 video</v>
      </c>
      <c r="O86" s="29" t="s">
        <v>44</v>
      </c>
      <c r="P86" s="42" t="s">
        <v>37</v>
      </c>
      <c r="Q86" s="42" t="s">
        <v>38</v>
      </c>
      <c r="R86" s="42" t="s">
        <v>39</v>
      </c>
      <c r="S86" s="97" t="str">
        <f>+IFERROR(IF(T86="#N/C","#N/C",IF(U86=0,INDEX(Taxonomy_UniqueValues!D:D,MATCH(U86,Taxonomy_UniqueValues!F:F,0)),INDEX(Taxonomy_UniqueValues!D:D,MATCH(T86,Taxonomy_UniqueValues!E:E,0)))),"#N/C")</f>
        <v>#N/C</v>
      </c>
      <c r="T86" s="42" t="s">
        <v>35</v>
      </c>
      <c r="U86" s="42" t="s">
        <v>35</v>
      </c>
      <c r="V86" s="42" t="s">
        <v>35</v>
      </c>
      <c r="W86" s="42" t="s">
        <v>35</v>
      </c>
      <c r="X86" s="28" t="s">
        <v>35</v>
      </c>
      <c r="Y86" s="69" t="str" cm="1">
        <f t="array" ref="Y86">_xlfn.LET(_xlpm.cls,P86, _xlpm.ord,IFERROR(Q86,"#N/C"), _xlpm.subord,IFERROR(R86,"#N/C"), _xlpm.infr,IFERROR(S86,"#N/C"), _xlpm.sf,IFERROR(T86,"#N/C"), _xlpm.fam,IFERROR(U86,"#N/C"), _xlpm.subfam,IF(TRIM(V86)="-","#N/C",IFERROR(V86,"#N/C")),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_xlpm.fallback,IF(IFERROR(Q86,"#N/C")="#N/C",P86,IF(IFERROR(R86,"#N/C")="#N/C",Q86,IF(IFERROR(S86,"#N/C")="#N/C",R86,IF(IFERROR(T86,"#N/C")="#N/C",S86,IF(IFERROR(U86,"#N/C")="#N/C",T86,IF(IFERROR(V86,"#N/C")="#N/C",U86,"#N/C")))))), _xlpm.finalResult,IF(OR(_xlpm.computedResult="",_xlpm.computedResult="#N/C"),_xlpm.fallback,_xlpm.computedResult), INDEX(_xlpm.finalResult,1))</f>
        <v>Brachycera</v>
      </c>
      <c r="Z86" s="116" t="str" cm="1">
        <f t="array" ref="Z86">IF(OR(Y86="Insecta",Y86="Arachnida",Y86="#N/C"),"",IFERROR(_xlfn.LET(_xlpm.fc,IFERROR(_xlfn._xlws.FILTER(ClassificationClasses[],ClassificationClasses[Classification Class]=Y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86,ClassificationClasses[Key])),0),MATCH(Y86,INDEX(ClassificationClasses[],MATCH(TRUE,ISNUMBER(SEARCH(Y86,ClassificationClasses[Key])),0),0),0)-1)))</f>
        <v>Diptera</v>
      </c>
      <c r="AA86" s="116" t="str" cm="1">
        <f t="array" ref="AA86">IFERROR(IF(OR(Z86="Insecta",Z86="Arachnida",Z86="#N/C"),"",INDEX(ClassificationClasses[[Class]:[Infraorder]],MATCH(TRUE,ISNUMBER(SEARCH(Z86,ClassificationClasses[Key])),0),MATCH(Z86,INDEX(ClassificationClasses[#Data], MATCH(TRUE,ISNUMBER(SEARCH(Z86,ClassificationClasses[Key])),0), 0), 0)-1)),"")</f>
        <v>Insecta</v>
      </c>
      <c r="AB86" s="116" t="str" cm="1">
        <f t="array" ref="AB86">IFERROR(IF(OR(AA86="Insecta",AA86="Arachnida",AA86="#N/C"),"",INDEX(ClassificationClasses[[Class]:[Suborder]],MATCH(TRUE,ISNUMBER(SEARCH(AA86,ClassificationClasses[Key])),0),MATCH(AA86,INDEX(ClassificationClasses[#Data], MATCH(TRUE,ISNUMBER(SEARCH(AA86,ClassificationClasses[Key])),0), 0), 0)-1)),"")</f>
        <v/>
      </c>
      <c r="AC86" s="116" t="str" cm="1">
        <f t="array" ref="AC86">IFERROR(IF(OR(AB86="Insecta",AB86="Arachnida",AB86="#N/C"),"",INDEX(ClassificationClasses[[Class]:[Suborder]],MATCH(TRUE,ISNUMBER(SEARCH(AB86,ClassificationClasses[Key])),0),MATCH(AB86,INDEX(ClassificationClasses[#Data], MATCH(TRUE,ISNUMBER(SEARCH(AB86,ClassificationClasses[Key])),0), 0), 0)-1)),"")</f>
        <v/>
      </c>
      <c r="AD86" s="116" t="str" cm="1">
        <f t="array" ref="AD86">IFERROR(IF(OR(AC86="Insecta",AC86="Arachnida",AC86="#N/C"),"",INDEX(ClassificationClasses[[Class]:[Suborder]],MATCH(TRUE,ISNUMBER(SEARCH(AC86,ClassificationClasses[Key])),0),MATCH(AC86,INDEX(ClassificationClasses[#Data], MATCH(TRUE,ISNUMBER(SEARCH(AC86,ClassificationClasses[Key])),0), 0), 0)-1)),"")</f>
        <v/>
      </c>
      <c r="AE86" s="18" t="str">
        <f t="shared" si="4"/>
        <v>Insecta.Diptera.Brachycera.#N/C.#N/C.#N/C.#N/C.#N/C.#N/C</v>
      </c>
    </row>
    <row r="87" spans="1:31" x14ac:dyDescent="0.3">
      <c r="A87" s="91">
        <v>86</v>
      </c>
      <c r="B87" s="7">
        <v>44390</v>
      </c>
      <c r="C87" s="92" t="s">
        <v>198</v>
      </c>
      <c r="D87" s="93" t="str">
        <f>HYPERLINK(VLOOKUP(C87,Video_List!$F:$J,5),"video")</f>
        <v>video</v>
      </c>
      <c r="E87" s="94" t="str">
        <f>IFERROR(IF(MATCH(C87,Video_List!$F:$F,)&gt;0,"ok",""),"error")</f>
        <v>ok</v>
      </c>
      <c r="F87" s="92" t="s">
        <v>198</v>
      </c>
      <c r="G87" s="93" t="str">
        <f>HYPERLINK(VLOOKUP(F87,Video_List!$F:$J,5),"video")</f>
        <v>video</v>
      </c>
      <c r="H87" s="94" t="str">
        <f>IFERROR(IF(MATCH(F87,Video_List!$F:$F,)&gt;0,"ok",""),"error")</f>
        <v>ok</v>
      </c>
      <c r="I87" s="17">
        <v>44390.804756944446</v>
      </c>
      <c r="J87" s="8">
        <v>44390.804803240739</v>
      </c>
      <c r="K87" s="15">
        <f t="shared" si="3"/>
        <v>4.6296292566694319E-5</v>
      </c>
      <c r="L87" s="95" t="s">
        <v>32</v>
      </c>
      <c r="M87" s="95" t="s">
        <v>33</v>
      </c>
      <c r="N87" s="96" t="str">
        <f>IF(ISBLANK(C87),"",IF(C87=F87, "1 video",CONCATENATE((+COUNTIFS(Video_List!$C:$C,"&lt;=" &amp;Monitoring!J87)-COUNTIFS(Video_List!$C:$C,"&lt;=" &amp;Monitoring!I87))+1," videos")))</f>
        <v>1 video</v>
      </c>
      <c r="O87" s="29" t="s">
        <v>44</v>
      </c>
      <c r="P87" s="42" t="s">
        <v>37</v>
      </c>
      <c r="Q87" s="42" t="s">
        <v>38</v>
      </c>
      <c r="R87" s="42" t="s">
        <v>39</v>
      </c>
      <c r="S87" s="97" t="str">
        <f>+IFERROR(IF(T87="#N/C","#N/C",IF(U87=0,INDEX(Taxonomy_UniqueValues!D:D,MATCH(U87,Taxonomy_UniqueValues!F:F,0)),INDEX(Taxonomy_UniqueValues!D:D,MATCH(T87,Taxonomy_UniqueValues!E:E,0)))),"#N/C")</f>
        <v>#N/C</v>
      </c>
      <c r="T87" s="42" t="s">
        <v>35</v>
      </c>
      <c r="U87" s="42" t="s">
        <v>35</v>
      </c>
      <c r="V87" s="42" t="s">
        <v>35</v>
      </c>
      <c r="W87" s="42" t="s">
        <v>35</v>
      </c>
      <c r="X87" s="28" t="s">
        <v>35</v>
      </c>
      <c r="Y87" s="69" t="str" cm="1">
        <f t="array" ref="Y87">_xlfn.LET(_xlpm.cls,P87, _xlpm.ord,IFERROR(Q87,"#N/C"), _xlpm.subord,IFERROR(R87,"#N/C"), _xlpm.infr,IFERROR(S87,"#N/C"), _xlpm.sf,IFERROR(T87,"#N/C"), _xlpm.fam,IFERROR(U87,"#N/C"), _xlpm.subfam,IF(TRIM(V87)="-","#N/C",IFERROR(V87,"#N/C")),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_xlpm.fallback,IF(IFERROR(Q87,"#N/C")="#N/C",P87,IF(IFERROR(R87,"#N/C")="#N/C",Q87,IF(IFERROR(S87,"#N/C")="#N/C",R87,IF(IFERROR(T87,"#N/C")="#N/C",S87,IF(IFERROR(U87,"#N/C")="#N/C",T87,IF(IFERROR(V87,"#N/C")="#N/C",U87,"#N/C")))))), _xlpm.finalResult,IF(OR(_xlpm.computedResult="",_xlpm.computedResult="#N/C"),_xlpm.fallback,_xlpm.computedResult), INDEX(_xlpm.finalResult,1))</f>
        <v>Brachycera</v>
      </c>
      <c r="Z87" s="116" t="str" cm="1">
        <f t="array" ref="Z87">IF(OR(Y87="Insecta",Y87="Arachnida",Y87="#N/C"),"",IFERROR(_xlfn.LET(_xlpm.fc,IFERROR(_xlfn._xlws.FILTER(ClassificationClasses[],ClassificationClasses[Classification Class]=Y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87,ClassificationClasses[Key])),0),MATCH(Y87,INDEX(ClassificationClasses[],MATCH(TRUE,ISNUMBER(SEARCH(Y87,ClassificationClasses[Key])),0),0),0)-1)))</f>
        <v>Diptera</v>
      </c>
      <c r="AA87" s="116" t="str" cm="1">
        <f t="array" ref="AA87">IFERROR(IF(OR(Z87="Insecta",Z87="Arachnida",Z87="#N/C"),"",INDEX(ClassificationClasses[[Class]:[Infraorder]],MATCH(TRUE,ISNUMBER(SEARCH(Z87,ClassificationClasses[Key])),0),MATCH(Z87,INDEX(ClassificationClasses[#Data], MATCH(TRUE,ISNUMBER(SEARCH(Z87,ClassificationClasses[Key])),0), 0), 0)-1)),"")</f>
        <v>Insecta</v>
      </c>
      <c r="AB87" s="116" t="str" cm="1">
        <f t="array" ref="AB87">IFERROR(IF(OR(AA87="Insecta",AA87="Arachnida",AA87="#N/C"),"",INDEX(ClassificationClasses[[Class]:[Suborder]],MATCH(TRUE,ISNUMBER(SEARCH(AA87,ClassificationClasses[Key])),0),MATCH(AA87,INDEX(ClassificationClasses[#Data], MATCH(TRUE,ISNUMBER(SEARCH(AA87,ClassificationClasses[Key])),0), 0), 0)-1)),"")</f>
        <v/>
      </c>
      <c r="AC87" s="116" t="str" cm="1">
        <f t="array" ref="AC87">IFERROR(IF(OR(AB87="Insecta",AB87="Arachnida",AB87="#N/C"),"",INDEX(ClassificationClasses[[Class]:[Suborder]],MATCH(TRUE,ISNUMBER(SEARCH(AB87,ClassificationClasses[Key])),0),MATCH(AB87,INDEX(ClassificationClasses[#Data], MATCH(TRUE,ISNUMBER(SEARCH(AB87,ClassificationClasses[Key])),0), 0), 0)-1)),"")</f>
        <v/>
      </c>
      <c r="AD87" s="116" t="str" cm="1">
        <f t="array" ref="AD87">IFERROR(IF(OR(AC87="Insecta",AC87="Arachnida",AC87="#N/C"),"",INDEX(ClassificationClasses[[Class]:[Suborder]],MATCH(TRUE,ISNUMBER(SEARCH(AC87,ClassificationClasses[Key])),0),MATCH(AC87,INDEX(ClassificationClasses[#Data], MATCH(TRUE,ISNUMBER(SEARCH(AC87,ClassificationClasses[Key])),0), 0), 0)-1)),"")</f>
        <v/>
      </c>
      <c r="AE87" s="18" t="str">
        <f t="shared" si="4"/>
        <v>Insecta.Diptera.Brachycera.#N/C.#N/C.#N/C.#N/C.#N/C.#N/C</v>
      </c>
    </row>
    <row r="88" spans="1:31" x14ac:dyDescent="0.3">
      <c r="A88" s="91">
        <v>87</v>
      </c>
      <c r="B88" s="7">
        <v>44390</v>
      </c>
      <c r="C88" s="92" t="s">
        <v>199</v>
      </c>
      <c r="D88" s="93" t="str">
        <f>HYPERLINK(VLOOKUP(C88,Video_List!$F:$J,5),"video")</f>
        <v>video</v>
      </c>
      <c r="E88" s="94" t="str">
        <f>IFERROR(IF(MATCH(C88,Video_List!$F:$F,)&gt;0,"ok",""),"error")</f>
        <v>ok</v>
      </c>
      <c r="F88" s="92" t="s">
        <v>199</v>
      </c>
      <c r="G88" s="93" t="str">
        <f>HYPERLINK(VLOOKUP(F88,Video_List!$F:$J,5),"video")</f>
        <v>video</v>
      </c>
      <c r="H88" s="94" t="str">
        <f>IFERROR(IF(MATCH(F88,Video_List!$F:$F,)&gt;0,"ok",""),"error")</f>
        <v>ok</v>
      </c>
      <c r="I88" s="17">
        <v>44390.824363425927</v>
      </c>
      <c r="J88" s="8">
        <v>44390.82440972222</v>
      </c>
      <c r="K88" s="15">
        <f t="shared" si="3"/>
        <v>4.6296292566694319E-5</v>
      </c>
      <c r="L88" s="95" t="s">
        <v>32</v>
      </c>
      <c r="M88" s="95" t="s">
        <v>33</v>
      </c>
      <c r="N88" s="96" t="str">
        <f>IF(ISBLANK(C88),"",IF(C88=F88, "1 video",CONCATENATE((+COUNTIFS(Video_List!$C:$C,"&lt;=" &amp;Monitoring!J88)-COUNTIFS(Video_List!$C:$C,"&lt;=" &amp;Monitoring!I88))+1," videos")))</f>
        <v>1 video</v>
      </c>
      <c r="O88" s="29" t="s">
        <v>44</v>
      </c>
      <c r="P88" s="42" t="s">
        <v>37</v>
      </c>
      <c r="Q88" s="42" t="s">
        <v>56</v>
      </c>
      <c r="R88" s="42" t="s">
        <v>57</v>
      </c>
      <c r="S88" s="97" t="str">
        <f>+IFERROR(IF(T88="#N/C","#N/C",IF(U88=0,INDEX(Taxonomy_UniqueValues!D:D,MATCH(U88,Taxonomy_UniqueValues!F:F,0)),INDEX(Taxonomy_UniqueValues!D:D,MATCH(T88,Taxonomy_UniqueValues!E:E,0)))),"#N/C")</f>
        <v>Rhopalocera</v>
      </c>
      <c r="T88" s="42" t="s">
        <v>58</v>
      </c>
      <c r="U88" s="42" t="s">
        <v>35</v>
      </c>
      <c r="V88" s="42" t="s">
        <v>35</v>
      </c>
      <c r="W88" s="42" t="s">
        <v>35</v>
      </c>
      <c r="X88" s="28" t="s">
        <v>35</v>
      </c>
      <c r="Y88" s="69" t="str" cm="1">
        <f t="array" ref="Y88">_xlfn.LET(_xlpm.cls,P88, _xlpm.ord,IFERROR(Q88,"#N/C"), _xlpm.subord,IFERROR(R88,"#N/C"), _xlpm.infr,IFERROR(S88,"#N/C"), _xlpm.sf,IFERROR(T88,"#N/C"), _xlpm.fam,IFERROR(U88,"#N/C"), _xlpm.subfam,IF(TRIM(V88)="-","#N/C",IFERROR(V88,"#N/C")),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_xlpm.fallback,IF(IFERROR(Q88,"#N/C")="#N/C",P88,IF(IFERROR(R88,"#N/C")="#N/C",Q88,IF(IFERROR(S88,"#N/C")="#N/C",R88,IF(IFERROR(T88,"#N/C")="#N/C",S88,IF(IFERROR(U88,"#N/C")="#N/C",T88,IF(IFERROR(V88,"#N/C")="#N/C",U88,"#N/C")))))), _xlpm.finalResult,IF(OR(_xlpm.computedResult="",_xlpm.computedResult="#N/C"),_xlpm.fallback,_xlpm.computedResult), INDEX(_xlpm.finalResult,1))</f>
        <v>Papilionoidea</v>
      </c>
      <c r="Z88" s="116" t="str" cm="1">
        <f t="array" ref="Z88">IF(OR(Y88="Insecta",Y88="Arachnida",Y88="#N/C"),"",IFERROR(_xlfn.LET(_xlpm.fc,IFERROR(_xlfn._xlws.FILTER(ClassificationClasses[],ClassificationClasses[Classification Class]=Y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88,ClassificationClasses[Key])),0),MATCH(Y88,INDEX(ClassificationClasses[],MATCH(TRUE,ISNUMBER(SEARCH(Y88,ClassificationClasses[Key])),0),0),0)-1)))</f>
        <v>Rhopalocera</v>
      </c>
      <c r="AA88" s="116" t="str" cm="1">
        <f t="array" ref="AA88">IFERROR(IF(OR(Z88="Insecta",Z88="Arachnida",Z88="#N/C"),"",INDEX(ClassificationClasses[[Class]:[Infraorder]],MATCH(TRUE,ISNUMBER(SEARCH(Z88,ClassificationClasses[Key])),0),MATCH(Z88,INDEX(ClassificationClasses[#Data], MATCH(TRUE,ISNUMBER(SEARCH(Z88,ClassificationClasses[Key])),0), 0), 0)-1)),"")</f>
        <v>Glossata</v>
      </c>
      <c r="AB88" s="116" t="str" cm="1">
        <f t="array" ref="AB88">IFERROR(IF(OR(AA88="Insecta",AA88="Arachnida",AA88="#N/C"),"",INDEX(ClassificationClasses[[Class]:[Suborder]],MATCH(TRUE,ISNUMBER(SEARCH(AA88,ClassificationClasses[Key])),0),MATCH(AA88,INDEX(ClassificationClasses[#Data], MATCH(TRUE,ISNUMBER(SEARCH(AA88,ClassificationClasses[Key])),0), 0), 0)-1)),"")</f>
        <v>Lepidoptera</v>
      </c>
      <c r="AC88" s="116" t="str" cm="1">
        <f t="array" ref="AC88">IFERROR(IF(OR(AB88="Insecta",AB88="Arachnida",AB88="#N/C"),"",INDEX(ClassificationClasses[[Class]:[Suborder]],MATCH(TRUE,ISNUMBER(SEARCH(AB88,ClassificationClasses[Key])),0),MATCH(AB88,INDEX(ClassificationClasses[#Data], MATCH(TRUE,ISNUMBER(SEARCH(AB88,ClassificationClasses[Key])),0), 0), 0)-1)),"")</f>
        <v>Insecta</v>
      </c>
      <c r="AD88" s="116" t="str" cm="1">
        <f t="array" ref="AD88">IFERROR(IF(OR(AC88="Insecta",AC88="Arachnida",AC88="#N/C"),"",INDEX(ClassificationClasses[[Class]:[Suborder]],MATCH(TRUE,ISNUMBER(SEARCH(AC88,ClassificationClasses[Key])),0),MATCH(AC88,INDEX(ClassificationClasses[#Data], MATCH(TRUE,ISNUMBER(SEARCH(AC88,ClassificationClasses[Key])),0), 0), 0)-1)),"")</f>
        <v/>
      </c>
      <c r="AE88" s="18" t="str">
        <f t="shared" si="4"/>
        <v>Insecta.Lepidoptera.Glossata.Rhopalocera.Papilionoidea.#N/C.#N/C.#N/C.#N/C</v>
      </c>
    </row>
    <row r="89" spans="1:31" x14ac:dyDescent="0.3">
      <c r="A89" s="91">
        <v>88</v>
      </c>
      <c r="B89" s="7">
        <v>44390</v>
      </c>
      <c r="C89" s="92" t="s">
        <v>200</v>
      </c>
      <c r="D89" s="93" t="str">
        <f>HYPERLINK(VLOOKUP(C89,Video_List!$F:$J,5),"video")</f>
        <v>video</v>
      </c>
      <c r="E89" s="94" t="str">
        <f>IFERROR(IF(MATCH(C89,Video_List!$F:$F,)&gt;0,"ok",""),"error")</f>
        <v>ok</v>
      </c>
      <c r="F89" s="92" t="s">
        <v>200</v>
      </c>
      <c r="G89" s="93" t="str">
        <f>HYPERLINK(VLOOKUP(F89,Video_List!$F:$J,5),"video")</f>
        <v>video</v>
      </c>
      <c r="H89" s="94" t="str">
        <f>IFERROR(IF(MATCH(F89,Video_List!$F:$F,)&gt;0,"ok",""),"error")</f>
        <v>ok</v>
      </c>
      <c r="I89" s="17">
        <v>44390.841805555552</v>
      </c>
      <c r="J89" s="8">
        <v>44390.841944444444</v>
      </c>
      <c r="K89" s="15">
        <f t="shared" si="3"/>
        <v>1.3888889225199819E-4</v>
      </c>
      <c r="L89" s="95" t="s">
        <v>32</v>
      </c>
      <c r="M89" s="95" t="s">
        <v>33</v>
      </c>
      <c r="N89" s="96" t="str">
        <f>IF(ISBLANK(C89),"",IF(C89=F89, "1 video",CONCATENATE((+COUNTIFS(Video_List!$C:$C,"&lt;=" &amp;Monitoring!J89)-COUNTIFS(Video_List!$C:$C,"&lt;=" &amp;Monitoring!I89))+1," videos")))</f>
        <v>1 video</v>
      </c>
      <c r="O89" s="29" t="s">
        <v>44</v>
      </c>
      <c r="P89" s="42" t="s">
        <v>37</v>
      </c>
      <c r="Q89" s="42" t="s">
        <v>38</v>
      </c>
      <c r="R89" s="42" t="s">
        <v>39</v>
      </c>
      <c r="S89" s="97" t="str">
        <f>+IFERROR(IF(T89="#N/C","#N/C",IF(U89=0,INDEX(Taxonomy_UniqueValues!D:D,MATCH(U89,Taxonomy_UniqueValues!F:F,0)),INDEX(Taxonomy_UniqueValues!D:D,MATCH(T89,Taxonomy_UniqueValues!E:E,0)))),"#N/C")</f>
        <v>#N/C</v>
      </c>
      <c r="T89" s="42" t="s">
        <v>35</v>
      </c>
      <c r="U89" s="42" t="s">
        <v>35</v>
      </c>
      <c r="V89" s="42" t="s">
        <v>35</v>
      </c>
      <c r="W89" s="42" t="s">
        <v>35</v>
      </c>
      <c r="X89" s="28" t="s">
        <v>35</v>
      </c>
      <c r="Y89" s="69" t="str" cm="1">
        <f t="array" ref="Y89">_xlfn.LET(_xlpm.cls,P89, _xlpm.ord,IFERROR(Q89,"#N/C"), _xlpm.subord,IFERROR(R89,"#N/C"), _xlpm.infr,IFERROR(S89,"#N/C"), _xlpm.sf,IFERROR(T89,"#N/C"), _xlpm.fam,IFERROR(U89,"#N/C"), _xlpm.subfam,IF(TRIM(V89)="-","#N/C",IFERROR(V89,"#N/C")),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_xlpm.fallback,IF(IFERROR(Q89,"#N/C")="#N/C",P89,IF(IFERROR(R89,"#N/C")="#N/C",Q89,IF(IFERROR(S89,"#N/C")="#N/C",R89,IF(IFERROR(T89,"#N/C")="#N/C",S89,IF(IFERROR(U89,"#N/C")="#N/C",T89,IF(IFERROR(V89,"#N/C")="#N/C",U89,"#N/C")))))), _xlpm.finalResult,IF(OR(_xlpm.computedResult="",_xlpm.computedResult="#N/C"),_xlpm.fallback,_xlpm.computedResult), INDEX(_xlpm.finalResult,1))</f>
        <v>Brachycera</v>
      </c>
      <c r="Z89" s="116" t="str" cm="1">
        <f t="array" ref="Z89">IF(OR(Y89="Insecta",Y89="Arachnida",Y89="#N/C"),"",IFERROR(_xlfn.LET(_xlpm.fc,IFERROR(_xlfn._xlws.FILTER(ClassificationClasses[],ClassificationClasses[Classification Class]=Y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89,ClassificationClasses[Key])),0),MATCH(Y89,INDEX(ClassificationClasses[],MATCH(TRUE,ISNUMBER(SEARCH(Y89,ClassificationClasses[Key])),0),0),0)-1)))</f>
        <v>Diptera</v>
      </c>
      <c r="AA89" s="116" t="str" cm="1">
        <f t="array" ref="AA89">IFERROR(IF(OR(Z89="Insecta",Z89="Arachnida",Z89="#N/C"),"",INDEX(ClassificationClasses[[Class]:[Infraorder]],MATCH(TRUE,ISNUMBER(SEARCH(Z89,ClassificationClasses[Key])),0),MATCH(Z89,INDEX(ClassificationClasses[#Data], MATCH(TRUE,ISNUMBER(SEARCH(Z89,ClassificationClasses[Key])),0), 0), 0)-1)),"")</f>
        <v>Insecta</v>
      </c>
      <c r="AB89" s="116" t="str" cm="1">
        <f t="array" ref="AB89">IFERROR(IF(OR(AA89="Insecta",AA89="Arachnida",AA89="#N/C"),"",INDEX(ClassificationClasses[[Class]:[Suborder]],MATCH(TRUE,ISNUMBER(SEARCH(AA89,ClassificationClasses[Key])),0),MATCH(AA89,INDEX(ClassificationClasses[#Data], MATCH(TRUE,ISNUMBER(SEARCH(AA89,ClassificationClasses[Key])),0), 0), 0)-1)),"")</f>
        <v/>
      </c>
      <c r="AC89" s="116" t="str" cm="1">
        <f t="array" ref="AC89">IFERROR(IF(OR(AB89="Insecta",AB89="Arachnida",AB89="#N/C"),"",INDEX(ClassificationClasses[[Class]:[Suborder]],MATCH(TRUE,ISNUMBER(SEARCH(AB89,ClassificationClasses[Key])),0),MATCH(AB89,INDEX(ClassificationClasses[#Data], MATCH(TRUE,ISNUMBER(SEARCH(AB89,ClassificationClasses[Key])),0), 0), 0)-1)),"")</f>
        <v/>
      </c>
      <c r="AD89" s="116" t="str" cm="1">
        <f t="array" ref="AD89">IFERROR(IF(OR(AC89="Insecta",AC89="Arachnida",AC89="#N/C"),"",INDEX(ClassificationClasses[[Class]:[Suborder]],MATCH(TRUE,ISNUMBER(SEARCH(AC89,ClassificationClasses[Key])),0),MATCH(AC89,INDEX(ClassificationClasses[#Data], MATCH(TRUE,ISNUMBER(SEARCH(AC89,ClassificationClasses[Key])),0), 0), 0)-1)),"")</f>
        <v/>
      </c>
      <c r="AE89" s="18" t="str">
        <f t="shared" si="4"/>
        <v>Insecta.Diptera.Brachycera.#N/C.#N/C.#N/C.#N/C.#N/C.#N/C</v>
      </c>
    </row>
    <row r="90" spans="1:31" x14ac:dyDescent="0.3">
      <c r="A90" s="91">
        <v>89</v>
      </c>
      <c r="B90" s="7">
        <v>44390</v>
      </c>
      <c r="C90" s="92" t="s">
        <v>201</v>
      </c>
      <c r="D90" s="93" t="str">
        <f>HYPERLINK(VLOOKUP(C90,Video_List!$F:$J,5),"video")</f>
        <v>video</v>
      </c>
      <c r="E90" s="94" t="str">
        <f>IFERROR(IF(MATCH(C90,Video_List!$F:$F,)&gt;0,"ok",""),"error")</f>
        <v>ok</v>
      </c>
      <c r="F90" s="92" t="s">
        <v>201</v>
      </c>
      <c r="G90" s="93" t="str">
        <f>HYPERLINK(VLOOKUP(F90,Video_List!$F:$J,5),"video")</f>
        <v>video</v>
      </c>
      <c r="H90" s="94" t="str">
        <f>IFERROR(IF(MATCH(F90,Video_List!$F:$F,)&gt;0,"ok",""),"error")</f>
        <v>ok</v>
      </c>
      <c r="I90" s="17">
        <v>44390.854166666664</v>
      </c>
      <c r="J90" s="8">
        <v>44390.854201388887</v>
      </c>
      <c r="K90" s="15">
        <f t="shared" si="3"/>
        <v>3.4722223062999547E-5</v>
      </c>
      <c r="L90" s="95" t="s">
        <v>32</v>
      </c>
      <c r="M90" s="95" t="s">
        <v>33</v>
      </c>
      <c r="N90" s="96" t="str">
        <f>IF(ISBLANK(C90),"",IF(C90=F90, "1 video",CONCATENATE((+COUNTIFS(Video_List!$C:$C,"&lt;=" &amp;Monitoring!J90)-COUNTIFS(Video_List!$C:$C,"&lt;=" &amp;Monitoring!I90))+1," videos")))</f>
        <v>1 video</v>
      </c>
      <c r="O90" s="29" t="s">
        <v>44</v>
      </c>
      <c r="P90" s="42" t="s">
        <v>37</v>
      </c>
      <c r="Q90" s="42" t="s">
        <v>38</v>
      </c>
      <c r="R90" s="42" t="s">
        <v>39</v>
      </c>
      <c r="S90" s="97" t="str">
        <f>+IFERROR(IF(T90="#N/C","#N/C",IF(U90=0,INDEX(Taxonomy_UniqueValues!D:D,MATCH(U90,Taxonomy_UniqueValues!F:F,0)),INDEX(Taxonomy_UniqueValues!D:D,MATCH(T90,Taxonomy_UniqueValues!E:E,0)))),"#N/C")</f>
        <v>#N/C</v>
      </c>
      <c r="T90" s="42" t="s">
        <v>35</v>
      </c>
      <c r="U90" s="42" t="s">
        <v>35</v>
      </c>
      <c r="V90" s="42" t="s">
        <v>35</v>
      </c>
      <c r="W90" s="42" t="s">
        <v>35</v>
      </c>
      <c r="X90" s="28" t="s">
        <v>35</v>
      </c>
      <c r="Y90" s="69" t="str" cm="1">
        <f t="array" ref="Y90">_xlfn.LET(_xlpm.cls,P90, _xlpm.ord,IFERROR(Q90,"#N/C"), _xlpm.subord,IFERROR(R90,"#N/C"), _xlpm.infr,IFERROR(S90,"#N/C"), _xlpm.sf,IFERROR(T90,"#N/C"), _xlpm.fam,IFERROR(U90,"#N/C"), _xlpm.subfam,IF(TRIM(V90)="-","#N/C",IFERROR(V90,"#N/C")),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_xlpm.fallback,IF(IFERROR(Q90,"#N/C")="#N/C",P90,IF(IFERROR(R90,"#N/C")="#N/C",Q90,IF(IFERROR(S90,"#N/C")="#N/C",R90,IF(IFERROR(T90,"#N/C")="#N/C",S90,IF(IFERROR(U90,"#N/C")="#N/C",T90,IF(IFERROR(V90,"#N/C")="#N/C",U90,"#N/C")))))), _xlpm.finalResult,IF(OR(_xlpm.computedResult="",_xlpm.computedResult="#N/C"),_xlpm.fallback,_xlpm.computedResult), INDEX(_xlpm.finalResult,1))</f>
        <v>Brachycera</v>
      </c>
      <c r="Z90" s="116" t="str" cm="1">
        <f t="array" ref="Z90">IF(OR(Y90="Insecta",Y90="Arachnida",Y90="#N/C"),"",IFERROR(_xlfn.LET(_xlpm.fc,IFERROR(_xlfn._xlws.FILTER(ClassificationClasses[],ClassificationClasses[Classification Class]=Y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90,ClassificationClasses[Key])),0),MATCH(Y90,INDEX(ClassificationClasses[],MATCH(TRUE,ISNUMBER(SEARCH(Y90,ClassificationClasses[Key])),0),0),0)-1)))</f>
        <v>Diptera</v>
      </c>
      <c r="AA90" s="116" t="str" cm="1">
        <f t="array" ref="AA90">IFERROR(IF(OR(Z90="Insecta",Z90="Arachnida",Z90="#N/C"),"",INDEX(ClassificationClasses[[Class]:[Infraorder]],MATCH(TRUE,ISNUMBER(SEARCH(Z90,ClassificationClasses[Key])),0),MATCH(Z90,INDEX(ClassificationClasses[#Data], MATCH(TRUE,ISNUMBER(SEARCH(Z90,ClassificationClasses[Key])),0), 0), 0)-1)),"")</f>
        <v>Insecta</v>
      </c>
      <c r="AB90" s="116" t="str" cm="1">
        <f t="array" ref="AB90">IFERROR(IF(OR(AA90="Insecta",AA90="Arachnida",AA90="#N/C"),"",INDEX(ClassificationClasses[[Class]:[Suborder]],MATCH(TRUE,ISNUMBER(SEARCH(AA90,ClassificationClasses[Key])),0),MATCH(AA90,INDEX(ClassificationClasses[#Data], MATCH(TRUE,ISNUMBER(SEARCH(AA90,ClassificationClasses[Key])),0), 0), 0)-1)),"")</f>
        <v/>
      </c>
      <c r="AC90" s="116" t="str" cm="1">
        <f t="array" ref="AC90">IFERROR(IF(OR(AB90="Insecta",AB90="Arachnida",AB90="#N/C"),"",INDEX(ClassificationClasses[[Class]:[Suborder]],MATCH(TRUE,ISNUMBER(SEARCH(AB90,ClassificationClasses[Key])),0),MATCH(AB90,INDEX(ClassificationClasses[#Data], MATCH(TRUE,ISNUMBER(SEARCH(AB90,ClassificationClasses[Key])),0), 0), 0)-1)),"")</f>
        <v/>
      </c>
      <c r="AD90" s="116" t="str" cm="1">
        <f t="array" ref="AD90">IFERROR(IF(OR(AC90="Insecta",AC90="Arachnida",AC90="#N/C"),"",INDEX(ClassificationClasses[[Class]:[Suborder]],MATCH(TRUE,ISNUMBER(SEARCH(AC90,ClassificationClasses[Key])),0),MATCH(AC90,INDEX(ClassificationClasses[#Data], MATCH(TRUE,ISNUMBER(SEARCH(AC90,ClassificationClasses[Key])),0), 0), 0)-1)),"")</f>
        <v/>
      </c>
      <c r="AE90" s="18" t="str">
        <f t="shared" si="4"/>
        <v>Insecta.Diptera.Brachycera.#N/C.#N/C.#N/C.#N/C.#N/C.#N/C</v>
      </c>
    </row>
    <row r="91" spans="1:31" x14ac:dyDescent="0.3">
      <c r="A91" s="91">
        <v>90</v>
      </c>
      <c r="B91" s="7">
        <v>44390</v>
      </c>
      <c r="C91" s="92" t="s">
        <v>202</v>
      </c>
      <c r="D91" s="93" t="str">
        <f>HYPERLINK(VLOOKUP(C91,Video_List!$F:$J,5),"video")</f>
        <v>video</v>
      </c>
      <c r="E91" s="94" t="str">
        <f>IFERROR(IF(MATCH(C91,Video_List!$F:$F,)&gt;0,"ok",""),"error")</f>
        <v>ok</v>
      </c>
      <c r="F91" s="92" t="s">
        <v>202</v>
      </c>
      <c r="G91" s="93" t="str">
        <f>HYPERLINK(VLOOKUP(F91,Video_List!$F:$J,5),"video")</f>
        <v>video</v>
      </c>
      <c r="H91" s="94" t="str">
        <f>IFERROR(IF(MATCH(F91,Video_List!$F:$F,)&gt;0,"ok",""),"error")</f>
        <v>ok</v>
      </c>
      <c r="I91" s="17">
        <v>44390.859664351854</v>
      </c>
      <c r="J91" s="8">
        <v>44390.860347222224</v>
      </c>
      <c r="K91" s="15">
        <f t="shared" si="3"/>
        <v>6.8287036992842332E-4</v>
      </c>
      <c r="L91" s="95" t="s">
        <v>32</v>
      </c>
      <c r="M91" s="95" t="s">
        <v>33</v>
      </c>
      <c r="N91" s="96" t="str">
        <f>IF(ISBLANK(C91),"",IF(C91=F91, "1 video",CONCATENATE((+COUNTIFS(Video_List!$C:$C,"&lt;=" &amp;Monitoring!J91)-COUNTIFS(Video_List!$C:$C,"&lt;=" &amp;Monitoring!I91))+1," videos")))</f>
        <v>1 video</v>
      </c>
      <c r="O91" s="29" t="s">
        <v>44</v>
      </c>
      <c r="P91" s="42" t="s">
        <v>37</v>
      </c>
      <c r="Q91" s="42" t="s">
        <v>38</v>
      </c>
      <c r="R91" s="42" t="s">
        <v>39</v>
      </c>
      <c r="S91" s="97" t="str">
        <f>+IFERROR(IF(T91="#N/C","#N/C",IF(U91=0,INDEX(Taxonomy_UniqueValues!D:D,MATCH(U91,Taxonomy_UniqueValues!F:F,0)),INDEX(Taxonomy_UniqueValues!D:D,MATCH(T91,Taxonomy_UniqueValues!E:E,0)))),"#N/C")</f>
        <v>#N/C</v>
      </c>
      <c r="T91" s="42" t="s">
        <v>35</v>
      </c>
      <c r="U91" s="42" t="s">
        <v>35</v>
      </c>
      <c r="V91" s="42" t="s">
        <v>35</v>
      </c>
      <c r="W91" s="42" t="s">
        <v>35</v>
      </c>
      <c r="X91" s="28" t="s">
        <v>35</v>
      </c>
      <c r="Y91" s="69" t="str" cm="1">
        <f t="array" ref="Y91">_xlfn.LET(_xlpm.cls,P91, _xlpm.ord,IFERROR(Q91,"#N/C"), _xlpm.subord,IFERROR(R91,"#N/C"), _xlpm.infr,IFERROR(S91,"#N/C"), _xlpm.sf,IFERROR(T91,"#N/C"), _xlpm.fam,IFERROR(U91,"#N/C"), _xlpm.subfam,IF(TRIM(V91)="-","#N/C",IFERROR(V91,"#N/C")),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_xlpm.fallback,IF(IFERROR(Q91,"#N/C")="#N/C",P91,IF(IFERROR(R91,"#N/C")="#N/C",Q91,IF(IFERROR(S91,"#N/C")="#N/C",R91,IF(IFERROR(T91,"#N/C")="#N/C",S91,IF(IFERROR(U91,"#N/C")="#N/C",T91,IF(IFERROR(V91,"#N/C")="#N/C",U91,"#N/C")))))), _xlpm.finalResult,IF(OR(_xlpm.computedResult="",_xlpm.computedResult="#N/C"),_xlpm.fallback,_xlpm.computedResult), INDEX(_xlpm.finalResult,1))</f>
        <v>Brachycera</v>
      </c>
      <c r="Z91" s="116" t="str" cm="1">
        <f t="array" ref="Z91">IF(OR(Y91="Insecta",Y91="Arachnida",Y91="#N/C"),"",IFERROR(_xlfn.LET(_xlpm.fc,IFERROR(_xlfn._xlws.FILTER(ClassificationClasses[],ClassificationClasses[Classification Class]=Y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91,ClassificationClasses[Key])),0),MATCH(Y91,INDEX(ClassificationClasses[],MATCH(TRUE,ISNUMBER(SEARCH(Y91,ClassificationClasses[Key])),0),0),0)-1)))</f>
        <v>Diptera</v>
      </c>
      <c r="AA91" s="116" t="str" cm="1">
        <f t="array" ref="AA91">IFERROR(IF(OR(Z91="Insecta",Z91="Arachnida",Z91="#N/C"),"",INDEX(ClassificationClasses[[Class]:[Infraorder]],MATCH(TRUE,ISNUMBER(SEARCH(Z91,ClassificationClasses[Key])),0),MATCH(Z91,INDEX(ClassificationClasses[#Data], MATCH(TRUE,ISNUMBER(SEARCH(Z91,ClassificationClasses[Key])),0), 0), 0)-1)),"")</f>
        <v>Insecta</v>
      </c>
      <c r="AB91" s="116" t="str" cm="1">
        <f t="array" ref="AB91">IFERROR(IF(OR(AA91="Insecta",AA91="Arachnida",AA91="#N/C"),"",INDEX(ClassificationClasses[[Class]:[Suborder]],MATCH(TRUE,ISNUMBER(SEARCH(AA91,ClassificationClasses[Key])),0),MATCH(AA91,INDEX(ClassificationClasses[#Data], MATCH(TRUE,ISNUMBER(SEARCH(AA91,ClassificationClasses[Key])),0), 0), 0)-1)),"")</f>
        <v/>
      </c>
      <c r="AC91" s="116" t="str" cm="1">
        <f t="array" ref="AC91">IFERROR(IF(OR(AB91="Insecta",AB91="Arachnida",AB91="#N/C"),"",INDEX(ClassificationClasses[[Class]:[Suborder]],MATCH(TRUE,ISNUMBER(SEARCH(AB91,ClassificationClasses[Key])),0),MATCH(AB91,INDEX(ClassificationClasses[#Data], MATCH(TRUE,ISNUMBER(SEARCH(AB91,ClassificationClasses[Key])),0), 0), 0)-1)),"")</f>
        <v/>
      </c>
      <c r="AD91" s="116" t="str" cm="1">
        <f t="array" ref="AD91">IFERROR(IF(OR(AC91="Insecta",AC91="Arachnida",AC91="#N/C"),"",INDEX(ClassificationClasses[[Class]:[Suborder]],MATCH(TRUE,ISNUMBER(SEARCH(AC91,ClassificationClasses[Key])),0),MATCH(AC91,INDEX(ClassificationClasses[#Data], MATCH(TRUE,ISNUMBER(SEARCH(AC91,ClassificationClasses[Key])),0), 0), 0)-1)),"")</f>
        <v/>
      </c>
      <c r="AE91" s="18" t="str">
        <f t="shared" si="4"/>
        <v>Insecta.Diptera.Brachycera.#N/C.#N/C.#N/C.#N/C.#N/C.#N/C</v>
      </c>
    </row>
    <row r="92" spans="1:31" x14ac:dyDescent="0.3">
      <c r="A92" s="91">
        <v>91</v>
      </c>
      <c r="B92" s="7">
        <v>44390</v>
      </c>
      <c r="C92" s="92" t="s">
        <v>203</v>
      </c>
      <c r="D92" s="93" t="str">
        <f>HYPERLINK(VLOOKUP(C92,Video_List!$F:$J,5),"video")</f>
        <v>video</v>
      </c>
      <c r="E92" s="94" t="str">
        <f>IFERROR(IF(MATCH(C92,Video_List!$F:$F,)&gt;0,"ok",""),"error")</f>
        <v>ok</v>
      </c>
      <c r="F92" s="92" t="s">
        <v>203</v>
      </c>
      <c r="G92" s="93" t="str">
        <f>HYPERLINK(VLOOKUP(F92,Video_List!$F:$J,5),"video")</f>
        <v>video</v>
      </c>
      <c r="H92" s="94" t="str">
        <f>IFERROR(IF(MATCH(F92,Video_List!$F:$F,)&gt;0,"ok",""),"error")</f>
        <v>ok</v>
      </c>
      <c r="I92" s="17">
        <v>44390.867650462962</v>
      </c>
      <c r="J92" s="8">
        <v>44390.867754629631</v>
      </c>
      <c r="K92" s="15">
        <f t="shared" si="3"/>
        <v>1.0416666918899864E-4</v>
      </c>
      <c r="L92" s="95" t="s">
        <v>32</v>
      </c>
      <c r="M92" s="95" t="s">
        <v>33</v>
      </c>
      <c r="N92" s="96" t="str">
        <f>IF(ISBLANK(C92),"",IF(C92=F92, "1 video",CONCATENATE((+COUNTIFS(Video_List!$C:$C,"&lt;=" &amp;Monitoring!J92)-COUNTIFS(Video_List!$C:$C,"&lt;=" &amp;Monitoring!I92))+1," videos")))</f>
        <v>1 video</v>
      </c>
      <c r="O92" s="29" t="s">
        <v>44</v>
      </c>
      <c r="P92" s="42" t="s">
        <v>37</v>
      </c>
      <c r="Q92" s="42" t="s">
        <v>38</v>
      </c>
      <c r="R92" s="42" t="s">
        <v>39</v>
      </c>
      <c r="S92" s="97" t="str">
        <f>+IFERROR(IF(T92="#N/C","#N/C",IF(U92=0,INDEX(Taxonomy_UniqueValues!D:D,MATCH(U92,Taxonomy_UniqueValues!F:F,0)),INDEX(Taxonomy_UniqueValues!D:D,MATCH(T92,Taxonomy_UniqueValues!E:E,0)))),"#N/C")</f>
        <v>#N/C</v>
      </c>
      <c r="T92" s="42" t="s">
        <v>35</v>
      </c>
      <c r="U92" s="42" t="s">
        <v>35</v>
      </c>
      <c r="V92" s="42" t="s">
        <v>35</v>
      </c>
      <c r="W92" s="42" t="s">
        <v>35</v>
      </c>
      <c r="X92" s="28" t="s">
        <v>35</v>
      </c>
      <c r="Y92" s="69" t="str" cm="1">
        <f t="array" ref="Y92">_xlfn.LET(_xlpm.cls,P92, _xlpm.ord,IFERROR(Q92,"#N/C"), _xlpm.subord,IFERROR(R92,"#N/C"), _xlpm.infr,IFERROR(S92,"#N/C"), _xlpm.sf,IFERROR(T92,"#N/C"), _xlpm.fam,IFERROR(U92,"#N/C"), _xlpm.subfam,IF(TRIM(V92)="-","#N/C",IFERROR(V92,"#N/C")),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_xlpm.fallback,IF(IFERROR(Q92,"#N/C")="#N/C",P92,IF(IFERROR(R92,"#N/C")="#N/C",Q92,IF(IFERROR(S92,"#N/C")="#N/C",R92,IF(IFERROR(T92,"#N/C")="#N/C",S92,IF(IFERROR(U92,"#N/C")="#N/C",T92,IF(IFERROR(V92,"#N/C")="#N/C",U92,"#N/C")))))), _xlpm.finalResult,IF(OR(_xlpm.computedResult="",_xlpm.computedResult="#N/C"),_xlpm.fallback,_xlpm.computedResult), INDEX(_xlpm.finalResult,1))</f>
        <v>Brachycera</v>
      </c>
      <c r="Z92" s="116" t="str" cm="1">
        <f t="array" ref="Z92">IF(OR(Y92="Insecta",Y92="Arachnida",Y92="#N/C"),"",IFERROR(_xlfn.LET(_xlpm.fc,IFERROR(_xlfn._xlws.FILTER(ClassificationClasses[],ClassificationClasses[Classification Class]=Y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92,ClassificationClasses[Key])),0),MATCH(Y92,INDEX(ClassificationClasses[],MATCH(TRUE,ISNUMBER(SEARCH(Y92,ClassificationClasses[Key])),0),0),0)-1)))</f>
        <v>Diptera</v>
      </c>
      <c r="AA92" s="116" t="str" cm="1">
        <f t="array" ref="AA92">IFERROR(IF(OR(Z92="Insecta",Z92="Arachnida",Z92="#N/C"),"",INDEX(ClassificationClasses[[Class]:[Infraorder]],MATCH(TRUE,ISNUMBER(SEARCH(Z92,ClassificationClasses[Key])),0),MATCH(Z92,INDEX(ClassificationClasses[#Data], MATCH(TRUE,ISNUMBER(SEARCH(Z92,ClassificationClasses[Key])),0), 0), 0)-1)),"")</f>
        <v>Insecta</v>
      </c>
      <c r="AB92" s="116" t="str" cm="1">
        <f t="array" ref="AB92">IFERROR(IF(OR(AA92="Insecta",AA92="Arachnida",AA92="#N/C"),"",INDEX(ClassificationClasses[[Class]:[Suborder]],MATCH(TRUE,ISNUMBER(SEARCH(AA92,ClassificationClasses[Key])),0),MATCH(AA92,INDEX(ClassificationClasses[#Data], MATCH(TRUE,ISNUMBER(SEARCH(AA92,ClassificationClasses[Key])),0), 0), 0)-1)),"")</f>
        <v/>
      </c>
      <c r="AC92" s="116" t="str" cm="1">
        <f t="array" ref="AC92">IFERROR(IF(OR(AB92="Insecta",AB92="Arachnida",AB92="#N/C"),"",INDEX(ClassificationClasses[[Class]:[Suborder]],MATCH(TRUE,ISNUMBER(SEARCH(AB92,ClassificationClasses[Key])),0),MATCH(AB92,INDEX(ClassificationClasses[#Data], MATCH(TRUE,ISNUMBER(SEARCH(AB92,ClassificationClasses[Key])),0), 0), 0)-1)),"")</f>
        <v/>
      </c>
      <c r="AD92" s="116" t="str" cm="1">
        <f t="array" ref="AD92">IFERROR(IF(OR(AC92="Insecta",AC92="Arachnida",AC92="#N/C"),"",INDEX(ClassificationClasses[[Class]:[Suborder]],MATCH(TRUE,ISNUMBER(SEARCH(AC92,ClassificationClasses[Key])),0),MATCH(AC92,INDEX(ClassificationClasses[#Data], MATCH(TRUE,ISNUMBER(SEARCH(AC92,ClassificationClasses[Key])),0), 0), 0)-1)),"")</f>
        <v/>
      </c>
      <c r="AE92" s="18" t="str">
        <f t="shared" si="4"/>
        <v>Insecta.Diptera.Brachycera.#N/C.#N/C.#N/C.#N/C.#N/C.#N/C</v>
      </c>
    </row>
    <row r="93" spans="1:31" x14ac:dyDescent="0.3">
      <c r="A93" s="91">
        <v>192</v>
      </c>
      <c r="B93" s="7">
        <v>44398</v>
      </c>
      <c r="C93" s="92" t="s">
        <v>204</v>
      </c>
      <c r="D93" s="93" t="str">
        <f>HYPERLINK(VLOOKUP(C93,Video_List!$F:$J,5),"video")</f>
        <v>video</v>
      </c>
      <c r="E93" s="94" t="str">
        <f>IFERROR(IF(MATCH(C93,Video_List!$F:$F,)&gt;0,"ok",""),"error")</f>
        <v>ok</v>
      </c>
      <c r="F93" s="92" t="s">
        <v>204</v>
      </c>
      <c r="G93" s="93" t="str">
        <f>HYPERLINK(VLOOKUP(F93,Video_List!$F:$J,5),"video")</f>
        <v>video</v>
      </c>
      <c r="H93" s="94" t="str">
        <f>IFERROR(IF(MATCH(F93,Video_List!$F:$F,)&gt;0,"ok",""),"error")</f>
        <v>ok</v>
      </c>
      <c r="I93" s="17">
        <v>44398.937303240738</v>
      </c>
      <c r="J93" s="8">
        <v>44398.992465277777</v>
      </c>
      <c r="K93" s="15">
        <f t="shared" si="3"/>
        <v>5.5162037038826384E-2</v>
      </c>
      <c r="L93" s="4" t="s">
        <v>44</v>
      </c>
      <c r="M93" s="4" t="s">
        <v>55</v>
      </c>
      <c r="N93" s="96" t="str">
        <f>IF(ISBLANK(C93),"",IF(C93=F93, "1 video",CONCATENATE((+COUNTIFS(Video_List!$C:$C,"&lt;=" &amp;Monitoring!J93)-COUNTIFS(Video_List!$C:$C,"&lt;=" &amp;Monitoring!I93))+1," videos")))</f>
        <v>1 video</v>
      </c>
      <c r="O93" s="29" t="s">
        <v>44</v>
      </c>
      <c r="P93" s="42" t="s">
        <v>37</v>
      </c>
      <c r="Q93" s="42" t="s">
        <v>205</v>
      </c>
      <c r="R93" s="42" t="s">
        <v>206</v>
      </c>
      <c r="S93" s="97">
        <f>+IFERROR(IF(T93="#N/C","#N/C",IF(U93=0,INDEX(Taxonomy_UniqueValues!D:D,MATCH(U93,Taxonomy_UniqueValues!F:F,0)),INDEX(Taxonomy_UniqueValues!D:D,MATCH(T93,Taxonomy_UniqueValues!E:E,0)))),"#N/C")</f>
        <v>0</v>
      </c>
      <c r="T93" s="42" t="s">
        <v>207</v>
      </c>
      <c r="U93" s="42" t="s">
        <v>208</v>
      </c>
      <c r="V93" s="42" t="s">
        <v>209</v>
      </c>
      <c r="W93" s="42" t="s">
        <v>35</v>
      </c>
      <c r="X93" s="28" t="s">
        <v>35</v>
      </c>
      <c r="Y93" s="69" t="str" cm="1">
        <f t="array" ref="Y93">_xlfn.LET(_xlpm.cls,P93, _xlpm.ord,IFERROR(Q93,"#N/C"), _xlpm.subord,IFERROR(R93,"#N/C"), _xlpm.infr,IFERROR(S93,"#N/C"), _xlpm.sf,IFERROR(T93,"#N/C"), _xlpm.fam,IFERROR(U93,"#N/C"), _xlpm.subfam,IF(TRIM(V93)="-","#N/C",IFERROR(V93,"#N/C")),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_xlpm.fallback,IF(IFERROR(Q93,"#N/C")="#N/C",P93,IF(IFERROR(R93,"#N/C")="#N/C",Q93,IF(IFERROR(S93,"#N/C")="#N/C",R93,IF(IFERROR(T93,"#N/C")="#N/C",S93,IF(IFERROR(U93,"#N/C")="#N/C",T93,IF(IFERROR(V93,"#N/C")="#N/C",U93,"#N/C")))))), _xlpm.finalResult,IF(OR(_xlpm.computedResult="",_xlpm.computedResult="#N/C"),_xlpm.fallback,_xlpm.computedResult), INDEX(_xlpm.finalResult,1))</f>
        <v>earwig</v>
      </c>
      <c r="Z93" s="116" t="str" cm="1">
        <f t="array" ref="Z93">IF(OR(Y93="Insecta",Y93="Arachnida",Y93="#N/C"),"",IFERROR(_xlfn.LET(_xlpm.fc,IFERROR(_xlfn._xlws.FILTER(ClassificationClasses[],ClassificationClasses[Classification Class]=Y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93,ClassificationClasses[Key])),0),MATCH(Y93,INDEX(ClassificationClasses[],MATCH(TRUE,ISNUMBER(SEARCH(Y93,ClassificationClasses[Key])),0),0),0)-1)))</f>
        <v>Forficulina</v>
      </c>
      <c r="AA93" s="116" t="str" cm="1">
        <f t="array" ref="AA93">IFERROR(IF(OR(Z93="Insecta",Z93="Arachnida",Z93="#N/C"),"",INDEX(ClassificationClasses[[Class]:[Infraorder]],MATCH(TRUE,ISNUMBER(SEARCH(Z93,ClassificationClasses[Key])),0),MATCH(Z93,INDEX(ClassificationClasses[#Data], MATCH(TRUE,ISNUMBER(SEARCH(Z93,ClassificationClasses[Key])),0), 0), 0)-1)),"")</f>
        <v>Dermaptera</v>
      </c>
      <c r="AB93" s="116" t="str" cm="1">
        <f t="array" ref="AB93">IFERROR(IF(OR(AA93="Insecta",AA93="Arachnida",AA93="#N/C"),"",INDEX(ClassificationClasses[[Class]:[Suborder]],MATCH(TRUE,ISNUMBER(SEARCH(AA93,ClassificationClasses[Key])),0),MATCH(AA93,INDEX(ClassificationClasses[#Data], MATCH(TRUE,ISNUMBER(SEARCH(AA93,ClassificationClasses[Key])),0), 0), 0)-1)),"")</f>
        <v>Insecta</v>
      </c>
      <c r="AC93" s="116" t="str" cm="1">
        <f t="array" ref="AC93">IFERROR(IF(OR(AB93="Insecta",AB93="Arachnida",AB93="#N/C"),"",INDEX(ClassificationClasses[[Class]:[Suborder]],MATCH(TRUE,ISNUMBER(SEARCH(AB93,ClassificationClasses[Key])),0),MATCH(AB93,INDEX(ClassificationClasses[#Data], MATCH(TRUE,ISNUMBER(SEARCH(AB93,ClassificationClasses[Key])),0), 0), 0)-1)),"")</f>
        <v/>
      </c>
      <c r="AD93" s="116" t="str" cm="1">
        <f t="array" ref="AD93">IFERROR(IF(OR(AC93="Insecta",AC93="Arachnida",AC93="#N/C"),"",INDEX(ClassificationClasses[[Class]:[Suborder]],MATCH(TRUE,ISNUMBER(SEARCH(AC93,ClassificationClasses[Key])),0),MATCH(AC93,INDEX(ClassificationClasses[#Data], MATCH(TRUE,ISNUMBER(SEARCH(AC93,ClassificationClasses[Key])),0), 0), 0)-1)),"")</f>
        <v/>
      </c>
      <c r="AE93" s="18" t="str">
        <f t="shared" si="4"/>
        <v>Insecta.Dermaptera.Forficulina.0.Forficuloidea.Forficulidae.Forficulinae.#N/C.#N/C</v>
      </c>
    </row>
    <row r="94" spans="1:31" x14ac:dyDescent="0.3">
      <c r="A94" s="91">
        <v>93</v>
      </c>
      <c r="B94" s="7">
        <v>44391</v>
      </c>
      <c r="C94" s="92" t="s">
        <v>210</v>
      </c>
      <c r="D94" s="93" t="str">
        <f>HYPERLINK(VLOOKUP(C94,Video_List!$F:$J,5),"video")</f>
        <v>video</v>
      </c>
      <c r="E94" s="94" t="str">
        <f>IFERROR(IF(MATCH(C94,Video_List!$F:$F,)&gt;0,"ok",""),"error")</f>
        <v>ok</v>
      </c>
      <c r="F94" s="92" t="s">
        <v>210</v>
      </c>
      <c r="G94" s="93" t="str">
        <f>HYPERLINK(VLOOKUP(F94,Video_List!$F:$J,5),"video")</f>
        <v>video</v>
      </c>
      <c r="H94" s="94" t="str">
        <f>IFERROR(IF(MATCH(F94,Video_List!$F:$F,)&gt;0,"ok",""),"error")</f>
        <v>ok</v>
      </c>
      <c r="I94" s="17">
        <v>44391.358900462961</v>
      </c>
      <c r="J94" s="8">
        <v>44391.358969907407</v>
      </c>
      <c r="K94" s="15">
        <f t="shared" si="3"/>
        <v>6.9444446125999093E-5</v>
      </c>
      <c r="L94" s="4" t="s">
        <v>55</v>
      </c>
      <c r="M94" s="4" t="s">
        <v>55</v>
      </c>
      <c r="N94" s="96" t="str">
        <f>IF(ISBLANK(C94),"",IF(C94=F94, "1 video",CONCATENATE((+COUNTIFS(Video_List!$C:$C,"&lt;=" &amp;Monitoring!J94)-COUNTIFS(Video_List!$C:$C,"&lt;=" &amp;Monitoring!I94))+1," videos")))</f>
        <v>1 video</v>
      </c>
      <c r="O94" s="27" t="s">
        <v>32</v>
      </c>
      <c r="P94" s="42" t="s">
        <v>37</v>
      </c>
      <c r="Q94" s="42" t="s">
        <v>41</v>
      </c>
      <c r="R94" s="42" t="s">
        <v>42</v>
      </c>
      <c r="S94" s="97" t="str">
        <f>+IFERROR(IF(T94="#N/C","#N/C",IF(U94=0,INDEX(Taxonomy_UniqueValues!D:D,MATCH(U94,Taxonomy_UniqueValues!F:F,0)),INDEX(Taxonomy_UniqueValues!D:D,MATCH(T94,Taxonomy_UniqueValues!E:E,0)))),"#N/C")</f>
        <v>Parasitica</v>
      </c>
      <c r="T94" s="42" t="s">
        <v>71</v>
      </c>
      <c r="U94" s="42" t="s">
        <v>72</v>
      </c>
      <c r="V94" s="42" t="s">
        <v>211</v>
      </c>
      <c r="W94" s="42" t="s">
        <v>212</v>
      </c>
      <c r="X94" s="28" t="s">
        <v>35</v>
      </c>
      <c r="Y94" s="69" t="str" cm="1">
        <f t="array" ref="Y94">_xlfn.LET(_xlpm.cls,P94, _xlpm.ord,IFERROR(Q94,"#N/C"), _xlpm.subord,IFERROR(R94,"#N/C"), _xlpm.infr,IFERROR(S94,"#N/C"), _xlpm.sf,IFERROR(T94,"#N/C"), _xlpm.fam,IFERROR(U94,"#N/C"), _xlpm.subfam,IF(TRIM(V94)="-","#N/C",IFERROR(V94,"#N/C")),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_xlpm.fallback,IF(IFERROR(Q94,"#N/C")="#N/C",P94,IF(IFERROR(R94,"#N/C")="#N/C",Q94,IF(IFERROR(S94,"#N/C")="#N/C",R94,IF(IFERROR(T94,"#N/C")="#N/C",S94,IF(IFERROR(U94,"#N/C")="#N/C",T94,IF(IFERROR(V94,"#N/C")="#N/C",U94,"#N/C")))))), _xlpm.finalResult,IF(OR(_xlpm.computedResult="",_xlpm.computedResult="#N/C"),_xlpm.fallback,_xlpm.computedResult), INDEX(_xlpm.finalResult,1))</f>
        <v>Ichneumonidae</v>
      </c>
      <c r="Z94" s="116" t="str" cm="1">
        <f t="array" ref="Z94">IF(OR(Y94="Insecta",Y94="Arachnida",Y94="#N/C"),"",IFERROR(_xlfn.LET(_xlpm.fc,IFERROR(_xlfn._xlws.FILTER(ClassificationClasses[],ClassificationClasses[Classification Class]=Y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94,ClassificationClasses[Key])),0),MATCH(Y94,INDEX(ClassificationClasses[],MATCH(TRUE,ISNUMBER(SEARCH(Y94,ClassificationClasses[Key])),0),0),0)-1)))</f>
        <v>Ichneumonoidea</v>
      </c>
      <c r="AA94" s="116" t="str" cm="1">
        <f t="array" ref="AA94">IFERROR(IF(OR(Z94="Insecta",Z94="Arachnida",Z94="#N/C"),"",INDEX(ClassificationClasses[[Class]:[Infraorder]],MATCH(TRUE,ISNUMBER(SEARCH(Z94,ClassificationClasses[Key])),0),MATCH(Z94,INDEX(ClassificationClasses[#Data], MATCH(TRUE,ISNUMBER(SEARCH(Z94,ClassificationClasses[Key])),0), 0), 0)-1)),"")</f>
        <v>Parasitica</v>
      </c>
      <c r="AB94" s="116" t="str" cm="1">
        <f t="array" ref="AB94">IFERROR(IF(OR(AA94="Insecta",AA94="Arachnida",AA94="#N/C"),"",INDEX(ClassificationClasses[[Class]:[Suborder]],MATCH(TRUE,ISNUMBER(SEARCH(AA94,ClassificationClasses[Key])),0),MATCH(AA94,INDEX(ClassificationClasses[#Data], MATCH(TRUE,ISNUMBER(SEARCH(AA94,ClassificationClasses[Key])),0), 0), 0)-1)),"")</f>
        <v>Apocrita</v>
      </c>
      <c r="AC94" s="116" t="str" cm="1">
        <f t="array" ref="AC94">IFERROR(IF(OR(AB94="Insecta",AB94="Arachnida",AB94="#N/C"),"",INDEX(ClassificationClasses[[Class]:[Suborder]],MATCH(TRUE,ISNUMBER(SEARCH(AB94,ClassificationClasses[Key])),0),MATCH(AB94,INDEX(ClassificationClasses[#Data], MATCH(TRUE,ISNUMBER(SEARCH(AB94,ClassificationClasses[Key])),0), 0), 0)-1)),"")</f>
        <v>Hymenoptera</v>
      </c>
      <c r="AD94" s="116" t="str" cm="1">
        <f t="array" ref="AD94">IFERROR(IF(OR(AC94="Insecta",AC94="Arachnida",AC94="#N/C"),"",INDEX(ClassificationClasses[[Class]:[Suborder]],MATCH(TRUE,ISNUMBER(SEARCH(AC94,ClassificationClasses[Key])),0),MATCH(AC94,INDEX(ClassificationClasses[#Data], MATCH(TRUE,ISNUMBER(SEARCH(AC94,ClassificationClasses[Key])),0), 0), 0)-1)),"")</f>
        <v>Insecta</v>
      </c>
      <c r="AE94" s="18" t="str">
        <f t="shared" si="4"/>
        <v>Insecta.Hymenoptera.Apocrita.Parasitica.Ichneumonoidea.Ichneumonidae.Banchinae.Exetastes.#N/C</v>
      </c>
    </row>
    <row r="95" spans="1:31" x14ac:dyDescent="0.3">
      <c r="A95" s="91">
        <v>94</v>
      </c>
      <c r="B95" s="7">
        <v>44391</v>
      </c>
      <c r="C95" s="92" t="s">
        <v>213</v>
      </c>
      <c r="D95" s="93" t="str">
        <f>HYPERLINK(VLOOKUP(C95,Video_List!$F:$J,5),"video")</f>
        <v>video</v>
      </c>
      <c r="E95" s="94" t="str">
        <f>IFERROR(IF(MATCH(C95,Video_List!$F:$F,)&gt;0,"ok",""),"error")</f>
        <v>ok</v>
      </c>
      <c r="F95" s="92" t="s">
        <v>213</v>
      </c>
      <c r="G95" s="93" t="str">
        <f>HYPERLINK(VLOOKUP(F95,Video_List!$F:$J,5),"video")</f>
        <v>video</v>
      </c>
      <c r="H95" s="94" t="str">
        <f>IFERROR(IF(MATCH(F95,Video_List!$F:$F,)&gt;0,"ok",""),"error")</f>
        <v>ok</v>
      </c>
      <c r="I95" s="17">
        <v>44391.38616898148</v>
      </c>
      <c r="J95" s="8">
        <v>44391.38621527778</v>
      </c>
      <c r="K95" s="15">
        <f t="shared" si="3"/>
        <v>4.6296299842651933E-5</v>
      </c>
      <c r="L95" s="95" t="s">
        <v>32</v>
      </c>
      <c r="M95" s="95" t="s">
        <v>33</v>
      </c>
      <c r="N95" s="96" t="str">
        <f>IF(ISBLANK(C95),"",IF(C95=F95, "1 video",CONCATENATE((+COUNTIFS(Video_List!$C:$C,"&lt;=" &amp;Monitoring!J95)-COUNTIFS(Video_List!$C:$C,"&lt;=" &amp;Monitoring!I95))+1," videos")))</f>
        <v>1 video</v>
      </c>
      <c r="O95" s="29" t="s">
        <v>44</v>
      </c>
      <c r="P95" s="42" t="s">
        <v>37</v>
      </c>
      <c r="Q95" s="42" t="s">
        <v>38</v>
      </c>
      <c r="R95" s="42" t="s">
        <v>39</v>
      </c>
      <c r="S95" s="97" t="str">
        <f>+IFERROR(IF(T95="#N/C","#N/C",IF(U95=0,INDEX(Taxonomy_UniqueValues!D:D,MATCH(U95,Taxonomy_UniqueValues!F:F,0)),INDEX(Taxonomy_UniqueValues!D:D,MATCH(T95,Taxonomy_UniqueValues!E:E,0)))),"#N/C")</f>
        <v>#N/C</v>
      </c>
      <c r="T95" s="42" t="s">
        <v>35</v>
      </c>
      <c r="U95" s="42" t="s">
        <v>35</v>
      </c>
      <c r="V95" s="42" t="s">
        <v>35</v>
      </c>
      <c r="W95" s="42" t="s">
        <v>35</v>
      </c>
      <c r="X95" s="28" t="s">
        <v>35</v>
      </c>
      <c r="Y95" s="69" t="str" cm="1">
        <f t="array" ref="Y95">_xlfn.LET(_xlpm.cls,P95, _xlpm.ord,IFERROR(Q95,"#N/C"), _xlpm.subord,IFERROR(R95,"#N/C"), _xlpm.infr,IFERROR(S95,"#N/C"), _xlpm.sf,IFERROR(T95,"#N/C"), _xlpm.fam,IFERROR(U95,"#N/C"), _xlpm.subfam,IF(TRIM(V95)="-","#N/C",IFERROR(V95,"#N/C")),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_xlpm.fallback,IF(IFERROR(Q95,"#N/C")="#N/C",P95,IF(IFERROR(R95,"#N/C")="#N/C",Q95,IF(IFERROR(S95,"#N/C")="#N/C",R95,IF(IFERROR(T95,"#N/C")="#N/C",S95,IF(IFERROR(U95,"#N/C")="#N/C",T95,IF(IFERROR(V95,"#N/C")="#N/C",U95,"#N/C")))))), _xlpm.finalResult,IF(OR(_xlpm.computedResult="",_xlpm.computedResult="#N/C"),_xlpm.fallback,_xlpm.computedResult), INDEX(_xlpm.finalResult,1))</f>
        <v>Brachycera</v>
      </c>
      <c r="Z95" s="116" t="str" cm="1">
        <f t="array" ref="Z95">IF(OR(Y95="Insecta",Y95="Arachnida",Y95="#N/C"),"",IFERROR(_xlfn.LET(_xlpm.fc,IFERROR(_xlfn._xlws.FILTER(ClassificationClasses[],ClassificationClasses[Classification Class]=Y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95,ClassificationClasses[Key])),0),MATCH(Y95,INDEX(ClassificationClasses[],MATCH(TRUE,ISNUMBER(SEARCH(Y95,ClassificationClasses[Key])),0),0),0)-1)))</f>
        <v>Diptera</v>
      </c>
      <c r="AA95" s="116" t="str" cm="1">
        <f t="array" ref="AA95">IFERROR(IF(OR(Z95="Insecta",Z95="Arachnida",Z95="#N/C"),"",INDEX(ClassificationClasses[[Class]:[Infraorder]],MATCH(TRUE,ISNUMBER(SEARCH(Z95,ClassificationClasses[Key])),0),MATCH(Z95,INDEX(ClassificationClasses[#Data], MATCH(TRUE,ISNUMBER(SEARCH(Z95,ClassificationClasses[Key])),0), 0), 0)-1)),"")</f>
        <v>Insecta</v>
      </c>
      <c r="AB95" s="116" t="str" cm="1">
        <f t="array" ref="AB95">IFERROR(IF(OR(AA95="Insecta",AA95="Arachnida",AA95="#N/C"),"",INDEX(ClassificationClasses[[Class]:[Suborder]],MATCH(TRUE,ISNUMBER(SEARCH(AA95,ClassificationClasses[Key])),0),MATCH(AA95,INDEX(ClassificationClasses[#Data], MATCH(TRUE,ISNUMBER(SEARCH(AA95,ClassificationClasses[Key])),0), 0), 0)-1)),"")</f>
        <v/>
      </c>
      <c r="AC95" s="116" t="str" cm="1">
        <f t="array" ref="AC95">IFERROR(IF(OR(AB95="Insecta",AB95="Arachnida",AB95="#N/C"),"",INDEX(ClassificationClasses[[Class]:[Suborder]],MATCH(TRUE,ISNUMBER(SEARCH(AB95,ClassificationClasses[Key])),0),MATCH(AB95,INDEX(ClassificationClasses[#Data], MATCH(TRUE,ISNUMBER(SEARCH(AB95,ClassificationClasses[Key])),0), 0), 0)-1)),"")</f>
        <v/>
      </c>
      <c r="AD95" s="116" t="str" cm="1">
        <f t="array" ref="AD95">IFERROR(IF(OR(AC95="Insecta",AC95="Arachnida",AC95="#N/C"),"",INDEX(ClassificationClasses[[Class]:[Suborder]],MATCH(TRUE,ISNUMBER(SEARCH(AC95,ClassificationClasses[Key])),0),MATCH(AC95,INDEX(ClassificationClasses[#Data], MATCH(TRUE,ISNUMBER(SEARCH(AC95,ClassificationClasses[Key])),0), 0), 0)-1)),"")</f>
        <v/>
      </c>
      <c r="AE95" s="18" t="str">
        <f t="shared" si="4"/>
        <v>Insecta.Diptera.Brachycera.#N/C.#N/C.#N/C.#N/C.#N/C.#N/C</v>
      </c>
    </row>
    <row r="96" spans="1:31" x14ac:dyDescent="0.3">
      <c r="A96" s="91">
        <v>95</v>
      </c>
      <c r="B96" s="7">
        <v>44392</v>
      </c>
      <c r="C96" s="92" t="s">
        <v>214</v>
      </c>
      <c r="D96" s="93" t="str">
        <f>HYPERLINK(VLOOKUP(C96,Video_List!$F:$J,5),"video")</f>
        <v>video</v>
      </c>
      <c r="E96" s="94" t="str">
        <f>IFERROR(IF(MATCH(C96,Video_List!$F:$F,)&gt;0,"ok",""),"error")</f>
        <v>ok</v>
      </c>
      <c r="F96" s="92" t="s">
        <v>215</v>
      </c>
      <c r="G96" s="93" t="str">
        <f>HYPERLINK(VLOOKUP(F96,Video_List!$F:$J,5),"video")</f>
        <v>video</v>
      </c>
      <c r="H96" s="94" t="str">
        <f>IFERROR(IF(MATCH(F96,Video_List!$F:$F,)&gt;0,"ok",""),"error")</f>
        <v>ok</v>
      </c>
      <c r="I96" s="17">
        <v>44392.769606481481</v>
      </c>
      <c r="J96" s="8">
        <v>44392.772037037037</v>
      </c>
      <c r="K96" s="15">
        <f t="shared" si="3"/>
        <v>2.4305555562023073E-3</v>
      </c>
      <c r="L96" s="4" t="s">
        <v>44</v>
      </c>
      <c r="M96" s="4" t="s">
        <v>118</v>
      </c>
      <c r="N96" s="96" t="str">
        <f>IF(ISBLANK(C96),"",IF(C96=F96, "1 video",CONCATENATE((+COUNTIFS(Video_List!$C:$C,"&lt;=" &amp;Monitoring!J96)-COUNTIFS(Video_List!$C:$C,"&lt;=" &amp;Monitoring!I96))+1," videos")))</f>
        <v>2 videos</v>
      </c>
      <c r="O96" s="27" t="s">
        <v>32</v>
      </c>
      <c r="P96" s="42" t="s">
        <v>37</v>
      </c>
      <c r="Q96" s="42" t="s">
        <v>56</v>
      </c>
      <c r="R96" s="42" t="s">
        <v>57</v>
      </c>
      <c r="S96" s="97" t="str">
        <f>+IFERROR(IF(T96="#N/C","#N/C",IF(U96=0,INDEX(Taxonomy_UniqueValues!D:D,MATCH(U96,Taxonomy_UniqueValues!F:F,0)),INDEX(Taxonomy_UniqueValues!D:D,MATCH(T96,Taxonomy_UniqueValues!E:E,0)))),"#N/C")</f>
        <v>Rhopalocera</v>
      </c>
      <c r="T96" s="42" t="s">
        <v>216</v>
      </c>
      <c r="U96" s="42" t="s">
        <v>217</v>
      </c>
      <c r="V96" s="42" t="s">
        <v>218</v>
      </c>
      <c r="W96" s="42" t="s">
        <v>35</v>
      </c>
      <c r="X96" s="28" t="s">
        <v>35</v>
      </c>
      <c r="Y96" s="69" t="str" cm="1">
        <f t="array" ref="Y96">_xlfn.LET(_xlpm.cls,P96, _xlpm.ord,IFERROR(Q96,"#N/C"), _xlpm.subord,IFERROR(R96,"#N/C"), _xlpm.infr,IFERROR(S96,"#N/C"), _xlpm.sf,IFERROR(T96,"#N/C"), _xlpm.fam,IFERROR(U96,"#N/C"), _xlpm.subfam,IF(TRIM(V96)="-","#N/C",IFERROR(V96,"#N/C")),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_xlpm.fallback,IF(IFERROR(Q96,"#N/C")="#N/C",P96,IF(IFERROR(R96,"#N/C")="#N/C",Q96,IF(IFERROR(S96,"#N/C")="#N/C",R96,IF(IFERROR(T96,"#N/C")="#N/C",S96,IF(IFERROR(U96,"#N/C")="#N/C",T96,IF(IFERROR(V96,"#N/C")="#N/C",U96,"#N/C")))))), _xlpm.finalResult,IF(OR(_xlpm.computedResult="",_xlpm.computedResult="#N/C"),_xlpm.fallback,_xlpm.computedResult), INDEX(_xlpm.finalResult,1))</f>
        <v>butterfly</v>
      </c>
      <c r="Z96" s="116" t="str" cm="1">
        <f t="array" ref="Z96">IF(OR(Y96="Insecta",Y96="Arachnida",Y96="#N/C"),"",IFERROR(_xlfn.LET(_xlpm.fc,IFERROR(_xlfn._xlws.FILTER(ClassificationClasses[],ClassificationClasses[Classification Class]=Y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96,ClassificationClasses[Key])),0),MATCH(Y96,INDEX(ClassificationClasses[],MATCH(TRUE,ISNUMBER(SEARCH(Y96,ClassificationClasses[Key])),0),0),0)-1)))</f>
        <v>Rhopalocera</v>
      </c>
      <c r="AA96" s="116" t="str" cm="1">
        <f t="array" ref="AA96">IFERROR(IF(OR(Z96="Insecta",Z96="Arachnida",Z96="#N/C"),"",INDEX(ClassificationClasses[[Class]:[Infraorder]],MATCH(TRUE,ISNUMBER(SEARCH(Z96,ClassificationClasses[Key])),0),MATCH(Z96,INDEX(ClassificationClasses[#Data], MATCH(TRUE,ISNUMBER(SEARCH(Z96,ClassificationClasses[Key])),0), 0), 0)-1)),"")</f>
        <v>Glossata</v>
      </c>
      <c r="AB96" s="116" t="str" cm="1">
        <f t="array" ref="AB96">IFERROR(IF(OR(AA96="Insecta",AA96="Arachnida",AA96="#N/C"),"",INDEX(ClassificationClasses[[Class]:[Suborder]],MATCH(TRUE,ISNUMBER(SEARCH(AA96,ClassificationClasses[Key])),0),MATCH(AA96,INDEX(ClassificationClasses[#Data], MATCH(TRUE,ISNUMBER(SEARCH(AA96,ClassificationClasses[Key])),0), 0), 0)-1)),"")</f>
        <v>Lepidoptera</v>
      </c>
      <c r="AC96" s="116" t="str" cm="1">
        <f t="array" ref="AC96">IFERROR(IF(OR(AB96="Insecta",AB96="Arachnida",AB96="#N/C"),"",INDEX(ClassificationClasses[[Class]:[Suborder]],MATCH(TRUE,ISNUMBER(SEARCH(AB96,ClassificationClasses[Key])),0),MATCH(AB96,INDEX(ClassificationClasses[#Data], MATCH(TRUE,ISNUMBER(SEARCH(AB96,ClassificationClasses[Key])),0), 0), 0)-1)),"")</f>
        <v>Insecta</v>
      </c>
      <c r="AD96" s="116" t="str" cm="1">
        <f t="array" ref="AD96">IFERROR(IF(OR(AC96="Insecta",AC96="Arachnida",AC96="#N/C"),"",INDEX(ClassificationClasses[[Class]:[Suborder]],MATCH(TRUE,ISNUMBER(SEARCH(AC96,ClassificationClasses[Key])),0),MATCH(AC96,INDEX(ClassificationClasses[#Data], MATCH(TRUE,ISNUMBER(SEARCH(AC96,ClassificationClasses[Key])),0), 0), 0)-1)),"")</f>
        <v/>
      </c>
      <c r="AE96" s="18" t="str">
        <f t="shared" si="4"/>
        <v>Insecta.Lepidoptera.Glossata.Rhopalocera.Zygaenoidea.Zygaenidae.Procridinae.#N/C.#N/C</v>
      </c>
    </row>
    <row r="97" spans="1:31" x14ac:dyDescent="0.3">
      <c r="A97" s="91">
        <v>96</v>
      </c>
      <c r="B97" s="7">
        <v>44392</v>
      </c>
      <c r="C97" s="92" t="s">
        <v>219</v>
      </c>
      <c r="D97" s="93" t="str">
        <f>HYPERLINK(VLOOKUP(C97,Video_List!$F:$J,5),"video")</f>
        <v>video</v>
      </c>
      <c r="E97" s="94" t="str">
        <f>IFERROR(IF(MATCH(C97,Video_List!$F:$F,)&gt;0,"ok",""),"error")</f>
        <v>ok</v>
      </c>
      <c r="F97" s="92" t="s">
        <v>219</v>
      </c>
      <c r="G97" s="93" t="str">
        <f>HYPERLINK(VLOOKUP(F97,Video_List!$F:$J,5),"video")</f>
        <v>video</v>
      </c>
      <c r="H97" s="94" t="str">
        <f>IFERROR(IF(MATCH(F97,Video_List!$F:$F,)&gt;0,"ok",""),"error")</f>
        <v>ok</v>
      </c>
      <c r="I97" s="17">
        <v>44392.78696759259</v>
      </c>
      <c r="J97" s="8">
        <v>44392.787199074075</v>
      </c>
      <c r="K97" s="15">
        <f t="shared" si="3"/>
        <v>2.3148148466134444E-4</v>
      </c>
      <c r="L97" s="95" t="s">
        <v>32</v>
      </c>
      <c r="M97" s="95" t="s">
        <v>33</v>
      </c>
      <c r="N97" s="96" t="str">
        <f>IF(ISBLANK(C97),"",IF(C97=F97, "1 video",CONCATENATE((+COUNTIFS(Video_List!$C:$C,"&lt;=" &amp;Monitoring!J97)-COUNTIFS(Video_List!$C:$C,"&lt;=" &amp;Monitoring!I97))+1," videos")))</f>
        <v>1 video</v>
      </c>
      <c r="O97" s="27" t="s">
        <v>32</v>
      </c>
      <c r="P97" s="42" t="s">
        <v>37</v>
      </c>
      <c r="Q97" s="42" t="s">
        <v>38</v>
      </c>
      <c r="R97" s="42" t="s">
        <v>39</v>
      </c>
      <c r="S97" s="97" t="str">
        <f>+IFERROR(IF(T97="#N/C","#N/C",IF(U97=0,INDEX(Taxonomy_UniqueValues!D:D,MATCH(U97,Taxonomy_UniqueValues!F:F,0)),INDEX(Taxonomy_UniqueValues!D:D,MATCH(T97,Taxonomy_UniqueValues!E:E,0)))),"#N/C")</f>
        <v>#N/C</v>
      </c>
      <c r="T97" s="42" t="s">
        <v>35</v>
      </c>
      <c r="U97" s="42" t="s">
        <v>35</v>
      </c>
      <c r="V97" s="42" t="s">
        <v>35</v>
      </c>
      <c r="W97" s="42" t="s">
        <v>35</v>
      </c>
      <c r="X97" s="28" t="s">
        <v>35</v>
      </c>
      <c r="Y97" s="69" t="str" cm="1">
        <f t="array" ref="Y97">_xlfn.LET(_xlpm.cls,P97, _xlpm.ord,IFERROR(Q97,"#N/C"), _xlpm.subord,IFERROR(R97,"#N/C"), _xlpm.infr,IFERROR(S97,"#N/C"), _xlpm.sf,IFERROR(T97,"#N/C"), _xlpm.fam,IFERROR(U97,"#N/C"), _xlpm.subfam,IF(TRIM(V97)="-","#N/C",IFERROR(V97,"#N/C")),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_xlpm.fallback,IF(IFERROR(Q97,"#N/C")="#N/C",P97,IF(IFERROR(R97,"#N/C")="#N/C",Q97,IF(IFERROR(S97,"#N/C")="#N/C",R97,IF(IFERROR(T97,"#N/C")="#N/C",S97,IF(IFERROR(U97,"#N/C")="#N/C",T97,IF(IFERROR(V97,"#N/C")="#N/C",U97,"#N/C")))))), _xlpm.finalResult,IF(OR(_xlpm.computedResult="",_xlpm.computedResult="#N/C"),_xlpm.fallback,_xlpm.computedResult), INDEX(_xlpm.finalResult,1))</f>
        <v>Brachycera</v>
      </c>
      <c r="Z97" s="116" t="str" cm="1">
        <f t="array" ref="Z97">IF(OR(Y97="Insecta",Y97="Arachnida",Y97="#N/C"),"",IFERROR(_xlfn.LET(_xlpm.fc,IFERROR(_xlfn._xlws.FILTER(ClassificationClasses[],ClassificationClasses[Classification Class]=Y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97,ClassificationClasses[Key])),0),MATCH(Y97,INDEX(ClassificationClasses[],MATCH(TRUE,ISNUMBER(SEARCH(Y97,ClassificationClasses[Key])),0),0),0)-1)))</f>
        <v>Diptera</v>
      </c>
      <c r="AA97" s="116" t="str" cm="1">
        <f t="array" ref="AA97">IFERROR(IF(OR(Z97="Insecta",Z97="Arachnida",Z97="#N/C"),"",INDEX(ClassificationClasses[[Class]:[Infraorder]],MATCH(TRUE,ISNUMBER(SEARCH(Z97,ClassificationClasses[Key])),0),MATCH(Z97,INDEX(ClassificationClasses[#Data], MATCH(TRUE,ISNUMBER(SEARCH(Z97,ClassificationClasses[Key])),0), 0), 0)-1)),"")</f>
        <v>Insecta</v>
      </c>
      <c r="AB97" s="116" t="str" cm="1">
        <f t="array" ref="AB97">IFERROR(IF(OR(AA97="Insecta",AA97="Arachnida",AA97="#N/C"),"",INDEX(ClassificationClasses[[Class]:[Suborder]],MATCH(TRUE,ISNUMBER(SEARCH(AA97,ClassificationClasses[Key])),0),MATCH(AA97,INDEX(ClassificationClasses[#Data], MATCH(TRUE,ISNUMBER(SEARCH(AA97,ClassificationClasses[Key])),0), 0), 0)-1)),"")</f>
        <v/>
      </c>
      <c r="AC97" s="116" t="str" cm="1">
        <f t="array" ref="AC97">IFERROR(IF(OR(AB97="Insecta",AB97="Arachnida",AB97="#N/C"),"",INDEX(ClassificationClasses[[Class]:[Suborder]],MATCH(TRUE,ISNUMBER(SEARCH(AB97,ClassificationClasses[Key])),0),MATCH(AB97,INDEX(ClassificationClasses[#Data], MATCH(TRUE,ISNUMBER(SEARCH(AB97,ClassificationClasses[Key])),0), 0), 0)-1)),"")</f>
        <v/>
      </c>
      <c r="AD97" s="116" t="str" cm="1">
        <f t="array" ref="AD97">IFERROR(IF(OR(AC97="Insecta",AC97="Arachnida",AC97="#N/C"),"",INDEX(ClassificationClasses[[Class]:[Suborder]],MATCH(TRUE,ISNUMBER(SEARCH(AC97,ClassificationClasses[Key])),0),MATCH(AC97,INDEX(ClassificationClasses[#Data], MATCH(TRUE,ISNUMBER(SEARCH(AC97,ClassificationClasses[Key])),0), 0), 0)-1)),"")</f>
        <v/>
      </c>
      <c r="AE97" s="18" t="str">
        <f t="shared" si="4"/>
        <v>Insecta.Diptera.Brachycera.#N/C.#N/C.#N/C.#N/C.#N/C.#N/C</v>
      </c>
    </row>
    <row r="98" spans="1:31" x14ac:dyDescent="0.3">
      <c r="A98" s="91">
        <v>97</v>
      </c>
      <c r="B98" s="7">
        <v>44392</v>
      </c>
      <c r="C98" s="92" t="s">
        <v>220</v>
      </c>
      <c r="D98" s="93" t="str">
        <f>HYPERLINK(VLOOKUP(C98,Video_List!$F:$J,5),"video")</f>
        <v>video</v>
      </c>
      <c r="E98" s="94" t="str">
        <f>IFERROR(IF(MATCH(C98,Video_List!$F:$F,)&gt;0,"ok",""),"error")</f>
        <v>ok</v>
      </c>
      <c r="F98" s="92" t="s">
        <v>220</v>
      </c>
      <c r="G98" s="93" t="str">
        <f>HYPERLINK(VLOOKUP(F98,Video_List!$F:$J,5),"video")</f>
        <v>video</v>
      </c>
      <c r="H98" s="94" t="str">
        <f>IFERROR(IF(MATCH(F98,Video_List!$F:$F,)&gt;0,"ok",""),"error")</f>
        <v>ok</v>
      </c>
      <c r="I98" s="17">
        <v>44392.79892361111</v>
      </c>
      <c r="J98" s="8">
        <v>44392.799004629633</v>
      </c>
      <c r="K98" s="15">
        <f t="shared" si="3"/>
        <v>8.101852290565148E-5</v>
      </c>
      <c r="L98" s="95" t="s">
        <v>32</v>
      </c>
      <c r="M98" s="95" t="s">
        <v>33</v>
      </c>
      <c r="N98" s="96" t="str">
        <f>IF(ISBLANK(C98),"",IF(C98=F98, "1 video",CONCATENATE((+COUNTIFS(Video_List!$C:$C,"&lt;=" &amp;Monitoring!J98)-COUNTIFS(Video_List!$C:$C,"&lt;=" &amp;Monitoring!I98))+1," videos")))</f>
        <v>1 video</v>
      </c>
      <c r="O98" s="29" t="s">
        <v>44</v>
      </c>
      <c r="P98" s="42" t="s">
        <v>37</v>
      </c>
      <c r="Q98" s="42" t="s">
        <v>38</v>
      </c>
      <c r="R98" s="42" t="s">
        <v>39</v>
      </c>
      <c r="S98" s="97" t="str">
        <f>+IFERROR(IF(T98="#N/C","#N/C",IF(U98=0,INDEX(Taxonomy_UniqueValues!D:D,MATCH(U98,Taxonomy_UniqueValues!F:F,0)),INDEX(Taxonomy_UniqueValues!D:D,MATCH(T98,Taxonomy_UniqueValues!E:E,0)))),"#N/C")</f>
        <v>#N/C</v>
      </c>
      <c r="T98" s="42" t="s">
        <v>35</v>
      </c>
      <c r="U98" s="42" t="s">
        <v>35</v>
      </c>
      <c r="V98" s="42" t="s">
        <v>35</v>
      </c>
      <c r="W98" s="42" t="s">
        <v>35</v>
      </c>
      <c r="X98" s="28" t="s">
        <v>35</v>
      </c>
      <c r="Y98" s="69" t="str" cm="1">
        <f t="array" ref="Y98">_xlfn.LET(_xlpm.cls,P98, _xlpm.ord,IFERROR(Q98,"#N/C"), _xlpm.subord,IFERROR(R98,"#N/C"), _xlpm.infr,IFERROR(S98,"#N/C"), _xlpm.sf,IFERROR(T98,"#N/C"), _xlpm.fam,IFERROR(U98,"#N/C"), _xlpm.subfam,IF(TRIM(V98)="-","#N/C",IFERROR(V98,"#N/C")),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_xlpm.fallback,IF(IFERROR(Q98,"#N/C")="#N/C",P98,IF(IFERROR(R98,"#N/C")="#N/C",Q98,IF(IFERROR(S98,"#N/C")="#N/C",R98,IF(IFERROR(T98,"#N/C")="#N/C",S98,IF(IFERROR(U98,"#N/C")="#N/C",T98,IF(IFERROR(V98,"#N/C")="#N/C",U98,"#N/C")))))), _xlpm.finalResult,IF(OR(_xlpm.computedResult="",_xlpm.computedResult="#N/C"),_xlpm.fallback,_xlpm.computedResult), INDEX(_xlpm.finalResult,1))</f>
        <v>Brachycera</v>
      </c>
      <c r="Z98" s="116" t="str" cm="1">
        <f t="array" ref="Z98">IF(OR(Y98="Insecta",Y98="Arachnida",Y98="#N/C"),"",IFERROR(_xlfn.LET(_xlpm.fc,IFERROR(_xlfn._xlws.FILTER(ClassificationClasses[],ClassificationClasses[Classification Class]=Y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98,ClassificationClasses[Key])),0),MATCH(Y98,INDEX(ClassificationClasses[],MATCH(TRUE,ISNUMBER(SEARCH(Y98,ClassificationClasses[Key])),0),0),0)-1)))</f>
        <v>Diptera</v>
      </c>
      <c r="AA98" s="116" t="str" cm="1">
        <f t="array" ref="AA98">IFERROR(IF(OR(Z98="Insecta",Z98="Arachnida",Z98="#N/C"),"",INDEX(ClassificationClasses[[Class]:[Infraorder]],MATCH(TRUE,ISNUMBER(SEARCH(Z98,ClassificationClasses[Key])),0),MATCH(Z98,INDEX(ClassificationClasses[#Data], MATCH(TRUE,ISNUMBER(SEARCH(Z98,ClassificationClasses[Key])),0), 0), 0)-1)),"")</f>
        <v>Insecta</v>
      </c>
      <c r="AB98" s="116" t="str" cm="1">
        <f t="array" ref="AB98">IFERROR(IF(OR(AA98="Insecta",AA98="Arachnida",AA98="#N/C"),"",INDEX(ClassificationClasses[[Class]:[Suborder]],MATCH(TRUE,ISNUMBER(SEARCH(AA98,ClassificationClasses[Key])),0),MATCH(AA98,INDEX(ClassificationClasses[#Data], MATCH(TRUE,ISNUMBER(SEARCH(AA98,ClassificationClasses[Key])),0), 0), 0)-1)),"")</f>
        <v/>
      </c>
      <c r="AC98" s="116" t="str" cm="1">
        <f t="array" ref="AC98">IFERROR(IF(OR(AB98="Insecta",AB98="Arachnida",AB98="#N/C"),"",INDEX(ClassificationClasses[[Class]:[Suborder]],MATCH(TRUE,ISNUMBER(SEARCH(AB98,ClassificationClasses[Key])),0),MATCH(AB98,INDEX(ClassificationClasses[#Data], MATCH(TRUE,ISNUMBER(SEARCH(AB98,ClassificationClasses[Key])),0), 0), 0)-1)),"")</f>
        <v/>
      </c>
      <c r="AD98" s="116" t="str" cm="1">
        <f t="array" ref="AD98">IFERROR(IF(OR(AC98="Insecta",AC98="Arachnida",AC98="#N/C"),"",INDEX(ClassificationClasses[[Class]:[Suborder]],MATCH(TRUE,ISNUMBER(SEARCH(AC98,ClassificationClasses[Key])),0),MATCH(AC98,INDEX(ClassificationClasses[#Data], MATCH(TRUE,ISNUMBER(SEARCH(AC98,ClassificationClasses[Key])),0), 0), 0)-1)),"")</f>
        <v/>
      </c>
      <c r="AE98" s="18" t="str">
        <f t="shared" si="4"/>
        <v>Insecta.Diptera.Brachycera.#N/C.#N/C.#N/C.#N/C.#N/C.#N/C</v>
      </c>
    </row>
    <row r="99" spans="1:31" x14ac:dyDescent="0.3">
      <c r="A99" s="91">
        <v>98</v>
      </c>
      <c r="B99" s="7">
        <v>44392</v>
      </c>
      <c r="C99" s="92" t="s">
        <v>221</v>
      </c>
      <c r="D99" s="93" t="str">
        <f>HYPERLINK(VLOOKUP(C99,Video_List!$F:$J,5),"video")</f>
        <v>video</v>
      </c>
      <c r="E99" s="94" t="str">
        <f>IFERROR(IF(MATCH(C99,Video_List!$F:$F,)&gt;0,"ok",""),"error")</f>
        <v>ok</v>
      </c>
      <c r="F99" s="92" t="s">
        <v>221</v>
      </c>
      <c r="G99" s="93" t="str">
        <f>HYPERLINK(VLOOKUP(F99,Video_List!$F:$J,5),"video")</f>
        <v>video</v>
      </c>
      <c r="H99" s="94" t="str">
        <f>IFERROR(IF(MATCH(F99,Video_List!$F:$F,)&gt;0,"ok",""),"error")</f>
        <v>ok</v>
      </c>
      <c r="I99" s="17">
        <v>44392.802106481482</v>
      </c>
      <c r="J99" s="8">
        <v>44392.802152777775</v>
      </c>
      <c r="K99" s="15">
        <f t="shared" si="3"/>
        <v>4.6296292566694319E-5</v>
      </c>
      <c r="L99" s="95" t="s">
        <v>32</v>
      </c>
      <c r="M99" s="95" t="s">
        <v>33</v>
      </c>
      <c r="N99" s="96" t="str">
        <f>IF(ISBLANK(C99),"",IF(C99=F99, "1 video",CONCATENATE((+COUNTIFS(Video_List!$C:$C,"&lt;=" &amp;Monitoring!J99)-COUNTIFS(Video_List!$C:$C,"&lt;=" &amp;Monitoring!I99))+1," videos")))</f>
        <v>1 video</v>
      </c>
      <c r="O99" s="29" t="s">
        <v>44</v>
      </c>
      <c r="P99" s="42" t="s">
        <v>37</v>
      </c>
      <c r="Q99" s="42" t="s">
        <v>38</v>
      </c>
      <c r="R99" s="42" t="s">
        <v>39</v>
      </c>
      <c r="S99" s="97" t="str">
        <f>+IFERROR(IF(T99="#N/C","#N/C",IF(U99=0,INDEX(Taxonomy_UniqueValues!D:D,MATCH(U99,Taxonomy_UniqueValues!F:F,0)),INDEX(Taxonomy_UniqueValues!D:D,MATCH(T99,Taxonomy_UniqueValues!E:E,0)))),"#N/C")</f>
        <v>#N/C</v>
      </c>
      <c r="T99" s="42" t="s">
        <v>35</v>
      </c>
      <c r="U99" s="42" t="s">
        <v>35</v>
      </c>
      <c r="V99" s="42" t="s">
        <v>35</v>
      </c>
      <c r="W99" s="42" t="s">
        <v>35</v>
      </c>
      <c r="X99" s="28" t="s">
        <v>35</v>
      </c>
      <c r="Y99" s="69" t="str" cm="1">
        <f t="array" ref="Y99">_xlfn.LET(_xlpm.cls,P99, _xlpm.ord,IFERROR(Q99,"#N/C"), _xlpm.subord,IFERROR(R99,"#N/C"), _xlpm.infr,IFERROR(S99,"#N/C"), _xlpm.sf,IFERROR(T99,"#N/C"), _xlpm.fam,IFERROR(U99,"#N/C"), _xlpm.subfam,IF(TRIM(V99)="-","#N/C",IFERROR(V99,"#N/C")),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_xlpm.fallback,IF(IFERROR(Q99,"#N/C")="#N/C",P99,IF(IFERROR(R99,"#N/C")="#N/C",Q99,IF(IFERROR(S99,"#N/C")="#N/C",R99,IF(IFERROR(T99,"#N/C")="#N/C",S99,IF(IFERROR(U99,"#N/C")="#N/C",T99,IF(IFERROR(V99,"#N/C")="#N/C",U99,"#N/C")))))), _xlpm.finalResult,IF(OR(_xlpm.computedResult="",_xlpm.computedResult="#N/C"),_xlpm.fallback,_xlpm.computedResult), INDEX(_xlpm.finalResult,1))</f>
        <v>Brachycera</v>
      </c>
      <c r="Z99" s="116" t="str" cm="1">
        <f t="array" ref="Z99">IF(OR(Y99="Insecta",Y99="Arachnida",Y99="#N/C"),"",IFERROR(_xlfn.LET(_xlpm.fc,IFERROR(_xlfn._xlws.FILTER(ClassificationClasses[],ClassificationClasses[Classification Class]=Y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99,ClassificationClasses[Key])),0),MATCH(Y99,INDEX(ClassificationClasses[],MATCH(TRUE,ISNUMBER(SEARCH(Y99,ClassificationClasses[Key])),0),0),0)-1)))</f>
        <v>Diptera</v>
      </c>
      <c r="AA99" s="116" t="str" cm="1">
        <f t="array" ref="AA99">IFERROR(IF(OR(Z99="Insecta",Z99="Arachnida",Z99="#N/C"),"",INDEX(ClassificationClasses[[Class]:[Infraorder]],MATCH(TRUE,ISNUMBER(SEARCH(Z99,ClassificationClasses[Key])),0),MATCH(Z99,INDEX(ClassificationClasses[#Data], MATCH(TRUE,ISNUMBER(SEARCH(Z99,ClassificationClasses[Key])),0), 0), 0)-1)),"")</f>
        <v>Insecta</v>
      </c>
      <c r="AB99" s="116" t="str" cm="1">
        <f t="array" ref="AB99">IFERROR(IF(OR(AA99="Insecta",AA99="Arachnida",AA99="#N/C"),"",INDEX(ClassificationClasses[[Class]:[Suborder]],MATCH(TRUE,ISNUMBER(SEARCH(AA99,ClassificationClasses[Key])),0),MATCH(AA99,INDEX(ClassificationClasses[#Data], MATCH(TRUE,ISNUMBER(SEARCH(AA99,ClassificationClasses[Key])),0), 0), 0)-1)),"")</f>
        <v/>
      </c>
      <c r="AC99" s="116" t="str" cm="1">
        <f t="array" ref="AC99">IFERROR(IF(OR(AB99="Insecta",AB99="Arachnida",AB99="#N/C"),"",INDEX(ClassificationClasses[[Class]:[Suborder]],MATCH(TRUE,ISNUMBER(SEARCH(AB99,ClassificationClasses[Key])),0),MATCH(AB99,INDEX(ClassificationClasses[#Data], MATCH(TRUE,ISNUMBER(SEARCH(AB99,ClassificationClasses[Key])),0), 0), 0)-1)),"")</f>
        <v/>
      </c>
      <c r="AD99" s="116" t="str" cm="1">
        <f t="array" ref="AD99">IFERROR(IF(OR(AC99="Insecta",AC99="Arachnida",AC99="#N/C"),"",INDEX(ClassificationClasses[[Class]:[Suborder]],MATCH(TRUE,ISNUMBER(SEARCH(AC99,ClassificationClasses[Key])),0),MATCH(AC99,INDEX(ClassificationClasses[#Data], MATCH(TRUE,ISNUMBER(SEARCH(AC99,ClassificationClasses[Key])),0), 0), 0)-1)),"")</f>
        <v/>
      </c>
      <c r="AE99" s="18" t="str">
        <f t="shared" si="4"/>
        <v>Insecta.Diptera.Brachycera.#N/C.#N/C.#N/C.#N/C.#N/C.#N/C</v>
      </c>
    </row>
    <row r="100" spans="1:31" x14ac:dyDescent="0.3">
      <c r="A100" s="91">
        <v>99</v>
      </c>
      <c r="B100" s="7">
        <v>44392</v>
      </c>
      <c r="C100" s="92" t="s">
        <v>221</v>
      </c>
      <c r="D100" s="93" t="str">
        <f>HYPERLINK(VLOOKUP(C100,Video_List!$F:$J,5),"video")</f>
        <v>video</v>
      </c>
      <c r="E100" s="94" t="str">
        <f>IFERROR(IF(MATCH(C100,Video_List!$F:$F,)&gt;0,"ok",""),"error")</f>
        <v>ok</v>
      </c>
      <c r="F100" s="92" t="s">
        <v>221</v>
      </c>
      <c r="G100" s="93" t="str">
        <f>HYPERLINK(VLOOKUP(F100,Video_List!$F:$J,5),"video")</f>
        <v>video</v>
      </c>
      <c r="H100" s="94" t="str">
        <f>IFERROR(IF(MATCH(F100,Video_List!$F:$F,)&gt;0,"ok",""),"error")</f>
        <v>ok</v>
      </c>
      <c r="I100" s="17">
        <v>44392.802499999998</v>
      </c>
      <c r="J100" s="8">
        <v>44392.802673611113</v>
      </c>
      <c r="K100" s="15">
        <f t="shared" si="3"/>
        <v>1.7361111531499773E-4</v>
      </c>
      <c r="L100" s="95" t="s">
        <v>32</v>
      </c>
      <c r="M100" s="95" t="s">
        <v>33</v>
      </c>
      <c r="N100" s="96" t="str">
        <f>IF(ISBLANK(C100),"",IF(C100=F100, "1 video",CONCATENATE((+COUNTIFS(Video_List!$C:$C,"&lt;=" &amp;Monitoring!J100)-COUNTIFS(Video_List!$C:$C,"&lt;=" &amp;Monitoring!I100))+1," videos")))</f>
        <v>1 video</v>
      </c>
      <c r="O100" s="29" t="s">
        <v>44</v>
      </c>
      <c r="P100" s="42" t="s">
        <v>37</v>
      </c>
      <c r="Q100" s="42" t="s">
        <v>38</v>
      </c>
      <c r="R100" s="42" t="s">
        <v>39</v>
      </c>
      <c r="S100" s="97" t="str">
        <f>+IFERROR(IF(T100="#N/C","#N/C",IF(U100=0,INDEX(Taxonomy_UniqueValues!D:D,MATCH(U100,Taxonomy_UniqueValues!F:F,0)),INDEX(Taxonomy_UniqueValues!D:D,MATCH(T100,Taxonomy_UniqueValues!E:E,0)))),"#N/C")</f>
        <v>Muscomorpha</v>
      </c>
      <c r="T100" s="42" t="s">
        <v>46</v>
      </c>
      <c r="U100" s="42" t="s">
        <v>47</v>
      </c>
      <c r="V100" s="42" t="s">
        <v>48</v>
      </c>
      <c r="W100" s="42" t="s">
        <v>49</v>
      </c>
      <c r="X100" s="28" t="s">
        <v>35</v>
      </c>
      <c r="Y100" s="69" t="str" cm="1">
        <f t="array" ref="Y100">_xlfn.LET(_xlpm.cls,P100, _xlpm.ord,IFERROR(Q100,"#N/C"), _xlpm.subord,IFERROR(R100,"#N/C"), _xlpm.infr,IFERROR(S100,"#N/C"), _xlpm.sf,IFERROR(T100,"#N/C"), _xlpm.fam,IFERROR(U100,"#N/C"), _xlpm.subfam,IF(TRIM(V100)="-","#N/C",IFERROR(V100,"#N/C")),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_xlpm.fallback,IF(IFERROR(Q100,"#N/C")="#N/C",P100,IF(IFERROR(R100,"#N/C")="#N/C",Q100,IF(IFERROR(S100,"#N/C")="#N/C",R100,IF(IFERROR(T100,"#N/C")="#N/C",S100,IF(IFERROR(U100,"#N/C")="#N/C",T100,IF(IFERROR(V100,"#N/C")="#N/C",U100,"#N/C")))))), _xlpm.finalResult,IF(OR(_xlpm.computedResult="",_xlpm.computedResult="#N/C"),_xlpm.fallback,_xlpm.computedResult), INDEX(_xlpm.finalResult,1))</f>
        <v>hoverfly</v>
      </c>
      <c r="Z100" s="116" t="str" cm="1">
        <f t="array" ref="Z100">IF(OR(Y100="Insecta",Y100="Arachnida",Y100="#N/C"),"",IFERROR(_xlfn.LET(_xlpm.fc,IFERROR(_xlfn._xlws.FILTER(ClassificationClasses[],ClassificationClasses[Classification Class]=Y100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100,ClassificationClasses[Key])),0),MATCH(Y100,INDEX(ClassificationClasses[],MATCH(TRUE,ISNUMBER(SEARCH(Y100,ClassificationClasses[Key])),0),0),0)-1)))</f>
        <v>Muscomorpha</v>
      </c>
      <c r="AA100" s="116" t="str" cm="1">
        <f t="array" ref="AA100">IFERROR(IF(OR(Z100="Insecta",Z100="Arachnida",Z100="#N/C"),"",INDEX(ClassificationClasses[[Class]:[Infraorder]],MATCH(TRUE,ISNUMBER(SEARCH(Z100,ClassificationClasses[Key])),0),MATCH(Z100,INDEX(ClassificationClasses[#Data], MATCH(TRUE,ISNUMBER(SEARCH(Z100,ClassificationClasses[Key])),0), 0), 0)-1)),"")</f>
        <v>Brachycera</v>
      </c>
      <c r="AB100" s="116" t="str" cm="1">
        <f t="array" ref="AB100">IFERROR(IF(OR(AA100="Insecta",AA100="Arachnida",AA100="#N/C"),"",INDEX(ClassificationClasses[[Class]:[Suborder]],MATCH(TRUE,ISNUMBER(SEARCH(AA100,ClassificationClasses[Key])),0),MATCH(AA100,INDEX(ClassificationClasses[#Data], MATCH(TRUE,ISNUMBER(SEARCH(AA100,ClassificationClasses[Key])),0), 0), 0)-1)),"")</f>
        <v>Diptera</v>
      </c>
      <c r="AC100" s="116" t="str" cm="1">
        <f t="array" ref="AC100">IFERROR(IF(OR(AB100="Insecta",AB100="Arachnida",AB100="#N/C"),"",INDEX(ClassificationClasses[[Class]:[Suborder]],MATCH(TRUE,ISNUMBER(SEARCH(AB100,ClassificationClasses[Key])),0),MATCH(AB100,INDEX(ClassificationClasses[#Data], MATCH(TRUE,ISNUMBER(SEARCH(AB100,ClassificationClasses[Key])),0), 0), 0)-1)),"")</f>
        <v>Insecta</v>
      </c>
      <c r="AD100" s="116" t="str" cm="1">
        <f t="array" ref="AD100">IFERROR(IF(OR(AC100="Insecta",AC100="Arachnida",AC100="#N/C"),"",INDEX(ClassificationClasses[[Class]:[Suborder]],MATCH(TRUE,ISNUMBER(SEARCH(AC100,ClassificationClasses[Key])),0),MATCH(AC100,INDEX(ClassificationClasses[#Data], MATCH(TRUE,ISNUMBER(SEARCH(AC100,ClassificationClasses[Key])),0), 0), 0)-1)),"")</f>
        <v/>
      </c>
      <c r="AE100" s="18" t="str">
        <f t="shared" si="4"/>
        <v>Insecta.Diptera.Brachycera.Muscomorpha.Syrphoidea.Syrphidae.Syrphinae.Sphaerophoria.#N/C</v>
      </c>
    </row>
    <row r="101" spans="1:31" x14ac:dyDescent="0.3">
      <c r="A101" s="91">
        <v>100</v>
      </c>
      <c r="B101" s="7">
        <v>44392</v>
      </c>
      <c r="C101" s="92" t="s">
        <v>222</v>
      </c>
      <c r="D101" s="93" t="str">
        <f>HYPERLINK(VLOOKUP(C101,Video_List!$F:$J,5),"video")</f>
        <v>video</v>
      </c>
      <c r="E101" s="94" t="str">
        <f>IFERROR(IF(MATCH(C101,Video_List!$F:$F,)&gt;0,"ok",""),"error")</f>
        <v>ok</v>
      </c>
      <c r="F101" s="92" t="s">
        <v>222</v>
      </c>
      <c r="G101" s="93" t="str">
        <f>HYPERLINK(VLOOKUP(F101,Video_List!$F:$J,5),"video")</f>
        <v>video</v>
      </c>
      <c r="H101" s="94" t="str">
        <f>IFERROR(IF(MATCH(F101,Video_List!$F:$F,)&gt;0,"ok",""),"error")</f>
        <v>ok</v>
      </c>
      <c r="I101" s="17">
        <v>44392.805891203701</v>
      </c>
      <c r="J101" s="8">
        <v>44392.805949074071</v>
      </c>
      <c r="K101" s="15">
        <f t="shared" si="3"/>
        <v>5.7870369346346706E-5</v>
      </c>
      <c r="L101" s="95" t="s">
        <v>32</v>
      </c>
      <c r="M101" s="95" t="s">
        <v>33</v>
      </c>
      <c r="N101" s="96" t="str">
        <f>IF(ISBLANK(C101),"",IF(C101=F101, "1 video",CONCATENATE((+COUNTIFS(Video_List!$C:$C,"&lt;=" &amp;Monitoring!J101)-COUNTIFS(Video_List!$C:$C,"&lt;=" &amp;Monitoring!I101))+1," videos")))</f>
        <v>1 video</v>
      </c>
      <c r="O101" s="29" t="s">
        <v>44</v>
      </c>
      <c r="P101" s="42" t="s">
        <v>37</v>
      </c>
      <c r="Q101" s="42" t="s">
        <v>38</v>
      </c>
      <c r="R101" s="42" t="s">
        <v>39</v>
      </c>
      <c r="S101" s="97" t="str">
        <f>+IFERROR(IF(T101="#N/C","#N/C",IF(U101=0,INDEX(Taxonomy_UniqueValues!D:D,MATCH(U101,Taxonomy_UniqueValues!F:F,0)),INDEX(Taxonomy_UniqueValues!D:D,MATCH(T101,Taxonomy_UniqueValues!E:E,0)))),"#N/C")</f>
        <v>#N/C</v>
      </c>
      <c r="T101" s="42" t="s">
        <v>35</v>
      </c>
      <c r="U101" s="42" t="s">
        <v>35</v>
      </c>
      <c r="V101" s="42" t="s">
        <v>35</v>
      </c>
      <c r="W101" s="42" t="s">
        <v>35</v>
      </c>
      <c r="X101" s="28" t="s">
        <v>35</v>
      </c>
      <c r="Y101" s="69" t="str" cm="1">
        <f t="array" ref="Y101">_xlfn.LET(_xlpm.cls,P101, _xlpm.ord,IFERROR(Q101,"#N/C"), _xlpm.subord,IFERROR(R101,"#N/C"), _xlpm.infr,IFERROR(S101,"#N/C"), _xlpm.sf,IFERROR(T101,"#N/C"), _xlpm.fam,IFERROR(U101,"#N/C"), _xlpm.subfam,IF(TRIM(V101)="-","#N/C",IFERROR(V101,"#N/C")),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_xlpm.fallback,IF(IFERROR(Q101,"#N/C")="#N/C",P101,IF(IFERROR(R101,"#N/C")="#N/C",Q101,IF(IFERROR(S101,"#N/C")="#N/C",R101,IF(IFERROR(T101,"#N/C")="#N/C",S101,IF(IFERROR(U101,"#N/C")="#N/C",T101,IF(IFERROR(V101,"#N/C")="#N/C",U101,"#N/C")))))), _xlpm.finalResult,IF(OR(_xlpm.computedResult="",_xlpm.computedResult="#N/C"),_xlpm.fallback,_xlpm.computedResult), INDEX(_xlpm.finalResult,1))</f>
        <v>Brachycera</v>
      </c>
      <c r="Z101" s="116" t="str" cm="1">
        <f t="array" ref="Z101">IF(OR(Y101="Insecta",Y101="Arachnida",Y101="#N/C"),"",IFERROR(_xlfn.LET(_xlpm.fc,IFERROR(_xlfn._xlws.FILTER(ClassificationClasses[],ClassificationClasses[Classification Class]=Y101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101,ClassificationClasses[Key])),0),MATCH(Y101,INDEX(ClassificationClasses[],MATCH(TRUE,ISNUMBER(SEARCH(Y101,ClassificationClasses[Key])),0),0),0)-1)))</f>
        <v>Diptera</v>
      </c>
      <c r="AA101" s="116" t="str" cm="1">
        <f t="array" ref="AA101">IFERROR(IF(OR(Z101="Insecta",Z101="Arachnida",Z101="#N/C"),"",INDEX(ClassificationClasses[[Class]:[Infraorder]],MATCH(TRUE,ISNUMBER(SEARCH(Z101,ClassificationClasses[Key])),0),MATCH(Z101,INDEX(ClassificationClasses[#Data], MATCH(TRUE,ISNUMBER(SEARCH(Z101,ClassificationClasses[Key])),0), 0), 0)-1)),"")</f>
        <v>Insecta</v>
      </c>
      <c r="AB101" s="116" t="str" cm="1">
        <f t="array" ref="AB101">IFERROR(IF(OR(AA101="Insecta",AA101="Arachnida",AA101="#N/C"),"",INDEX(ClassificationClasses[[Class]:[Suborder]],MATCH(TRUE,ISNUMBER(SEARCH(AA101,ClassificationClasses[Key])),0),MATCH(AA101,INDEX(ClassificationClasses[#Data], MATCH(TRUE,ISNUMBER(SEARCH(AA101,ClassificationClasses[Key])),0), 0), 0)-1)),"")</f>
        <v/>
      </c>
      <c r="AC101" s="116" t="str" cm="1">
        <f t="array" ref="AC101">IFERROR(IF(OR(AB101="Insecta",AB101="Arachnida",AB101="#N/C"),"",INDEX(ClassificationClasses[[Class]:[Suborder]],MATCH(TRUE,ISNUMBER(SEARCH(AB101,ClassificationClasses[Key])),0),MATCH(AB101,INDEX(ClassificationClasses[#Data], MATCH(TRUE,ISNUMBER(SEARCH(AB101,ClassificationClasses[Key])),0), 0), 0)-1)),"")</f>
        <v/>
      </c>
      <c r="AD101" s="116" t="str" cm="1">
        <f t="array" ref="AD101">IFERROR(IF(OR(AC101="Insecta",AC101="Arachnida",AC101="#N/C"),"",INDEX(ClassificationClasses[[Class]:[Suborder]],MATCH(TRUE,ISNUMBER(SEARCH(AC101,ClassificationClasses[Key])),0),MATCH(AC101,INDEX(ClassificationClasses[#Data], MATCH(TRUE,ISNUMBER(SEARCH(AC101,ClassificationClasses[Key])),0), 0), 0)-1)),"")</f>
        <v/>
      </c>
      <c r="AE101" s="18" t="str">
        <f t="shared" si="4"/>
        <v>Insecta.Diptera.Brachycera.#N/C.#N/C.#N/C.#N/C.#N/C.#N/C</v>
      </c>
    </row>
    <row r="102" spans="1:31" x14ac:dyDescent="0.3">
      <c r="A102" s="91">
        <v>101</v>
      </c>
      <c r="B102" s="7">
        <v>44392</v>
      </c>
      <c r="C102" s="92" t="s">
        <v>223</v>
      </c>
      <c r="D102" s="93" t="str">
        <f>HYPERLINK(VLOOKUP(C102,Video_List!$F:$J,5),"video")</f>
        <v>video</v>
      </c>
      <c r="E102" s="94" t="str">
        <f>IFERROR(IF(MATCH(C102,Video_List!$F:$F,)&gt;0,"ok",""),"error")</f>
        <v>ok</v>
      </c>
      <c r="F102" s="92" t="s">
        <v>223</v>
      </c>
      <c r="G102" s="93" t="str">
        <f>HYPERLINK(VLOOKUP(F102,Video_List!$F:$J,5),"video")</f>
        <v>video</v>
      </c>
      <c r="H102" s="94" t="str">
        <f>IFERROR(IF(MATCH(F102,Video_List!$F:$F,)&gt;0,"ok",""),"error")</f>
        <v>ok</v>
      </c>
      <c r="I102" s="17">
        <v>44392.811712962961</v>
      </c>
      <c r="J102" s="8">
        <v>44392.812094907407</v>
      </c>
      <c r="K102" s="15">
        <f t="shared" si="3"/>
        <v>3.819444464170374E-4</v>
      </c>
      <c r="L102" s="95" t="s">
        <v>32</v>
      </c>
      <c r="M102" s="95" t="s">
        <v>33</v>
      </c>
      <c r="N102" s="96" t="str">
        <f>IF(ISBLANK(C102),"",IF(C102=F102, "1 video",CONCATENATE((+COUNTIFS(Video_List!$C:$C,"&lt;=" &amp;Monitoring!J102)-COUNTIFS(Video_List!$C:$C,"&lt;=" &amp;Monitoring!I102))+1," videos")))</f>
        <v>1 video</v>
      </c>
      <c r="O102" s="29" t="s">
        <v>44</v>
      </c>
      <c r="P102" s="42" t="s">
        <v>37</v>
      </c>
      <c r="Q102" s="42" t="s">
        <v>38</v>
      </c>
      <c r="R102" s="42" t="s">
        <v>39</v>
      </c>
      <c r="S102" s="97" t="str">
        <f>+IFERROR(IF(T102="#N/C","#N/C",IF(U102=0,INDEX(Taxonomy_UniqueValues!D:D,MATCH(U102,Taxonomy_UniqueValues!F:F,0)),INDEX(Taxonomy_UniqueValues!D:D,MATCH(T102,Taxonomy_UniqueValues!E:E,0)))),"#N/C")</f>
        <v>Asilomorpha</v>
      </c>
      <c r="T102" s="42" t="s">
        <v>149</v>
      </c>
      <c r="U102" s="42" t="s">
        <v>150</v>
      </c>
      <c r="V102" s="42" t="s">
        <v>151</v>
      </c>
      <c r="W102" s="42" t="s">
        <v>35</v>
      </c>
      <c r="X102" s="28" t="s">
        <v>35</v>
      </c>
      <c r="Y102" s="69" t="str" cm="1">
        <f t="array" ref="Y102">_xlfn.LET(_xlpm.cls,P102, _xlpm.ord,IFERROR(Q102,"#N/C"), _xlpm.subord,IFERROR(R102,"#N/C"), _xlpm.infr,IFERROR(S102,"#N/C"), _xlpm.sf,IFERROR(T102,"#N/C"), _xlpm.fam,IFERROR(U102,"#N/C"), _xlpm.subfam,IF(TRIM(V102)="-","#N/C",IFERROR(V102,"#N/C")),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_xlpm.fallback,IF(IFERROR(Q102,"#N/C")="#N/C",P102,IF(IFERROR(R102,"#N/C")="#N/C",Q102,IF(IFERROR(S102,"#N/C")="#N/C",R102,IF(IFERROR(T102,"#N/C")="#N/C",S102,IF(IFERROR(U102,"#N/C")="#N/C",T102,IF(IFERROR(V102,"#N/C")="#N/C",U102,"#N/C")))))), _xlpm.finalResult,IF(OR(_xlpm.computedResult="",_xlpm.computedResult="#N/C"),_xlpm.fallback,_xlpm.computedResult), INDEX(_xlpm.finalResult,1))</f>
        <v>robber_fly</v>
      </c>
      <c r="Z102" s="116" t="str" cm="1">
        <f t="array" ref="Z102">IF(OR(Y102="Insecta",Y102="Arachnida",Y102="#N/C"),"",IFERROR(_xlfn.LET(_xlpm.fc,IFERROR(_xlfn._xlws.FILTER(ClassificationClasses[],ClassificationClasses[Classification Class]=Y102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102,ClassificationClasses[Key])),0),MATCH(Y102,INDEX(ClassificationClasses[],MATCH(TRUE,ISNUMBER(SEARCH(Y102,ClassificationClasses[Key])),0),0),0)-1)))</f>
        <v>Asilomorpha</v>
      </c>
      <c r="AA102" s="116" t="str" cm="1">
        <f t="array" ref="AA102">IFERROR(IF(OR(Z102="Insecta",Z102="Arachnida",Z102="#N/C"),"",INDEX(ClassificationClasses[[Class]:[Infraorder]],MATCH(TRUE,ISNUMBER(SEARCH(Z102,ClassificationClasses[Key])),0),MATCH(Z102,INDEX(ClassificationClasses[#Data], MATCH(TRUE,ISNUMBER(SEARCH(Z102,ClassificationClasses[Key])),0), 0), 0)-1)),"")</f>
        <v>Brachycera</v>
      </c>
      <c r="AB102" s="116" t="str" cm="1">
        <f t="array" ref="AB102">IFERROR(IF(OR(AA102="Insecta",AA102="Arachnida",AA102="#N/C"),"",INDEX(ClassificationClasses[[Class]:[Suborder]],MATCH(TRUE,ISNUMBER(SEARCH(AA102,ClassificationClasses[Key])),0),MATCH(AA102,INDEX(ClassificationClasses[#Data], MATCH(TRUE,ISNUMBER(SEARCH(AA102,ClassificationClasses[Key])),0), 0), 0)-1)),"")</f>
        <v>Diptera</v>
      </c>
      <c r="AC102" s="116" t="str" cm="1">
        <f t="array" ref="AC102">IFERROR(IF(OR(AB102="Insecta",AB102="Arachnida",AB102="#N/C"),"",INDEX(ClassificationClasses[[Class]:[Suborder]],MATCH(TRUE,ISNUMBER(SEARCH(AB102,ClassificationClasses[Key])),0),MATCH(AB102,INDEX(ClassificationClasses[#Data], MATCH(TRUE,ISNUMBER(SEARCH(AB102,ClassificationClasses[Key])),0), 0), 0)-1)),"")</f>
        <v>Insecta</v>
      </c>
      <c r="AD102" s="116" t="str" cm="1">
        <f t="array" ref="AD102">IFERROR(IF(OR(AC102="Insecta",AC102="Arachnida",AC102="#N/C"),"",INDEX(ClassificationClasses[[Class]:[Suborder]],MATCH(TRUE,ISNUMBER(SEARCH(AC102,ClassificationClasses[Key])),0),MATCH(AC102,INDEX(ClassificationClasses[#Data], MATCH(TRUE,ISNUMBER(SEARCH(AC102,ClassificationClasses[Key])),0), 0), 0)-1)),"")</f>
        <v/>
      </c>
      <c r="AE102" s="18" t="str">
        <f t="shared" si="4"/>
        <v>Insecta.Diptera.Brachycera.Asilomorpha.Asiloidea.Asilidae.Asilinae.#N/C.#N/C</v>
      </c>
    </row>
    <row r="103" spans="1:31" x14ac:dyDescent="0.3">
      <c r="A103" s="91">
        <v>102</v>
      </c>
      <c r="B103" s="7">
        <v>44392</v>
      </c>
      <c r="C103" s="92" t="s">
        <v>224</v>
      </c>
      <c r="D103" s="93" t="str">
        <f>HYPERLINK(VLOOKUP(C103,Video_List!$F:$J,5),"video")</f>
        <v>video</v>
      </c>
      <c r="E103" s="94" t="str">
        <f>IFERROR(IF(MATCH(C103,Video_List!$F:$F,)&gt;0,"ok",""),"error")</f>
        <v>ok</v>
      </c>
      <c r="F103" s="92" t="s">
        <v>224</v>
      </c>
      <c r="G103" s="93" t="str">
        <f>HYPERLINK(VLOOKUP(F103,Video_List!$F:$J,5),"video")</f>
        <v>video</v>
      </c>
      <c r="H103" s="94" t="str">
        <f>IFERROR(IF(MATCH(F103,Video_List!$F:$F,)&gt;0,"ok",""),"error")</f>
        <v>ok</v>
      </c>
      <c r="I103" s="17">
        <v>44392.81318287037</v>
      </c>
      <c r="J103" s="8">
        <v>44392.813240740739</v>
      </c>
      <c r="K103" s="15">
        <f t="shared" si="3"/>
        <v>5.7870369346346706E-5</v>
      </c>
      <c r="L103" s="95" t="s">
        <v>32</v>
      </c>
      <c r="M103" s="95" t="s">
        <v>33</v>
      </c>
      <c r="N103" s="96" t="str">
        <f>IF(ISBLANK(C103),"",IF(C103=F103, "1 video",CONCATENATE((+COUNTIFS(Video_List!$C:$C,"&lt;=" &amp;Monitoring!J103)-COUNTIFS(Video_List!$C:$C,"&lt;=" &amp;Monitoring!I103))+1," videos")))</f>
        <v>1 video</v>
      </c>
      <c r="O103" s="29" t="s">
        <v>44</v>
      </c>
      <c r="P103" s="42" t="s">
        <v>37</v>
      </c>
      <c r="Q103" s="42" t="s">
        <v>38</v>
      </c>
      <c r="R103" s="42" t="s">
        <v>39</v>
      </c>
      <c r="S103" s="97" t="str">
        <f>+IFERROR(IF(T103="#N/C","#N/C",IF(U103=0,INDEX(Taxonomy_UniqueValues!D:D,MATCH(U103,Taxonomy_UniqueValues!F:F,0)),INDEX(Taxonomy_UniqueValues!D:D,MATCH(T103,Taxonomy_UniqueValues!E:E,0)))),"#N/C")</f>
        <v>#N/C</v>
      </c>
      <c r="T103" s="42" t="s">
        <v>35</v>
      </c>
      <c r="U103" s="42" t="s">
        <v>35</v>
      </c>
      <c r="V103" s="42" t="s">
        <v>35</v>
      </c>
      <c r="W103" s="42" t="s">
        <v>35</v>
      </c>
      <c r="X103" s="28" t="s">
        <v>35</v>
      </c>
      <c r="Y103" s="69" t="str" cm="1">
        <f t="array" ref="Y103">_xlfn.LET(_xlpm.cls,P103, _xlpm.ord,IFERROR(Q103,"#N/C"), _xlpm.subord,IFERROR(R103,"#N/C"), _xlpm.infr,IFERROR(S103,"#N/C"), _xlpm.sf,IFERROR(T103,"#N/C"), _xlpm.fam,IFERROR(U103,"#N/C"), _xlpm.subfam,IF(TRIM(V103)="-","#N/C",IFERROR(V103,"#N/C")),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_xlpm.fallback,IF(IFERROR(Q103,"#N/C")="#N/C",P103,IF(IFERROR(R103,"#N/C")="#N/C",Q103,IF(IFERROR(S103,"#N/C")="#N/C",R103,IF(IFERROR(T103,"#N/C")="#N/C",S103,IF(IFERROR(U103,"#N/C")="#N/C",T103,IF(IFERROR(V103,"#N/C")="#N/C",U103,"#N/C")))))), _xlpm.finalResult,IF(OR(_xlpm.computedResult="",_xlpm.computedResult="#N/C"),_xlpm.fallback,_xlpm.computedResult), INDEX(_xlpm.finalResult,1))</f>
        <v>Brachycera</v>
      </c>
      <c r="Z103" s="116" t="str" cm="1">
        <f t="array" ref="Z103">IF(OR(Y103="Insecta",Y103="Arachnida",Y103="#N/C"),"",IFERROR(_xlfn.LET(_xlpm.fc,IFERROR(_xlfn._xlws.FILTER(ClassificationClasses[],ClassificationClasses[Classification Class]=Y103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103,ClassificationClasses[Key])),0),MATCH(Y103,INDEX(ClassificationClasses[],MATCH(TRUE,ISNUMBER(SEARCH(Y103,ClassificationClasses[Key])),0),0),0)-1)))</f>
        <v>Diptera</v>
      </c>
      <c r="AA103" s="116" t="str" cm="1">
        <f t="array" ref="AA103">IFERROR(IF(OR(Z103="Insecta",Z103="Arachnida",Z103="#N/C"),"",INDEX(ClassificationClasses[[Class]:[Infraorder]],MATCH(TRUE,ISNUMBER(SEARCH(Z103,ClassificationClasses[Key])),0),MATCH(Z103,INDEX(ClassificationClasses[#Data], MATCH(TRUE,ISNUMBER(SEARCH(Z103,ClassificationClasses[Key])),0), 0), 0)-1)),"")</f>
        <v>Insecta</v>
      </c>
      <c r="AB103" s="116" t="str" cm="1">
        <f t="array" ref="AB103">IFERROR(IF(OR(AA103="Insecta",AA103="Arachnida",AA103="#N/C"),"",INDEX(ClassificationClasses[[Class]:[Suborder]],MATCH(TRUE,ISNUMBER(SEARCH(AA103,ClassificationClasses[Key])),0),MATCH(AA103,INDEX(ClassificationClasses[#Data], MATCH(TRUE,ISNUMBER(SEARCH(AA103,ClassificationClasses[Key])),0), 0), 0)-1)),"")</f>
        <v/>
      </c>
      <c r="AC103" s="116" t="str" cm="1">
        <f t="array" ref="AC103">IFERROR(IF(OR(AB103="Insecta",AB103="Arachnida",AB103="#N/C"),"",INDEX(ClassificationClasses[[Class]:[Suborder]],MATCH(TRUE,ISNUMBER(SEARCH(AB103,ClassificationClasses[Key])),0),MATCH(AB103,INDEX(ClassificationClasses[#Data], MATCH(TRUE,ISNUMBER(SEARCH(AB103,ClassificationClasses[Key])),0), 0), 0)-1)),"")</f>
        <v/>
      </c>
      <c r="AD103" s="116" t="str" cm="1">
        <f t="array" ref="AD103">IFERROR(IF(OR(AC103="Insecta",AC103="Arachnida",AC103="#N/C"),"",INDEX(ClassificationClasses[[Class]:[Suborder]],MATCH(TRUE,ISNUMBER(SEARCH(AC103,ClassificationClasses[Key])),0),MATCH(AC103,INDEX(ClassificationClasses[#Data], MATCH(TRUE,ISNUMBER(SEARCH(AC103,ClassificationClasses[Key])),0), 0), 0)-1)),"")</f>
        <v/>
      </c>
      <c r="AE103" s="18" t="str">
        <f t="shared" si="4"/>
        <v>Insecta.Diptera.Brachycera.#N/C.#N/C.#N/C.#N/C.#N/C.#N/C</v>
      </c>
    </row>
    <row r="104" spans="1:31" x14ac:dyDescent="0.3">
      <c r="A104" s="91">
        <v>103</v>
      </c>
      <c r="B104" s="7">
        <v>44392</v>
      </c>
      <c r="C104" s="92" t="s">
        <v>225</v>
      </c>
      <c r="D104" s="93" t="str">
        <f>HYPERLINK(VLOOKUP(C104,Video_List!$F:$J,5),"video")</f>
        <v>video</v>
      </c>
      <c r="E104" s="94" t="str">
        <f>IFERROR(IF(MATCH(C104,Video_List!$F:$F,)&gt;0,"ok",""),"error")</f>
        <v>ok</v>
      </c>
      <c r="F104" s="92" t="s">
        <v>225</v>
      </c>
      <c r="G104" s="93" t="str">
        <f>HYPERLINK(VLOOKUP(F104,Video_List!$F:$J,5),"video")</f>
        <v>video</v>
      </c>
      <c r="H104" s="94" t="str">
        <f>IFERROR(IF(MATCH(F104,Video_List!$F:$F,)&gt;0,"ok",""),"error")</f>
        <v>ok</v>
      </c>
      <c r="I104" s="17">
        <v>44392.828946759262</v>
      </c>
      <c r="J104" s="8">
        <v>44392.829050925924</v>
      </c>
      <c r="K104" s="15">
        <f t="shared" si="3"/>
        <v>1.0416666191304103E-4</v>
      </c>
      <c r="L104" s="95" t="s">
        <v>32</v>
      </c>
      <c r="M104" s="95" t="s">
        <v>33</v>
      </c>
      <c r="N104" s="96" t="str">
        <f>IF(ISBLANK(C104),"",IF(C104=F104, "1 video",CONCATENATE((+COUNTIFS(Video_List!$C:$C,"&lt;=" &amp;Monitoring!J104)-COUNTIFS(Video_List!$C:$C,"&lt;=" &amp;Monitoring!I104))+1," videos")))</f>
        <v>1 video</v>
      </c>
      <c r="O104" s="29" t="s">
        <v>44</v>
      </c>
      <c r="P104" s="42" t="s">
        <v>37</v>
      </c>
      <c r="Q104" s="42" t="s">
        <v>38</v>
      </c>
      <c r="R104" s="42" t="s">
        <v>39</v>
      </c>
      <c r="S104" s="97" t="str">
        <f>+IFERROR(IF(T104="#N/C","#N/C",IF(U104=0,INDEX(Taxonomy_UniqueValues!D:D,MATCH(U104,Taxonomy_UniqueValues!F:F,0)),INDEX(Taxonomy_UniqueValues!D:D,MATCH(T104,Taxonomy_UniqueValues!E:E,0)))),"#N/C")</f>
        <v>#N/C</v>
      </c>
      <c r="T104" s="42" t="s">
        <v>35</v>
      </c>
      <c r="U104" s="42" t="s">
        <v>35</v>
      </c>
      <c r="V104" s="42" t="s">
        <v>35</v>
      </c>
      <c r="W104" s="42" t="s">
        <v>35</v>
      </c>
      <c r="X104" s="28" t="s">
        <v>35</v>
      </c>
      <c r="Y104" s="69" t="str" cm="1">
        <f t="array" ref="Y104">_xlfn.LET(_xlpm.cls,P104, _xlpm.ord,IFERROR(Q104,"#N/C"), _xlpm.subord,IFERROR(R104,"#N/C"), _xlpm.infr,IFERROR(S104,"#N/C"), _xlpm.sf,IFERROR(T104,"#N/C"), _xlpm.fam,IFERROR(U104,"#N/C"), _xlpm.subfam,IF(TRIM(V104)="-","#N/C",IFERROR(V104,"#N/C")),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_xlpm.fallback,IF(IFERROR(Q104,"#N/C")="#N/C",P104,IF(IFERROR(R104,"#N/C")="#N/C",Q104,IF(IFERROR(S104,"#N/C")="#N/C",R104,IF(IFERROR(T104,"#N/C")="#N/C",S104,IF(IFERROR(U104,"#N/C")="#N/C",T104,IF(IFERROR(V104,"#N/C")="#N/C",U104,"#N/C")))))), _xlpm.finalResult,IF(OR(_xlpm.computedResult="",_xlpm.computedResult="#N/C"),_xlpm.fallback,_xlpm.computedResult), INDEX(_xlpm.finalResult,1))</f>
        <v>Brachycera</v>
      </c>
      <c r="Z104" s="116" t="str" cm="1">
        <f t="array" ref="Z104">IF(OR(Y104="Insecta",Y104="Arachnida",Y104="#N/C"),"",IFERROR(_xlfn.LET(_xlpm.fc,IFERROR(_xlfn._xlws.FILTER(ClassificationClasses[],ClassificationClasses[Classification Class]=Y104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104,ClassificationClasses[Key])),0),MATCH(Y104,INDEX(ClassificationClasses[],MATCH(TRUE,ISNUMBER(SEARCH(Y104,ClassificationClasses[Key])),0),0),0)-1)))</f>
        <v>Diptera</v>
      </c>
      <c r="AA104" s="116" t="str" cm="1">
        <f t="array" ref="AA104">IFERROR(IF(OR(Z104="Insecta",Z104="Arachnida",Z104="#N/C"),"",INDEX(ClassificationClasses[[Class]:[Infraorder]],MATCH(TRUE,ISNUMBER(SEARCH(Z104,ClassificationClasses[Key])),0),MATCH(Z104,INDEX(ClassificationClasses[#Data], MATCH(TRUE,ISNUMBER(SEARCH(Z104,ClassificationClasses[Key])),0), 0), 0)-1)),"")</f>
        <v>Insecta</v>
      </c>
      <c r="AB104" s="116" t="str" cm="1">
        <f t="array" ref="AB104">IFERROR(IF(OR(AA104="Insecta",AA104="Arachnida",AA104="#N/C"),"",INDEX(ClassificationClasses[[Class]:[Suborder]],MATCH(TRUE,ISNUMBER(SEARCH(AA104,ClassificationClasses[Key])),0),MATCH(AA104,INDEX(ClassificationClasses[#Data], MATCH(TRUE,ISNUMBER(SEARCH(AA104,ClassificationClasses[Key])),0), 0), 0)-1)),"")</f>
        <v/>
      </c>
      <c r="AC104" s="116" t="str" cm="1">
        <f t="array" ref="AC104">IFERROR(IF(OR(AB104="Insecta",AB104="Arachnida",AB104="#N/C"),"",INDEX(ClassificationClasses[[Class]:[Suborder]],MATCH(TRUE,ISNUMBER(SEARCH(AB104,ClassificationClasses[Key])),0),MATCH(AB104,INDEX(ClassificationClasses[#Data], MATCH(TRUE,ISNUMBER(SEARCH(AB104,ClassificationClasses[Key])),0), 0), 0)-1)),"")</f>
        <v/>
      </c>
      <c r="AD104" s="116" t="str" cm="1">
        <f t="array" ref="AD104">IFERROR(IF(OR(AC104="Insecta",AC104="Arachnida",AC104="#N/C"),"",INDEX(ClassificationClasses[[Class]:[Suborder]],MATCH(TRUE,ISNUMBER(SEARCH(AC104,ClassificationClasses[Key])),0),MATCH(AC104,INDEX(ClassificationClasses[#Data], MATCH(TRUE,ISNUMBER(SEARCH(AC104,ClassificationClasses[Key])),0), 0), 0)-1)),"")</f>
        <v/>
      </c>
      <c r="AE104" s="18" t="str">
        <f t="shared" si="4"/>
        <v>Insecta.Diptera.Brachycera.#N/C.#N/C.#N/C.#N/C.#N/C.#N/C</v>
      </c>
    </row>
    <row r="105" spans="1:31" x14ac:dyDescent="0.3">
      <c r="A105" s="91">
        <v>104</v>
      </c>
      <c r="B105" s="7">
        <v>44392</v>
      </c>
      <c r="C105" s="92" t="s">
        <v>225</v>
      </c>
      <c r="D105" s="93" t="str">
        <f>HYPERLINK(VLOOKUP(C105,Video_List!$F:$J,5),"video")</f>
        <v>video</v>
      </c>
      <c r="E105" s="94" t="str">
        <f>IFERROR(IF(MATCH(C105,Video_List!$F:$F,)&gt;0,"ok",""),"error")</f>
        <v>ok</v>
      </c>
      <c r="F105" s="92" t="s">
        <v>225</v>
      </c>
      <c r="G105" s="93" t="str">
        <f>HYPERLINK(VLOOKUP(F105,Video_List!$F:$J,5),"video")</f>
        <v>video</v>
      </c>
      <c r="H105" s="94" t="str">
        <f>IFERROR(IF(MATCH(F105,Video_List!$F:$F,)&gt;0,"ok",""),"error")</f>
        <v>ok</v>
      </c>
      <c r="I105" s="17">
        <v>44392.829212962963</v>
      </c>
      <c r="J105" s="8">
        <v>44392.82949074074</v>
      </c>
      <c r="K105" s="15">
        <f t="shared" si="3"/>
        <v>2.7777777722803876E-4</v>
      </c>
      <c r="L105" s="95" t="s">
        <v>32</v>
      </c>
      <c r="M105" s="95" t="s">
        <v>33</v>
      </c>
      <c r="N105" s="96" t="str">
        <f>IF(ISBLANK(C105),"",IF(C105=F105, "1 video",CONCATENATE((+COUNTIFS(Video_List!$C:$C,"&lt;=" &amp;Monitoring!J105)-COUNTIFS(Video_List!$C:$C,"&lt;=" &amp;Monitoring!I105))+1," videos")))</f>
        <v>1 video</v>
      </c>
      <c r="O105" s="29" t="s">
        <v>44</v>
      </c>
      <c r="P105" s="42" t="s">
        <v>37</v>
      </c>
      <c r="Q105" s="42" t="s">
        <v>38</v>
      </c>
      <c r="R105" s="42" t="s">
        <v>39</v>
      </c>
      <c r="S105" s="97" t="str">
        <f>+IFERROR(IF(T105="#N/C","#N/C",IF(U105=0,INDEX(Taxonomy_UniqueValues!D:D,MATCH(U105,Taxonomy_UniqueValues!F:F,0)),INDEX(Taxonomy_UniqueValues!D:D,MATCH(T105,Taxonomy_UniqueValues!E:E,0)))),"#N/C")</f>
        <v>Muscomorpha</v>
      </c>
      <c r="T105" s="42" t="s">
        <v>46</v>
      </c>
      <c r="U105" s="42" t="s">
        <v>47</v>
      </c>
      <c r="V105" s="42" t="s">
        <v>48</v>
      </c>
      <c r="W105" s="42" t="s">
        <v>182</v>
      </c>
      <c r="X105" s="28" t="s">
        <v>35</v>
      </c>
      <c r="Y105" s="69" t="str" cm="1">
        <f t="array" ref="Y105">_xlfn.LET(_xlpm.cls,P105, _xlpm.ord,IFERROR(Q105,"#N/C"), _xlpm.subord,IFERROR(R105,"#N/C"), _xlpm.infr,IFERROR(S105,"#N/C"), _xlpm.sf,IFERROR(T105,"#N/C"), _xlpm.fam,IFERROR(U105,"#N/C"), _xlpm.subfam,IF(TRIM(V105)="-","#N/C",IFERROR(V105,"#N/C")),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_xlpm.fallback,IF(IFERROR(Q105,"#N/C")="#N/C",P105,IF(IFERROR(R105,"#N/C")="#N/C",Q105,IF(IFERROR(S105,"#N/C")="#N/C",R105,IF(IFERROR(T105,"#N/C")="#N/C",S105,IF(IFERROR(U105,"#N/C")="#N/C",T105,IF(IFERROR(V105,"#N/C")="#N/C",U105,"#N/C")))))), _xlpm.finalResult,IF(OR(_xlpm.computedResult="",_xlpm.computedResult="#N/C"),_xlpm.fallback,_xlpm.computedResult), INDEX(_xlpm.finalResult,1))</f>
        <v>hoverfly</v>
      </c>
      <c r="Z105" s="116" t="str" cm="1">
        <f t="array" ref="Z105">IF(OR(Y105="Insecta",Y105="Arachnida",Y105="#N/C"),"",IFERROR(_xlfn.LET(_xlpm.fc,IFERROR(_xlfn._xlws.FILTER(ClassificationClasses[],ClassificationClasses[Classification Class]=Y105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105,ClassificationClasses[Key])),0),MATCH(Y105,INDEX(ClassificationClasses[],MATCH(TRUE,ISNUMBER(SEARCH(Y105,ClassificationClasses[Key])),0),0),0)-1)))</f>
        <v>Muscomorpha</v>
      </c>
      <c r="AA105" s="116" t="str" cm="1">
        <f t="array" ref="AA105">IFERROR(IF(OR(Z105="Insecta",Z105="Arachnida",Z105="#N/C"),"",INDEX(ClassificationClasses[[Class]:[Infraorder]],MATCH(TRUE,ISNUMBER(SEARCH(Z105,ClassificationClasses[Key])),0),MATCH(Z105,INDEX(ClassificationClasses[#Data], MATCH(TRUE,ISNUMBER(SEARCH(Z105,ClassificationClasses[Key])),0), 0), 0)-1)),"")</f>
        <v>Brachycera</v>
      </c>
      <c r="AB105" s="116" t="str" cm="1">
        <f t="array" ref="AB105">IFERROR(IF(OR(AA105="Insecta",AA105="Arachnida",AA105="#N/C"),"",INDEX(ClassificationClasses[[Class]:[Suborder]],MATCH(TRUE,ISNUMBER(SEARCH(AA105,ClassificationClasses[Key])),0),MATCH(AA105,INDEX(ClassificationClasses[#Data], MATCH(TRUE,ISNUMBER(SEARCH(AA105,ClassificationClasses[Key])),0), 0), 0)-1)),"")</f>
        <v>Diptera</v>
      </c>
      <c r="AC105" s="116" t="str" cm="1">
        <f t="array" ref="AC105">IFERROR(IF(OR(AB105="Insecta",AB105="Arachnida",AB105="#N/C"),"",INDEX(ClassificationClasses[[Class]:[Suborder]],MATCH(TRUE,ISNUMBER(SEARCH(AB105,ClassificationClasses[Key])),0),MATCH(AB105,INDEX(ClassificationClasses[#Data], MATCH(TRUE,ISNUMBER(SEARCH(AB105,ClassificationClasses[Key])),0), 0), 0)-1)),"")</f>
        <v>Insecta</v>
      </c>
      <c r="AD105" s="116" t="str" cm="1">
        <f t="array" ref="AD105">IFERROR(IF(OR(AC105="Insecta",AC105="Arachnida",AC105="#N/C"),"",INDEX(ClassificationClasses[[Class]:[Suborder]],MATCH(TRUE,ISNUMBER(SEARCH(AC105,ClassificationClasses[Key])),0),MATCH(AC105,INDEX(ClassificationClasses[#Data], MATCH(TRUE,ISNUMBER(SEARCH(AC105,ClassificationClasses[Key])),0), 0), 0)-1)),"")</f>
        <v/>
      </c>
      <c r="AE105" s="18" t="str">
        <f t="shared" si="4"/>
        <v>Insecta.Diptera.Brachycera.Muscomorpha.Syrphoidea.Syrphidae.Syrphinae.Melanostoma.#N/C</v>
      </c>
    </row>
    <row r="106" spans="1:31" x14ac:dyDescent="0.3">
      <c r="A106" s="91">
        <v>105</v>
      </c>
      <c r="B106" s="7">
        <v>44392</v>
      </c>
      <c r="C106" s="92" t="s">
        <v>226</v>
      </c>
      <c r="D106" s="93" t="str">
        <f>HYPERLINK(VLOOKUP(C106,Video_List!$F:$J,5),"video")</f>
        <v>video</v>
      </c>
      <c r="E106" s="94" t="str">
        <f>IFERROR(IF(MATCH(C106,Video_List!$F:$F,)&gt;0,"ok",""),"error")</f>
        <v>ok</v>
      </c>
      <c r="F106" s="92" t="s">
        <v>226</v>
      </c>
      <c r="G106" s="93" t="str">
        <f>HYPERLINK(VLOOKUP(F106,Video_List!$F:$J,5),"video")</f>
        <v>video</v>
      </c>
      <c r="H106" s="94" t="str">
        <f>IFERROR(IF(MATCH(F106,Video_List!$F:$F,)&gt;0,"ok",""),"error")</f>
        <v>ok</v>
      </c>
      <c r="I106" s="17">
        <v>44392.834745370368</v>
      </c>
      <c r="J106" s="8">
        <v>44392.834791666668</v>
      </c>
      <c r="K106" s="15">
        <f t="shared" si="3"/>
        <v>4.6296299842651933E-5</v>
      </c>
      <c r="L106" s="95" t="s">
        <v>32</v>
      </c>
      <c r="M106" s="95" t="s">
        <v>33</v>
      </c>
      <c r="N106" s="96" t="str">
        <f>IF(ISBLANK(C106),"",IF(C106=F106, "1 video",CONCATENATE((+COUNTIFS(Video_List!$C:$C,"&lt;=" &amp;Monitoring!J106)-COUNTIFS(Video_List!$C:$C,"&lt;=" &amp;Monitoring!I106))+1," videos")))</f>
        <v>1 video</v>
      </c>
      <c r="O106" s="29" t="s">
        <v>44</v>
      </c>
      <c r="P106" s="42" t="s">
        <v>37</v>
      </c>
      <c r="Q106" s="42" t="s">
        <v>38</v>
      </c>
      <c r="R106" s="42" t="s">
        <v>39</v>
      </c>
      <c r="S106" s="97" t="str">
        <f>+IFERROR(IF(T106="#N/C","#N/C",IF(U106=0,INDEX(Taxonomy_UniqueValues!D:D,MATCH(U106,Taxonomy_UniqueValues!F:F,0)),INDEX(Taxonomy_UniqueValues!D:D,MATCH(T106,Taxonomy_UniqueValues!E:E,0)))),"#N/C")</f>
        <v>#N/C</v>
      </c>
      <c r="T106" s="42" t="s">
        <v>35</v>
      </c>
      <c r="U106" s="42" t="s">
        <v>35</v>
      </c>
      <c r="V106" s="42" t="s">
        <v>35</v>
      </c>
      <c r="W106" s="42" t="s">
        <v>35</v>
      </c>
      <c r="X106" s="28" t="s">
        <v>35</v>
      </c>
      <c r="Y106" s="69" t="str" cm="1">
        <f t="array" ref="Y106">_xlfn.LET(_xlpm.cls,P106, _xlpm.ord,IFERROR(Q106,"#N/C"), _xlpm.subord,IFERROR(R106,"#N/C"), _xlpm.infr,IFERROR(S106,"#N/C"), _xlpm.sf,IFERROR(T106,"#N/C"), _xlpm.fam,IFERROR(U106,"#N/C"), _xlpm.subfam,IF(TRIM(V106)="-","#N/C",IFERROR(V106,"#N/C")),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_xlpm.fallback,IF(IFERROR(Q106,"#N/C")="#N/C",P106,IF(IFERROR(R106,"#N/C")="#N/C",Q106,IF(IFERROR(S106,"#N/C")="#N/C",R106,IF(IFERROR(T106,"#N/C")="#N/C",S106,IF(IFERROR(U106,"#N/C")="#N/C",T106,IF(IFERROR(V106,"#N/C")="#N/C",U106,"#N/C")))))), _xlpm.finalResult,IF(OR(_xlpm.computedResult="",_xlpm.computedResult="#N/C"),_xlpm.fallback,_xlpm.computedResult), INDEX(_xlpm.finalResult,1))</f>
        <v>Brachycera</v>
      </c>
      <c r="Z106" s="116" t="str" cm="1">
        <f t="array" ref="Z106">IF(OR(Y106="Insecta",Y106="Arachnida",Y106="#N/C"),"",IFERROR(_xlfn.LET(_xlpm.fc,IFERROR(_xlfn._xlws.FILTER(ClassificationClasses[],ClassificationClasses[Classification Class]=Y106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106,ClassificationClasses[Key])),0),MATCH(Y106,INDEX(ClassificationClasses[],MATCH(TRUE,ISNUMBER(SEARCH(Y106,ClassificationClasses[Key])),0),0),0)-1)))</f>
        <v>Diptera</v>
      </c>
      <c r="AA106" s="116" t="str" cm="1">
        <f t="array" ref="AA106">IFERROR(IF(OR(Z106="Insecta",Z106="Arachnida",Z106="#N/C"),"",INDEX(ClassificationClasses[[Class]:[Infraorder]],MATCH(TRUE,ISNUMBER(SEARCH(Z106,ClassificationClasses[Key])),0),MATCH(Z106,INDEX(ClassificationClasses[#Data], MATCH(TRUE,ISNUMBER(SEARCH(Z106,ClassificationClasses[Key])),0), 0), 0)-1)),"")</f>
        <v>Insecta</v>
      </c>
      <c r="AB106" s="116" t="str" cm="1">
        <f t="array" ref="AB106">IFERROR(IF(OR(AA106="Insecta",AA106="Arachnida",AA106="#N/C"),"",INDEX(ClassificationClasses[[Class]:[Suborder]],MATCH(TRUE,ISNUMBER(SEARCH(AA106,ClassificationClasses[Key])),0),MATCH(AA106,INDEX(ClassificationClasses[#Data], MATCH(TRUE,ISNUMBER(SEARCH(AA106,ClassificationClasses[Key])),0), 0), 0)-1)),"")</f>
        <v/>
      </c>
      <c r="AC106" s="116" t="str" cm="1">
        <f t="array" ref="AC106">IFERROR(IF(OR(AB106="Insecta",AB106="Arachnida",AB106="#N/C"),"",INDEX(ClassificationClasses[[Class]:[Suborder]],MATCH(TRUE,ISNUMBER(SEARCH(AB106,ClassificationClasses[Key])),0),MATCH(AB106,INDEX(ClassificationClasses[#Data], MATCH(TRUE,ISNUMBER(SEARCH(AB106,ClassificationClasses[Key])),0), 0), 0)-1)),"")</f>
        <v/>
      </c>
      <c r="AD106" s="116" t="str" cm="1">
        <f t="array" ref="AD106">IFERROR(IF(OR(AC106="Insecta",AC106="Arachnida",AC106="#N/C"),"",INDEX(ClassificationClasses[[Class]:[Suborder]],MATCH(TRUE,ISNUMBER(SEARCH(AC106,ClassificationClasses[Key])),0),MATCH(AC106,INDEX(ClassificationClasses[#Data], MATCH(TRUE,ISNUMBER(SEARCH(AC106,ClassificationClasses[Key])),0), 0), 0)-1)),"")</f>
        <v/>
      </c>
      <c r="AE106" s="18" t="str">
        <f t="shared" si="4"/>
        <v>Insecta.Diptera.Brachycera.#N/C.#N/C.#N/C.#N/C.#N/C.#N/C</v>
      </c>
    </row>
    <row r="107" spans="1:31" x14ac:dyDescent="0.3">
      <c r="A107" s="91">
        <v>106</v>
      </c>
      <c r="B107" s="7">
        <v>44392</v>
      </c>
      <c r="C107" s="92" t="s">
        <v>227</v>
      </c>
      <c r="D107" s="93" t="str">
        <f>HYPERLINK(VLOOKUP(C107,Video_List!$F:$J,5),"video")</f>
        <v>video</v>
      </c>
      <c r="E107" s="94" t="str">
        <f>IFERROR(IF(MATCH(C107,Video_List!$F:$F,)&gt;0,"ok",""),"error")</f>
        <v>ok</v>
      </c>
      <c r="F107" s="92" t="s">
        <v>227</v>
      </c>
      <c r="G107" s="93" t="str">
        <f>HYPERLINK(VLOOKUP(F107,Video_List!$F:$J,5),"video")</f>
        <v>video</v>
      </c>
      <c r="H107" s="94" t="str">
        <f>IFERROR(IF(MATCH(F107,Video_List!$F:$F,)&gt;0,"ok",""),"error")</f>
        <v>ok</v>
      </c>
      <c r="I107" s="17">
        <v>44392.852881944447</v>
      </c>
      <c r="J107" s="8">
        <v>44392.852951388886</v>
      </c>
      <c r="K107" s="15">
        <f t="shared" si="3"/>
        <v>6.9444438850041479E-5</v>
      </c>
      <c r="L107" s="95" t="s">
        <v>32</v>
      </c>
      <c r="M107" s="95" t="s">
        <v>33</v>
      </c>
      <c r="N107" s="96" t="str">
        <f>IF(ISBLANK(C107),"",IF(C107=F107, "1 video",CONCATENATE((+COUNTIFS(Video_List!$C:$C,"&lt;=" &amp;Monitoring!J107)-COUNTIFS(Video_List!$C:$C,"&lt;=" &amp;Monitoring!I107))+1," videos")))</f>
        <v>1 video</v>
      </c>
      <c r="O107" s="29" t="s">
        <v>44</v>
      </c>
      <c r="P107" s="42" t="s">
        <v>37</v>
      </c>
      <c r="Q107" s="42" t="s">
        <v>38</v>
      </c>
      <c r="R107" s="42" t="s">
        <v>39</v>
      </c>
      <c r="S107" s="97" t="str">
        <f>+IFERROR(IF(T107="#N/C","#N/C",IF(U107=0,INDEX(Taxonomy_UniqueValues!D:D,MATCH(U107,Taxonomy_UniqueValues!F:F,0)),INDEX(Taxonomy_UniqueValues!D:D,MATCH(T107,Taxonomy_UniqueValues!E:E,0)))),"#N/C")</f>
        <v>#N/C</v>
      </c>
      <c r="T107" s="42" t="s">
        <v>35</v>
      </c>
      <c r="U107" s="42" t="s">
        <v>35</v>
      </c>
      <c r="V107" s="42" t="s">
        <v>35</v>
      </c>
      <c r="W107" s="42" t="s">
        <v>35</v>
      </c>
      <c r="X107" s="28" t="s">
        <v>35</v>
      </c>
      <c r="Y107" s="69" t="str" cm="1">
        <f t="array" ref="Y107">_xlfn.LET(_xlpm.cls,P107, _xlpm.ord,IFERROR(Q107,"#N/C"), _xlpm.subord,IFERROR(R107,"#N/C"), _xlpm.infr,IFERROR(S107,"#N/C"), _xlpm.sf,IFERROR(T107,"#N/C"), _xlpm.fam,IFERROR(U107,"#N/C"), _xlpm.subfam,IF(TRIM(V107)="-","#N/C",IFERROR(V107,"#N/C")),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_xlpm.fallback,IF(IFERROR(Q107,"#N/C")="#N/C",P107,IF(IFERROR(R107,"#N/C")="#N/C",Q107,IF(IFERROR(S107,"#N/C")="#N/C",R107,IF(IFERROR(T107,"#N/C")="#N/C",S107,IF(IFERROR(U107,"#N/C")="#N/C",T107,IF(IFERROR(V107,"#N/C")="#N/C",U107,"#N/C")))))), _xlpm.finalResult,IF(OR(_xlpm.computedResult="",_xlpm.computedResult="#N/C"),_xlpm.fallback,_xlpm.computedResult), INDEX(_xlpm.finalResult,1))</f>
        <v>Brachycera</v>
      </c>
      <c r="Z107" s="116" t="str" cm="1">
        <f t="array" ref="Z107">IF(OR(Y107="Insecta",Y107="Arachnida",Y107="#N/C"),"",IFERROR(_xlfn.LET(_xlpm.fc,IFERROR(_xlfn._xlws.FILTER(ClassificationClasses[],ClassificationClasses[Classification Class]=Y107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107,ClassificationClasses[Key])),0),MATCH(Y107,INDEX(ClassificationClasses[],MATCH(TRUE,ISNUMBER(SEARCH(Y107,ClassificationClasses[Key])),0),0),0)-1)))</f>
        <v>Diptera</v>
      </c>
      <c r="AA107" s="116" t="str" cm="1">
        <f t="array" ref="AA107">IFERROR(IF(OR(Z107="Insecta",Z107="Arachnida",Z107="#N/C"),"",INDEX(ClassificationClasses[[Class]:[Infraorder]],MATCH(TRUE,ISNUMBER(SEARCH(Z107,ClassificationClasses[Key])),0),MATCH(Z107,INDEX(ClassificationClasses[#Data], MATCH(TRUE,ISNUMBER(SEARCH(Z107,ClassificationClasses[Key])),0), 0), 0)-1)),"")</f>
        <v>Insecta</v>
      </c>
      <c r="AB107" s="116" t="str" cm="1">
        <f t="array" ref="AB107">IFERROR(IF(OR(AA107="Insecta",AA107="Arachnida",AA107="#N/C"),"",INDEX(ClassificationClasses[[Class]:[Suborder]],MATCH(TRUE,ISNUMBER(SEARCH(AA107,ClassificationClasses[Key])),0),MATCH(AA107,INDEX(ClassificationClasses[#Data], MATCH(TRUE,ISNUMBER(SEARCH(AA107,ClassificationClasses[Key])),0), 0), 0)-1)),"")</f>
        <v/>
      </c>
      <c r="AC107" s="116" t="str" cm="1">
        <f t="array" ref="AC107">IFERROR(IF(OR(AB107="Insecta",AB107="Arachnida",AB107="#N/C"),"",INDEX(ClassificationClasses[[Class]:[Suborder]],MATCH(TRUE,ISNUMBER(SEARCH(AB107,ClassificationClasses[Key])),0),MATCH(AB107,INDEX(ClassificationClasses[#Data], MATCH(TRUE,ISNUMBER(SEARCH(AB107,ClassificationClasses[Key])),0), 0), 0)-1)),"")</f>
        <v/>
      </c>
      <c r="AD107" s="116" t="str" cm="1">
        <f t="array" ref="AD107">IFERROR(IF(OR(AC107="Insecta",AC107="Arachnida",AC107="#N/C"),"",INDEX(ClassificationClasses[[Class]:[Suborder]],MATCH(TRUE,ISNUMBER(SEARCH(AC107,ClassificationClasses[Key])),0),MATCH(AC107,INDEX(ClassificationClasses[#Data], MATCH(TRUE,ISNUMBER(SEARCH(AC107,ClassificationClasses[Key])),0), 0), 0)-1)),"")</f>
        <v/>
      </c>
      <c r="AE107" s="18" t="str">
        <f t="shared" si="4"/>
        <v>Insecta.Diptera.Brachycera.#N/C.#N/C.#N/C.#N/C.#N/C.#N/C</v>
      </c>
    </row>
    <row r="108" spans="1:31" x14ac:dyDescent="0.3">
      <c r="A108" s="91">
        <v>107</v>
      </c>
      <c r="B108" s="7">
        <v>44392</v>
      </c>
      <c r="C108" s="92" t="s">
        <v>228</v>
      </c>
      <c r="D108" s="93" t="str">
        <f>HYPERLINK(VLOOKUP(C108,Video_List!$F:$J,5),"video")</f>
        <v>video</v>
      </c>
      <c r="E108" s="94" t="str">
        <f>IFERROR(IF(MATCH(C108,Video_List!$F:$F,)&gt;0,"ok",""),"error")</f>
        <v>ok</v>
      </c>
      <c r="F108" s="92" t="s">
        <v>228</v>
      </c>
      <c r="G108" s="93" t="str">
        <f>HYPERLINK(VLOOKUP(F108,Video_List!$F:$J,5),"video")</f>
        <v>video</v>
      </c>
      <c r="H108" s="94" t="str">
        <f>IFERROR(IF(MATCH(F108,Video_List!$F:$F,)&gt;0,"ok",""),"error")</f>
        <v>ok</v>
      </c>
      <c r="I108" s="17">
        <v>44392.865370370368</v>
      </c>
      <c r="J108" s="8">
        <v>44392.865451388891</v>
      </c>
      <c r="K108" s="15">
        <f t="shared" si="3"/>
        <v>8.101852290565148E-5</v>
      </c>
      <c r="L108" s="95" t="s">
        <v>32</v>
      </c>
      <c r="M108" s="95" t="s">
        <v>33</v>
      </c>
      <c r="N108" s="96" t="str">
        <f>IF(ISBLANK(C108),"",IF(C108=F108, "1 video",CONCATENATE((+COUNTIFS(Video_List!$C:$C,"&lt;=" &amp;Monitoring!J108)-COUNTIFS(Video_List!$C:$C,"&lt;=" &amp;Monitoring!I108))+1," videos")))</f>
        <v>1 video</v>
      </c>
      <c r="O108" s="29" t="s">
        <v>44</v>
      </c>
      <c r="P108" s="42" t="s">
        <v>37</v>
      </c>
      <c r="Q108" s="42" t="s">
        <v>38</v>
      </c>
      <c r="R108" s="42" t="s">
        <v>39</v>
      </c>
      <c r="S108" s="97" t="str">
        <f>+IFERROR(IF(T108="#N/C","#N/C",IF(U108=0,INDEX(Taxonomy_UniqueValues!D:D,MATCH(U108,Taxonomy_UniqueValues!F:F,0)),INDEX(Taxonomy_UniqueValues!D:D,MATCH(T108,Taxonomy_UniqueValues!E:E,0)))),"#N/C")</f>
        <v>#N/C</v>
      </c>
      <c r="T108" s="42" t="s">
        <v>35</v>
      </c>
      <c r="U108" s="42" t="s">
        <v>35</v>
      </c>
      <c r="V108" s="42" t="s">
        <v>35</v>
      </c>
      <c r="W108" s="42" t="s">
        <v>35</v>
      </c>
      <c r="X108" s="28" t="s">
        <v>35</v>
      </c>
      <c r="Y108" s="69" t="str" cm="1">
        <f t="array" ref="Y108">_xlfn.LET(_xlpm.cls,P108, _xlpm.ord,IFERROR(Q108,"#N/C"), _xlpm.subord,IFERROR(R108,"#N/C"), _xlpm.infr,IFERROR(S108,"#N/C"), _xlpm.sf,IFERROR(T108,"#N/C"), _xlpm.fam,IFERROR(U108,"#N/C"), _xlpm.subfam,IF(TRIM(V108)="-","#N/C",IFERROR(V108,"#N/C")),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_xlpm.fallback,IF(IFERROR(Q108,"#N/C")="#N/C",P108,IF(IFERROR(R108,"#N/C")="#N/C",Q108,IF(IFERROR(S108,"#N/C")="#N/C",R108,IF(IFERROR(T108,"#N/C")="#N/C",S108,IF(IFERROR(U108,"#N/C")="#N/C",T108,IF(IFERROR(V108,"#N/C")="#N/C",U108,"#N/C")))))), _xlpm.finalResult,IF(OR(_xlpm.computedResult="",_xlpm.computedResult="#N/C"),_xlpm.fallback,_xlpm.computedResult), INDEX(_xlpm.finalResult,1))</f>
        <v>Brachycera</v>
      </c>
      <c r="Z108" s="116" t="str" cm="1">
        <f t="array" ref="Z108">IF(OR(Y108="Insecta",Y108="Arachnida",Y108="#N/C"),"",IFERROR(_xlfn.LET(_xlpm.fc,IFERROR(_xlfn._xlws.FILTER(ClassificationClasses[],ClassificationClasses[Classification Class]=Y108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108,ClassificationClasses[Key])),0),MATCH(Y108,INDEX(ClassificationClasses[],MATCH(TRUE,ISNUMBER(SEARCH(Y108,ClassificationClasses[Key])),0),0),0)-1)))</f>
        <v>Diptera</v>
      </c>
      <c r="AA108" s="116" t="str" cm="1">
        <f t="array" ref="AA108">IFERROR(IF(OR(Z108="Insecta",Z108="Arachnida",Z108="#N/C"),"",INDEX(ClassificationClasses[[Class]:[Infraorder]],MATCH(TRUE,ISNUMBER(SEARCH(Z108,ClassificationClasses[Key])),0),MATCH(Z108,INDEX(ClassificationClasses[#Data], MATCH(TRUE,ISNUMBER(SEARCH(Z108,ClassificationClasses[Key])),0), 0), 0)-1)),"")</f>
        <v>Insecta</v>
      </c>
      <c r="AB108" s="116" t="str" cm="1">
        <f t="array" ref="AB108">IFERROR(IF(OR(AA108="Insecta",AA108="Arachnida",AA108="#N/C"),"",INDEX(ClassificationClasses[[Class]:[Suborder]],MATCH(TRUE,ISNUMBER(SEARCH(AA108,ClassificationClasses[Key])),0),MATCH(AA108,INDEX(ClassificationClasses[#Data], MATCH(TRUE,ISNUMBER(SEARCH(AA108,ClassificationClasses[Key])),0), 0), 0)-1)),"")</f>
        <v/>
      </c>
      <c r="AC108" s="116" t="str" cm="1">
        <f t="array" ref="AC108">IFERROR(IF(OR(AB108="Insecta",AB108="Arachnida",AB108="#N/C"),"",INDEX(ClassificationClasses[[Class]:[Suborder]],MATCH(TRUE,ISNUMBER(SEARCH(AB108,ClassificationClasses[Key])),0),MATCH(AB108,INDEX(ClassificationClasses[#Data], MATCH(TRUE,ISNUMBER(SEARCH(AB108,ClassificationClasses[Key])),0), 0), 0)-1)),"")</f>
        <v/>
      </c>
      <c r="AD108" s="116" t="str" cm="1">
        <f t="array" ref="AD108">IFERROR(IF(OR(AC108="Insecta",AC108="Arachnida",AC108="#N/C"),"",INDEX(ClassificationClasses[[Class]:[Suborder]],MATCH(TRUE,ISNUMBER(SEARCH(AC108,ClassificationClasses[Key])),0),MATCH(AC108,INDEX(ClassificationClasses[#Data], MATCH(TRUE,ISNUMBER(SEARCH(AC108,ClassificationClasses[Key])),0), 0), 0)-1)),"")</f>
        <v/>
      </c>
      <c r="AE108" s="18" t="str">
        <f t="shared" si="4"/>
        <v>Insecta.Diptera.Brachycera.#N/C.#N/C.#N/C.#N/C.#N/C.#N/C</v>
      </c>
    </row>
    <row r="109" spans="1:31" x14ac:dyDescent="0.3">
      <c r="A109" s="91">
        <v>108</v>
      </c>
      <c r="B109" s="7">
        <v>44392</v>
      </c>
      <c r="C109" s="92" t="s">
        <v>229</v>
      </c>
      <c r="D109" s="93" t="str">
        <f>HYPERLINK(VLOOKUP(C109,Video_List!$F:$J,5),"video")</f>
        <v>video</v>
      </c>
      <c r="E109" s="94" t="str">
        <f>IFERROR(IF(MATCH(C109,Video_List!$F:$F,)&gt;0,"ok",""),"error")</f>
        <v>ok</v>
      </c>
      <c r="F109" s="92" t="s">
        <v>230</v>
      </c>
      <c r="G109" s="93" t="str">
        <f>HYPERLINK(VLOOKUP(F109,Video_List!$F:$J,5),"video")</f>
        <v>video</v>
      </c>
      <c r="H109" s="94" t="str">
        <f>IFERROR(IF(MATCH(F109,Video_List!$F:$F,)&gt;0,"ok",""),"error")</f>
        <v>ok</v>
      </c>
      <c r="I109" s="17">
        <v>44392.878738425927</v>
      </c>
      <c r="J109" s="8">
        <v>44392.879432870373</v>
      </c>
      <c r="K109" s="15">
        <f t="shared" si="3"/>
        <v>6.944444467080757E-4</v>
      </c>
      <c r="L109" s="95" t="s">
        <v>32</v>
      </c>
      <c r="M109" s="95" t="s">
        <v>33</v>
      </c>
      <c r="N109" s="96" t="str">
        <f>IF(ISBLANK(C109),"",IF(C109=F109, "1 video",CONCATENATE((+COUNTIFS(Video_List!$C:$C,"&lt;=" &amp;Monitoring!J109)-COUNTIFS(Video_List!$C:$C,"&lt;=" &amp;Monitoring!I109))+1," videos")))</f>
        <v>2 videos</v>
      </c>
      <c r="O109" s="27" t="s">
        <v>32</v>
      </c>
      <c r="P109" s="42" t="s">
        <v>37</v>
      </c>
      <c r="Q109" s="42" t="s">
        <v>38</v>
      </c>
      <c r="R109" s="42" t="s">
        <v>39</v>
      </c>
      <c r="S109" s="97" t="str">
        <f>+IFERROR(IF(T109="#N/C","#N/C",IF(U109=0,INDEX(Taxonomy_UniqueValues!D:D,MATCH(U109,Taxonomy_UniqueValues!F:F,0)),INDEX(Taxonomy_UniqueValues!D:D,MATCH(T109,Taxonomy_UniqueValues!E:E,0)))),"#N/C")</f>
        <v>Muscomorpha</v>
      </c>
      <c r="T109" s="42" t="s">
        <v>175</v>
      </c>
      <c r="U109" s="42" t="s">
        <v>35</v>
      </c>
      <c r="V109" s="42" t="s">
        <v>35</v>
      </c>
      <c r="W109" s="42" t="s">
        <v>35</v>
      </c>
      <c r="X109" s="28" t="s">
        <v>35</v>
      </c>
      <c r="Y109" s="69" t="str" cm="1">
        <f t="array" ref="Y109">_xlfn.LET(_xlpm.cls,P109, _xlpm.ord,IFERROR(Q109,"#N/C"), _xlpm.subord,IFERROR(R109,"#N/C"), _xlpm.infr,IFERROR(S109,"#N/C"), _xlpm.sf,IFERROR(T109,"#N/C"), _xlpm.fam,IFERROR(U109,"#N/C"), _xlpm.subfam,IF(TRIM(V109)="-","#N/C",IFERROR(V109,"#N/C")),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_xlpm.fallback,IF(IFERROR(Q109,"#N/C")="#N/C",P109,IF(IFERROR(R109,"#N/C")="#N/C",Q109,IF(IFERROR(S109,"#N/C")="#N/C",R109,IF(IFERROR(T109,"#N/C")="#N/C",S109,IF(IFERROR(U109,"#N/C")="#N/C",T109,IF(IFERROR(V109,"#N/C")="#N/C",U109,"#N/C")))))), _xlpm.finalResult,IF(OR(_xlpm.computedResult="",_xlpm.computedResult="#N/C"),_xlpm.fallback,_xlpm.computedResult), INDEX(_xlpm.finalResult,1))</f>
        <v>Muscoidea</v>
      </c>
      <c r="Z109" s="116" t="str" cm="1">
        <f t="array" ref="Z109">IF(OR(Y109="Insecta",Y109="Arachnida",Y109="#N/C"),"",IFERROR(_xlfn.LET(_xlpm.fc,IFERROR(_xlfn._xlws.FILTER(ClassificationClasses[],ClassificationClasses[Classification Class]=Y109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109,ClassificationClasses[Key])),0),MATCH(Y109,INDEX(ClassificationClasses[],MATCH(TRUE,ISNUMBER(SEARCH(Y109,ClassificationClasses[Key])),0),0),0)-1)))</f>
        <v>Muscomorpha</v>
      </c>
      <c r="AA109" s="116" t="str" cm="1">
        <f t="array" ref="AA109">IFERROR(IF(OR(Z109="Insecta",Z109="Arachnida",Z109="#N/C"),"",INDEX(ClassificationClasses[[Class]:[Infraorder]],MATCH(TRUE,ISNUMBER(SEARCH(Z109,ClassificationClasses[Key])),0),MATCH(Z109,INDEX(ClassificationClasses[#Data], MATCH(TRUE,ISNUMBER(SEARCH(Z109,ClassificationClasses[Key])),0), 0), 0)-1)),"")</f>
        <v>Brachycera</v>
      </c>
      <c r="AB109" s="116" t="str" cm="1">
        <f t="array" ref="AB109">IFERROR(IF(OR(AA109="Insecta",AA109="Arachnida",AA109="#N/C"),"",INDEX(ClassificationClasses[[Class]:[Suborder]],MATCH(TRUE,ISNUMBER(SEARCH(AA109,ClassificationClasses[Key])),0),MATCH(AA109,INDEX(ClassificationClasses[#Data], MATCH(TRUE,ISNUMBER(SEARCH(AA109,ClassificationClasses[Key])),0), 0), 0)-1)),"")</f>
        <v>Diptera</v>
      </c>
      <c r="AC109" s="116" t="str" cm="1">
        <f t="array" ref="AC109">IFERROR(IF(OR(AB109="Insecta",AB109="Arachnida",AB109="#N/C"),"",INDEX(ClassificationClasses[[Class]:[Suborder]],MATCH(TRUE,ISNUMBER(SEARCH(AB109,ClassificationClasses[Key])),0),MATCH(AB109,INDEX(ClassificationClasses[#Data], MATCH(TRUE,ISNUMBER(SEARCH(AB109,ClassificationClasses[Key])),0), 0), 0)-1)),"")</f>
        <v>Insecta</v>
      </c>
      <c r="AD109" s="116" t="str" cm="1">
        <f t="array" ref="AD109">IFERROR(IF(OR(AC109="Insecta",AC109="Arachnida",AC109="#N/C"),"",INDEX(ClassificationClasses[[Class]:[Suborder]],MATCH(TRUE,ISNUMBER(SEARCH(AC109,ClassificationClasses[Key])),0),MATCH(AC109,INDEX(ClassificationClasses[#Data], MATCH(TRUE,ISNUMBER(SEARCH(AC109,ClassificationClasses[Key])),0), 0), 0)-1)),"")</f>
        <v/>
      </c>
      <c r="AE109" s="18" t="str">
        <f t="shared" si="4"/>
        <v>Insecta.Diptera.Brachycera.Muscomorpha.Muscoidea.#N/C.#N/C.#N/C.#N/C</v>
      </c>
    </row>
    <row r="110" spans="1:31" x14ac:dyDescent="0.3">
      <c r="A110" s="91">
        <v>109</v>
      </c>
      <c r="B110" s="7">
        <v>44392</v>
      </c>
      <c r="C110" s="92" t="s">
        <v>231</v>
      </c>
      <c r="D110" s="93" t="str">
        <f>HYPERLINK(VLOOKUP(C110,Video_List!$F:$J,5),"video")</f>
        <v>video</v>
      </c>
      <c r="E110" s="94" t="str">
        <f>IFERROR(IF(MATCH(C110,Video_List!$F:$F,)&gt;0,"ok",""),"error")</f>
        <v>ok</v>
      </c>
      <c r="F110" s="92" t="s">
        <v>231</v>
      </c>
      <c r="G110" s="93" t="str">
        <f>HYPERLINK(VLOOKUP(F110,Video_List!$F:$J,5),"video")</f>
        <v>video</v>
      </c>
      <c r="H110" s="94" t="str">
        <f>IFERROR(IF(MATCH(F110,Video_List!$F:$F,)&gt;0,"ok",""),"error")</f>
        <v>ok</v>
      </c>
      <c r="I110" s="17">
        <v>44392.881307870368</v>
      </c>
      <c r="J110" s="8">
        <v>44392.881354166668</v>
      </c>
      <c r="K110" s="15">
        <f t="shared" si="3"/>
        <v>4.6296299842651933E-5</v>
      </c>
      <c r="L110" s="95" t="s">
        <v>32</v>
      </c>
      <c r="M110" s="95" t="s">
        <v>33</v>
      </c>
      <c r="N110" s="96" t="str">
        <f>IF(ISBLANK(C110),"",IF(C110=F110, "1 video",CONCATENATE((+COUNTIFS(Video_List!$C:$C,"&lt;=" &amp;Monitoring!J110)-COUNTIFS(Video_List!$C:$C,"&lt;=" &amp;Monitoring!I110))+1," videos")))</f>
        <v>1 video</v>
      </c>
      <c r="O110" s="29" t="s">
        <v>44</v>
      </c>
      <c r="P110" s="42" t="s">
        <v>37</v>
      </c>
      <c r="Q110" s="42" t="s">
        <v>38</v>
      </c>
      <c r="R110" s="42" t="s">
        <v>39</v>
      </c>
      <c r="S110" s="97" t="str">
        <f>+IFERROR(IF(T110="#N/C","#N/C",IF(U110=0,INDEX(Taxonomy_UniqueValues!D:D,MATCH(U110,Taxonomy_UniqueValues!F:F,0)),INDEX(Taxonomy_UniqueValues!D:D,MATCH(T110,Taxonomy_UniqueValues!E:E,0)))),"#N/C")</f>
        <v>#N/C</v>
      </c>
      <c r="T110" s="42" t="s">
        <v>35</v>
      </c>
      <c r="U110" s="42" t="s">
        <v>35</v>
      </c>
      <c r="V110" s="42" t="s">
        <v>35</v>
      </c>
      <c r="W110" s="42" t="s">
        <v>35</v>
      </c>
      <c r="X110" s="28" t="s">
        <v>35</v>
      </c>
      <c r="Y110" s="69" t="str" cm="1">
        <f t="array" ref="Y110">_xlfn.LET(_xlpm.cls,P110, _xlpm.ord,IFERROR(Q110,"#N/C"), _xlpm.subord,IFERROR(R110,"#N/C"), _xlpm.infr,IFERROR(S110,"#N/C"), _xlpm.sf,IFERROR(T110,"#N/C"), _xlpm.fam,IFERROR(U110,"#N/C"), _xlpm.subfam,IF(TRIM(V110)="-","#N/C",IFERROR(V110,"#N/C")),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_xlpm.fallback,IF(IFERROR(Q110,"#N/C")="#N/C",P110,IF(IFERROR(R110,"#N/C")="#N/C",Q110,IF(IFERROR(S110,"#N/C")="#N/C",R110,IF(IFERROR(T110,"#N/C")="#N/C",S110,IF(IFERROR(U110,"#N/C")="#N/C",T110,IF(IFERROR(V110,"#N/C")="#N/C",U110,"#N/C")))))), _xlpm.finalResult,IF(OR(_xlpm.computedResult="",_xlpm.computedResult="#N/C"),_xlpm.fallback,_xlpm.computedResult), INDEX(_xlpm.finalResult,1))</f>
        <v>Brachycera</v>
      </c>
      <c r="Z110" s="116" t="str" cm="1">
        <f t="array" ref="Z110">IF(OR(Y110="Insecta",Y110="Arachnida",Y110="#N/C"),"",IFERROR(_xlfn.LET(_xlpm.fc,IFERROR(_xlfn._xlws.FILTER(ClassificationClasses[],ClassificationClasses[Classification Class]=Y110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110,ClassificationClasses[Key])),0),MATCH(Y110,INDEX(ClassificationClasses[],MATCH(TRUE,ISNUMBER(SEARCH(Y110,ClassificationClasses[Key])),0),0),0)-1)))</f>
        <v>Diptera</v>
      </c>
      <c r="AA110" s="116" t="str" cm="1">
        <f t="array" ref="AA110">IFERROR(IF(OR(Z110="Insecta",Z110="Arachnida",Z110="#N/C"),"",INDEX(ClassificationClasses[[Class]:[Infraorder]],MATCH(TRUE,ISNUMBER(SEARCH(Z110,ClassificationClasses[Key])),0),MATCH(Z110,INDEX(ClassificationClasses[#Data], MATCH(TRUE,ISNUMBER(SEARCH(Z110,ClassificationClasses[Key])),0), 0), 0)-1)),"")</f>
        <v>Insecta</v>
      </c>
      <c r="AB110" s="116" t="str" cm="1">
        <f t="array" ref="AB110">IFERROR(IF(OR(AA110="Insecta",AA110="Arachnida",AA110="#N/C"),"",INDEX(ClassificationClasses[[Class]:[Suborder]],MATCH(TRUE,ISNUMBER(SEARCH(AA110,ClassificationClasses[Key])),0),MATCH(AA110,INDEX(ClassificationClasses[#Data], MATCH(TRUE,ISNUMBER(SEARCH(AA110,ClassificationClasses[Key])),0), 0), 0)-1)),"")</f>
        <v/>
      </c>
      <c r="AC110" s="116" t="str" cm="1">
        <f t="array" ref="AC110">IFERROR(IF(OR(AB110="Insecta",AB110="Arachnida",AB110="#N/C"),"",INDEX(ClassificationClasses[[Class]:[Suborder]],MATCH(TRUE,ISNUMBER(SEARCH(AB110,ClassificationClasses[Key])),0),MATCH(AB110,INDEX(ClassificationClasses[#Data], MATCH(TRUE,ISNUMBER(SEARCH(AB110,ClassificationClasses[Key])),0), 0), 0)-1)),"")</f>
        <v/>
      </c>
      <c r="AD110" s="116" t="str" cm="1">
        <f t="array" ref="AD110">IFERROR(IF(OR(AC110="Insecta",AC110="Arachnida",AC110="#N/C"),"",INDEX(ClassificationClasses[[Class]:[Suborder]],MATCH(TRUE,ISNUMBER(SEARCH(AC110,ClassificationClasses[Key])),0),MATCH(AC110,INDEX(ClassificationClasses[#Data], MATCH(TRUE,ISNUMBER(SEARCH(AC110,ClassificationClasses[Key])),0), 0), 0)-1)),"")</f>
        <v/>
      </c>
      <c r="AE110" s="18" t="str">
        <f t="shared" si="4"/>
        <v>Insecta.Diptera.Brachycera.#N/C.#N/C.#N/C.#N/C.#N/C.#N/C</v>
      </c>
    </row>
    <row r="111" spans="1:31" x14ac:dyDescent="0.3">
      <c r="A111" s="91">
        <v>110</v>
      </c>
      <c r="B111" s="7">
        <v>44392</v>
      </c>
      <c r="C111" s="92" t="s">
        <v>232</v>
      </c>
      <c r="D111" s="93" t="str">
        <f>HYPERLINK(VLOOKUP(C111,Video_List!$F:$J,5),"video")</f>
        <v>video</v>
      </c>
      <c r="E111" s="94" t="str">
        <f>IFERROR(IF(MATCH(C111,Video_List!$F:$F,)&gt;0,"ok",""),"error")</f>
        <v>ok</v>
      </c>
      <c r="F111" s="92" t="s">
        <v>232</v>
      </c>
      <c r="G111" s="93" t="str">
        <f>HYPERLINK(VLOOKUP(F111,Video_List!$F:$J,5),"video")</f>
        <v>video</v>
      </c>
      <c r="H111" s="94" t="str">
        <f>IFERROR(IF(MATCH(F111,Video_List!$F:$F,)&gt;0,"ok",""),"error")</f>
        <v>ok</v>
      </c>
      <c r="I111" s="17">
        <v>44392.888032407405</v>
      </c>
      <c r="J111" s="8">
        <v>44392.888333333336</v>
      </c>
      <c r="K111" s="15">
        <f t="shared" si="3"/>
        <v>3.0092593078734353E-4</v>
      </c>
      <c r="L111" s="95" t="s">
        <v>32</v>
      </c>
      <c r="M111" s="95" t="s">
        <v>33</v>
      </c>
      <c r="N111" s="96" t="str">
        <f>IF(ISBLANK(C111),"",IF(C111=F111, "1 video",CONCATENATE((+COUNTIFS(Video_List!$C:$C,"&lt;=" &amp;Monitoring!J111)-COUNTIFS(Video_List!$C:$C,"&lt;=" &amp;Monitoring!I111))+1," videos")))</f>
        <v>1 video</v>
      </c>
      <c r="O111" s="27" t="s">
        <v>32</v>
      </c>
      <c r="P111" s="42" t="s">
        <v>37</v>
      </c>
      <c r="Q111" s="42" t="s">
        <v>38</v>
      </c>
      <c r="R111" s="42" t="s">
        <v>39</v>
      </c>
      <c r="S111" s="97" t="str">
        <f>+IFERROR(IF(T111="#N/C","#N/C",IF(U111=0,INDEX(Taxonomy_UniqueValues!D:D,MATCH(U111,Taxonomy_UniqueValues!F:F,0)),INDEX(Taxonomy_UniqueValues!D:D,MATCH(T111,Taxonomy_UniqueValues!E:E,0)))),"#N/C")</f>
        <v>Muscomorpha</v>
      </c>
      <c r="T111" s="42" t="s">
        <v>233</v>
      </c>
      <c r="U111" s="42" t="s">
        <v>234</v>
      </c>
      <c r="V111" s="42" t="s">
        <v>35</v>
      </c>
      <c r="W111" s="42" t="s">
        <v>35</v>
      </c>
      <c r="X111" s="28" t="s">
        <v>35</v>
      </c>
      <c r="Y111" s="69" t="str" cm="1">
        <f t="array" ref="Y111">_xlfn.LET(_xlpm.cls,P111, _xlpm.ord,IFERROR(Q111,"#N/C"), _xlpm.subord,IFERROR(R111,"#N/C"), _xlpm.infr,IFERROR(S111,"#N/C"), _xlpm.sf,IFERROR(T111,"#N/C"), _xlpm.fam,IFERROR(U111,"#N/C"), _xlpm.subfam,IF(TRIM(V111)="-","#N/C",IFERROR(V111,"#N/C")),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_xlpm.fallback,IF(IFERROR(Q111,"#N/C")="#N/C",P111,IF(IFERROR(R111,"#N/C")="#N/C",Q111,IF(IFERROR(S111,"#N/C")="#N/C",R111,IF(IFERROR(T111,"#N/C")="#N/C",S111,IF(IFERROR(U111,"#N/C")="#N/C",T111,IF(IFERROR(V111,"#N/C")="#N/C",U111,"#N/C")))))), _xlpm.finalResult,IF(OR(_xlpm.computedResult="",_xlpm.computedResult="#N/C"),_xlpm.fallback,_xlpm.computedResult), INDEX(_xlpm.finalResult,1))</f>
        <v>fly</v>
      </c>
      <c r="Z111" s="116" t="str" cm="1">
        <f t="array" ref="Z111">IF(OR(Y111="Insecta",Y111="Arachnida",Y111="#N/C"),"",IFERROR(_xlfn.LET(_xlpm.fc,IFERROR(_xlfn._xlws.FILTER(ClassificationClasses[],ClassificationClasses[Classification Class]=Y111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111,ClassificationClasses[Key])),0),MATCH(Y111,INDEX(ClassificationClasses[],MATCH(TRUE,ISNUMBER(SEARCH(Y111,ClassificationClasses[Key])),0),0),0)-1)))</f>
        <v>Muscomorpha</v>
      </c>
      <c r="AA111" s="116" t="str" cm="1">
        <f t="array" ref="AA111">IFERROR(IF(OR(Z111="Insecta",Z111="Arachnida",Z111="#N/C"),"",INDEX(ClassificationClasses[[Class]:[Infraorder]],MATCH(TRUE,ISNUMBER(SEARCH(Z111,ClassificationClasses[Key])),0),MATCH(Z111,INDEX(ClassificationClasses[#Data], MATCH(TRUE,ISNUMBER(SEARCH(Z111,ClassificationClasses[Key])),0), 0), 0)-1)),"")</f>
        <v>Brachycera</v>
      </c>
      <c r="AB111" s="116" t="str" cm="1">
        <f t="array" ref="AB111">IFERROR(IF(OR(AA111="Insecta",AA111="Arachnida",AA111="#N/C"),"",INDEX(ClassificationClasses[[Class]:[Suborder]],MATCH(TRUE,ISNUMBER(SEARCH(AA111,ClassificationClasses[Key])),0),MATCH(AA111,INDEX(ClassificationClasses[#Data], MATCH(TRUE,ISNUMBER(SEARCH(AA111,ClassificationClasses[Key])),0), 0), 0)-1)),"")</f>
        <v>Diptera</v>
      </c>
      <c r="AC111" s="116" t="str" cm="1">
        <f t="array" ref="AC111">IFERROR(IF(OR(AB111="Insecta",AB111="Arachnida",AB111="#N/C"),"",INDEX(ClassificationClasses[[Class]:[Suborder]],MATCH(TRUE,ISNUMBER(SEARCH(AB111,ClassificationClasses[Key])),0),MATCH(AB111,INDEX(ClassificationClasses[#Data], MATCH(TRUE,ISNUMBER(SEARCH(AB111,ClassificationClasses[Key])),0), 0), 0)-1)),"")</f>
        <v>Insecta</v>
      </c>
      <c r="AD111" s="116" t="str" cm="1">
        <f t="array" ref="AD111">IFERROR(IF(OR(AC111="Insecta",AC111="Arachnida",AC111="#N/C"),"",INDEX(ClassificationClasses[[Class]:[Suborder]],MATCH(TRUE,ISNUMBER(SEARCH(AC111,ClassificationClasses[Key])),0),MATCH(AC111,INDEX(ClassificationClasses[#Data], MATCH(TRUE,ISNUMBER(SEARCH(AC111,ClassificationClasses[Key])),0), 0), 0)-1)),"")</f>
        <v/>
      </c>
      <c r="AE111" s="18" t="str">
        <f t="shared" si="4"/>
        <v>Insecta.Diptera.Brachycera.Muscomorpha.Opomyzoidea.Opomyzidae.#N/C.#N/C.#N/C</v>
      </c>
    </row>
    <row r="112" spans="1:31" x14ac:dyDescent="0.3">
      <c r="A112" s="91">
        <v>111</v>
      </c>
      <c r="B112" s="7">
        <v>44392</v>
      </c>
      <c r="C112" s="92" t="s">
        <v>235</v>
      </c>
      <c r="D112" s="93" t="str">
        <f>HYPERLINK(VLOOKUP(C112,Video_List!$F:$J,5),"video")</f>
        <v>video</v>
      </c>
      <c r="E112" s="94" t="str">
        <f>IFERROR(IF(MATCH(C112,Video_List!$F:$F,)&gt;0,"ok",""),"error")</f>
        <v>ok</v>
      </c>
      <c r="F112" s="92" t="s">
        <v>235</v>
      </c>
      <c r="G112" s="93" t="str">
        <f>HYPERLINK(VLOOKUP(F112,Video_List!$F:$J,5),"video")</f>
        <v>video</v>
      </c>
      <c r="H112" s="94" t="str">
        <f>IFERROR(IF(MATCH(F112,Video_List!$F:$F,)&gt;0,"ok",""),"error")</f>
        <v>ok</v>
      </c>
      <c r="I112" s="17">
        <v>44392.895162037035</v>
      </c>
      <c r="J112" s="8">
        <v>44392.895196759258</v>
      </c>
      <c r="K112" s="15">
        <f t="shared" si="3"/>
        <v>3.4722223062999547E-5</v>
      </c>
      <c r="L112" s="95" t="s">
        <v>32</v>
      </c>
      <c r="M112" s="95" t="s">
        <v>33</v>
      </c>
      <c r="N112" s="96" t="str">
        <f>IF(ISBLANK(C112),"",IF(C112=F112, "1 video",CONCATENATE((+COUNTIFS(Video_List!$C:$C,"&lt;=" &amp;Monitoring!J112)-COUNTIFS(Video_List!$C:$C,"&lt;=" &amp;Monitoring!I112))+1," videos")))</f>
        <v>1 video</v>
      </c>
      <c r="O112" s="29" t="s">
        <v>44</v>
      </c>
      <c r="P112" s="42" t="s">
        <v>37</v>
      </c>
      <c r="Q112" s="42" t="s">
        <v>38</v>
      </c>
      <c r="R112" s="42" t="s">
        <v>185</v>
      </c>
      <c r="S112" s="97" t="str">
        <f>+IFERROR(IF(T112="#N/C","#N/C",IF(U112=0,INDEX(Taxonomy_UniqueValues!D:D,MATCH(U112,Taxonomy_UniqueValues!F:F,0)),INDEX(Taxonomy_UniqueValues!D:D,MATCH(T112,Taxonomy_UniqueValues!E:E,0)))),"#N/C")</f>
        <v>Tipulomorpha</v>
      </c>
      <c r="T112" s="42" t="s">
        <v>236</v>
      </c>
      <c r="U112" s="42" t="s">
        <v>237</v>
      </c>
      <c r="V112" s="42" t="s">
        <v>238</v>
      </c>
      <c r="W112" s="42" t="s">
        <v>239</v>
      </c>
      <c r="X112" s="28" t="s">
        <v>35</v>
      </c>
      <c r="Y112" s="69" t="str" cm="1">
        <f t="array" ref="Y112">_xlfn.LET(_xlpm.cls,P112, _xlpm.ord,IFERROR(Q112,"#N/C"), _xlpm.subord,IFERROR(R112,"#N/C"), _xlpm.infr,IFERROR(S112,"#N/C"), _xlpm.sf,IFERROR(T112,"#N/C"), _xlpm.fam,IFERROR(U112,"#N/C"), _xlpm.subfam,IF(TRIM(V112)="-","#N/C",IFERROR(V112,"#N/C")),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_xlpm.fallback,IF(IFERROR(Q112,"#N/C")="#N/C",P112,IF(IFERROR(R112,"#N/C")="#N/C",Q112,IF(IFERROR(S112,"#N/C")="#N/C",R112,IF(IFERROR(T112,"#N/C")="#N/C",S112,IF(IFERROR(U112,"#N/C")="#N/C",T112,IF(IFERROR(V112,"#N/C")="#N/C",U112,"#N/C")))))), _xlpm.finalResult,IF(OR(_xlpm.computedResult="",_xlpm.computedResult="#N/C"),_xlpm.fallback,_xlpm.computedResult), INDEX(_xlpm.finalResult,1))</f>
        <v>crane_fly</v>
      </c>
      <c r="Z112" s="116" t="str" cm="1">
        <f t="array" ref="Z112">IF(OR(Y112="Insecta",Y112="Arachnida",Y112="#N/C"),"",IFERROR(_xlfn.LET(_xlpm.fc,IFERROR(_xlfn._xlws.FILTER(ClassificationClasses[],ClassificationClasses[Classification Class]=Y112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112,ClassificationClasses[Key])),0),MATCH(Y112,INDEX(ClassificationClasses[],MATCH(TRUE,ISNUMBER(SEARCH(Y112,ClassificationClasses[Key])),0),0),0)-1)))</f>
        <v>Tipulomorpha</v>
      </c>
      <c r="AA112" s="116" t="str" cm="1">
        <f t="array" ref="AA112">IFERROR(IF(OR(Z112="Insecta",Z112="Arachnida",Z112="#N/C"),"",INDEX(ClassificationClasses[[Class]:[Infraorder]],MATCH(TRUE,ISNUMBER(SEARCH(Z112,ClassificationClasses[Key])),0),MATCH(Z112,INDEX(ClassificationClasses[#Data], MATCH(TRUE,ISNUMBER(SEARCH(Z112,ClassificationClasses[Key])),0), 0), 0)-1)),"")</f>
        <v>Nematocera</v>
      </c>
      <c r="AB112" s="116" t="str" cm="1">
        <f t="array" ref="AB112">IFERROR(IF(OR(AA112="Insecta",AA112="Arachnida",AA112="#N/C"),"",INDEX(ClassificationClasses[[Class]:[Suborder]],MATCH(TRUE,ISNUMBER(SEARCH(AA112,ClassificationClasses[Key])),0),MATCH(AA112,INDEX(ClassificationClasses[#Data], MATCH(TRUE,ISNUMBER(SEARCH(AA112,ClassificationClasses[Key])),0), 0), 0)-1)),"")</f>
        <v>Diptera</v>
      </c>
      <c r="AC112" s="116" t="str" cm="1">
        <f t="array" ref="AC112">IFERROR(IF(OR(AB112="Insecta",AB112="Arachnida",AB112="#N/C"),"",INDEX(ClassificationClasses[[Class]:[Suborder]],MATCH(TRUE,ISNUMBER(SEARCH(AB112,ClassificationClasses[Key])),0),MATCH(AB112,INDEX(ClassificationClasses[#Data], MATCH(TRUE,ISNUMBER(SEARCH(AB112,ClassificationClasses[Key])),0), 0), 0)-1)),"")</f>
        <v>Insecta</v>
      </c>
      <c r="AD112" s="116" t="str" cm="1">
        <f t="array" ref="AD112">IFERROR(IF(OR(AC112="Insecta",AC112="Arachnida",AC112="#N/C"),"",INDEX(ClassificationClasses[[Class]:[Suborder]],MATCH(TRUE,ISNUMBER(SEARCH(AC112,ClassificationClasses[Key])),0),MATCH(AC112,INDEX(ClassificationClasses[#Data], MATCH(TRUE,ISNUMBER(SEARCH(AC112,ClassificationClasses[Key])),0), 0), 0)-1)),"")</f>
        <v/>
      </c>
      <c r="AE112" s="18" t="str">
        <f t="shared" si="4"/>
        <v>Insecta.Diptera.Nematocera.Tipulomorpha.Tipuloidea.Tipulidae.Tipulinae.Nephrotoma.#N/C</v>
      </c>
    </row>
    <row r="113" spans="1:31" x14ac:dyDescent="0.3">
      <c r="A113" s="91">
        <v>112</v>
      </c>
      <c r="B113" s="7">
        <v>44392</v>
      </c>
      <c r="C113" s="92" t="s">
        <v>240</v>
      </c>
      <c r="D113" s="93" t="str">
        <f>HYPERLINK(VLOOKUP(C113,Video_List!$F:$J,5),"video")</f>
        <v>video</v>
      </c>
      <c r="E113" s="94" t="str">
        <f>IFERROR(IF(MATCH(C113,Video_List!$F:$F,)&gt;0,"ok",""),"error")</f>
        <v>ok</v>
      </c>
      <c r="F113" s="92" t="s">
        <v>240</v>
      </c>
      <c r="G113" s="93" t="str">
        <f>HYPERLINK(VLOOKUP(F113,Video_List!$F:$J,5),"video")</f>
        <v>video</v>
      </c>
      <c r="H113" s="94" t="str">
        <f>IFERROR(IF(MATCH(F113,Video_List!$F:$F,)&gt;0,"ok",""),"error")</f>
        <v>ok</v>
      </c>
      <c r="I113" s="17">
        <v>44392.89565972222</v>
      </c>
      <c r="J113" s="8">
        <v>44392.895740740743</v>
      </c>
      <c r="K113" s="15">
        <f t="shared" si="3"/>
        <v>8.101852290565148E-5</v>
      </c>
      <c r="L113" s="95" t="s">
        <v>32</v>
      </c>
      <c r="M113" s="95" t="s">
        <v>33</v>
      </c>
      <c r="N113" s="96" t="str">
        <f>IF(ISBLANK(C113),"",IF(C113=F113, "1 video",CONCATENATE((+COUNTIFS(Video_List!$C:$C,"&lt;=" &amp;Monitoring!J113)-COUNTIFS(Video_List!$C:$C,"&lt;=" &amp;Monitoring!I113))+1," videos")))</f>
        <v>1 video</v>
      </c>
      <c r="O113" s="27" t="s">
        <v>32</v>
      </c>
      <c r="P113" s="42" t="s">
        <v>37</v>
      </c>
      <c r="Q113" s="42" t="s">
        <v>38</v>
      </c>
      <c r="R113" s="42" t="s">
        <v>39</v>
      </c>
      <c r="S113" s="97" t="str">
        <f>+IFERROR(IF(T113="#N/C","#N/C",IF(U113=0,INDEX(Taxonomy_UniqueValues!D:D,MATCH(U113,Taxonomy_UniqueValues!F:F,0)),INDEX(Taxonomy_UniqueValues!D:D,MATCH(T113,Taxonomy_UniqueValues!E:E,0)))),"#N/C")</f>
        <v>Muscomorpha</v>
      </c>
      <c r="T113" s="42" t="s">
        <v>175</v>
      </c>
      <c r="U113" s="42" t="s">
        <v>176</v>
      </c>
      <c r="V113" s="42">
        <v>0</v>
      </c>
      <c r="W113" s="42" t="s">
        <v>177</v>
      </c>
      <c r="X113" s="28" t="s">
        <v>35</v>
      </c>
      <c r="Y113" s="69" t="str" cm="1">
        <f t="array" ref="Y113">_xlfn.LET(_xlpm.cls,P113, _xlpm.ord,IFERROR(Q113,"#N/C"), _xlpm.subord,IFERROR(R113,"#N/C"), _xlpm.infr,IFERROR(S113,"#N/C"), _xlpm.sf,IFERROR(T113,"#N/C"), _xlpm.fam,IFERROR(U113,"#N/C"), _xlpm.subfam,IF(TRIM(V113)="-","#N/C",IFERROR(V113,"#N/C")),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_xlpm.fallback,IF(IFERROR(Q113,"#N/C")="#N/C",P113,IF(IFERROR(R113,"#N/C")="#N/C",Q113,IF(IFERROR(S113,"#N/C")="#N/C",R113,IF(IFERROR(T113,"#N/C")="#N/C",S113,IF(IFERROR(U113,"#N/C")="#N/C",T113,IF(IFERROR(V113,"#N/C")="#N/C",U113,"#N/C")))))), _xlpm.finalResult,IF(OR(_xlpm.computedResult="",_xlpm.computedResult="#N/C"),_xlpm.fallback,_xlpm.computedResult), INDEX(_xlpm.finalResult,1))</f>
        <v>fly</v>
      </c>
      <c r="Z113" s="116" t="str" cm="1">
        <f t="array" ref="Z113">IF(OR(Y113="Insecta",Y113="Arachnida",Y113="#N/C"),"",IFERROR(_xlfn.LET(_xlpm.fc,IFERROR(_xlfn._xlws.FILTER(ClassificationClasses[],ClassificationClasses[Classification Class]=Y113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113,ClassificationClasses[Key])),0),MATCH(Y113,INDEX(ClassificationClasses[],MATCH(TRUE,ISNUMBER(SEARCH(Y113,ClassificationClasses[Key])),0),0),0)-1)))</f>
        <v>Muscomorpha</v>
      </c>
      <c r="AA113" s="116" t="str" cm="1">
        <f t="array" ref="AA113">IFERROR(IF(OR(Z113="Insecta",Z113="Arachnida",Z113="#N/C"),"",INDEX(ClassificationClasses[[Class]:[Infraorder]],MATCH(TRUE,ISNUMBER(SEARCH(Z113,ClassificationClasses[Key])),0),MATCH(Z113,INDEX(ClassificationClasses[#Data], MATCH(TRUE,ISNUMBER(SEARCH(Z113,ClassificationClasses[Key])),0), 0), 0)-1)),"")</f>
        <v>Brachycera</v>
      </c>
      <c r="AB113" s="116" t="str" cm="1">
        <f t="array" ref="AB113">IFERROR(IF(OR(AA113="Insecta",AA113="Arachnida",AA113="#N/C"),"",INDEX(ClassificationClasses[[Class]:[Suborder]],MATCH(TRUE,ISNUMBER(SEARCH(AA113,ClassificationClasses[Key])),0),MATCH(AA113,INDEX(ClassificationClasses[#Data], MATCH(TRUE,ISNUMBER(SEARCH(AA113,ClassificationClasses[Key])),0), 0), 0)-1)),"")</f>
        <v>Diptera</v>
      </c>
      <c r="AC113" s="116" t="str" cm="1">
        <f t="array" ref="AC113">IFERROR(IF(OR(AB113="Insecta",AB113="Arachnida",AB113="#N/C"),"",INDEX(ClassificationClasses[[Class]:[Suborder]],MATCH(TRUE,ISNUMBER(SEARCH(AB113,ClassificationClasses[Key])),0),MATCH(AB113,INDEX(ClassificationClasses[#Data], MATCH(TRUE,ISNUMBER(SEARCH(AB113,ClassificationClasses[Key])),0), 0), 0)-1)),"")</f>
        <v>Insecta</v>
      </c>
      <c r="AD113" s="116" t="str" cm="1">
        <f t="array" ref="AD113">IFERROR(IF(OR(AC113="Insecta",AC113="Arachnida",AC113="#N/C"),"",INDEX(ClassificationClasses[[Class]:[Suborder]],MATCH(TRUE,ISNUMBER(SEARCH(AC113,ClassificationClasses[Key])),0),MATCH(AC113,INDEX(ClassificationClasses[#Data], MATCH(TRUE,ISNUMBER(SEARCH(AC113,ClassificationClasses[Key])),0), 0), 0)-1)),"")</f>
        <v/>
      </c>
      <c r="AE113" s="18" t="str">
        <f t="shared" si="4"/>
        <v>Insecta.Diptera.Brachycera.Muscomorpha.Muscoidea.Fanniidae.0.Fannia.#N/C</v>
      </c>
    </row>
    <row r="114" spans="1:31" x14ac:dyDescent="0.3">
      <c r="A114" s="91">
        <v>113</v>
      </c>
      <c r="B114" s="7">
        <v>44392</v>
      </c>
      <c r="C114" s="92" t="s">
        <v>241</v>
      </c>
      <c r="D114" s="93" t="str">
        <f>HYPERLINK(VLOOKUP(C114,Video_List!$F:$J,5),"video")</f>
        <v>video</v>
      </c>
      <c r="E114" s="94" t="str">
        <f>IFERROR(IF(MATCH(C114,Video_List!$F:$F,)&gt;0,"ok",""),"error")</f>
        <v>ok</v>
      </c>
      <c r="F114" s="92" t="s">
        <v>241</v>
      </c>
      <c r="G114" s="93" t="str">
        <f>HYPERLINK(VLOOKUP(F114,Video_List!$F:$J,5),"video")</f>
        <v>video</v>
      </c>
      <c r="H114" s="94" t="str">
        <f>IFERROR(IF(MATCH(F114,Video_List!$F:$F,)&gt;0,"ok",""),"error")</f>
        <v>ok</v>
      </c>
      <c r="I114" s="17">
        <v>44392.898055555554</v>
      </c>
      <c r="J114" s="8">
        <v>44392.898113425923</v>
      </c>
      <c r="K114" s="15">
        <f t="shared" si="3"/>
        <v>5.7870369346346706E-5</v>
      </c>
      <c r="L114" s="95" t="s">
        <v>32</v>
      </c>
      <c r="M114" s="95" t="s">
        <v>33</v>
      </c>
      <c r="N114" s="96" t="str">
        <f>IF(ISBLANK(C114),"",IF(C114=F114, "1 video",CONCATENATE((+COUNTIFS(Video_List!$C:$C,"&lt;=" &amp;Monitoring!J114)-COUNTIFS(Video_List!$C:$C,"&lt;=" &amp;Monitoring!I114))+1," videos")))</f>
        <v>1 video</v>
      </c>
      <c r="O114" s="27" t="s">
        <v>32</v>
      </c>
      <c r="P114" s="42" t="s">
        <v>37</v>
      </c>
      <c r="Q114" s="42" t="s">
        <v>38</v>
      </c>
      <c r="R114" s="42" t="s">
        <v>35</v>
      </c>
      <c r="S114" s="97" t="str">
        <f>+IFERROR(IF(T114="#N/C","#N/C",IF(U114=0,INDEX(Taxonomy_UniqueValues!D:D,MATCH(U114,Taxonomy_UniqueValues!F:F,0)),INDEX(Taxonomy_UniqueValues!D:D,MATCH(T114,Taxonomy_UniqueValues!E:E,0)))),"#N/C")</f>
        <v>#N/C</v>
      </c>
      <c r="T114" s="42" t="s">
        <v>35</v>
      </c>
      <c r="U114" s="42" t="s">
        <v>35</v>
      </c>
      <c r="V114" s="42" t="s">
        <v>35</v>
      </c>
      <c r="W114" s="42" t="s">
        <v>35</v>
      </c>
      <c r="X114" s="28" t="s">
        <v>35</v>
      </c>
      <c r="Y114" s="69" t="str" cm="1">
        <f t="array" ref="Y114">_xlfn.LET(_xlpm.cls,P114, _xlpm.ord,IFERROR(Q114,"#N/C"), _xlpm.subord,IFERROR(R114,"#N/C"), _xlpm.infr,IFERROR(S114,"#N/C"), _xlpm.sf,IFERROR(T114,"#N/C"), _xlpm.fam,IFERROR(U114,"#N/C"), _xlpm.subfam,IF(TRIM(V114)="-","#N/C",IFERROR(V114,"#N/C")),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_xlpm.fallback,IF(IFERROR(Q114,"#N/C")="#N/C",P114,IF(IFERROR(R114,"#N/C")="#N/C",Q114,IF(IFERROR(S114,"#N/C")="#N/C",R114,IF(IFERROR(T114,"#N/C")="#N/C",S114,IF(IFERROR(U114,"#N/C")="#N/C",T114,IF(IFERROR(V114,"#N/C")="#N/C",U114,"#N/C")))))), _xlpm.finalResult,IF(OR(_xlpm.computedResult="",_xlpm.computedResult="#N/C"),_xlpm.fallback,_xlpm.computedResult), INDEX(_xlpm.finalResult,1))</f>
        <v>Diptera</v>
      </c>
      <c r="Z114" s="116" t="str" cm="1">
        <f t="array" ref="Z114">IF(OR(Y114="Insecta",Y114="Arachnida",Y114="#N/C"),"",IFERROR(_xlfn.LET(_xlpm.fc,IFERROR(_xlfn._xlws.FILTER(ClassificationClasses[],ClassificationClasses[Classification Class]=Y114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114,ClassificationClasses[Key])),0),MATCH(Y114,INDEX(ClassificationClasses[],MATCH(TRUE,ISNUMBER(SEARCH(Y114,ClassificationClasses[Key])),0),0),0)-1)))</f>
        <v>Insecta</v>
      </c>
      <c r="AA114" s="116" t="str" cm="1">
        <f t="array" ref="AA114">IFERROR(IF(OR(Z114="Insecta",Z114="Arachnida",Z114="#N/C"),"",INDEX(ClassificationClasses[[Class]:[Infraorder]],MATCH(TRUE,ISNUMBER(SEARCH(Z114,ClassificationClasses[Key])),0),MATCH(Z114,INDEX(ClassificationClasses[#Data], MATCH(TRUE,ISNUMBER(SEARCH(Z114,ClassificationClasses[Key])),0), 0), 0)-1)),"")</f>
        <v/>
      </c>
      <c r="AB114" s="116" t="str" cm="1">
        <f t="array" ref="AB114">IFERROR(IF(OR(AA114="Insecta",AA114="Arachnida",AA114="#N/C"),"",INDEX(ClassificationClasses[[Class]:[Suborder]],MATCH(TRUE,ISNUMBER(SEARCH(AA114,ClassificationClasses[Key])),0),MATCH(AA114,INDEX(ClassificationClasses[#Data], MATCH(TRUE,ISNUMBER(SEARCH(AA114,ClassificationClasses[Key])),0), 0), 0)-1)),"")</f>
        <v/>
      </c>
      <c r="AC114" s="116" t="str" cm="1">
        <f t="array" ref="AC114">IFERROR(IF(OR(AB114="Insecta",AB114="Arachnida",AB114="#N/C"),"",INDEX(ClassificationClasses[[Class]:[Suborder]],MATCH(TRUE,ISNUMBER(SEARCH(AB114,ClassificationClasses[Key])),0),MATCH(AB114,INDEX(ClassificationClasses[#Data], MATCH(TRUE,ISNUMBER(SEARCH(AB114,ClassificationClasses[Key])),0), 0), 0)-1)),"")</f>
        <v/>
      </c>
      <c r="AD114" s="116" t="str" cm="1">
        <f t="array" ref="AD114">IFERROR(IF(OR(AC114="Insecta",AC114="Arachnida",AC114="#N/C"),"",INDEX(ClassificationClasses[[Class]:[Suborder]],MATCH(TRUE,ISNUMBER(SEARCH(AC114,ClassificationClasses[Key])),0),MATCH(AC114,INDEX(ClassificationClasses[#Data], MATCH(TRUE,ISNUMBER(SEARCH(AC114,ClassificationClasses[Key])),0), 0), 0)-1)),"")</f>
        <v/>
      </c>
      <c r="AE114" s="18" t="str">
        <f t="shared" si="4"/>
        <v>Insecta.Diptera.#N/C.#N/C.#N/C.#N/C.#N/C.#N/C.#N/C</v>
      </c>
    </row>
    <row r="115" spans="1:31" x14ac:dyDescent="0.3">
      <c r="A115" s="91">
        <v>114</v>
      </c>
      <c r="B115" s="7">
        <v>44392</v>
      </c>
      <c r="C115" s="92" t="s">
        <v>242</v>
      </c>
      <c r="D115" s="93" t="str">
        <f>HYPERLINK(VLOOKUP(C115,Video_List!$F:$J,5),"video")</f>
        <v>video</v>
      </c>
      <c r="E115" s="94" t="str">
        <f>IFERROR(IF(MATCH(C115,Video_List!$F:$F,)&gt;0,"ok",""),"error")</f>
        <v>ok</v>
      </c>
      <c r="F115" s="92" t="s">
        <v>242</v>
      </c>
      <c r="G115" s="93" t="str">
        <f>HYPERLINK(VLOOKUP(F115,Video_List!$F:$J,5),"video")</f>
        <v>video</v>
      </c>
      <c r="H115" s="94" t="str">
        <f>IFERROR(IF(MATCH(F115,Video_List!$F:$F,)&gt;0,"ok",""),"error")</f>
        <v>ok</v>
      </c>
      <c r="I115" s="17">
        <v>44392.900543981479</v>
      </c>
      <c r="J115" s="8">
        <v>44392.900810185187</v>
      </c>
      <c r="K115" s="15">
        <f t="shared" si="3"/>
        <v>2.6620370772434399E-4</v>
      </c>
      <c r="L115" s="4" t="s">
        <v>44</v>
      </c>
      <c r="M115" s="4" t="s">
        <v>118</v>
      </c>
      <c r="N115" s="96" t="str">
        <f>IF(ISBLANK(C115),"",IF(C115=F115, "1 video",CONCATENATE((+COUNTIFS(Video_List!$C:$C,"&lt;=" &amp;Monitoring!J115)-COUNTIFS(Video_List!$C:$C,"&lt;=" &amp;Monitoring!I115))+1," videos")))</f>
        <v>1 video</v>
      </c>
      <c r="O115" s="27" t="s">
        <v>32</v>
      </c>
      <c r="P115" s="42" t="s">
        <v>37</v>
      </c>
      <c r="Q115" s="42" t="s">
        <v>56</v>
      </c>
      <c r="R115" s="42" t="s">
        <v>57</v>
      </c>
      <c r="S115" s="97" t="str">
        <f>+IFERROR(IF(T115="#N/C","#N/C",IF(U115=0,INDEX(Taxonomy_UniqueValues!D:D,MATCH(U115,Taxonomy_UniqueValues!F:F,0)),INDEX(Taxonomy_UniqueValues!D:D,MATCH(T115,Taxonomy_UniqueValues!E:E,0)))),"#N/C")</f>
        <v>Heterocera</v>
      </c>
      <c r="T115" s="42" t="s">
        <v>243</v>
      </c>
      <c r="U115" s="42" t="s">
        <v>244</v>
      </c>
      <c r="V115" s="42" t="s">
        <v>245</v>
      </c>
      <c r="W115" s="42" t="s">
        <v>246</v>
      </c>
      <c r="X115" s="28" t="s">
        <v>35</v>
      </c>
      <c r="Y115" s="69" t="str" cm="1">
        <f t="array" ref="Y115">_xlfn.LET(_xlpm.cls,P115, _xlpm.ord,IFERROR(Q115,"#N/C"), _xlpm.subord,IFERROR(R115,"#N/C"), _xlpm.infr,IFERROR(S115,"#N/C"), _xlpm.sf,IFERROR(T115,"#N/C"), _xlpm.fam,IFERROR(U115,"#N/C"), _xlpm.subfam,IF(TRIM(V115)="-","#N/C",IFERROR(V115,"#N/C")),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_xlpm.fallback,IF(IFERROR(Q115,"#N/C")="#N/C",P115,IF(IFERROR(R115,"#N/C")="#N/C",Q115,IF(IFERROR(S115,"#N/C")="#N/C",R115,IF(IFERROR(T115,"#N/C")="#N/C",S115,IF(IFERROR(U115,"#N/C")="#N/C",T115,IF(IFERROR(V115,"#N/C")="#N/C",U115,"#N/C")))))), _xlpm.finalResult,IF(OR(_xlpm.computedResult="",_xlpm.computedResult="#N/C"),_xlpm.fallback,_xlpm.computedResult), INDEX(_xlpm.finalResult,1))</f>
        <v>moth</v>
      </c>
      <c r="Z115" s="116" t="str" cm="1">
        <f t="array" ref="Z115">IF(OR(Y115="Insecta",Y115="Arachnida",Y115="#N/C"),"",IFERROR(_xlfn.LET(_xlpm.fc,IFERROR(_xlfn._xlws.FILTER(ClassificationClasses[],ClassificationClasses[Classification Class]=Y115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115,ClassificationClasses[Key])),0),MATCH(Y115,INDEX(ClassificationClasses[],MATCH(TRUE,ISNUMBER(SEARCH(Y115,ClassificationClasses[Key])),0),0),0)-1)))</f>
        <v>Heterocera</v>
      </c>
      <c r="AA115" s="116" t="str" cm="1">
        <f t="array" ref="AA115">IFERROR(IF(OR(Z115="Insecta",Z115="Arachnida",Z115="#N/C"),"",INDEX(ClassificationClasses[[Class]:[Infraorder]],MATCH(TRUE,ISNUMBER(SEARCH(Z115,ClassificationClasses[Key])),0),MATCH(Z115,INDEX(ClassificationClasses[#Data], MATCH(TRUE,ISNUMBER(SEARCH(Z115,ClassificationClasses[Key])),0), 0), 0)-1)),"")</f>
        <v>Glossata</v>
      </c>
      <c r="AB115" s="116" t="str" cm="1">
        <f t="array" ref="AB115">IFERROR(IF(OR(AA115="Insecta",AA115="Arachnida",AA115="#N/C"),"",INDEX(ClassificationClasses[[Class]:[Suborder]],MATCH(TRUE,ISNUMBER(SEARCH(AA115,ClassificationClasses[Key])),0),MATCH(AA115,INDEX(ClassificationClasses[#Data], MATCH(TRUE,ISNUMBER(SEARCH(AA115,ClassificationClasses[Key])),0), 0), 0)-1)),"")</f>
        <v>Lepidoptera</v>
      </c>
      <c r="AC115" s="116" t="str" cm="1">
        <f t="array" ref="AC115">IFERROR(IF(OR(AB115="Insecta",AB115="Arachnida",AB115="#N/C"),"",INDEX(ClassificationClasses[[Class]:[Suborder]],MATCH(TRUE,ISNUMBER(SEARCH(AB115,ClassificationClasses[Key])),0),MATCH(AB115,INDEX(ClassificationClasses[#Data], MATCH(TRUE,ISNUMBER(SEARCH(AB115,ClassificationClasses[Key])),0), 0), 0)-1)),"")</f>
        <v>Insecta</v>
      </c>
      <c r="AD115" s="116" t="str" cm="1">
        <f t="array" ref="AD115">IFERROR(IF(OR(AC115="Insecta",AC115="Arachnida",AC115="#N/C"),"",INDEX(ClassificationClasses[[Class]:[Suborder]],MATCH(TRUE,ISNUMBER(SEARCH(AC115,ClassificationClasses[Key])),0),MATCH(AC115,INDEX(ClassificationClasses[#Data], MATCH(TRUE,ISNUMBER(SEARCH(AC115,ClassificationClasses[Key])),0), 0), 0)-1)),"")</f>
        <v/>
      </c>
      <c r="AE115" s="18" t="str">
        <f t="shared" si="4"/>
        <v>Insecta.Lepidoptera.Glossata.Heterocera.Pyraloidea.Pyralidae.Phycitinae.Ephestia.#N/C</v>
      </c>
    </row>
    <row r="116" spans="1:31" x14ac:dyDescent="0.3">
      <c r="A116" s="91">
        <v>115</v>
      </c>
      <c r="B116" s="7">
        <v>44392</v>
      </c>
      <c r="C116" s="92" t="s">
        <v>247</v>
      </c>
      <c r="D116" s="93" t="str">
        <f>HYPERLINK(VLOOKUP(C116,Video_List!$F:$J,5),"video")</f>
        <v>video</v>
      </c>
      <c r="E116" s="94" t="str">
        <f>IFERROR(IF(MATCH(C116,Video_List!$F:$F,)&gt;0,"ok",""),"error")</f>
        <v>ok</v>
      </c>
      <c r="F116" s="92" t="s">
        <v>247</v>
      </c>
      <c r="G116" s="93" t="str">
        <f>HYPERLINK(VLOOKUP(F116,Video_List!$F:$J,5),"video")</f>
        <v>video</v>
      </c>
      <c r="H116" s="94" t="str">
        <f>IFERROR(IF(MATCH(F116,Video_List!$F:$F,)&gt;0,"ok",""),"error")</f>
        <v>ok</v>
      </c>
      <c r="I116" s="17">
        <v>44392.904756944445</v>
      </c>
      <c r="J116" s="8">
        <v>44392.904988425929</v>
      </c>
      <c r="K116" s="15">
        <f t="shared" si="3"/>
        <v>2.3148148466134444E-4</v>
      </c>
      <c r="L116" s="95" t="s">
        <v>32</v>
      </c>
      <c r="M116" s="95" t="s">
        <v>33</v>
      </c>
      <c r="N116" s="96" t="str">
        <f>IF(ISBLANK(C116),"",IF(C116=F116, "1 video",CONCATENATE((+COUNTIFS(Video_List!$C:$C,"&lt;=" &amp;Monitoring!J116)-COUNTIFS(Video_List!$C:$C,"&lt;=" &amp;Monitoring!I116))+1," videos")))</f>
        <v>1 video</v>
      </c>
      <c r="O116" s="29" t="s">
        <v>44</v>
      </c>
      <c r="P116" s="42" t="s">
        <v>37</v>
      </c>
      <c r="Q116" s="42" t="s">
        <v>38</v>
      </c>
      <c r="R116" s="42" t="s">
        <v>39</v>
      </c>
      <c r="S116" s="97" t="str">
        <f>+IFERROR(IF(T116="#N/C","#N/C",IF(U116=0,INDEX(Taxonomy_UniqueValues!D:D,MATCH(U116,Taxonomy_UniqueValues!F:F,0)),INDEX(Taxonomy_UniqueValues!D:D,MATCH(T116,Taxonomy_UniqueValues!E:E,0)))),"#N/C")</f>
        <v>#N/C</v>
      </c>
      <c r="T116" s="42" t="s">
        <v>35</v>
      </c>
      <c r="U116" s="42" t="s">
        <v>35</v>
      </c>
      <c r="V116" s="42" t="s">
        <v>35</v>
      </c>
      <c r="W116" s="42" t="s">
        <v>35</v>
      </c>
      <c r="X116" s="28" t="s">
        <v>35</v>
      </c>
      <c r="Y116" s="69" t="str" cm="1">
        <f t="array" ref="Y116">_xlfn.LET(_xlpm.cls,P116, _xlpm.ord,IFERROR(Q116,"#N/C"), _xlpm.subord,IFERROR(R116,"#N/C"), _xlpm.infr,IFERROR(S116,"#N/C"), _xlpm.sf,IFERROR(T116,"#N/C"), _xlpm.fam,IFERROR(U116,"#N/C"), _xlpm.subfam,IF(TRIM(V116)="-","#N/C",IFERROR(V116,"#N/C")),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_xlpm.fallback,IF(IFERROR(Q116,"#N/C")="#N/C",P116,IF(IFERROR(R116,"#N/C")="#N/C",Q116,IF(IFERROR(S116,"#N/C")="#N/C",R116,IF(IFERROR(T116,"#N/C")="#N/C",S116,IF(IFERROR(U116,"#N/C")="#N/C",T116,IF(IFERROR(V116,"#N/C")="#N/C",U116,"#N/C")))))), _xlpm.finalResult,IF(OR(_xlpm.computedResult="",_xlpm.computedResult="#N/C"),_xlpm.fallback,_xlpm.computedResult), INDEX(_xlpm.finalResult,1))</f>
        <v>Brachycera</v>
      </c>
      <c r="Z116" s="116" t="str" cm="1">
        <f t="array" ref="Z116">IF(OR(Y116="Insecta",Y116="Arachnida",Y116="#N/C"),"",IFERROR(_xlfn.LET(_xlpm.fc,IFERROR(_xlfn._xlws.FILTER(ClassificationClasses[],ClassificationClasses[Classification Class]=Y116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116,ClassificationClasses[Key])),0),MATCH(Y116,INDEX(ClassificationClasses[],MATCH(TRUE,ISNUMBER(SEARCH(Y116,ClassificationClasses[Key])),0),0),0)-1)))</f>
        <v>Diptera</v>
      </c>
      <c r="AA116" s="116" t="str" cm="1">
        <f t="array" ref="AA116">IFERROR(IF(OR(Z116="Insecta",Z116="Arachnida",Z116="#N/C"),"",INDEX(ClassificationClasses[[Class]:[Infraorder]],MATCH(TRUE,ISNUMBER(SEARCH(Z116,ClassificationClasses[Key])),0),MATCH(Z116,INDEX(ClassificationClasses[#Data], MATCH(TRUE,ISNUMBER(SEARCH(Z116,ClassificationClasses[Key])),0), 0), 0)-1)),"")</f>
        <v>Insecta</v>
      </c>
      <c r="AB116" s="116" t="str" cm="1">
        <f t="array" ref="AB116">IFERROR(IF(OR(AA116="Insecta",AA116="Arachnida",AA116="#N/C"),"",INDEX(ClassificationClasses[[Class]:[Suborder]],MATCH(TRUE,ISNUMBER(SEARCH(AA116,ClassificationClasses[Key])),0),MATCH(AA116,INDEX(ClassificationClasses[#Data], MATCH(TRUE,ISNUMBER(SEARCH(AA116,ClassificationClasses[Key])),0), 0), 0)-1)),"")</f>
        <v/>
      </c>
      <c r="AC116" s="116" t="str" cm="1">
        <f t="array" ref="AC116">IFERROR(IF(OR(AB116="Insecta",AB116="Arachnida",AB116="#N/C"),"",INDEX(ClassificationClasses[[Class]:[Suborder]],MATCH(TRUE,ISNUMBER(SEARCH(AB116,ClassificationClasses[Key])),0),MATCH(AB116,INDEX(ClassificationClasses[#Data], MATCH(TRUE,ISNUMBER(SEARCH(AB116,ClassificationClasses[Key])),0), 0), 0)-1)),"")</f>
        <v/>
      </c>
      <c r="AD116" s="116" t="str" cm="1">
        <f t="array" ref="AD116">IFERROR(IF(OR(AC116="Insecta",AC116="Arachnida",AC116="#N/C"),"",INDEX(ClassificationClasses[[Class]:[Suborder]],MATCH(TRUE,ISNUMBER(SEARCH(AC116,ClassificationClasses[Key])),0),MATCH(AC116,INDEX(ClassificationClasses[#Data], MATCH(TRUE,ISNUMBER(SEARCH(AC116,ClassificationClasses[Key])),0), 0), 0)-1)),"")</f>
        <v/>
      </c>
      <c r="AE116" s="18" t="str">
        <f t="shared" si="4"/>
        <v>Insecta.Diptera.Brachycera.#N/C.#N/C.#N/C.#N/C.#N/C.#N/C</v>
      </c>
    </row>
    <row r="117" spans="1:31" x14ac:dyDescent="0.3">
      <c r="A117" s="91">
        <v>116</v>
      </c>
      <c r="B117" s="7">
        <v>44392</v>
      </c>
      <c r="C117" s="92" t="s">
        <v>248</v>
      </c>
      <c r="D117" s="93" t="str">
        <f>HYPERLINK(VLOOKUP(C117,Video_List!$F:$J,5),"video")</f>
        <v>video</v>
      </c>
      <c r="E117" s="94" t="str">
        <f>IFERROR(IF(MATCH(C117,Video_List!$F:$F,)&gt;0,"ok",""),"error")</f>
        <v>ok</v>
      </c>
      <c r="F117" s="92" t="s">
        <v>248</v>
      </c>
      <c r="G117" s="93" t="str">
        <f>HYPERLINK(VLOOKUP(F117,Video_List!$F:$J,5),"video")</f>
        <v>video</v>
      </c>
      <c r="H117" s="94" t="str">
        <f>IFERROR(IF(MATCH(F117,Video_List!$F:$F,)&gt;0,"ok",""),"error")</f>
        <v>ok</v>
      </c>
      <c r="I117" s="17">
        <v>44392.907268518517</v>
      </c>
      <c r="J117" s="8">
        <v>44392.907372685186</v>
      </c>
      <c r="K117" s="15">
        <f t="shared" si="3"/>
        <v>1.0416666918899864E-4</v>
      </c>
      <c r="L117" s="95" t="s">
        <v>32</v>
      </c>
      <c r="M117" s="95" t="s">
        <v>33</v>
      </c>
      <c r="N117" s="96" t="str">
        <f>IF(ISBLANK(C117),"",IF(C117=F117, "1 video",CONCATENATE((+COUNTIFS(Video_List!$C:$C,"&lt;=" &amp;Monitoring!J117)-COUNTIFS(Video_List!$C:$C,"&lt;=" &amp;Monitoring!I117))+1," videos")))</f>
        <v>1 video</v>
      </c>
      <c r="O117" s="29" t="s">
        <v>44</v>
      </c>
      <c r="P117" s="42" t="s">
        <v>37</v>
      </c>
      <c r="Q117" s="42" t="s">
        <v>38</v>
      </c>
      <c r="R117" s="42" t="s">
        <v>39</v>
      </c>
      <c r="S117" s="97" t="str">
        <f>+IFERROR(IF(T117="#N/C","#N/C",IF(U117=0,INDEX(Taxonomy_UniqueValues!D:D,MATCH(U117,Taxonomy_UniqueValues!F:F,0)),INDEX(Taxonomy_UniqueValues!D:D,MATCH(T117,Taxonomy_UniqueValues!E:E,0)))),"#N/C")</f>
        <v>#N/C</v>
      </c>
      <c r="T117" s="42" t="s">
        <v>35</v>
      </c>
      <c r="U117" s="42" t="s">
        <v>35</v>
      </c>
      <c r="V117" s="42" t="s">
        <v>35</v>
      </c>
      <c r="W117" s="42" t="s">
        <v>35</v>
      </c>
      <c r="X117" s="28" t="s">
        <v>35</v>
      </c>
      <c r="Y117" s="69" t="str" cm="1">
        <f t="array" ref="Y117">_xlfn.LET(_xlpm.cls,P117, _xlpm.ord,IFERROR(Q117,"#N/C"), _xlpm.subord,IFERROR(R117,"#N/C"), _xlpm.infr,IFERROR(S117,"#N/C"), _xlpm.sf,IFERROR(T117,"#N/C"), _xlpm.fam,IFERROR(U117,"#N/C"), _xlpm.subfam,IF(TRIM(V117)="-","#N/C",IFERROR(V117,"#N/C")),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_xlpm.fallback,IF(IFERROR(Q117,"#N/C")="#N/C",P117,IF(IFERROR(R117,"#N/C")="#N/C",Q117,IF(IFERROR(S117,"#N/C")="#N/C",R117,IF(IFERROR(T117,"#N/C")="#N/C",S117,IF(IFERROR(U117,"#N/C")="#N/C",T117,IF(IFERROR(V117,"#N/C")="#N/C",U117,"#N/C")))))), _xlpm.finalResult,IF(OR(_xlpm.computedResult="",_xlpm.computedResult="#N/C"),_xlpm.fallback,_xlpm.computedResult), INDEX(_xlpm.finalResult,1))</f>
        <v>Brachycera</v>
      </c>
      <c r="Z117" s="116" t="str" cm="1">
        <f t="array" ref="Z117">IF(OR(Y117="Insecta",Y117="Arachnida",Y117="#N/C"),"",IFERROR(_xlfn.LET(_xlpm.fc,IFERROR(_xlfn._xlws.FILTER(ClassificationClasses[],ClassificationClasses[Classification Class]=Y117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117,ClassificationClasses[Key])),0),MATCH(Y117,INDEX(ClassificationClasses[],MATCH(TRUE,ISNUMBER(SEARCH(Y117,ClassificationClasses[Key])),0),0),0)-1)))</f>
        <v>Diptera</v>
      </c>
      <c r="AA117" s="116" t="str" cm="1">
        <f t="array" ref="AA117">IFERROR(IF(OR(Z117="Insecta",Z117="Arachnida",Z117="#N/C"),"",INDEX(ClassificationClasses[[Class]:[Infraorder]],MATCH(TRUE,ISNUMBER(SEARCH(Z117,ClassificationClasses[Key])),0),MATCH(Z117,INDEX(ClassificationClasses[#Data], MATCH(TRUE,ISNUMBER(SEARCH(Z117,ClassificationClasses[Key])),0), 0), 0)-1)),"")</f>
        <v>Insecta</v>
      </c>
      <c r="AB117" s="116" t="str" cm="1">
        <f t="array" ref="AB117">IFERROR(IF(OR(AA117="Insecta",AA117="Arachnida",AA117="#N/C"),"",INDEX(ClassificationClasses[[Class]:[Suborder]],MATCH(TRUE,ISNUMBER(SEARCH(AA117,ClassificationClasses[Key])),0),MATCH(AA117,INDEX(ClassificationClasses[#Data], MATCH(TRUE,ISNUMBER(SEARCH(AA117,ClassificationClasses[Key])),0), 0), 0)-1)),"")</f>
        <v/>
      </c>
      <c r="AC117" s="116" t="str" cm="1">
        <f t="array" ref="AC117">IFERROR(IF(OR(AB117="Insecta",AB117="Arachnida",AB117="#N/C"),"",INDEX(ClassificationClasses[[Class]:[Suborder]],MATCH(TRUE,ISNUMBER(SEARCH(AB117,ClassificationClasses[Key])),0),MATCH(AB117,INDEX(ClassificationClasses[#Data], MATCH(TRUE,ISNUMBER(SEARCH(AB117,ClassificationClasses[Key])),0), 0), 0)-1)),"")</f>
        <v/>
      </c>
      <c r="AD117" s="116" t="str" cm="1">
        <f t="array" ref="AD117">IFERROR(IF(OR(AC117="Insecta",AC117="Arachnida",AC117="#N/C"),"",INDEX(ClassificationClasses[[Class]:[Suborder]],MATCH(TRUE,ISNUMBER(SEARCH(AC117,ClassificationClasses[Key])),0),MATCH(AC117,INDEX(ClassificationClasses[#Data], MATCH(TRUE,ISNUMBER(SEARCH(AC117,ClassificationClasses[Key])),0), 0), 0)-1)),"")</f>
        <v/>
      </c>
      <c r="AE117" s="18" t="str">
        <f t="shared" si="4"/>
        <v>Insecta.Diptera.Brachycera.#N/C.#N/C.#N/C.#N/C.#N/C.#N/C</v>
      </c>
    </row>
    <row r="118" spans="1:31" x14ac:dyDescent="0.3">
      <c r="A118" s="91">
        <v>117</v>
      </c>
      <c r="B118" s="7">
        <v>44392</v>
      </c>
      <c r="C118" s="92" t="s">
        <v>249</v>
      </c>
      <c r="D118" s="93" t="str">
        <f>HYPERLINK(VLOOKUP(C118,Video_List!$F:$J,5),"video")</f>
        <v>video</v>
      </c>
      <c r="E118" s="94" t="str">
        <f>IFERROR(IF(MATCH(C118,Video_List!$F:$F,)&gt;0,"ok",""),"error")</f>
        <v>ok</v>
      </c>
      <c r="F118" s="92" t="s">
        <v>249</v>
      </c>
      <c r="G118" s="93" t="str">
        <f>HYPERLINK(VLOOKUP(F118,Video_List!$F:$J,5),"video")</f>
        <v>video</v>
      </c>
      <c r="H118" s="94" t="str">
        <f>IFERROR(IF(MATCH(F118,Video_List!$F:$F,)&gt;0,"ok",""),"error")</f>
        <v>ok</v>
      </c>
      <c r="I118" s="17">
        <v>44392.909247685187</v>
      </c>
      <c r="J118" s="8">
        <v>44392.909988425927</v>
      </c>
      <c r="K118" s="15">
        <f t="shared" si="3"/>
        <v>7.4074073927477002E-4</v>
      </c>
      <c r="L118" s="95" t="s">
        <v>44</v>
      </c>
      <c r="M118" s="95" t="s">
        <v>33</v>
      </c>
      <c r="N118" s="96" t="str">
        <f>IF(ISBLANK(C118),"",IF(C118=F118, "1 video",CONCATENATE((+COUNTIFS(Video_List!$C:$C,"&lt;=" &amp;Monitoring!J118)-COUNTIFS(Video_List!$C:$C,"&lt;=" &amp;Monitoring!I118))+1," videos")))</f>
        <v>1 video</v>
      </c>
      <c r="O118" s="29" t="s">
        <v>44</v>
      </c>
      <c r="P118" s="42" t="s">
        <v>37</v>
      </c>
      <c r="Q118" s="42" t="s">
        <v>76</v>
      </c>
      <c r="R118" s="42" t="s">
        <v>77</v>
      </c>
      <c r="S118" s="97" t="str">
        <f>+IFERROR(IF(T118="#N/C","#N/C",IF(U118=0,INDEX(Taxonomy_UniqueValues!D:D,MATCH(U118,Taxonomy_UniqueValues!F:F,0)),INDEX(Taxonomy_UniqueValues!D:D,MATCH(T118,Taxonomy_UniqueValues!E:E,0)))),"#N/C")</f>
        <v>Cucujiformia</v>
      </c>
      <c r="T118" s="42" t="s">
        <v>143</v>
      </c>
      <c r="U118" s="42" t="s">
        <v>250</v>
      </c>
      <c r="V118" s="42" t="s">
        <v>251</v>
      </c>
      <c r="W118" s="42" t="s">
        <v>252</v>
      </c>
      <c r="X118" s="28" t="s">
        <v>253</v>
      </c>
      <c r="Y118" s="69" t="str" cm="1">
        <f t="array" ref="Y118">_xlfn.LET(_xlpm.cls,P118, _xlpm.ord,IFERROR(Q118,"#N/C"), _xlpm.subord,IFERROR(R118,"#N/C"), _xlpm.infr,IFERROR(S118,"#N/C"), _xlpm.sf,IFERROR(T118,"#N/C"), _xlpm.fam,IFERROR(U118,"#N/C"), _xlpm.subfam,IF(TRIM(V118)="-","#N/C",IFERROR(V118,"#N/C")),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_xlpm.fallback,IF(IFERROR(Q118,"#N/C")="#N/C",P118,IF(IFERROR(R118,"#N/C")="#N/C",Q118,IF(IFERROR(S118,"#N/C")="#N/C",R118,IF(IFERROR(T118,"#N/C")="#N/C",S118,IF(IFERROR(U118,"#N/C")="#N/C",T118,IF(IFERROR(V118,"#N/C")="#N/C",U118,"#N/C")))))), _xlpm.finalResult,IF(OR(_xlpm.computedResult="",_xlpm.computedResult="#N/C"),_xlpm.fallback,_xlpm.computedResult), INDEX(_xlpm.finalResult,1))</f>
        <v>ant_beetle</v>
      </c>
      <c r="Z118" s="116" t="str" cm="1">
        <f t="array" ref="Z118">IF(OR(Y118="Insecta",Y118="Arachnida",Y118="#N/C"),"",IFERROR(_xlfn.LET(_xlpm.fc,IFERROR(_xlfn._xlws.FILTER(ClassificationClasses[],ClassificationClasses[Classification Class]=Y118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118,ClassificationClasses[Key])),0),MATCH(Y118,INDEX(ClassificationClasses[],MATCH(TRUE,ISNUMBER(SEARCH(Y118,ClassificationClasses[Key])),0),0),0)-1)))</f>
        <v>Cucujiformia</v>
      </c>
      <c r="AA118" s="116" t="str" cm="1">
        <f t="array" ref="AA118">IFERROR(IF(OR(Z118="Insecta",Z118="Arachnida",Z118="#N/C"),"",INDEX(ClassificationClasses[[Class]:[Infraorder]],MATCH(TRUE,ISNUMBER(SEARCH(Z118,ClassificationClasses[Key])),0),MATCH(Z118,INDEX(ClassificationClasses[#Data], MATCH(TRUE,ISNUMBER(SEARCH(Z118,ClassificationClasses[Key])),0), 0), 0)-1)),"")</f>
        <v>Polyphaga</v>
      </c>
      <c r="AB118" s="116" t="str" cm="1">
        <f t="array" ref="AB118">IFERROR(IF(OR(AA118="Insecta",AA118="Arachnida",AA118="#N/C"),"",INDEX(ClassificationClasses[[Class]:[Suborder]],MATCH(TRUE,ISNUMBER(SEARCH(AA118,ClassificationClasses[Key])),0),MATCH(AA118,INDEX(ClassificationClasses[#Data], MATCH(TRUE,ISNUMBER(SEARCH(AA118,ClassificationClasses[Key])),0), 0), 0)-1)),"")</f>
        <v>Coleoptera</v>
      </c>
      <c r="AC118" s="116" t="str" cm="1">
        <f t="array" ref="AC118">IFERROR(IF(OR(AB118="Insecta",AB118="Arachnida",AB118="#N/C"),"",INDEX(ClassificationClasses[[Class]:[Suborder]],MATCH(TRUE,ISNUMBER(SEARCH(AB118,ClassificationClasses[Key])),0),MATCH(AB118,INDEX(ClassificationClasses[#Data], MATCH(TRUE,ISNUMBER(SEARCH(AB118,ClassificationClasses[Key])),0), 0), 0)-1)),"")</f>
        <v>Insecta</v>
      </c>
      <c r="AD118" s="116" t="str" cm="1">
        <f t="array" ref="AD118">IFERROR(IF(OR(AC118="Insecta",AC118="Arachnida",AC118="#N/C"),"",INDEX(ClassificationClasses[[Class]:[Suborder]],MATCH(TRUE,ISNUMBER(SEARCH(AC118,ClassificationClasses[Key])),0),MATCH(AC118,INDEX(ClassificationClasses[#Data], MATCH(TRUE,ISNUMBER(SEARCH(AC118,ClassificationClasses[Key])),0), 0), 0)-1)),"")</f>
        <v/>
      </c>
      <c r="AE118" s="18" t="str">
        <f t="shared" si="4"/>
        <v>Insecta.Coleoptera.Polyphaga.Cucujiformia.Tenebrionoidea.Anthicidae.Anthicinae.Notoxus.monoceros</v>
      </c>
    </row>
    <row r="119" spans="1:31" x14ac:dyDescent="0.3">
      <c r="A119" s="91">
        <v>118</v>
      </c>
      <c r="B119" s="7">
        <v>44392</v>
      </c>
      <c r="C119" s="92" t="s">
        <v>254</v>
      </c>
      <c r="D119" s="93" t="str">
        <f>HYPERLINK(VLOOKUP(C119,Video_List!$F:$J,5),"video")</f>
        <v>video</v>
      </c>
      <c r="E119" s="94" t="str">
        <f>IFERROR(IF(MATCH(C119,Video_List!$F:$F,)&gt;0,"ok",""),"error")</f>
        <v>ok</v>
      </c>
      <c r="F119" s="92" t="s">
        <v>254</v>
      </c>
      <c r="G119" s="93" t="str">
        <f>HYPERLINK(VLOOKUP(F119,Video_List!$F:$J,5),"video")</f>
        <v>video</v>
      </c>
      <c r="H119" s="94" t="str">
        <f>IFERROR(IF(MATCH(F119,Video_List!$F:$F,)&gt;0,"ok",""),"error")</f>
        <v>ok</v>
      </c>
      <c r="I119" s="17">
        <v>44392.912604166668</v>
      </c>
      <c r="J119" s="8">
        <v>44392.912893518522</v>
      </c>
      <c r="K119" s="15">
        <f t="shared" si="3"/>
        <v>2.8935185400769114E-4</v>
      </c>
      <c r="L119" s="95" t="s">
        <v>44</v>
      </c>
      <c r="M119" s="95" t="s">
        <v>118</v>
      </c>
      <c r="N119" s="96" t="str">
        <f>IF(ISBLANK(C119),"",IF(C119=F119, "1 video",CONCATENATE((+COUNTIFS(Video_List!$C:$C,"&lt;=" &amp;Monitoring!J119)-COUNTIFS(Video_List!$C:$C,"&lt;=" &amp;Monitoring!I119))+1," videos")))</f>
        <v>1 video</v>
      </c>
      <c r="O119" s="29" t="s">
        <v>44</v>
      </c>
      <c r="P119" s="42" t="s">
        <v>37</v>
      </c>
      <c r="Q119" s="42" t="s">
        <v>56</v>
      </c>
      <c r="R119" s="42" t="s">
        <v>57</v>
      </c>
      <c r="S119" s="97" t="str">
        <f>+IFERROR(IF(T119="#N/C","#N/C",IF(U119=0,INDEX(Taxonomy_UniqueValues!D:D,MATCH(U119,Taxonomy_UniqueValues!F:F,0)),INDEX(Taxonomy_UniqueValues!D:D,MATCH(T119,Taxonomy_UniqueValues!E:E,0)))),"#N/C")</f>
        <v>Heterocera</v>
      </c>
      <c r="T119" s="42" t="s">
        <v>243</v>
      </c>
      <c r="U119" s="42" t="s">
        <v>244</v>
      </c>
      <c r="V119" s="42" t="s">
        <v>245</v>
      </c>
      <c r="W119" s="42" t="s">
        <v>246</v>
      </c>
      <c r="X119" s="28" t="s">
        <v>35</v>
      </c>
      <c r="Y119" s="69" t="str" cm="1">
        <f t="array" ref="Y119">_xlfn.LET(_xlpm.cls,P119, _xlpm.ord,IFERROR(Q119,"#N/C"), _xlpm.subord,IFERROR(R119,"#N/C"), _xlpm.infr,IFERROR(S119,"#N/C"), _xlpm.sf,IFERROR(T119,"#N/C"), _xlpm.fam,IFERROR(U119,"#N/C"), _xlpm.subfam,IF(TRIM(V119)="-","#N/C",IFERROR(V119,"#N/C")),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_xlpm.fallback,IF(IFERROR(Q119,"#N/C")="#N/C",P119,IF(IFERROR(R119,"#N/C")="#N/C",Q119,IF(IFERROR(S119,"#N/C")="#N/C",R119,IF(IFERROR(T119,"#N/C")="#N/C",S119,IF(IFERROR(U119,"#N/C")="#N/C",T119,IF(IFERROR(V119,"#N/C")="#N/C",U119,"#N/C")))))), _xlpm.finalResult,IF(OR(_xlpm.computedResult="",_xlpm.computedResult="#N/C"),_xlpm.fallback,_xlpm.computedResult), INDEX(_xlpm.finalResult,1))</f>
        <v>moth</v>
      </c>
      <c r="Z119" s="116" t="str" cm="1">
        <f t="array" ref="Z119">IF(OR(Y119="Insecta",Y119="Arachnida",Y119="#N/C"),"",IFERROR(_xlfn.LET(_xlpm.fc,IFERROR(_xlfn._xlws.FILTER(ClassificationClasses[],ClassificationClasses[Classification Class]=Y119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119,ClassificationClasses[Key])),0),MATCH(Y119,INDEX(ClassificationClasses[],MATCH(TRUE,ISNUMBER(SEARCH(Y119,ClassificationClasses[Key])),0),0),0)-1)))</f>
        <v>Heterocera</v>
      </c>
      <c r="AA119" s="116" t="str" cm="1">
        <f t="array" ref="AA119">IFERROR(IF(OR(Z119="Insecta",Z119="Arachnida",Z119="#N/C"),"",INDEX(ClassificationClasses[[Class]:[Infraorder]],MATCH(TRUE,ISNUMBER(SEARCH(Z119,ClassificationClasses[Key])),0),MATCH(Z119,INDEX(ClassificationClasses[#Data], MATCH(TRUE,ISNUMBER(SEARCH(Z119,ClassificationClasses[Key])),0), 0), 0)-1)),"")</f>
        <v>Glossata</v>
      </c>
      <c r="AB119" s="116" t="str" cm="1">
        <f t="array" ref="AB119">IFERROR(IF(OR(AA119="Insecta",AA119="Arachnida",AA119="#N/C"),"",INDEX(ClassificationClasses[[Class]:[Suborder]],MATCH(TRUE,ISNUMBER(SEARCH(AA119,ClassificationClasses[Key])),0),MATCH(AA119,INDEX(ClassificationClasses[#Data], MATCH(TRUE,ISNUMBER(SEARCH(AA119,ClassificationClasses[Key])),0), 0), 0)-1)),"")</f>
        <v>Lepidoptera</v>
      </c>
      <c r="AC119" s="116" t="str" cm="1">
        <f t="array" ref="AC119">IFERROR(IF(OR(AB119="Insecta",AB119="Arachnida",AB119="#N/C"),"",INDEX(ClassificationClasses[[Class]:[Suborder]],MATCH(TRUE,ISNUMBER(SEARCH(AB119,ClassificationClasses[Key])),0),MATCH(AB119,INDEX(ClassificationClasses[#Data], MATCH(TRUE,ISNUMBER(SEARCH(AB119,ClassificationClasses[Key])),0), 0), 0)-1)),"")</f>
        <v>Insecta</v>
      </c>
      <c r="AD119" s="116" t="str" cm="1">
        <f t="array" ref="AD119">IFERROR(IF(OR(AC119="Insecta",AC119="Arachnida",AC119="#N/C"),"",INDEX(ClassificationClasses[[Class]:[Suborder]],MATCH(TRUE,ISNUMBER(SEARCH(AC119,ClassificationClasses[Key])),0),MATCH(AC119,INDEX(ClassificationClasses[#Data], MATCH(TRUE,ISNUMBER(SEARCH(AC119,ClassificationClasses[Key])),0), 0), 0)-1)),"")</f>
        <v/>
      </c>
      <c r="AE119" s="18" t="str">
        <f t="shared" si="4"/>
        <v>Insecta.Lepidoptera.Glossata.Heterocera.Pyraloidea.Pyralidae.Phycitinae.Ephestia.#N/C</v>
      </c>
    </row>
    <row r="120" spans="1:31" x14ac:dyDescent="0.3">
      <c r="A120" s="91">
        <v>119</v>
      </c>
      <c r="B120" s="7">
        <v>44392</v>
      </c>
      <c r="C120" s="92" t="s">
        <v>255</v>
      </c>
      <c r="D120" s="93" t="str">
        <f>HYPERLINK(VLOOKUP(C120,Video_List!$F:$J,5),"video")</f>
        <v>video</v>
      </c>
      <c r="E120" s="94" t="str">
        <f>IFERROR(IF(MATCH(C120,Video_List!$F:$F,)&gt;0,"ok",""),"error")</f>
        <v>ok</v>
      </c>
      <c r="F120" s="92" t="s">
        <v>255</v>
      </c>
      <c r="G120" s="93" t="str">
        <f>HYPERLINK(VLOOKUP(F120,Video_List!$F:$J,5),"video")</f>
        <v>video</v>
      </c>
      <c r="H120" s="94" t="str">
        <f>IFERROR(IF(MATCH(F120,Video_List!$F:$F,)&gt;0,"ok",""),"error")</f>
        <v>ok</v>
      </c>
      <c r="I120" s="17">
        <v>44392.914664351854</v>
      </c>
      <c r="J120" s="8">
        <v>44392.915277777778</v>
      </c>
      <c r="K120" s="15">
        <f t="shared" si="3"/>
        <v>6.1342592380242422E-4</v>
      </c>
      <c r="L120" s="4" t="s">
        <v>32</v>
      </c>
      <c r="M120" s="4" t="s">
        <v>33</v>
      </c>
      <c r="N120" s="96" t="str">
        <f>IF(ISBLANK(C120),"",IF(C120=F120, "1 video",CONCATENATE((+COUNTIFS(Video_List!$C:$C,"&lt;=" &amp;Monitoring!J120)-COUNTIFS(Video_List!$C:$C,"&lt;=" &amp;Monitoring!I120))+1," videos")))</f>
        <v>1 video</v>
      </c>
      <c r="O120" s="27" t="s">
        <v>32</v>
      </c>
      <c r="P120" s="42" t="s">
        <v>37</v>
      </c>
      <c r="Q120" s="42" t="s">
        <v>35</v>
      </c>
      <c r="R120" s="42" t="s">
        <v>35</v>
      </c>
      <c r="S120" s="97" t="str">
        <f>+IFERROR(IF(T120="#N/C","#N/C",IF(U120=0,INDEX(Taxonomy_UniqueValues!D:D,MATCH(U120,Taxonomy_UniqueValues!F:F,0)),INDEX(Taxonomy_UniqueValues!D:D,MATCH(T120,Taxonomy_UniqueValues!E:E,0)))),"#N/C")</f>
        <v>#N/C</v>
      </c>
      <c r="T120" s="42" t="s">
        <v>35</v>
      </c>
      <c r="U120" s="42" t="s">
        <v>35</v>
      </c>
      <c r="V120" s="42" t="s">
        <v>35</v>
      </c>
      <c r="W120" s="42" t="s">
        <v>35</v>
      </c>
      <c r="X120" s="28" t="s">
        <v>35</v>
      </c>
      <c r="Y120" s="69" t="str" cm="1">
        <f t="array" ref="Y120">_xlfn.LET(_xlpm.cls,P120, _xlpm.ord,IFERROR(Q120,"#N/C"), _xlpm.subord,IFERROR(R120,"#N/C"), _xlpm.infr,IFERROR(S120,"#N/C"), _xlpm.sf,IFERROR(T120,"#N/C"), _xlpm.fam,IFERROR(U120,"#N/C"), _xlpm.subfam,IF(TRIM(V120)="-","#N/C",IFERROR(V120,"#N/C")),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_xlpm.fallback,IF(IFERROR(Q120,"#N/C")="#N/C",P120,IF(IFERROR(R120,"#N/C")="#N/C",Q120,IF(IFERROR(S120,"#N/C")="#N/C",R120,IF(IFERROR(T120,"#N/C")="#N/C",S120,IF(IFERROR(U120,"#N/C")="#N/C",T120,IF(IFERROR(V120,"#N/C")="#N/C",U120,"#N/C")))))), _xlpm.finalResult,IF(OR(_xlpm.computedResult="",_xlpm.computedResult="#N/C"),_xlpm.fallback,_xlpm.computedResult), INDEX(_xlpm.finalResult,1))</f>
        <v>Insecta</v>
      </c>
      <c r="Z120" s="116" t="str" cm="1">
        <f t="array" ref="Z120">IF(OR(Y120="Insecta",Y120="Arachnida",Y120="#N/C"),"",IFERROR(_xlfn.LET(_xlpm.fc,IFERROR(_xlfn._xlws.FILTER(ClassificationClasses[],ClassificationClasses[Classification Class]=Y120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120,ClassificationClasses[Key])),0),MATCH(Y120,INDEX(ClassificationClasses[],MATCH(TRUE,ISNUMBER(SEARCH(Y120,ClassificationClasses[Key])),0),0),0)-1)))</f>
        <v/>
      </c>
      <c r="AA120" s="116" t="str" cm="1">
        <f t="array" ref="AA120">IFERROR(IF(OR(Z120="Insecta",Z120="Arachnida",Z120="#N/C"),"",INDEX(ClassificationClasses[[Class]:[Infraorder]],MATCH(TRUE,ISNUMBER(SEARCH(Z120,ClassificationClasses[Key])),0),MATCH(Z120,INDEX(ClassificationClasses[#Data], MATCH(TRUE,ISNUMBER(SEARCH(Z120,ClassificationClasses[Key])),0), 0), 0)-1)),"")</f>
        <v/>
      </c>
      <c r="AB120" s="116" t="str" cm="1">
        <f t="array" ref="AB120">IFERROR(IF(OR(AA120="Insecta",AA120="Arachnida",AA120="#N/C"),"",INDEX(ClassificationClasses[[Class]:[Suborder]],MATCH(TRUE,ISNUMBER(SEARCH(AA120,ClassificationClasses[Key])),0),MATCH(AA120,INDEX(ClassificationClasses[#Data], MATCH(TRUE,ISNUMBER(SEARCH(AA120,ClassificationClasses[Key])),0), 0), 0)-1)),"")</f>
        <v/>
      </c>
      <c r="AC120" s="116" t="str" cm="1">
        <f t="array" ref="AC120">IFERROR(IF(OR(AB120="Insecta",AB120="Arachnida",AB120="#N/C"),"",INDEX(ClassificationClasses[[Class]:[Suborder]],MATCH(TRUE,ISNUMBER(SEARCH(AB120,ClassificationClasses[Key])),0),MATCH(AB120,INDEX(ClassificationClasses[#Data], MATCH(TRUE,ISNUMBER(SEARCH(AB120,ClassificationClasses[Key])),0), 0), 0)-1)),"")</f>
        <v/>
      </c>
      <c r="AD120" s="116" t="str" cm="1">
        <f t="array" ref="AD120">IFERROR(IF(OR(AC120="Insecta",AC120="Arachnida",AC120="#N/C"),"",INDEX(ClassificationClasses[[Class]:[Suborder]],MATCH(TRUE,ISNUMBER(SEARCH(AC120,ClassificationClasses[Key])),0),MATCH(AC120,INDEX(ClassificationClasses[#Data], MATCH(TRUE,ISNUMBER(SEARCH(AC120,ClassificationClasses[Key])),0), 0), 0)-1)),"")</f>
        <v/>
      </c>
      <c r="AE120" s="18" t="str">
        <f t="shared" si="4"/>
        <v>Insecta.#N/C.#N/C.#N/C.#N/C.#N/C.#N/C.#N/C.#N/C</v>
      </c>
    </row>
    <row r="121" spans="1:31" x14ac:dyDescent="0.3">
      <c r="A121" s="91">
        <v>120</v>
      </c>
      <c r="B121" s="7">
        <v>44392</v>
      </c>
      <c r="C121" s="92" t="s">
        <v>256</v>
      </c>
      <c r="D121" s="93" t="str">
        <f>HYPERLINK(VLOOKUP(C121,Video_List!$F:$J,5),"video")</f>
        <v>video</v>
      </c>
      <c r="E121" s="94" t="str">
        <f>IFERROR(IF(MATCH(C121,Video_List!$F:$F,)&gt;0,"ok",""),"error")</f>
        <v>ok</v>
      </c>
      <c r="F121" s="92" t="s">
        <v>256</v>
      </c>
      <c r="G121" s="93" t="str">
        <f>HYPERLINK(VLOOKUP(F121,Video_List!$F:$J,5),"video")</f>
        <v>video</v>
      </c>
      <c r="H121" s="94" t="str">
        <f>IFERROR(IF(MATCH(F121,Video_List!$F:$F,)&gt;0,"ok",""),"error")</f>
        <v>ok</v>
      </c>
      <c r="I121" s="17">
        <v>44392.916273148148</v>
      </c>
      <c r="J121" s="8">
        <v>44392.916909722226</v>
      </c>
      <c r="K121" s="15">
        <f t="shared" si="3"/>
        <v>6.36574077361729E-4</v>
      </c>
      <c r="L121" s="4" t="s">
        <v>32</v>
      </c>
      <c r="M121" s="4" t="s">
        <v>33</v>
      </c>
      <c r="N121" s="96" t="str">
        <f>IF(ISBLANK(C121),"",IF(C121=F121, "1 video",CONCATENATE((+COUNTIFS(Video_List!$C:$C,"&lt;=" &amp;Monitoring!J121)-COUNTIFS(Video_List!$C:$C,"&lt;=" &amp;Monitoring!I121))+1," videos")))</f>
        <v>1 video</v>
      </c>
      <c r="O121" s="29" t="s">
        <v>44</v>
      </c>
      <c r="P121" s="42" t="s">
        <v>37</v>
      </c>
      <c r="Q121" s="42" t="s">
        <v>35</v>
      </c>
      <c r="R121" s="42" t="s">
        <v>35</v>
      </c>
      <c r="S121" s="97" t="str">
        <f>+IFERROR(IF(T121="#N/C","#N/C",IF(U121=0,INDEX(Taxonomy_UniqueValues!D:D,MATCH(U121,Taxonomy_UniqueValues!F:F,0)),INDEX(Taxonomy_UniqueValues!D:D,MATCH(T121,Taxonomy_UniqueValues!E:E,0)))),"#N/C")</f>
        <v>#N/C</v>
      </c>
      <c r="T121" s="42" t="s">
        <v>35</v>
      </c>
      <c r="U121" s="42" t="s">
        <v>35</v>
      </c>
      <c r="V121" s="42" t="s">
        <v>35</v>
      </c>
      <c r="W121" s="42" t="s">
        <v>35</v>
      </c>
      <c r="X121" s="28" t="s">
        <v>35</v>
      </c>
      <c r="Y121" s="69" t="str" cm="1">
        <f t="array" ref="Y121">_xlfn.LET(_xlpm.cls,P121, _xlpm.ord,IFERROR(Q121,"#N/C"), _xlpm.subord,IFERROR(R121,"#N/C"), _xlpm.infr,IFERROR(S121,"#N/C"), _xlpm.sf,IFERROR(T121,"#N/C"), _xlpm.fam,IFERROR(U121,"#N/C"), _xlpm.subfam,IF(TRIM(V121)="-","#N/C",IFERROR(V121,"#N/C")),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_xlpm.fallback,IF(IFERROR(Q121,"#N/C")="#N/C",P121,IF(IFERROR(R121,"#N/C")="#N/C",Q121,IF(IFERROR(S121,"#N/C")="#N/C",R121,IF(IFERROR(T121,"#N/C")="#N/C",S121,IF(IFERROR(U121,"#N/C")="#N/C",T121,IF(IFERROR(V121,"#N/C")="#N/C",U121,"#N/C")))))), _xlpm.finalResult,IF(OR(_xlpm.computedResult="",_xlpm.computedResult="#N/C"),_xlpm.fallback,_xlpm.computedResult), INDEX(_xlpm.finalResult,1))</f>
        <v>Insecta</v>
      </c>
      <c r="Z121" s="116" t="str" cm="1">
        <f t="array" ref="Z121">IF(OR(Y121="Insecta",Y121="Arachnida",Y121="#N/C"),"",IFERROR(_xlfn.LET(_xlpm.fc,IFERROR(_xlfn._xlws.FILTER(ClassificationClasses[],ClassificationClasses[Classification Class]=Y121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121,ClassificationClasses[Key])),0),MATCH(Y121,INDEX(ClassificationClasses[],MATCH(TRUE,ISNUMBER(SEARCH(Y121,ClassificationClasses[Key])),0),0),0)-1)))</f>
        <v/>
      </c>
      <c r="AA121" s="116" t="str" cm="1">
        <f t="array" ref="AA121">IFERROR(IF(OR(Z121="Insecta",Z121="Arachnida",Z121="#N/C"),"",INDEX(ClassificationClasses[[Class]:[Infraorder]],MATCH(TRUE,ISNUMBER(SEARCH(Z121,ClassificationClasses[Key])),0),MATCH(Z121,INDEX(ClassificationClasses[#Data], MATCH(TRUE,ISNUMBER(SEARCH(Z121,ClassificationClasses[Key])),0), 0), 0)-1)),"")</f>
        <v/>
      </c>
      <c r="AB121" s="116" t="str" cm="1">
        <f t="array" ref="AB121">IFERROR(IF(OR(AA121="Insecta",AA121="Arachnida",AA121="#N/C"),"",INDEX(ClassificationClasses[[Class]:[Suborder]],MATCH(TRUE,ISNUMBER(SEARCH(AA121,ClassificationClasses[Key])),0),MATCH(AA121,INDEX(ClassificationClasses[#Data], MATCH(TRUE,ISNUMBER(SEARCH(AA121,ClassificationClasses[Key])),0), 0), 0)-1)),"")</f>
        <v/>
      </c>
      <c r="AC121" s="116" t="str" cm="1">
        <f t="array" ref="AC121">IFERROR(IF(OR(AB121="Insecta",AB121="Arachnida",AB121="#N/C"),"",INDEX(ClassificationClasses[[Class]:[Suborder]],MATCH(TRUE,ISNUMBER(SEARCH(AB121,ClassificationClasses[Key])),0),MATCH(AB121,INDEX(ClassificationClasses[#Data], MATCH(TRUE,ISNUMBER(SEARCH(AB121,ClassificationClasses[Key])),0), 0), 0)-1)),"")</f>
        <v/>
      </c>
      <c r="AD121" s="116" t="str" cm="1">
        <f t="array" ref="AD121">IFERROR(IF(OR(AC121="Insecta",AC121="Arachnida",AC121="#N/C"),"",INDEX(ClassificationClasses[[Class]:[Suborder]],MATCH(TRUE,ISNUMBER(SEARCH(AC121,ClassificationClasses[Key])),0),MATCH(AC121,INDEX(ClassificationClasses[#Data], MATCH(TRUE,ISNUMBER(SEARCH(AC121,ClassificationClasses[Key])),0), 0), 0)-1)),"")</f>
        <v/>
      </c>
      <c r="AE121" s="18" t="str">
        <f t="shared" si="4"/>
        <v>Insecta.#N/C.#N/C.#N/C.#N/C.#N/C.#N/C.#N/C.#N/C</v>
      </c>
    </row>
    <row r="122" spans="1:31" x14ac:dyDescent="0.3">
      <c r="A122" s="91">
        <v>121</v>
      </c>
      <c r="B122" s="7">
        <v>44392</v>
      </c>
      <c r="C122" s="92" t="s">
        <v>256</v>
      </c>
      <c r="D122" s="93" t="str">
        <f>HYPERLINK(VLOOKUP(C122,Video_List!$F:$J,5),"video")</f>
        <v>video</v>
      </c>
      <c r="E122" s="94" t="str">
        <f>IFERROR(IF(MATCH(C122,Video_List!$F:$F,)&gt;0,"ok",""),"error")</f>
        <v>ok</v>
      </c>
      <c r="F122" s="92" t="s">
        <v>256</v>
      </c>
      <c r="G122" s="93" t="str">
        <f>HYPERLINK(VLOOKUP(F122,Video_List!$F:$J,5),"video")</f>
        <v>video</v>
      </c>
      <c r="H122" s="94" t="str">
        <f>IFERROR(IF(MATCH(F122,Video_List!$F:$F,)&gt;0,"ok",""),"error")</f>
        <v>ok</v>
      </c>
      <c r="I122" s="17">
        <v>44392.916388888887</v>
      </c>
      <c r="J122" s="8">
        <v>44392.916909722226</v>
      </c>
      <c r="K122" s="15">
        <f t="shared" si="3"/>
        <v>5.2083333866903558E-4</v>
      </c>
      <c r="L122" s="4" t="s">
        <v>32</v>
      </c>
      <c r="M122" s="4" t="s">
        <v>55</v>
      </c>
      <c r="N122" s="96" t="str">
        <f>IF(ISBLANK(C122),"",IF(C122=F122, "1 video",CONCATENATE((+COUNTIFS(Video_List!$C:$C,"&lt;=" &amp;Monitoring!J122)-COUNTIFS(Video_List!$C:$C,"&lt;=" &amp;Monitoring!I122))+1," videos")))</f>
        <v>1 video</v>
      </c>
      <c r="O122" s="29" t="s">
        <v>44</v>
      </c>
      <c r="P122" s="42" t="s">
        <v>37</v>
      </c>
      <c r="Q122" s="42" t="s">
        <v>56</v>
      </c>
      <c r="R122" s="42" t="s">
        <v>57</v>
      </c>
      <c r="S122" s="97" t="str">
        <f>+IFERROR(IF(T122="#N/C","#N/C",IF(U122=0,INDEX(Taxonomy_UniqueValues!D:D,MATCH(U122,Taxonomy_UniqueValues!F:F,0)),INDEX(Taxonomy_UniqueValues!D:D,MATCH(T122,Taxonomy_UniqueValues!E:E,0)))),"#N/C")</f>
        <v>Heterocera</v>
      </c>
      <c r="T122" s="42" t="s">
        <v>257</v>
      </c>
      <c r="U122" s="42" t="s">
        <v>35</v>
      </c>
      <c r="V122" s="42" t="s">
        <v>35</v>
      </c>
      <c r="W122" s="42" t="s">
        <v>35</v>
      </c>
      <c r="X122" s="28" t="s">
        <v>35</v>
      </c>
      <c r="Y122" s="69" t="str" cm="1">
        <f t="array" ref="Y122">_xlfn.LET(_xlpm.cls,P122, _xlpm.ord,IFERROR(Q122,"#N/C"), _xlpm.subord,IFERROR(R122,"#N/C"), _xlpm.infr,IFERROR(S122,"#N/C"), _xlpm.sf,IFERROR(T122,"#N/C"), _xlpm.fam,IFERROR(U122,"#N/C"), _xlpm.subfam,IF(TRIM(V122)="-","#N/C",IFERROR(V122,"#N/C")),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_xlpm.fallback,IF(IFERROR(Q122,"#N/C")="#N/C",P122,IF(IFERROR(R122,"#N/C")="#N/C",Q122,IF(IFERROR(S122,"#N/C")="#N/C",R122,IF(IFERROR(T122,"#N/C")="#N/C",S122,IF(IFERROR(U122,"#N/C")="#N/C",T122,IF(IFERROR(V122,"#N/C")="#N/C",U122,"#N/C")))))), _xlpm.finalResult,IF(OR(_xlpm.computedResult="",_xlpm.computedResult="#N/C"),_xlpm.fallback,_xlpm.computedResult), INDEX(_xlpm.finalResult,1))</f>
        <v>Gelechioidea</v>
      </c>
      <c r="Z122" s="116" t="str" cm="1">
        <f t="array" ref="Z122">IF(OR(Y122="Insecta",Y122="Arachnida",Y122="#N/C"),"",IFERROR(_xlfn.LET(_xlpm.fc,IFERROR(_xlfn._xlws.FILTER(ClassificationClasses[],ClassificationClasses[Classification Class]=Y122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122,ClassificationClasses[Key])),0),MATCH(Y122,INDEX(ClassificationClasses[],MATCH(TRUE,ISNUMBER(SEARCH(Y122,ClassificationClasses[Key])),0),0),0)-1)))</f>
        <v>Heterocera</v>
      </c>
      <c r="AA122" s="116" t="str" cm="1">
        <f t="array" ref="AA122">IFERROR(IF(OR(Z122="Insecta",Z122="Arachnida",Z122="#N/C"),"",INDEX(ClassificationClasses[[Class]:[Infraorder]],MATCH(TRUE,ISNUMBER(SEARCH(Z122,ClassificationClasses[Key])),0),MATCH(Z122,INDEX(ClassificationClasses[#Data], MATCH(TRUE,ISNUMBER(SEARCH(Z122,ClassificationClasses[Key])),0), 0), 0)-1)),"")</f>
        <v>Glossata</v>
      </c>
      <c r="AB122" s="116" t="str" cm="1">
        <f t="array" ref="AB122">IFERROR(IF(OR(AA122="Insecta",AA122="Arachnida",AA122="#N/C"),"",INDEX(ClassificationClasses[[Class]:[Suborder]],MATCH(TRUE,ISNUMBER(SEARCH(AA122,ClassificationClasses[Key])),0),MATCH(AA122,INDEX(ClassificationClasses[#Data], MATCH(TRUE,ISNUMBER(SEARCH(AA122,ClassificationClasses[Key])),0), 0), 0)-1)),"")</f>
        <v>Lepidoptera</v>
      </c>
      <c r="AC122" s="116" t="str" cm="1">
        <f t="array" ref="AC122">IFERROR(IF(OR(AB122="Insecta",AB122="Arachnida",AB122="#N/C"),"",INDEX(ClassificationClasses[[Class]:[Suborder]],MATCH(TRUE,ISNUMBER(SEARCH(AB122,ClassificationClasses[Key])),0),MATCH(AB122,INDEX(ClassificationClasses[#Data], MATCH(TRUE,ISNUMBER(SEARCH(AB122,ClassificationClasses[Key])),0), 0), 0)-1)),"")</f>
        <v>Insecta</v>
      </c>
      <c r="AD122" s="116" t="str" cm="1">
        <f t="array" ref="AD122">IFERROR(IF(OR(AC122="Insecta",AC122="Arachnida",AC122="#N/C"),"",INDEX(ClassificationClasses[[Class]:[Suborder]],MATCH(TRUE,ISNUMBER(SEARCH(AC122,ClassificationClasses[Key])),0),MATCH(AC122,INDEX(ClassificationClasses[#Data], MATCH(TRUE,ISNUMBER(SEARCH(AC122,ClassificationClasses[Key])),0), 0), 0)-1)),"")</f>
        <v/>
      </c>
      <c r="AE122" s="18" t="str">
        <f t="shared" si="4"/>
        <v>Insecta.Lepidoptera.Glossata.Heterocera.Gelechioidea.#N/C.#N/C.#N/C.#N/C</v>
      </c>
    </row>
    <row r="123" spans="1:31" x14ac:dyDescent="0.3">
      <c r="A123" s="91">
        <v>122</v>
      </c>
      <c r="B123" s="7">
        <v>44392</v>
      </c>
      <c r="C123" s="92" t="s">
        <v>258</v>
      </c>
      <c r="D123" s="93" t="str">
        <f>HYPERLINK(VLOOKUP(C123,Video_List!$F:$J,5),"video")</f>
        <v>video</v>
      </c>
      <c r="E123" s="94" t="str">
        <f>IFERROR(IF(MATCH(C123,Video_List!$F:$F,)&gt;0,"ok",""),"error")</f>
        <v>ok</v>
      </c>
      <c r="F123" s="92" t="s">
        <v>258</v>
      </c>
      <c r="G123" s="93" t="str">
        <f>HYPERLINK(VLOOKUP(F123,Video_List!$F:$J,5),"video")</f>
        <v>video</v>
      </c>
      <c r="H123" s="94" t="str">
        <f>IFERROR(IF(MATCH(F123,Video_List!$F:$F,)&gt;0,"ok",""),"error")</f>
        <v>ok</v>
      </c>
      <c r="I123" s="17">
        <v>44392.917395833334</v>
      </c>
      <c r="J123" s="8">
        <v>44392.919398148151</v>
      </c>
      <c r="K123" s="15">
        <f t="shared" si="3"/>
        <v>2.0023148172185756E-3</v>
      </c>
      <c r="L123" s="95" t="s">
        <v>44</v>
      </c>
      <c r="M123" s="95" t="s">
        <v>118</v>
      </c>
      <c r="N123" s="96" t="str">
        <f>IF(ISBLANK(C123),"",IF(C123=F123, "1 video",CONCATENATE((+COUNTIFS(Video_List!$C:$C,"&lt;=" &amp;Monitoring!J123)-COUNTIFS(Video_List!$C:$C,"&lt;=" &amp;Monitoring!I123))+1," videos")))</f>
        <v>1 video</v>
      </c>
      <c r="O123" s="29" t="s">
        <v>44</v>
      </c>
      <c r="P123" s="42" t="s">
        <v>37</v>
      </c>
      <c r="Q123" s="42" t="s">
        <v>56</v>
      </c>
      <c r="R123" s="42" t="s">
        <v>57</v>
      </c>
      <c r="S123" s="97" t="str">
        <f>+IFERROR(IF(T123="#N/C","#N/C",IF(U123=0,INDEX(Taxonomy_UniqueValues!D:D,MATCH(U123,Taxonomy_UniqueValues!F:F,0)),INDEX(Taxonomy_UniqueValues!D:D,MATCH(T123,Taxonomy_UniqueValues!E:E,0)))),"#N/C")</f>
        <v>Heterocera</v>
      </c>
      <c r="T123" s="42" t="s">
        <v>243</v>
      </c>
      <c r="U123" s="42" t="s">
        <v>244</v>
      </c>
      <c r="V123" s="42" t="s">
        <v>245</v>
      </c>
      <c r="W123" s="42" t="s">
        <v>246</v>
      </c>
      <c r="X123" s="28" t="s">
        <v>35</v>
      </c>
      <c r="Y123" s="69" t="str" cm="1">
        <f t="array" ref="Y123">_xlfn.LET(_xlpm.cls,P123, _xlpm.ord,IFERROR(Q123,"#N/C"), _xlpm.subord,IFERROR(R123,"#N/C"), _xlpm.infr,IFERROR(S123,"#N/C"), _xlpm.sf,IFERROR(T123,"#N/C"), _xlpm.fam,IFERROR(U123,"#N/C"), _xlpm.subfam,IF(TRIM(V123)="-","#N/C",IFERROR(V123,"#N/C")),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_xlpm.fallback,IF(IFERROR(Q123,"#N/C")="#N/C",P123,IF(IFERROR(R123,"#N/C")="#N/C",Q123,IF(IFERROR(S123,"#N/C")="#N/C",R123,IF(IFERROR(T123,"#N/C")="#N/C",S123,IF(IFERROR(U123,"#N/C")="#N/C",T123,IF(IFERROR(V123,"#N/C")="#N/C",U123,"#N/C")))))), _xlpm.finalResult,IF(OR(_xlpm.computedResult="",_xlpm.computedResult="#N/C"),_xlpm.fallback,_xlpm.computedResult), INDEX(_xlpm.finalResult,1))</f>
        <v>moth</v>
      </c>
      <c r="Z123" s="116" t="str" cm="1">
        <f t="array" ref="Z123">IF(OR(Y123="Insecta",Y123="Arachnida",Y123="#N/C"),"",IFERROR(_xlfn.LET(_xlpm.fc,IFERROR(_xlfn._xlws.FILTER(ClassificationClasses[],ClassificationClasses[Classification Class]=Y123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123,ClassificationClasses[Key])),0),MATCH(Y123,INDEX(ClassificationClasses[],MATCH(TRUE,ISNUMBER(SEARCH(Y123,ClassificationClasses[Key])),0),0),0)-1)))</f>
        <v>Heterocera</v>
      </c>
      <c r="AA123" s="116" t="str" cm="1">
        <f t="array" ref="AA123">IFERROR(IF(OR(Z123="Insecta",Z123="Arachnida",Z123="#N/C"),"",INDEX(ClassificationClasses[[Class]:[Infraorder]],MATCH(TRUE,ISNUMBER(SEARCH(Z123,ClassificationClasses[Key])),0),MATCH(Z123,INDEX(ClassificationClasses[#Data], MATCH(TRUE,ISNUMBER(SEARCH(Z123,ClassificationClasses[Key])),0), 0), 0)-1)),"")</f>
        <v>Glossata</v>
      </c>
      <c r="AB123" s="116" t="str" cm="1">
        <f t="array" ref="AB123">IFERROR(IF(OR(AA123="Insecta",AA123="Arachnida",AA123="#N/C"),"",INDEX(ClassificationClasses[[Class]:[Suborder]],MATCH(TRUE,ISNUMBER(SEARCH(AA123,ClassificationClasses[Key])),0),MATCH(AA123,INDEX(ClassificationClasses[#Data], MATCH(TRUE,ISNUMBER(SEARCH(AA123,ClassificationClasses[Key])),0), 0), 0)-1)),"")</f>
        <v>Lepidoptera</v>
      </c>
      <c r="AC123" s="116" t="str" cm="1">
        <f t="array" ref="AC123">IFERROR(IF(OR(AB123="Insecta",AB123="Arachnida",AB123="#N/C"),"",INDEX(ClassificationClasses[[Class]:[Suborder]],MATCH(TRUE,ISNUMBER(SEARCH(AB123,ClassificationClasses[Key])),0),MATCH(AB123,INDEX(ClassificationClasses[#Data], MATCH(TRUE,ISNUMBER(SEARCH(AB123,ClassificationClasses[Key])),0), 0), 0)-1)),"")</f>
        <v>Insecta</v>
      </c>
      <c r="AD123" s="116" t="str" cm="1">
        <f t="array" ref="AD123">IFERROR(IF(OR(AC123="Insecta",AC123="Arachnida",AC123="#N/C"),"",INDEX(ClassificationClasses[[Class]:[Suborder]],MATCH(TRUE,ISNUMBER(SEARCH(AC123,ClassificationClasses[Key])),0),MATCH(AC123,INDEX(ClassificationClasses[#Data], MATCH(TRUE,ISNUMBER(SEARCH(AC123,ClassificationClasses[Key])),0), 0), 0)-1)),"")</f>
        <v/>
      </c>
      <c r="AE123" s="18" t="str">
        <f t="shared" si="4"/>
        <v>Insecta.Lepidoptera.Glossata.Heterocera.Pyraloidea.Pyralidae.Phycitinae.Ephestia.#N/C</v>
      </c>
    </row>
    <row r="124" spans="1:31" x14ac:dyDescent="0.3">
      <c r="A124" s="91">
        <v>123</v>
      </c>
      <c r="B124" s="7">
        <v>44392</v>
      </c>
      <c r="C124" s="92" t="s">
        <v>259</v>
      </c>
      <c r="D124" s="93" t="str">
        <f>HYPERLINK(VLOOKUP(C124,Video_List!$F:$J,5),"video")</f>
        <v>video</v>
      </c>
      <c r="E124" s="94" t="str">
        <f>IFERROR(IF(MATCH(C124,Video_List!$F:$F,)&gt;0,"ok",""),"error")</f>
        <v>ok</v>
      </c>
      <c r="F124" s="92" t="s">
        <v>259</v>
      </c>
      <c r="G124" s="93" t="str">
        <f>HYPERLINK(VLOOKUP(F124,Video_List!$F:$J,5),"video")</f>
        <v>video</v>
      </c>
      <c r="H124" s="94" t="str">
        <f>IFERROR(IF(MATCH(F124,Video_List!$F:$F,)&gt;0,"ok",""),"error")</f>
        <v>ok</v>
      </c>
      <c r="I124" s="17">
        <v>44392.921111111114</v>
      </c>
      <c r="J124" s="8">
        <v>44392.92260416667</v>
      </c>
      <c r="K124" s="15">
        <f t="shared" si="3"/>
        <v>1.4930555553291924E-3</v>
      </c>
      <c r="L124" s="95" t="s">
        <v>44</v>
      </c>
      <c r="M124" s="95" t="s">
        <v>118</v>
      </c>
      <c r="N124" s="96" t="str">
        <f>IF(ISBLANK(C124),"",IF(C124=F124, "1 video",CONCATENATE((+COUNTIFS(Video_List!$C:$C,"&lt;=" &amp;Monitoring!J124)-COUNTIFS(Video_List!$C:$C,"&lt;=" &amp;Monitoring!I124))+1," videos")))</f>
        <v>1 video</v>
      </c>
      <c r="O124" s="29" t="s">
        <v>44</v>
      </c>
      <c r="P124" s="42" t="s">
        <v>37</v>
      </c>
      <c r="Q124" s="42" t="s">
        <v>56</v>
      </c>
      <c r="R124" s="42" t="s">
        <v>57</v>
      </c>
      <c r="S124" s="97" t="str">
        <f>+IFERROR(IF(T124="#N/C","#N/C",IF(U124=0,INDEX(Taxonomy_UniqueValues!D:D,MATCH(U124,Taxonomy_UniqueValues!F:F,0)),INDEX(Taxonomy_UniqueValues!D:D,MATCH(T124,Taxonomy_UniqueValues!E:E,0)))),"#N/C")</f>
        <v>Heterocera</v>
      </c>
      <c r="T124" s="42" t="s">
        <v>243</v>
      </c>
      <c r="U124" s="42" t="s">
        <v>244</v>
      </c>
      <c r="V124" s="42" t="s">
        <v>245</v>
      </c>
      <c r="W124" s="42" t="s">
        <v>246</v>
      </c>
      <c r="X124" s="28" t="s">
        <v>35</v>
      </c>
      <c r="Y124" s="69" t="str" cm="1">
        <f t="array" ref="Y124">_xlfn.LET(_xlpm.cls,P124, _xlpm.ord,IFERROR(Q124,"#N/C"), _xlpm.subord,IFERROR(R124,"#N/C"), _xlpm.infr,IFERROR(S124,"#N/C"), _xlpm.sf,IFERROR(T124,"#N/C"), _xlpm.fam,IFERROR(U124,"#N/C"), _xlpm.subfam,IF(TRIM(V124)="-","#N/C",IFERROR(V124,"#N/C")),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_xlpm.fallback,IF(IFERROR(Q124,"#N/C")="#N/C",P124,IF(IFERROR(R124,"#N/C")="#N/C",Q124,IF(IFERROR(S124,"#N/C")="#N/C",R124,IF(IFERROR(T124,"#N/C")="#N/C",S124,IF(IFERROR(U124,"#N/C")="#N/C",T124,IF(IFERROR(V124,"#N/C")="#N/C",U124,"#N/C")))))), _xlpm.finalResult,IF(OR(_xlpm.computedResult="",_xlpm.computedResult="#N/C"),_xlpm.fallback,_xlpm.computedResult), INDEX(_xlpm.finalResult,1))</f>
        <v>moth</v>
      </c>
      <c r="Z124" s="116" t="str" cm="1">
        <f t="array" ref="Z124">IF(OR(Y124="Insecta",Y124="Arachnida",Y124="#N/C"),"",IFERROR(_xlfn.LET(_xlpm.fc,IFERROR(_xlfn._xlws.FILTER(ClassificationClasses[],ClassificationClasses[Classification Class]=Y124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124,ClassificationClasses[Key])),0),MATCH(Y124,INDEX(ClassificationClasses[],MATCH(TRUE,ISNUMBER(SEARCH(Y124,ClassificationClasses[Key])),0),0),0)-1)))</f>
        <v>Heterocera</v>
      </c>
      <c r="AA124" s="116" t="str" cm="1">
        <f t="array" ref="AA124">IFERROR(IF(OR(Z124="Insecta",Z124="Arachnida",Z124="#N/C"),"",INDEX(ClassificationClasses[[Class]:[Infraorder]],MATCH(TRUE,ISNUMBER(SEARCH(Z124,ClassificationClasses[Key])),0),MATCH(Z124,INDEX(ClassificationClasses[#Data], MATCH(TRUE,ISNUMBER(SEARCH(Z124,ClassificationClasses[Key])),0), 0), 0)-1)),"")</f>
        <v>Glossata</v>
      </c>
      <c r="AB124" s="116" t="str" cm="1">
        <f t="array" ref="AB124">IFERROR(IF(OR(AA124="Insecta",AA124="Arachnida",AA124="#N/C"),"",INDEX(ClassificationClasses[[Class]:[Suborder]],MATCH(TRUE,ISNUMBER(SEARCH(AA124,ClassificationClasses[Key])),0),MATCH(AA124,INDEX(ClassificationClasses[#Data], MATCH(TRUE,ISNUMBER(SEARCH(AA124,ClassificationClasses[Key])),0), 0), 0)-1)),"")</f>
        <v>Lepidoptera</v>
      </c>
      <c r="AC124" s="116" t="str" cm="1">
        <f t="array" ref="AC124">IFERROR(IF(OR(AB124="Insecta",AB124="Arachnida",AB124="#N/C"),"",INDEX(ClassificationClasses[[Class]:[Suborder]],MATCH(TRUE,ISNUMBER(SEARCH(AB124,ClassificationClasses[Key])),0),MATCH(AB124,INDEX(ClassificationClasses[#Data], MATCH(TRUE,ISNUMBER(SEARCH(AB124,ClassificationClasses[Key])),0), 0), 0)-1)),"")</f>
        <v>Insecta</v>
      </c>
      <c r="AD124" s="116" t="str" cm="1">
        <f t="array" ref="AD124">IFERROR(IF(OR(AC124="Insecta",AC124="Arachnida",AC124="#N/C"),"",INDEX(ClassificationClasses[[Class]:[Suborder]],MATCH(TRUE,ISNUMBER(SEARCH(AC124,ClassificationClasses[Key])),0),MATCH(AC124,INDEX(ClassificationClasses[#Data], MATCH(TRUE,ISNUMBER(SEARCH(AC124,ClassificationClasses[Key])),0), 0), 0)-1)),"")</f>
        <v/>
      </c>
      <c r="AE124" s="18" t="str">
        <f t="shared" si="4"/>
        <v>Insecta.Lepidoptera.Glossata.Heterocera.Pyraloidea.Pyralidae.Phycitinae.Ephestia.#N/C</v>
      </c>
    </row>
    <row r="125" spans="1:31" x14ac:dyDescent="0.3">
      <c r="A125" s="91">
        <v>124</v>
      </c>
      <c r="B125" s="7">
        <v>44392</v>
      </c>
      <c r="C125" s="92" t="s">
        <v>259</v>
      </c>
      <c r="D125" s="93" t="str">
        <f>HYPERLINK(VLOOKUP(C125,Video_List!$F:$J,5),"video")</f>
        <v>video</v>
      </c>
      <c r="E125" s="94" t="str">
        <f>IFERROR(IF(MATCH(C125,Video_List!$F:$F,)&gt;0,"ok",""),"error")</f>
        <v>ok</v>
      </c>
      <c r="F125" s="92" t="s">
        <v>259</v>
      </c>
      <c r="G125" s="93" t="str">
        <f>HYPERLINK(VLOOKUP(F125,Video_List!$F:$J,5),"video")</f>
        <v>video</v>
      </c>
      <c r="H125" s="94" t="str">
        <f>IFERROR(IF(MATCH(F125,Video_List!$F:$F,)&gt;0,"ok",""),"error")</f>
        <v>ok</v>
      </c>
      <c r="I125" s="17">
        <v>44392.921111111114</v>
      </c>
      <c r="J125" s="8">
        <v>44392.92260416667</v>
      </c>
      <c r="K125" s="15">
        <f t="shared" si="3"/>
        <v>1.4930555553291924E-3</v>
      </c>
      <c r="L125" s="95" t="s">
        <v>44</v>
      </c>
      <c r="M125" s="95" t="s">
        <v>118</v>
      </c>
      <c r="N125" s="96" t="str">
        <f>IF(ISBLANK(C125),"",IF(C125=F125, "1 video",CONCATENATE((+COUNTIFS(Video_List!$C:$C,"&lt;=" &amp;Monitoring!J125)-COUNTIFS(Video_List!$C:$C,"&lt;=" &amp;Monitoring!I125))+1," videos")))</f>
        <v>1 video</v>
      </c>
      <c r="O125" s="29" t="s">
        <v>44</v>
      </c>
      <c r="P125" s="42" t="s">
        <v>37</v>
      </c>
      <c r="Q125" s="42" t="s">
        <v>56</v>
      </c>
      <c r="R125" s="42" t="s">
        <v>57</v>
      </c>
      <c r="S125" s="97" t="str">
        <f>+IFERROR(IF(T125="#N/C","#N/C",IF(U125=0,INDEX(Taxonomy_UniqueValues!D:D,MATCH(U125,Taxonomy_UniqueValues!F:F,0)),INDEX(Taxonomy_UniqueValues!D:D,MATCH(T125,Taxonomy_UniqueValues!E:E,0)))),"#N/C")</f>
        <v>Heterocera</v>
      </c>
      <c r="T125" s="42" t="s">
        <v>243</v>
      </c>
      <c r="U125" s="42" t="s">
        <v>244</v>
      </c>
      <c r="V125" s="42" t="s">
        <v>245</v>
      </c>
      <c r="W125" s="42" t="s">
        <v>246</v>
      </c>
      <c r="X125" s="28" t="s">
        <v>35</v>
      </c>
      <c r="Y125" s="69" t="str" cm="1">
        <f t="array" ref="Y125">_xlfn.LET(_xlpm.cls,P125, _xlpm.ord,IFERROR(Q125,"#N/C"), _xlpm.subord,IFERROR(R125,"#N/C"), _xlpm.infr,IFERROR(S125,"#N/C"), _xlpm.sf,IFERROR(T125,"#N/C"), _xlpm.fam,IFERROR(U125,"#N/C"), _xlpm.subfam,IF(TRIM(V125)="-","#N/C",IFERROR(V125,"#N/C")),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_xlpm.fallback,IF(IFERROR(Q125,"#N/C")="#N/C",P125,IF(IFERROR(R125,"#N/C")="#N/C",Q125,IF(IFERROR(S125,"#N/C")="#N/C",R125,IF(IFERROR(T125,"#N/C")="#N/C",S125,IF(IFERROR(U125,"#N/C")="#N/C",T125,IF(IFERROR(V125,"#N/C")="#N/C",U125,"#N/C")))))), _xlpm.finalResult,IF(OR(_xlpm.computedResult="",_xlpm.computedResult="#N/C"),_xlpm.fallback,_xlpm.computedResult), INDEX(_xlpm.finalResult,1))</f>
        <v>moth</v>
      </c>
      <c r="Z125" s="116" t="str" cm="1">
        <f t="array" ref="Z125">IF(OR(Y125="Insecta",Y125="Arachnida",Y125="#N/C"),"",IFERROR(_xlfn.LET(_xlpm.fc,IFERROR(_xlfn._xlws.FILTER(ClassificationClasses[],ClassificationClasses[Classification Class]=Y125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125,ClassificationClasses[Key])),0),MATCH(Y125,INDEX(ClassificationClasses[],MATCH(TRUE,ISNUMBER(SEARCH(Y125,ClassificationClasses[Key])),0),0),0)-1)))</f>
        <v>Heterocera</v>
      </c>
      <c r="AA125" s="116" t="str" cm="1">
        <f t="array" ref="AA125">IFERROR(IF(OR(Z125="Insecta",Z125="Arachnida",Z125="#N/C"),"",INDEX(ClassificationClasses[[Class]:[Infraorder]],MATCH(TRUE,ISNUMBER(SEARCH(Z125,ClassificationClasses[Key])),0),MATCH(Z125,INDEX(ClassificationClasses[#Data], MATCH(TRUE,ISNUMBER(SEARCH(Z125,ClassificationClasses[Key])),0), 0), 0)-1)),"")</f>
        <v>Glossata</v>
      </c>
      <c r="AB125" s="116" t="str" cm="1">
        <f t="array" ref="AB125">IFERROR(IF(OR(AA125="Insecta",AA125="Arachnida",AA125="#N/C"),"",INDEX(ClassificationClasses[[Class]:[Suborder]],MATCH(TRUE,ISNUMBER(SEARCH(AA125,ClassificationClasses[Key])),0),MATCH(AA125,INDEX(ClassificationClasses[#Data], MATCH(TRUE,ISNUMBER(SEARCH(AA125,ClassificationClasses[Key])),0), 0), 0)-1)),"")</f>
        <v>Lepidoptera</v>
      </c>
      <c r="AC125" s="116" t="str" cm="1">
        <f t="array" ref="AC125">IFERROR(IF(OR(AB125="Insecta",AB125="Arachnida",AB125="#N/C"),"",INDEX(ClassificationClasses[[Class]:[Suborder]],MATCH(TRUE,ISNUMBER(SEARCH(AB125,ClassificationClasses[Key])),0),MATCH(AB125,INDEX(ClassificationClasses[#Data], MATCH(TRUE,ISNUMBER(SEARCH(AB125,ClassificationClasses[Key])),0), 0), 0)-1)),"")</f>
        <v>Insecta</v>
      </c>
      <c r="AD125" s="116" t="str" cm="1">
        <f t="array" ref="AD125">IFERROR(IF(OR(AC125="Insecta",AC125="Arachnida",AC125="#N/C"),"",INDEX(ClassificationClasses[[Class]:[Suborder]],MATCH(TRUE,ISNUMBER(SEARCH(AC125,ClassificationClasses[Key])),0),MATCH(AC125,INDEX(ClassificationClasses[#Data], MATCH(TRUE,ISNUMBER(SEARCH(AC125,ClassificationClasses[Key])),0), 0), 0)-1)),"")</f>
        <v/>
      </c>
      <c r="AE125" s="18" t="str">
        <f t="shared" si="4"/>
        <v>Insecta.Lepidoptera.Glossata.Heterocera.Pyraloidea.Pyralidae.Phycitinae.Ephestia.#N/C</v>
      </c>
    </row>
    <row r="126" spans="1:31" x14ac:dyDescent="0.3">
      <c r="A126" s="91">
        <v>125</v>
      </c>
      <c r="B126" s="7">
        <v>44392</v>
      </c>
      <c r="C126" s="92" t="s">
        <v>259</v>
      </c>
      <c r="D126" s="93" t="str">
        <f>HYPERLINK(VLOOKUP(C126,Video_List!$F:$J,5),"video")</f>
        <v>video</v>
      </c>
      <c r="E126" s="94" t="str">
        <f>IFERROR(IF(MATCH(C126,Video_List!$F:$F,)&gt;0,"ok",""),"error")</f>
        <v>ok</v>
      </c>
      <c r="F126" s="92" t="s">
        <v>259</v>
      </c>
      <c r="G126" s="93" t="str">
        <f>HYPERLINK(VLOOKUP(F126,Video_List!$F:$J,5),"video")</f>
        <v>video</v>
      </c>
      <c r="H126" s="94" t="str">
        <f>IFERROR(IF(MATCH(F126,Video_List!$F:$F,)&gt;0,"ok",""),"error")</f>
        <v>ok</v>
      </c>
      <c r="I126" s="17">
        <v>44392.922997685186</v>
      </c>
      <c r="J126" s="8">
        <v>44392.923020833332</v>
      </c>
      <c r="K126" s="15">
        <f t="shared" si="3"/>
        <v>2.314814628334716E-5</v>
      </c>
      <c r="L126" s="95" t="s">
        <v>32</v>
      </c>
      <c r="M126" s="95" t="s">
        <v>33</v>
      </c>
      <c r="N126" s="96" t="str">
        <f>IF(ISBLANK(C126),"",IF(C126=F126, "1 video",CONCATENATE((+COUNTIFS(Video_List!$C:$C,"&lt;=" &amp;Monitoring!J126)-COUNTIFS(Video_List!$C:$C,"&lt;=" &amp;Monitoring!I126))+1," videos")))</f>
        <v>1 video</v>
      </c>
      <c r="O126" s="27" t="s">
        <v>32</v>
      </c>
      <c r="P126" s="42" t="s">
        <v>37</v>
      </c>
      <c r="Q126" s="42" t="s">
        <v>56</v>
      </c>
      <c r="R126" s="42" t="s">
        <v>57</v>
      </c>
      <c r="S126" s="97" t="str">
        <f>+IFERROR(IF(T126="#N/C","#N/C",IF(U126=0,INDEX(Taxonomy_UniqueValues!D:D,MATCH(U126,Taxonomy_UniqueValues!F:F,0)),INDEX(Taxonomy_UniqueValues!D:D,MATCH(T126,Taxonomy_UniqueValues!E:E,0)))),"#N/C")</f>
        <v>Heterocera</v>
      </c>
      <c r="T126" s="42" t="s">
        <v>243</v>
      </c>
      <c r="U126" s="42" t="s">
        <v>244</v>
      </c>
      <c r="V126" s="42" t="s">
        <v>260</v>
      </c>
      <c r="W126" s="42" t="s">
        <v>261</v>
      </c>
      <c r="X126" s="28" t="s">
        <v>262</v>
      </c>
      <c r="Y126" s="69" t="str" cm="1">
        <f t="array" ref="Y126">_xlfn.LET(_xlpm.cls,P126, _xlpm.ord,IFERROR(Q126,"#N/C"), _xlpm.subord,IFERROR(R126,"#N/C"), _xlpm.infr,IFERROR(S126,"#N/C"), _xlpm.sf,IFERROR(T126,"#N/C"), _xlpm.fam,IFERROR(U126,"#N/C"), _xlpm.subfam,IF(TRIM(V126)="-","#N/C",IFERROR(V126,"#N/C")),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_xlpm.fallback,IF(IFERROR(Q126,"#N/C")="#N/C",P126,IF(IFERROR(R126,"#N/C")="#N/C",Q126,IF(IFERROR(S126,"#N/C")="#N/C",R126,IF(IFERROR(T126,"#N/C")="#N/C",S126,IF(IFERROR(U126,"#N/C")="#N/C",T126,IF(IFERROR(V126,"#N/C")="#N/C",U126,"#N/C")))))), _xlpm.finalResult,IF(OR(_xlpm.computedResult="",_xlpm.computedResult="#N/C"),_xlpm.fallback,_xlpm.computedResult), INDEX(_xlpm.finalResult,1))</f>
        <v>moth</v>
      </c>
      <c r="Z126" s="116" t="str" cm="1">
        <f t="array" ref="Z126">IF(OR(Y126="Insecta",Y126="Arachnida",Y126="#N/C"),"",IFERROR(_xlfn.LET(_xlpm.fc,IFERROR(_xlfn._xlws.FILTER(ClassificationClasses[],ClassificationClasses[Classification Class]=Y126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126,ClassificationClasses[Key])),0),MATCH(Y126,INDEX(ClassificationClasses[],MATCH(TRUE,ISNUMBER(SEARCH(Y126,ClassificationClasses[Key])),0),0),0)-1)))</f>
        <v>Heterocera</v>
      </c>
      <c r="AA126" s="116" t="str" cm="1">
        <f t="array" ref="AA126">IFERROR(IF(OR(Z126="Insecta",Z126="Arachnida",Z126="#N/C"),"",INDEX(ClassificationClasses[[Class]:[Infraorder]],MATCH(TRUE,ISNUMBER(SEARCH(Z126,ClassificationClasses[Key])),0),MATCH(Z126,INDEX(ClassificationClasses[#Data], MATCH(TRUE,ISNUMBER(SEARCH(Z126,ClassificationClasses[Key])),0), 0), 0)-1)),"")</f>
        <v>Glossata</v>
      </c>
      <c r="AB126" s="116" t="str" cm="1">
        <f t="array" ref="AB126">IFERROR(IF(OR(AA126="Insecta",AA126="Arachnida",AA126="#N/C"),"",INDEX(ClassificationClasses[[Class]:[Suborder]],MATCH(TRUE,ISNUMBER(SEARCH(AA126,ClassificationClasses[Key])),0),MATCH(AA126,INDEX(ClassificationClasses[#Data], MATCH(TRUE,ISNUMBER(SEARCH(AA126,ClassificationClasses[Key])),0), 0), 0)-1)),"")</f>
        <v>Lepidoptera</v>
      </c>
      <c r="AC126" s="116" t="str" cm="1">
        <f t="array" ref="AC126">IFERROR(IF(OR(AB126="Insecta",AB126="Arachnida",AB126="#N/C"),"",INDEX(ClassificationClasses[[Class]:[Suborder]],MATCH(TRUE,ISNUMBER(SEARCH(AB126,ClassificationClasses[Key])),0),MATCH(AB126,INDEX(ClassificationClasses[#Data], MATCH(TRUE,ISNUMBER(SEARCH(AB126,ClassificationClasses[Key])),0), 0), 0)-1)),"")</f>
        <v>Insecta</v>
      </c>
      <c r="AD126" s="116" t="str" cm="1">
        <f t="array" ref="AD126">IFERROR(IF(OR(AC126="Insecta",AC126="Arachnida",AC126="#N/C"),"",INDEX(ClassificationClasses[[Class]:[Suborder]],MATCH(TRUE,ISNUMBER(SEARCH(AC126,ClassificationClasses[Key])),0),MATCH(AC126,INDEX(ClassificationClasses[#Data], MATCH(TRUE,ISNUMBER(SEARCH(AC126,ClassificationClasses[Key])),0), 0), 0)-1)),"")</f>
        <v/>
      </c>
      <c r="AE126" s="18" t="str">
        <f t="shared" si="4"/>
        <v>Insecta.Lepidoptera.Glossata.Heterocera.Pyraloidea.Pyralidae.Pyralinae.Endotricha.flammealis</v>
      </c>
    </row>
    <row r="127" spans="1:31" x14ac:dyDescent="0.3">
      <c r="A127" s="91">
        <v>126</v>
      </c>
      <c r="B127" s="7">
        <v>44392</v>
      </c>
      <c r="C127" s="92" t="s">
        <v>241</v>
      </c>
      <c r="D127" s="93" t="str">
        <f>HYPERLINK(VLOOKUP(C127,Video_List!$F:$J,5),"video")</f>
        <v>video</v>
      </c>
      <c r="E127" s="94" t="str">
        <f>IFERROR(IF(MATCH(C127,Video_List!$F:$F,)&gt;0,"ok",""),"error")</f>
        <v>ok</v>
      </c>
      <c r="F127" s="92" t="s">
        <v>241</v>
      </c>
      <c r="G127" s="93" t="str">
        <f>HYPERLINK(VLOOKUP(F127,Video_List!$F:$J,5),"video")</f>
        <v>video</v>
      </c>
      <c r="H127" s="94" t="str">
        <f>IFERROR(IF(MATCH(F127,Video_List!$F:$F,)&gt;0,"ok",""),"error")</f>
        <v>ok</v>
      </c>
      <c r="I127" s="17">
        <v>44392.925011574072</v>
      </c>
      <c r="J127" s="8">
        <v>44392.926053240742</v>
      </c>
      <c r="K127" s="15">
        <f t="shared" si="3"/>
        <v>1.0416666700621136E-3</v>
      </c>
      <c r="L127" s="95" t="s">
        <v>32</v>
      </c>
      <c r="M127" s="95" t="s">
        <v>33</v>
      </c>
      <c r="N127" s="96" t="str">
        <f>IF(ISBLANK(C127),"",IF(C127=F127, "1 video",CONCATENATE((+COUNTIFS(Video_List!$C:$C,"&lt;=" &amp;Monitoring!J127)-COUNTIFS(Video_List!$C:$C,"&lt;=" &amp;Monitoring!I127))+1," videos")))</f>
        <v>1 video</v>
      </c>
      <c r="O127" s="27" t="s">
        <v>32</v>
      </c>
      <c r="P127" s="42" t="s">
        <v>37</v>
      </c>
      <c r="Q127" s="42" t="s">
        <v>38</v>
      </c>
      <c r="R127" s="42" t="s">
        <v>39</v>
      </c>
      <c r="S127" s="97" t="str">
        <f>+IFERROR(IF(T127="#N/C","#N/C",IF(U127=0,INDEX(Taxonomy_UniqueValues!D:D,MATCH(U127,Taxonomy_UniqueValues!F:F,0)),INDEX(Taxonomy_UniqueValues!D:D,MATCH(T127,Taxonomy_UniqueValues!E:E,0)))),"#N/C")</f>
        <v>Muscomorpha</v>
      </c>
      <c r="T127" s="42" t="s">
        <v>63</v>
      </c>
      <c r="U127" s="42" t="s">
        <v>64</v>
      </c>
      <c r="V127" s="42" t="s">
        <v>65</v>
      </c>
      <c r="W127" s="42" t="s">
        <v>263</v>
      </c>
      <c r="X127" s="28" t="s">
        <v>35</v>
      </c>
      <c r="Y127" s="69" t="str" cm="1">
        <f t="array" ref="Y127">_xlfn.LET(_xlpm.cls,P127, _xlpm.ord,IFERROR(Q127,"#N/C"), _xlpm.subord,IFERROR(R127,"#N/C"), _xlpm.infr,IFERROR(S127,"#N/C"), _xlpm.sf,IFERROR(T127,"#N/C"), _xlpm.fam,IFERROR(U127,"#N/C"), _xlpm.subfam,IF(TRIM(V127)="-","#N/C",IFERROR(V127,"#N/C")),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_xlpm.fallback,IF(IFERROR(Q127,"#N/C")="#N/C",P127,IF(IFERROR(R127,"#N/C")="#N/C",Q127,IF(IFERROR(S127,"#N/C")="#N/C",R127,IF(IFERROR(T127,"#N/C")="#N/C",S127,IF(IFERROR(U127,"#N/C")="#N/C",T127,IF(IFERROR(V127,"#N/C")="#N/C",U127,"#N/C")))))), _xlpm.finalResult,IF(OR(_xlpm.computedResult="",_xlpm.computedResult="#N/C"),_xlpm.fallback,_xlpm.computedResult), INDEX(_xlpm.finalResult,1))</f>
        <v>fruit_fly</v>
      </c>
      <c r="Z127" s="116" t="str" cm="1">
        <f t="array" ref="Z127">IF(OR(Y127="Insecta",Y127="Arachnida",Y127="#N/C"),"",IFERROR(_xlfn.LET(_xlpm.fc,IFERROR(_xlfn._xlws.FILTER(ClassificationClasses[],ClassificationClasses[Classification Class]=Y127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127,ClassificationClasses[Key])),0),MATCH(Y127,INDEX(ClassificationClasses[],MATCH(TRUE,ISNUMBER(SEARCH(Y127,ClassificationClasses[Key])),0),0),0)-1)))</f>
        <v>Muscomorpha</v>
      </c>
      <c r="AA127" s="116" t="str" cm="1">
        <f t="array" ref="AA127">IFERROR(IF(OR(Z127="Insecta",Z127="Arachnida",Z127="#N/C"),"",INDEX(ClassificationClasses[[Class]:[Infraorder]],MATCH(TRUE,ISNUMBER(SEARCH(Z127,ClassificationClasses[Key])),0),MATCH(Z127,INDEX(ClassificationClasses[#Data], MATCH(TRUE,ISNUMBER(SEARCH(Z127,ClassificationClasses[Key])),0), 0), 0)-1)),"")</f>
        <v>Brachycera</v>
      </c>
      <c r="AB127" s="116" t="str" cm="1">
        <f t="array" ref="AB127">IFERROR(IF(OR(AA127="Insecta",AA127="Arachnida",AA127="#N/C"),"",INDEX(ClassificationClasses[[Class]:[Suborder]],MATCH(TRUE,ISNUMBER(SEARCH(AA127,ClassificationClasses[Key])),0),MATCH(AA127,INDEX(ClassificationClasses[#Data], MATCH(TRUE,ISNUMBER(SEARCH(AA127,ClassificationClasses[Key])),0), 0), 0)-1)),"")</f>
        <v>Diptera</v>
      </c>
      <c r="AC127" s="116" t="str" cm="1">
        <f t="array" ref="AC127">IFERROR(IF(OR(AB127="Insecta",AB127="Arachnida",AB127="#N/C"),"",INDEX(ClassificationClasses[[Class]:[Suborder]],MATCH(TRUE,ISNUMBER(SEARCH(AB127,ClassificationClasses[Key])),0),MATCH(AB127,INDEX(ClassificationClasses[#Data], MATCH(TRUE,ISNUMBER(SEARCH(AB127,ClassificationClasses[Key])),0), 0), 0)-1)),"")</f>
        <v>Insecta</v>
      </c>
      <c r="AD127" s="116" t="str" cm="1">
        <f t="array" ref="AD127">IFERROR(IF(OR(AC127="Insecta",AC127="Arachnida",AC127="#N/C"),"",INDEX(ClassificationClasses[[Class]:[Suborder]],MATCH(TRUE,ISNUMBER(SEARCH(AC127,ClassificationClasses[Key])),0),MATCH(AC127,INDEX(ClassificationClasses[#Data], MATCH(TRUE,ISNUMBER(SEARCH(AC127,ClassificationClasses[Key])),0), 0), 0)-1)),"")</f>
        <v/>
      </c>
      <c r="AE127" s="18" t="str">
        <f t="shared" si="4"/>
        <v>Insecta.Diptera.Brachycera.Muscomorpha.Ephydroidea.Drosophilidae.Drosophilinae.Drosophila.#N/C</v>
      </c>
    </row>
    <row r="128" spans="1:31" x14ac:dyDescent="0.3">
      <c r="A128" s="91">
        <v>127</v>
      </c>
      <c r="B128" s="7">
        <v>44392</v>
      </c>
      <c r="C128" s="92" t="s">
        <v>241</v>
      </c>
      <c r="D128" s="93" t="str">
        <f>HYPERLINK(VLOOKUP(C128,Video_List!$F:$J,5),"video")</f>
        <v>video</v>
      </c>
      <c r="E128" s="94" t="str">
        <f>IFERROR(IF(MATCH(C128,Video_List!$F:$F,)&gt;0,"ok",""),"error")</f>
        <v>ok</v>
      </c>
      <c r="F128" s="92" t="s">
        <v>241</v>
      </c>
      <c r="G128" s="93" t="str">
        <f>HYPERLINK(VLOOKUP(F128,Video_List!$F:$J,5),"video")</f>
        <v>video</v>
      </c>
      <c r="H128" s="94" t="str">
        <f>IFERROR(IF(MATCH(F128,Video_List!$F:$F,)&gt;0,"ok",""),"error")</f>
        <v>ok</v>
      </c>
      <c r="I128" s="17">
        <v>44392.925787037035</v>
      </c>
      <c r="J128" s="8">
        <v>44392.926041666666</v>
      </c>
      <c r="K128" s="15">
        <f t="shared" si="3"/>
        <v>2.546296309446916E-4</v>
      </c>
      <c r="L128" s="4" t="s">
        <v>32</v>
      </c>
      <c r="M128" s="4" t="s">
        <v>33</v>
      </c>
      <c r="N128" s="96" t="str">
        <f>IF(ISBLANK(C128),"",IF(C128=F128, "1 video",CONCATENATE((+COUNTIFS(Video_List!$C:$C,"&lt;=" &amp;Monitoring!J128)-COUNTIFS(Video_List!$C:$C,"&lt;=" &amp;Monitoring!I128))+1," videos")))</f>
        <v>1 video</v>
      </c>
      <c r="O128" s="27" t="s">
        <v>32</v>
      </c>
      <c r="P128" s="42" t="s">
        <v>37</v>
      </c>
      <c r="Q128" s="42" t="s">
        <v>56</v>
      </c>
      <c r="R128" s="42" t="s">
        <v>57</v>
      </c>
      <c r="S128" s="97" t="str">
        <f>+IFERROR(IF(T128="#N/C","#N/C",IF(U128=0,INDEX(Taxonomy_UniqueValues!D:D,MATCH(U128,Taxonomy_UniqueValues!F:F,0)),INDEX(Taxonomy_UniqueValues!D:D,MATCH(T128,Taxonomy_UniqueValues!E:E,0)))),"#N/C")</f>
        <v>Heterocera</v>
      </c>
      <c r="T128" s="42" t="s">
        <v>257</v>
      </c>
      <c r="U128" s="42" t="s">
        <v>35</v>
      </c>
      <c r="V128" s="42" t="s">
        <v>35</v>
      </c>
      <c r="W128" s="42" t="s">
        <v>35</v>
      </c>
      <c r="X128" s="28" t="s">
        <v>35</v>
      </c>
      <c r="Y128" s="69" t="str" cm="1">
        <f t="array" ref="Y128">_xlfn.LET(_xlpm.cls,P128, _xlpm.ord,IFERROR(Q128,"#N/C"), _xlpm.subord,IFERROR(R128,"#N/C"), _xlpm.infr,IFERROR(S128,"#N/C"), _xlpm.sf,IFERROR(T128,"#N/C"), _xlpm.fam,IFERROR(U128,"#N/C"), _xlpm.subfam,IF(TRIM(V128)="-","#N/C",IFERROR(V128,"#N/C")),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_xlpm.fallback,IF(IFERROR(Q128,"#N/C")="#N/C",P128,IF(IFERROR(R128,"#N/C")="#N/C",Q128,IF(IFERROR(S128,"#N/C")="#N/C",R128,IF(IFERROR(T128,"#N/C")="#N/C",S128,IF(IFERROR(U128,"#N/C")="#N/C",T128,IF(IFERROR(V128,"#N/C")="#N/C",U128,"#N/C")))))), _xlpm.finalResult,IF(OR(_xlpm.computedResult="",_xlpm.computedResult="#N/C"),_xlpm.fallback,_xlpm.computedResult), INDEX(_xlpm.finalResult,1))</f>
        <v>Gelechioidea</v>
      </c>
      <c r="Z128" s="116" t="str" cm="1">
        <f t="array" ref="Z128">IF(OR(Y128="Insecta",Y128="Arachnida",Y128="#N/C"),"",IFERROR(_xlfn.LET(_xlpm.fc,IFERROR(_xlfn._xlws.FILTER(ClassificationClasses[],ClassificationClasses[Classification Class]=Y128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128,ClassificationClasses[Key])),0),MATCH(Y128,INDEX(ClassificationClasses[],MATCH(TRUE,ISNUMBER(SEARCH(Y128,ClassificationClasses[Key])),0),0),0)-1)))</f>
        <v>Heterocera</v>
      </c>
      <c r="AA128" s="116" t="str" cm="1">
        <f t="array" ref="AA128">IFERROR(IF(OR(Z128="Insecta",Z128="Arachnida",Z128="#N/C"),"",INDEX(ClassificationClasses[[Class]:[Infraorder]],MATCH(TRUE,ISNUMBER(SEARCH(Z128,ClassificationClasses[Key])),0),MATCH(Z128,INDEX(ClassificationClasses[#Data], MATCH(TRUE,ISNUMBER(SEARCH(Z128,ClassificationClasses[Key])),0), 0), 0)-1)),"")</f>
        <v>Glossata</v>
      </c>
      <c r="AB128" s="116" t="str" cm="1">
        <f t="array" ref="AB128">IFERROR(IF(OR(AA128="Insecta",AA128="Arachnida",AA128="#N/C"),"",INDEX(ClassificationClasses[[Class]:[Suborder]],MATCH(TRUE,ISNUMBER(SEARCH(AA128,ClassificationClasses[Key])),0),MATCH(AA128,INDEX(ClassificationClasses[#Data], MATCH(TRUE,ISNUMBER(SEARCH(AA128,ClassificationClasses[Key])),0), 0), 0)-1)),"")</f>
        <v>Lepidoptera</v>
      </c>
      <c r="AC128" s="116" t="str" cm="1">
        <f t="array" ref="AC128">IFERROR(IF(OR(AB128="Insecta",AB128="Arachnida",AB128="#N/C"),"",INDEX(ClassificationClasses[[Class]:[Suborder]],MATCH(TRUE,ISNUMBER(SEARCH(AB128,ClassificationClasses[Key])),0),MATCH(AB128,INDEX(ClassificationClasses[#Data], MATCH(TRUE,ISNUMBER(SEARCH(AB128,ClassificationClasses[Key])),0), 0), 0)-1)),"")</f>
        <v>Insecta</v>
      </c>
      <c r="AD128" s="116" t="str" cm="1">
        <f t="array" ref="AD128">IFERROR(IF(OR(AC128="Insecta",AC128="Arachnida",AC128="#N/C"),"",INDEX(ClassificationClasses[[Class]:[Suborder]],MATCH(TRUE,ISNUMBER(SEARCH(AC128,ClassificationClasses[Key])),0),MATCH(AC128,INDEX(ClassificationClasses[#Data], MATCH(TRUE,ISNUMBER(SEARCH(AC128,ClassificationClasses[Key])),0), 0), 0)-1)),"")</f>
        <v/>
      </c>
      <c r="AE128" s="18" t="str">
        <f t="shared" si="4"/>
        <v>Insecta.Lepidoptera.Glossata.Heterocera.Gelechioidea.#N/C.#N/C.#N/C.#N/C</v>
      </c>
    </row>
    <row r="129" spans="1:31" x14ac:dyDescent="0.3">
      <c r="A129" s="91">
        <v>128</v>
      </c>
      <c r="B129" s="7">
        <v>44392</v>
      </c>
      <c r="C129" s="92" t="s">
        <v>241</v>
      </c>
      <c r="D129" s="93" t="str">
        <f>HYPERLINK(VLOOKUP(C129,Video_List!$F:$J,5),"video")</f>
        <v>video</v>
      </c>
      <c r="E129" s="94" t="str">
        <f>IFERROR(IF(MATCH(C129,Video_List!$F:$F,)&gt;0,"ok",""),"error")</f>
        <v>ok</v>
      </c>
      <c r="F129" s="92" t="s">
        <v>241</v>
      </c>
      <c r="G129" s="93" t="str">
        <f>HYPERLINK(VLOOKUP(F129,Video_List!$F:$J,5),"video")</f>
        <v>video</v>
      </c>
      <c r="H129" s="94" t="str">
        <f>IFERROR(IF(MATCH(F129,Video_List!$F:$F,)&gt;0,"ok",""),"error")</f>
        <v>ok</v>
      </c>
      <c r="I129" s="17">
        <v>44392.925983796296</v>
      </c>
      <c r="J129" s="8">
        <v>44392.926493055558</v>
      </c>
      <c r="K129" s="15">
        <f t="shared" si="3"/>
        <v>5.092592618893832E-4</v>
      </c>
      <c r="L129" s="95" t="s">
        <v>44</v>
      </c>
      <c r="M129" s="95" t="s">
        <v>118</v>
      </c>
      <c r="N129" s="96" t="str">
        <f>IF(ISBLANK(C129),"",IF(C129=F129, "1 video",CONCATENATE((+COUNTIFS(Video_List!$C:$C,"&lt;=" &amp;Monitoring!J129)-COUNTIFS(Video_List!$C:$C,"&lt;=" &amp;Monitoring!I129))+1," videos")))</f>
        <v>1 video</v>
      </c>
      <c r="O129" s="29" t="s">
        <v>44</v>
      </c>
      <c r="P129" s="42" t="s">
        <v>37</v>
      </c>
      <c r="Q129" s="42" t="s">
        <v>56</v>
      </c>
      <c r="R129" s="42" t="s">
        <v>57</v>
      </c>
      <c r="S129" s="97" t="str">
        <f>+IFERROR(IF(T129="#N/C","#N/C",IF(U129=0,INDEX(Taxonomy_UniqueValues!D:D,MATCH(U129,Taxonomy_UniqueValues!F:F,0)),INDEX(Taxonomy_UniqueValues!D:D,MATCH(T129,Taxonomy_UniqueValues!E:E,0)))),"#N/C")</f>
        <v>Heterocera</v>
      </c>
      <c r="T129" s="42" t="s">
        <v>243</v>
      </c>
      <c r="U129" s="42" t="s">
        <v>244</v>
      </c>
      <c r="V129" s="42" t="s">
        <v>245</v>
      </c>
      <c r="W129" s="42" t="s">
        <v>246</v>
      </c>
      <c r="X129" s="28" t="s">
        <v>35</v>
      </c>
      <c r="Y129" s="69" t="str" cm="1">
        <f t="array" ref="Y129">_xlfn.LET(_xlpm.cls,P129, _xlpm.ord,IFERROR(Q129,"#N/C"), _xlpm.subord,IFERROR(R129,"#N/C"), _xlpm.infr,IFERROR(S129,"#N/C"), _xlpm.sf,IFERROR(T129,"#N/C"), _xlpm.fam,IFERROR(U129,"#N/C"), _xlpm.subfam,IF(TRIM(V129)="-","#N/C",IFERROR(V129,"#N/C")),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_xlpm.fallback,IF(IFERROR(Q129,"#N/C")="#N/C",P129,IF(IFERROR(R129,"#N/C")="#N/C",Q129,IF(IFERROR(S129,"#N/C")="#N/C",R129,IF(IFERROR(T129,"#N/C")="#N/C",S129,IF(IFERROR(U129,"#N/C")="#N/C",T129,IF(IFERROR(V129,"#N/C")="#N/C",U129,"#N/C")))))), _xlpm.finalResult,IF(OR(_xlpm.computedResult="",_xlpm.computedResult="#N/C"),_xlpm.fallback,_xlpm.computedResult), INDEX(_xlpm.finalResult,1))</f>
        <v>moth</v>
      </c>
      <c r="Z129" s="116" t="str" cm="1">
        <f t="array" ref="Z129">IF(OR(Y129="Insecta",Y129="Arachnida",Y129="#N/C"),"",IFERROR(_xlfn.LET(_xlpm.fc,IFERROR(_xlfn._xlws.FILTER(ClassificationClasses[],ClassificationClasses[Classification Class]=Y129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129,ClassificationClasses[Key])),0),MATCH(Y129,INDEX(ClassificationClasses[],MATCH(TRUE,ISNUMBER(SEARCH(Y129,ClassificationClasses[Key])),0),0),0)-1)))</f>
        <v>Heterocera</v>
      </c>
      <c r="AA129" s="116" t="str" cm="1">
        <f t="array" ref="AA129">IFERROR(IF(OR(Z129="Insecta",Z129="Arachnida",Z129="#N/C"),"",INDEX(ClassificationClasses[[Class]:[Infraorder]],MATCH(TRUE,ISNUMBER(SEARCH(Z129,ClassificationClasses[Key])),0),MATCH(Z129,INDEX(ClassificationClasses[#Data], MATCH(TRUE,ISNUMBER(SEARCH(Z129,ClassificationClasses[Key])),0), 0), 0)-1)),"")</f>
        <v>Glossata</v>
      </c>
      <c r="AB129" s="116" t="str" cm="1">
        <f t="array" ref="AB129">IFERROR(IF(OR(AA129="Insecta",AA129="Arachnida",AA129="#N/C"),"",INDEX(ClassificationClasses[[Class]:[Suborder]],MATCH(TRUE,ISNUMBER(SEARCH(AA129,ClassificationClasses[Key])),0),MATCH(AA129,INDEX(ClassificationClasses[#Data], MATCH(TRUE,ISNUMBER(SEARCH(AA129,ClassificationClasses[Key])),0), 0), 0)-1)),"")</f>
        <v>Lepidoptera</v>
      </c>
      <c r="AC129" s="116" t="str" cm="1">
        <f t="array" ref="AC129">IFERROR(IF(OR(AB129="Insecta",AB129="Arachnida",AB129="#N/C"),"",INDEX(ClassificationClasses[[Class]:[Suborder]],MATCH(TRUE,ISNUMBER(SEARCH(AB129,ClassificationClasses[Key])),0),MATCH(AB129,INDEX(ClassificationClasses[#Data], MATCH(TRUE,ISNUMBER(SEARCH(AB129,ClassificationClasses[Key])),0), 0), 0)-1)),"")</f>
        <v>Insecta</v>
      </c>
      <c r="AD129" s="116" t="str" cm="1">
        <f t="array" ref="AD129">IFERROR(IF(OR(AC129="Insecta",AC129="Arachnida",AC129="#N/C"),"",INDEX(ClassificationClasses[[Class]:[Suborder]],MATCH(TRUE,ISNUMBER(SEARCH(AC129,ClassificationClasses[Key])),0),MATCH(AC129,INDEX(ClassificationClasses[#Data], MATCH(TRUE,ISNUMBER(SEARCH(AC129,ClassificationClasses[Key])),0), 0), 0)-1)),"")</f>
        <v/>
      </c>
      <c r="AE129" s="18" t="str">
        <f t="shared" si="4"/>
        <v>Insecta.Lepidoptera.Glossata.Heterocera.Pyraloidea.Pyralidae.Phycitinae.Ephestia.#N/C</v>
      </c>
    </row>
    <row r="130" spans="1:31" x14ac:dyDescent="0.3">
      <c r="A130" s="91">
        <v>129</v>
      </c>
      <c r="B130" s="7">
        <v>44392</v>
      </c>
      <c r="C130" s="92" t="s">
        <v>264</v>
      </c>
      <c r="D130" s="93" t="str">
        <f>HYPERLINK(VLOOKUP(C130,Video_List!$F:$J,5),"video")</f>
        <v>video</v>
      </c>
      <c r="E130" s="94" t="str">
        <f>IFERROR(IF(MATCH(C130,Video_List!$F:$F,)&gt;0,"ok",""),"error")</f>
        <v>ok</v>
      </c>
      <c r="F130" s="92" t="s">
        <v>264</v>
      </c>
      <c r="G130" s="93" t="str">
        <f>HYPERLINK(VLOOKUP(F130,Video_List!$F:$J,5),"video")</f>
        <v>video</v>
      </c>
      <c r="H130" s="94" t="str">
        <f>IFERROR(IF(MATCH(F130,Video_List!$F:$F,)&gt;0,"ok",""),"error")</f>
        <v>ok</v>
      </c>
      <c r="I130" s="17">
        <v>44392.927025462966</v>
      </c>
      <c r="J130" s="8">
        <v>44392.927083333336</v>
      </c>
      <c r="K130" s="15">
        <f t="shared" ref="K130:K193" si="5">J130-I130</f>
        <v>5.7870369346346706E-5</v>
      </c>
      <c r="L130" s="4" t="s">
        <v>32</v>
      </c>
      <c r="M130" s="4" t="s">
        <v>33</v>
      </c>
      <c r="N130" s="96" t="str">
        <f>IF(ISBLANK(C130),"",IF(C130=F130, "1 video",CONCATENATE((+COUNTIFS(Video_List!$C:$C,"&lt;=" &amp;Monitoring!J130)-COUNTIFS(Video_List!$C:$C,"&lt;=" &amp;Monitoring!I130))+1," videos")))</f>
        <v>1 video</v>
      </c>
      <c r="O130" s="27" t="s">
        <v>32</v>
      </c>
      <c r="P130" s="42" t="s">
        <v>37</v>
      </c>
      <c r="Q130" s="42" t="s">
        <v>56</v>
      </c>
      <c r="R130" s="42" t="s">
        <v>57</v>
      </c>
      <c r="S130" s="97" t="str">
        <f>+IFERROR(IF(T130="#N/C","#N/C",IF(U130=0,INDEX(Taxonomy_UniqueValues!D:D,MATCH(U130,Taxonomy_UniqueValues!F:F,0)),INDEX(Taxonomy_UniqueValues!D:D,MATCH(T130,Taxonomy_UniqueValues!E:E,0)))),"#N/C")</f>
        <v>Heterocera</v>
      </c>
      <c r="T130" s="42" t="s">
        <v>243</v>
      </c>
      <c r="U130" s="42" t="s">
        <v>265</v>
      </c>
      <c r="V130" s="42" t="s">
        <v>266</v>
      </c>
      <c r="W130" s="42" t="s">
        <v>267</v>
      </c>
      <c r="X130" s="28" t="s">
        <v>268</v>
      </c>
      <c r="Y130" s="69" t="str" cm="1">
        <f t="array" ref="Y130">_xlfn.LET(_xlpm.cls,P130, _xlpm.ord,IFERROR(Q130,"#N/C"), _xlpm.subord,IFERROR(R130,"#N/C"), _xlpm.infr,IFERROR(S130,"#N/C"), _xlpm.sf,IFERROR(T130,"#N/C"), _xlpm.fam,IFERROR(U130,"#N/C"), _xlpm.subfam,IF(TRIM(V130)="-","#N/C",IFERROR(V130,"#N/C")),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_xlpm.fallback,IF(IFERROR(Q130,"#N/C")="#N/C",P130,IF(IFERROR(R130,"#N/C")="#N/C",Q130,IF(IFERROR(S130,"#N/C")="#N/C",R130,IF(IFERROR(T130,"#N/C")="#N/C",S130,IF(IFERROR(U130,"#N/C")="#N/C",T130,IF(IFERROR(V130,"#N/C")="#N/C",U130,"#N/C")))))), _xlpm.finalResult,IF(OR(_xlpm.computedResult="",_xlpm.computedResult="#N/C"),_xlpm.fallback,_xlpm.computedResult), INDEX(_xlpm.finalResult,1))</f>
        <v>moth</v>
      </c>
      <c r="Z130" s="116" t="str" cm="1">
        <f t="array" ref="Z130">IF(OR(Y130="Insecta",Y130="Arachnida",Y130="#N/C"),"",IFERROR(_xlfn.LET(_xlpm.fc,IFERROR(_xlfn._xlws.FILTER(ClassificationClasses[],ClassificationClasses[Classification Class]=Y130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130,ClassificationClasses[Key])),0),MATCH(Y130,INDEX(ClassificationClasses[],MATCH(TRUE,ISNUMBER(SEARCH(Y130,ClassificationClasses[Key])),0),0),0)-1)))</f>
        <v>Heterocera</v>
      </c>
      <c r="AA130" s="116" t="str" cm="1">
        <f t="array" ref="AA130">IFERROR(IF(OR(Z130="Insecta",Z130="Arachnida",Z130="#N/C"),"",INDEX(ClassificationClasses[[Class]:[Infraorder]],MATCH(TRUE,ISNUMBER(SEARCH(Z130,ClassificationClasses[Key])),0),MATCH(Z130,INDEX(ClassificationClasses[#Data], MATCH(TRUE,ISNUMBER(SEARCH(Z130,ClassificationClasses[Key])),0), 0), 0)-1)),"")</f>
        <v>Glossata</v>
      </c>
      <c r="AB130" s="116" t="str" cm="1">
        <f t="array" ref="AB130">IFERROR(IF(OR(AA130="Insecta",AA130="Arachnida",AA130="#N/C"),"",INDEX(ClassificationClasses[[Class]:[Suborder]],MATCH(TRUE,ISNUMBER(SEARCH(AA130,ClassificationClasses[Key])),0),MATCH(AA130,INDEX(ClassificationClasses[#Data], MATCH(TRUE,ISNUMBER(SEARCH(AA130,ClassificationClasses[Key])),0), 0), 0)-1)),"")</f>
        <v>Lepidoptera</v>
      </c>
      <c r="AC130" s="116" t="str" cm="1">
        <f t="array" ref="AC130">IFERROR(IF(OR(AB130="Insecta",AB130="Arachnida",AB130="#N/C"),"",INDEX(ClassificationClasses[[Class]:[Suborder]],MATCH(TRUE,ISNUMBER(SEARCH(AB130,ClassificationClasses[Key])),0),MATCH(AB130,INDEX(ClassificationClasses[#Data], MATCH(TRUE,ISNUMBER(SEARCH(AB130,ClassificationClasses[Key])),0), 0), 0)-1)),"")</f>
        <v>Insecta</v>
      </c>
      <c r="AD130" s="116" t="str" cm="1">
        <f t="array" ref="AD130">IFERROR(IF(OR(AC130="Insecta",AC130="Arachnida",AC130="#N/C"),"",INDEX(ClassificationClasses[[Class]:[Suborder]],MATCH(TRUE,ISNUMBER(SEARCH(AC130,ClassificationClasses[Key])),0),MATCH(AC130,INDEX(ClassificationClasses[#Data], MATCH(TRUE,ISNUMBER(SEARCH(AC130,ClassificationClasses[Key])),0), 0), 0)-1)),"")</f>
        <v/>
      </c>
      <c r="AE130" s="18" t="str">
        <f t="shared" si="4"/>
        <v>Insecta.Lepidoptera.Glossata.Heterocera.Pyraloidea.Crambidae.Crambinae.Chrysoteuchia.culmella</v>
      </c>
    </row>
    <row r="131" spans="1:31" x14ac:dyDescent="0.3">
      <c r="A131" s="91">
        <v>130</v>
      </c>
      <c r="B131" s="7">
        <v>44392</v>
      </c>
      <c r="C131" s="92" t="s">
        <v>269</v>
      </c>
      <c r="D131" s="93" t="str">
        <f>HYPERLINK(VLOOKUP(C131,Video_List!$F:$J,5),"video")</f>
        <v>video</v>
      </c>
      <c r="E131" s="94" t="str">
        <f>IFERROR(IF(MATCH(C131,Video_List!$F:$F,)&gt;0,"ok",""),"error")</f>
        <v>ok</v>
      </c>
      <c r="F131" s="92" t="s">
        <v>269</v>
      </c>
      <c r="G131" s="93" t="str">
        <f>HYPERLINK(VLOOKUP(F131,Video_List!$F:$J,5),"video")</f>
        <v>video</v>
      </c>
      <c r="H131" s="94" t="str">
        <f>IFERROR(IF(MATCH(F131,Video_List!$F:$F,)&gt;0,"ok",""),"error")</f>
        <v>ok</v>
      </c>
      <c r="I131" s="17">
        <v>44392.932430555556</v>
      </c>
      <c r="J131" s="8">
        <v>44392.932476851849</v>
      </c>
      <c r="K131" s="15">
        <f t="shared" si="5"/>
        <v>4.6296292566694319E-5</v>
      </c>
      <c r="L131" s="4" t="s">
        <v>32</v>
      </c>
      <c r="M131" s="4" t="s">
        <v>33</v>
      </c>
      <c r="N131" s="96" t="str">
        <f>IF(ISBLANK(C131),"",IF(C131=F131, "1 video",CONCATENATE((+COUNTIFS(Video_List!$C:$C,"&lt;=" &amp;Monitoring!J131)-COUNTIFS(Video_List!$C:$C,"&lt;=" &amp;Monitoring!I131))+1," videos")))</f>
        <v>1 video</v>
      </c>
      <c r="O131" s="29" t="s">
        <v>44</v>
      </c>
      <c r="P131" s="42" t="s">
        <v>37</v>
      </c>
      <c r="Q131" s="42" t="s">
        <v>38</v>
      </c>
      <c r="R131" s="42" t="s">
        <v>185</v>
      </c>
      <c r="S131" s="97" t="str">
        <f>+IFERROR(IF(T131="#N/C","#N/C",IF(U131=0,INDEX(Taxonomy_UniqueValues!D:D,MATCH(U131,Taxonomy_UniqueValues!F:F,0)),INDEX(Taxonomy_UniqueValues!D:D,MATCH(T131,Taxonomy_UniqueValues!E:E,0)))),"#N/C")</f>
        <v>Tipulomorpha</v>
      </c>
      <c r="T131" s="42" t="s">
        <v>236</v>
      </c>
      <c r="U131" s="42" t="s">
        <v>237</v>
      </c>
      <c r="V131" s="42" t="s">
        <v>238</v>
      </c>
      <c r="W131" s="42" t="s">
        <v>239</v>
      </c>
      <c r="X131" s="28" t="s">
        <v>35</v>
      </c>
      <c r="Y131" s="69" t="str" cm="1">
        <f t="array" ref="Y131">_xlfn.LET(_xlpm.cls,P131, _xlpm.ord,IFERROR(Q131,"#N/C"), _xlpm.subord,IFERROR(R131,"#N/C"), _xlpm.infr,IFERROR(S131,"#N/C"), _xlpm.sf,IFERROR(T131,"#N/C"), _xlpm.fam,IFERROR(U131,"#N/C"), _xlpm.subfam,IF(TRIM(V131)="-","#N/C",IFERROR(V131,"#N/C")),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_xlpm.fallback,IF(IFERROR(Q131,"#N/C")="#N/C",P131,IF(IFERROR(R131,"#N/C")="#N/C",Q131,IF(IFERROR(S131,"#N/C")="#N/C",R131,IF(IFERROR(T131,"#N/C")="#N/C",S131,IF(IFERROR(U131,"#N/C")="#N/C",T131,IF(IFERROR(V131,"#N/C")="#N/C",U131,"#N/C")))))), _xlpm.finalResult,IF(OR(_xlpm.computedResult="",_xlpm.computedResult="#N/C"),_xlpm.fallback,_xlpm.computedResult), INDEX(_xlpm.finalResult,1))</f>
        <v>crane_fly</v>
      </c>
      <c r="Z131" s="116" t="str" cm="1">
        <f t="array" ref="Z131">IF(OR(Y131="Insecta",Y131="Arachnida",Y131="#N/C"),"",IFERROR(_xlfn.LET(_xlpm.fc,IFERROR(_xlfn._xlws.FILTER(ClassificationClasses[],ClassificationClasses[Classification Class]=Y131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131,ClassificationClasses[Key])),0),MATCH(Y131,INDEX(ClassificationClasses[],MATCH(TRUE,ISNUMBER(SEARCH(Y131,ClassificationClasses[Key])),0),0),0)-1)))</f>
        <v>Tipulomorpha</v>
      </c>
      <c r="AA131" s="116" t="str" cm="1">
        <f t="array" ref="AA131">IFERROR(IF(OR(Z131="Insecta",Z131="Arachnida",Z131="#N/C"),"",INDEX(ClassificationClasses[[Class]:[Infraorder]],MATCH(TRUE,ISNUMBER(SEARCH(Z131,ClassificationClasses[Key])),0),MATCH(Z131,INDEX(ClassificationClasses[#Data], MATCH(TRUE,ISNUMBER(SEARCH(Z131,ClassificationClasses[Key])),0), 0), 0)-1)),"")</f>
        <v>Nematocera</v>
      </c>
      <c r="AB131" s="116" t="str" cm="1">
        <f t="array" ref="AB131">IFERROR(IF(OR(AA131="Insecta",AA131="Arachnida",AA131="#N/C"),"",INDEX(ClassificationClasses[[Class]:[Suborder]],MATCH(TRUE,ISNUMBER(SEARCH(AA131,ClassificationClasses[Key])),0),MATCH(AA131,INDEX(ClassificationClasses[#Data], MATCH(TRUE,ISNUMBER(SEARCH(AA131,ClassificationClasses[Key])),0), 0), 0)-1)),"")</f>
        <v>Diptera</v>
      </c>
      <c r="AC131" s="116" t="str" cm="1">
        <f t="array" ref="AC131">IFERROR(IF(OR(AB131="Insecta",AB131="Arachnida",AB131="#N/C"),"",INDEX(ClassificationClasses[[Class]:[Suborder]],MATCH(TRUE,ISNUMBER(SEARCH(AB131,ClassificationClasses[Key])),0),MATCH(AB131,INDEX(ClassificationClasses[#Data], MATCH(TRUE,ISNUMBER(SEARCH(AB131,ClassificationClasses[Key])),0), 0), 0)-1)),"")</f>
        <v>Insecta</v>
      </c>
      <c r="AD131" s="116" t="str" cm="1">
        <f t="array" ref="AD131">IFERROR(IF(OR(AC131="Insecta",AC131="Arachnida",AC131="#N/C"),"",INDEX(ClassificationClasses[[Class]:[Suborder]],MATCH(TRUE,ISNUMBER(SEARCH(AC131,ClassificationClasses[Key])),0),MATCH(AC131,INDEX(ClassificationClasses[#Data], MATCH(TRUE,ISNUMBER(SEARCH(AC131,ClassificationClasses[Key])),0), 0), 0)-1)),"")</f>
        <v/>
      </c>
      <c r="AE131" s="18" t="str">
        <f t="shared" si="4"/>
        <v>Insecta.Diptera.Nematocera.Tipulomorpha.Tipuloidea.Tipulidae.Tipulinae.Nephrotoma.#N/C</v>
      </c>
    </row>
    <row r="132" spans="1:31" x14ac:dyDescent="0.3">
      <c r="A132" s="91">
        <v>131</v>
      </c>
      <c r="B132" s="7">
        <v>44392</v>
      </c>
      <c r="C132" s="92" t="s">
        <v>270</v>
      </c>
      <c r="D132" s="93" t="str">
        <f>HYPERLINK(VLOOKUP(C132,Video_List!$F:$J,5),"video")</f>
        <v>video</v>
      </c>
      <c r="E132" s="94" t="str">
        <f>IFERROR(IF(MATCH(C132,Video_List!$F:$F,)&gt;0,"ok",""),"error")</f>
        <v>ok</v>
      </c>
      <c r="F132" s="92" t="s">
        <v>270</v>
      </c>
      <c r="G132" s="93" t="str">
        <f>HYPERLINK(VLOOKUP(F132,Video_List!$F:$J,5),"video")</f>
        <v>video</v>
      </c>
      <c r="H132" s="94" t="str">
        <f>IFERROR(IF(MATCH(F132,Video_List!$F:$F,)&gt;0,"ok",""),"error")</f>
        <v>ok</v>
      </c>
      <c r="I132" s="17">
        <v>44392.934155092589</v>
      </c>
      <c r="J132" s="8">
        <v>44392.934872685182</v>
      </c>
      <c r="K132" s="15">
        <f t="shared" si="5"/>
        <v>7.1759259299142286E-4</v>
      </c>
      <c r="L132" s="4" t="s">
        <v>44</v>
      </c>
      <c r="M132" s="4" t="s">
        <v>33</v>
      </c>
      <c r="N132" s="96" t="str">
        <f>IF(ISBLANK(C132),"",IF(C132=F132, "1 video",CONCATENATE((+COUNTIFS(Video_List!$C:$C,"&lt;=" &amp;Monitoring!J132)-COUNTIFS(Video_List!$C:$C,"&lt;=" &amp;Monitoring!I132))+1," videos")))</f>
        <v>1 video</v>
      </c>
      <c r="O132" s="27" t="s">
        <v>32</v>
      </c>
      <c r="P132" s="42" t="s">
        <v>37</v>
      </c>
      <c r="Q132" s="42" t="s">
        <v>123</v>
      </c>
      <c r="R132" s="42" t="s">
        <v>124</v>
      </c>
      <c r="S132" s="97" t="str">
        <f>+IFERROR(IF(T132="#N/C","#N/C",IF(U132=0,INDEX(Taxonomy_UniqueValues!D:D,MATCH(U132,Taxonomy_UniqueValues!F:F,0)),INDEX(Taxonomy_UniqueValues!D:D,MATCH(T132,Taxonomy_UniqueValues!E:E,0)))),"#N/C")</f>
        <v>Acrididea</v>
      </c>
      <c r="T132" s="42" t="s">
        <v>125</v>
      </c>
      <c r="U132" s="42" t="s">
        <v>126</v>
      </c>
      <c r="V132" s="42" t="s">
        <v>173</v>
      </c>
      <c r="W132" s="42" t="s">
        <v>271</v>
      </c>
      <c r="X132" s="28" t="s">
        <v>272</v>
      </c>
      <c r="Y132" s="69" t="str" cm="1">
        <f t="array" ref="Y132">_xlfn.LET(_xlpm.cls,P132, _xlpm.ord,IFERROR(Q132,"#N/C"), _xlpm.subord,IFERROR(R132,"#N/C"), _xlpm.infr,IFERROR(S132,"#N/C"), _xlpm.sf,IFERROR(T132,"#N/C"), _xlpm.fam,IFERROR(U132,"#N/C"), _xlpm.subfam,IF(TRIM(V132)="-","#N/C",IFERROR(V132,"#N/C")),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_xlpm.fallback,IF(IFERROR(Q132,"#N/C")="#N/C",P132,IF(IFERROR(R132,"#N/C")="#N/C",Q132,IF(IFERROR(S132,"#N/C")="#N/C",R132,IF(IFERROR(T132,"#N/C")="#N/C",S132,IF(IFERROR(U132,"#N/C")="#N/C",T132,IF(IFERROR(V132,"#N/C")="#N/C",U132,"#N/C")))))), _xlpm.finalResult,IF(OR(_xlpm.computedResult="",_xlpm.computedResult="#N/C"),_xlpm.fallback,_xlpm.computedResult), INDEX(_xlpm.finalResult,1))</f>
        <v>grasshopper</v>
      </c>
      <c r="Z132" s="116" t="str" cm="1">
        <f t="array" ref="Z132">IF(OR(Y132="Insecta",Y132="Arachnida",Y132="#N/C"),"",IFERROR(_xlfn.LET(_xlpm.fc,IFERROR(_xlfn._xlws.FILTER(ClassificationClasses[],ClassificationClasses[Classification Class]=Y132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132,ClassificationClasses[Key])),0),MATCH(Y132,INDEX(ClassificationClasses[],MATCH(TRUE,ISNUMBER(SEARCH(Y132,ClassificationClasses[Key])),0),0),0)-1)))</f>
        <v>Orthoptera</v>
      </c>
      <c r="AA132" s="116" t="str" cm="1">
        <f t="array" ref="AA132">IFERROR(IF(OR(Z132="Insecta",Z132="Arachnida",Z132="#N/C"),"",INDEX(ClassificationClasses[[Class]:[Infraorder]],MATCH(TRUE,ISNUMBER(SEARCH(Z132,ClassificationClasses[Key])),0),MATCH(Z132,INDEX(ClassificationClasses[#Data], MATCH(TRUE,ISNUMBER(SEARCH(Z132,ClassificationClasses[Key])),0), 0), 0)-1)),"")</f>
        <v>Insecta</v>
      </c>
      <c r="AB132" s="116" t="str" cm="1">
        <f t="array" ref="AB132">IFERROR(IF(OR(AA132="Insecta",AA132="Arachnida",AA132="#N/C"),"",INDEX(ClassificationClasses[[Class]:[Suborder]],MATCH(TRUE,ISNUMBER(SEARCH(AA132,ClassificationClasses[Key])),0),MATCH(AA132,INDEX(ClassificationClasses[#Data], MATCH(TRUE,ISNUMBER(SEARCH(AA132,ClassificationClasses[Key])),0), 0), 0)-1)),"")</f>
        <v/>
      </c>
      <c r="AC132" s="116" t="str" cm="1">
        <f t="array" ref="AC132">IFERROR(IF(OR(AB132="Insecta",AB132="Arachnida",AB132="#N/C"),"",INDEX(ClassificationClasses[[Class]:[Suborder]],MATCH(TRUE,ISNUMBER(SEARCH(AB132,ClassificationClasses[Key])),0),MATCH(AB132,INDEX(ClassificationClasses[#Data], MATCH(TRUE,ISNUMBER(SEARCH(AB132,ClassificationClasses[Key])),0), 0), 0)-1)),"")</f>
        <v/>
      </c>
      <c r="AD132" s="116" t="str" cm="1">
        <f t="array" ref="AD132">IFERROR(IF(OR(AC132="Insecta",AC132="Arachnida",AC132="#N/C"),"",INDEX(ClassificationClasses[[Class]:[Suborder]],MATCH(TRUE,ISNUMBER(SEARCH(AC132,ClassificationClasses[Key])),0),MATCH(AC132,INDEX(ClassificationClasses[#Data], MATCH(TRUE,ISNUMBER(SEARCH(AC132,ClassificationClasses[Key])),0), 0), 0)-1)),"")</f>
        <v/>
      </c>
      <c r="AE132" s="18" t="str">
        <f t="shared" si="4"/>
        <v>Insecta.Orthoptera.Caelifera.Acrididea.Acridoidea.Acrididae.Gomphocerinae.Pseudochorthippus.parallelus</v>
      </c>
    </row>
    <row r="133" spans="1:31" x14ac:dyDescent="0.3">
      <c r="A133" s="91">
        <v>92</v>
      </c>
      <c r="B133" s="7">
        <v>44391</v>
      </c>
      <c r="C133" s="92" t="s">
        <v>273</v>
      </c>
      <c r="D133" s="93" t="str">
        <f>HYPERLINK(VLOOKUP(C133,Video_List!$F:$J,5),"video")</f>
        <v>video</v>
      </c>
      <c r="E133" s="94" t="str">
        <f>IFERROR(IF(MATCH(C133,Video_List!$F:$F,)&gt;0,"ok",""),"error")</f>
        <v>ok</v>
      </c>
      <c r="F133" s="92" t="s">
        <v>273</v>
      </c>
      <c r="G133" s="93" t="str">
        <f>HYPERLINK(VLOOKUP(F133,Video_List!$F:$J,5),"video")</f>
        <v>video</v>
      </c>
      <c r="H133" s="94" t="str">
        <f>IFERROR(IF(MATCH(F133,Video_List!$F:$F,)&gt;0,"ok",""),"error")</f>
        <v>ok</v>
      </c>
      <c r="I133" s="17">
        <v>44391.316782407404</v>
      </c>
      <c r="J133" s="8">
        <v>44391.316817129627</v>
      </c>
      <c r="K133" s="15">
        <f t="shared" si="5"/>
        <v>3.4722223062999547E-5</v>
      </c>
      <c r="L133" s="95" t="s">
        <v>32</v>
      </c>
      <c r="M133" s="95" t="s">
        <v>33</v>
      </c>
      <c r="N133" s="96" t="str">
        <f>IF(ISBLANK(C133),"",IF(C133=F133, "1 video",CONCATENATE((+COUNTIFS(Video_List!$C:$C,"&lt;=" &amp;Monitoring!J133)-COUNTIFS(Video_List!$C:$C,"&lt;=" &amp;Monitoring!I133))+1," videos")))</f>
        <v>1 video</v>
      </c>
      <c r="O133" s="27" t="s">
        <v>32</v>
      </c>
      <c r="P133" s="42" t="s">
        <v>37</v>
      </c>
      <c r="Q133" s="42" t="s">
        <v>274</v>
      </c>
      <c r="R133" s="42" t="s">
        <v>275</v>
      </c>
      <c r="S133" s="97" t="str">
        <f>+IFERROR(IF(T133="#N/C","#N/C",IF(U133=0,INDEX(Taxonomy_UniqueValues!D:D,MATCH(U133,Taxonomy_UniqueValues!F:F,0)),INDEX(Taxonomy_UniqueValues!D:D,MATCH(T133,Taxonomy_UniqueValues!E:E,0)))),"#N/C")</f>
        <v>Pentatomomorpha</v>
      </c>
      <c r="T133" s="42" t="s">
        <v>276</v>
      </c>
      <c r="U133" s="42" t="s">
        <v>277</v>
      </c>
      <c r="V133" s="42" t="s">
        <v>278</v>
      </c>
      <c r="W133" s="42" t="s">
        <v>279</v>
      </c>
      <c r="X133" s="28" t="s">
        <v>35</v>
      </c>
      <c r="Y133" s="69" t="str" cm="1">
        <f t="array" ref="Y133">_xlfn.LET(_xlpm.cls,P133, _xlpm.ord,IFERROR(Q133,"#N/C"), _xlpm.subord,IFERROR(R133,"#N/C"), _xlpm.infr,IFERROR(S133,"#N/C"), _xlpm.sf,IFERROR(T133,"#N/C"), _xlpm.fam,IFERROR(U133,"#N/C"), _xlpm.subfam,IF(TRIM(V133)="-","#N/C",IFERROR(V133,"#N/C")),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_xlpm.fallback,IF(IFERROR(Q133,"#N/C")="#N/C",P133,IF(IFERROR(R133,"#N/C")="#N/C",Q133,IF(IFERROR(S133,"#N/C")="#N/C",R133,IF(IFERROR(T133,"#N/C")="#N/C",S133,IF(IFERROR(U133,"#N/C")="#N/C",T133,IF(IFERROR(V133,"#N/C")="#N/C",U133,"#N/C")))))), _xlpm.finalResult,IF(OR(_xlpm.computedResult="",_xlpm.computedResult="#N/C"),_xlpm.fallback,_xlpm.computedResult), INDEX(_xlpm.finalResult,1))</f>
        <v>bug</v>
      </c>
      <c r="Z133" s="116" t="str" cm="1">
        <f t="array" ref="Z133">IF(OR(Y133="Insecta",Y133="Arachnida",Y133="#N/C"),"",IFERROR(_xlfn.LET(_xlpm.fc,IFERROR(_xlfn._xlws.FILTER(ClassificationClasses[],ClassificationClasses[Classification Class]=Y133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133,ClassificationClasses[Key])),0),MATCH(Y133,INDEX(ClassificationClasses[],MATCH(TRUE,ISNUMBER(SEARCH(Y133,ClassificationClasses[Key])),0),0),0)-1)))</f>
        <v>Pentatomomorpha</v>
      </c>
      <c r="AA133" s="116" t="str" cm="1">
        <f t="array" ref="AA133">IFERROR(IF(OR(Z133="Insecta",Z133="Arachnida",Z133="#N/C"),"",INDEX(ClassificationClasses[[Class]:[Infraorder]],MATCH(TRUE,ISNUMBER(SEARCH(Z133,ClassificationClasses[Key])),0),MATCH(Z133,INDEX(ClassificationClasses[#Data], MATCH(TRUE,ISNUMBER(SEARCH(Z133,ClassificationClasses[Key])),0), 0), 0)-1)),"")</f>
        <v>Heteroptera</v>
      </c>
      <c r="AB133" s="116" t="str" cm="1">
        <f t="array" ref="AB133">IFERROR(IF(OR(AA133="Insecta",AA133="Arachnida",AA133="#N/C"),"",INDEX(ClassificationClasses[[Class]:[Suborder]],MATCH(TRUE,ISNUMBER(SEARCH(AA133,ClassificationClasses[Key])),0),MATCH(AA133,INDEX(ClassificationClasses[#Data], MATCH(TRUE,ISNUMBER(SEARCH(AA133,ClassificationClasses[Key])),0), 0), 0)-1)),"")</f>
        <v>Hemiptera</v>
      </c>
      <c r="AC133" s="116" t="str" cm="1">
        <f t="array" ref="AC133">IFERROR(IF(OR(AB133="Insecta",AB133="Arachnida",AB133="#N/C"),"",INDEX(ClassificationClasses[[Class]:[Suborder]],MATCH(TRUE,ISNUMBER(SEARCH(AB133,ClassificationClasses[Key])),0),MATCH(AB133,INDEX(ClassificationClasses[#Data], MATCH(TRUE,ISNUMBER(SEARCH(AB133,ClassificationClasses[Key])),0), 0), 0)-1)),"")</f>
        <v>Insecta</v>
      </c>
      <c r="AD133" s="116" t="str" cm="1">
        <f t="array" ref="AD133">IFERROR(IF(OR(AC133="Insecta",AC133="Arachnida",AC133="#N/C"),"",INDEX(ClassificationClasses[[Class]:[Suborder]],MATCH(TRUE,ISNUMBER(SEARCH(AC133,ClassificationClasses[Key])),0),MATCH(AC133,INDEX(ClassificationClasses[#Data], MATCH(TRUE,ISNUMBER(SEARCH(AC133,ClassificationClasses[Key])),0), 0), 0)-1)),"")</f>
        <v/>
      </c>
      <c r="AE133" s="18" t="str">
        <f t="shared" si="4"/>
        <v>Insecta.Hemiptera.Heteroptera.Pentatomomorpha.Miroidea.Miridae.Orthotylinae.Orthotylus.#N/C</v>
      </c>
    </row>
    <row r="134" spans="1:31" x14ac:dyDescent="0.3">
      <c r="A134" s="91">
        <v>133</v>
      </c>
      <c r="B134" s="7">
        <v>44392</v>
      </c>
      <c r="C134" s="92" t="s">
        <v>280</v>
      </c>
      <c r="D134" s="93" t="str">
        <f>HYPERLINK(VLOOKUP(C134,Video_List!$F:$J,5),"video")</f>
        <v>video</v>
      </c>
      <c r="E134" s="94" t="str">
        <f>IFERROR(IF(MATCH(C134,Video_List!$F:$F,)&gt;0,"ok",""),"error")</f>
        <v>ok</v>
      </c>
      <c r="F134" s="92" t="s">
        <v>280</v>
      </c>
      <c r="G134" s="93" t="str">
        <f>HYPERLINK(VLOOKUP(F134,Video_List!$F:$J,5),"video")</f>
        <v>video</v>
      </c>
      <c r="H134" s="94" t="str">
        <f>IFERROR(IF(MATCH(F134,Video_List!$F:$F,)&gt;0,"ok",""),"error")</f>
        <v>ok</v>
      </c>
      <c r="I134" s="17">
        <v>44392.945555555554</v>
      </c>
      <c r="J134" s="8">
        <v>44392.945601851854</v>
      </c>
      <c r="K134" s="15">
        <f t="shared" si="5"/>
        <v>4.6296299842651933E-5</v>
      </c>
      <c r="L134" s="4" t="s">
        <v>32</v>
      </c>
      <c r="M134" s="4" t="s">
        <v>33</v>
      </c>
      <c r="N134" s="96" t="str">
        <f>IF(ISBLANK(C134),"",IF(C134=F134, "1 video",CONCATENATE((+COUNTIFS(Video_List!$C:$C,"&lt;=" &amp;Monitoring!J134)-COUNTIFS(Video_List!$C:$C,"&lt;=" &amp;Monitoring!I134))+1," videos")))</f>
        <v>1 video</v>
      </c>
      <c r="O134" s="29" t="s">
        <v>44</v>
      </c>
      <c r="P134" s="42" t="s">
        <v>37</v>
      </c>
      <c r="Q134" s="42" t="s">
        <v>38</v>
      </c>
      <c r="R134" s="42" t="s">
        <v>185</v>
      </c>
      <c r="S134" s="97" t="str">
        <f>+IFERROR(IF(T134="#N/C","#N/C",IF(U134=0,INDEX(Taxonomy_UniqueValues!D:D,MATCH(U134,Taxonomy_UniqueValues!F:F,0)),INDEX(Taxonomy_UniqueValues!D:D,MATCH(T134,Taxonomy_UniqueValues!E:E,0)))),"#N/C")</f>
        <v>Tipulomorpha</v>
      </c>
      <c r="T134" s="42" t="s">
        <v>236</v>
      </c>
      <c r="U134" s="42" t="s">
        <v>237</v>
      </c>
      <c r="V134" s="42" t="s">
        <v>238</v>
      </c>
      <c r="W134" s="42" t="s">
        <v>35</v>
      </c>
      <c r="X134" s="28" t="s">
        <v>35</v>
      </c>
      <c r="Y134" s="69" t="str" cm="1">
        <f t="array" ref="Y134">_xlfn.LET(_xlpm.cls,P134, _xlpm.ord,IFERROR(Q134,"#N/C"), _xlpm.subord,IFERROR(R134,"#N/C"), _xlpm.infr,IFERROR(S134,"#N/C"), _xlpm.sf,IFERROR(T134,"#N/C"), _xlpm.fam,IFERROR(U134,"#N/C"), _xlpm.subfam,IF(TRIM(V134)="-","#N/C",IFERROR(V134,"#N/C")),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_xlpm.fallback,IF(IFERROR(Q134,"#N/C")="#N/C",P134,IF(IFERROR(R134,"#N/C")="#N/C",Q134,IF(IFERROR(S134,"#N/C")="#N/C",R134,IF(IFERROR(T134,"#N/C")="#N/C",S134,IF(IFERROR(U134,"#N/C")="#N/C",T134,IF(IFERROR(V134,"#N/C")="#N/C",U134,"#N/C")))))), _xlpm.finalResult,IF(OR(_xlpm.computedResult="",_xlpm.computedResult="#N/C"),_xlpm.fallback,_xlpm.computedResult), INDEX(_xlpm.finalResult,1))</f>
        <v>crane_fly</v>
      </c>
      <c r="Z134" s="116" t="str" cm="1">
        <f t="array" ref="Z134">IF(OR(Y134="Insecta",Y134="Arachnida",Y134="#N/C"),"",IFERROR(_xlfn.LET(_xlpm.fc,IFERROR(_xlfn._xlws.FILTER(ClassificationClasses[],ClassificationClasses[Classification Class]=Y134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134,ClassificationClasses[Key])),0),MATCH(Y134,INDEX(ClassificationClasses[],MATCH(TRUE,ISNUMBER(SEARCH(Y134,ClassificationClasses[Key])),0),0),0)-1)))</f>
        <v>Tipulomorpha</v>
      </c>
      <c r="AA134" s="116" t="str" cm="1">
        <f t="array" ref="AA134">IFERROR(IF(OR(Z134="Insecta",Z134="Arachnida",Z134="#N/C"),"",INDEX(ClassificationClasses[[Class]:[Infraorder]],MATCH(TRUE,ISNUMBER(SEARCH(Z134,ClassificationClasses[Key])),0),MATCH(Z134,INDEX(ClassificationClasses[#Data], MATCH(TRUE,ISNUMBER(SEARCH(Z134,ClassificationClasses[Key])),0), 0), 0)-1)),"")</f>
        <v>Nematocera</v>
      </c>
      <c r="AB134" s="116" t="str" cm="1">
        <f t="array" ref="AB134">IFERROR(IF(OR(AA134="Insecta",AA134="Arachnida",AA134="#N/C"),"",INDEX(ClassificationClasses[[Class]:[Suborder]],MATCH(TRUE,ISNUMBER(SEARCH(AA134,ClassificationClasses[Key])),0),MATCH(AA134,INDEX(ClassificationClasses[#Data], MATCH(TRUE,ISNUMBER(SEARCH(AA134,ClassificationClasses[Key])),0), 0), 0)-1)),"")</f>
        <v>Diptera</v>
      </c>
      <c r="AC134" s="116" t="str" cm="1">
        <f t="array" ref="AC134">IFERROR(IF(OR(AB134="Insecta",AB134="Arachnida",AB134="#N/C"),"",INDEX(ClassificationClasses[[Class]:[Suborder]],MATCH(TRUE,ISNUMBER(SEARCH(AB134,ClassificationClasses[Key])),0),MATCH(AB134,INDEX(ClassificationClasses[#Data], MATCH(TRUE,ISNUMBER(SEARCH(AB134,ClassificationClasses[Key])),0), 0), 0)-1)),"")</f>
        <v>Insecta</v>
      </c>
      <c r="AD134" s="116" t="str" cm="1">
        <f t="array" ref="AD134">IFERROR(IF(OR(AC134="Insecta",AC134="Arachnida",AC134="#N/C"),"",INDEX(ClassificationClasses[[Class]:[Suborder]],MATCH(TRUE,ISNUMBER(SEARCH(AC134,ClassificationClasses[Key])),0),MATCH(AC134,INDEX(ClassificationClasses[#Data], MATCH(TRUE,ISNUMBER(SEARCH(AC134,ClassificationClasses[Key])),0), 0), 0)-1)),"")</f>
        <v/>
      </c>
      <c r="AE134" s="18" t="str">
        <f t="shared" si="4"/>
        <v>Insecta.Diptera.Nematocera.Tipulomorpha.Tipuloidea.Tipulidae.Tipulinae.#N/C.#N/C</v>
      </c>
    </row>
    <row r="135" spans="1:31" x14ac:dyDescent="0.3">
      <c r="A135" s="91">
        <v>134</v>
      </c>
      <c r="B135" s="7">
        <v>44392</v>
      </c>
      <c r="C135" s="92" t="s">
        <v>281</v>
      </c>
      <c r="D135" s="93" t="str">
        <f>HYPERLINK(VLOOKUP(C135,Video_List!$F:$J,5),"video")</f>
        <v>video</v>
      </c>
      <c r="E135" s="94" t="str">
        <f>IFERROR(IF(MATCH(C135,Video_List!$F:$F,)&gt;0,"ok",""),"error")</f>
        <v>ok</v>
      </c>
      <c r="F135" s="92" t="s">
        <v>282</v>
      </c>
      <c r="G135" s="93" t="str">
        <f>HYPERLINK(VLOOKUP(F135,Video_List!$F:$J,5),"video")</f>
        <v>video</v>
      </c>
      <c r="H135" s="94" t="str">
        <f>IFERROR(IF(MATCH(F135,Video_List!$F:$F,)&gt;0,"ok",""),"error")</f>
        <v>ok</v>
      </c>
      <c r="I135" s="17">
        <v>44392.950960648152</v>
      </c>
      <c r="J135" s="8">
        <v>44392.959618055553</v>
      </c>
      <c r="K135" s="15">
        <f t="shared" si="5"/>
        <v>8.657407401187811E-3</v>
      </c>
      <c r="L135" s="4" t="s">
        <v>32</v>
      </c>
      <c r="M135" s="4" t="s">
        <v>33</v>
      </c>
      <c r="N135" s="96" t="str">
        <f>IF(ISBLANK(C135),"",IF(C135=F135, "1 video",CONCATENATE((+COUNTIFS(Video_List!$C:$C,"&lt;=" &amp;Monitoring!J135)-COUNTIFS(Video_List!$C:$C,"&lt;=" &amp;Monitoring!I135))+1," videos")))</f>
        <v>3 videos</v>
      </c>
      <c r="O135" s="29" t="s">
        <v>44</v>
      </c>
      <c r="P135" s="42" t="s">
        <v>37</v>
      </c>
      <c r="Q135" s="42" t="s">
        <v>56</v>
      </c>
      <c r="R135" s="42" t="s">
        <v>57</v>
      </c>
      <c r="S135" s="97" t="str">
        <f>+IFERROR(IF(T135="#N/C","#N/C",IF(U135=0,INDEX(Taxonomy_UniqueValues!D:D,MATCH(U135,Taxonomy_UniqueValues!F:F,0)),INDEX(Taxonomy_UniqueValues!D:D,MATCH(T135,Taxonomy_UniqueValues!E:E,0)))),"#N/C")</f>
        <v>Heterocera</v>
      </c>
      <c r="T135" s="42" t="s">
        <v>257</v>
      </c>
      <c r="U135" s="42" t="s">
        <v>35</v>
      </c>
      <c r="V135" s="42" t="s">
        <v>35</v>
      </c>
      <c r="W135" s="42" t="s">
        <v>35</v>
      </c>
      <c r="X135" s="28" t="s">
        <v>35</v>
      </c>
      <c r="Y135" s="69" t="str" cm="1">
        <f t="array" ref="Y135">_xlfn.LET(_xlpm.cls,P135, _xlpm.ord,IFERROR(Q135,"#N/C"), _xlpm.subord,IFERROR(R135,"#N/C"), _xlpm.infr,IFERROR(S135,"#N/C"), _xlpm.sf,IFERROR(T135,"#N/C"), _xlpm.fam,IFERROR(U135,"#N/C"), _xlpm.subfam,IF(TRIM(V135)="-","#N/C",IFERROR(V135,"#N/C")),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_xlpm.fallback,IF(IFERROR(Q135,"#N/C")="#N/C",P135,IF(IFERROR(R135,"#N/C")="#N/C",Q135,IF(IFERROR(S135,"#N/C")="#N/C",R135,IF(IFERROR(T135,"#N/C")="#N/C",S135,IF(IFERROR(U135,"#N/C")="#N/C",T135,IF(IFERROR(V135,"#N/C")="#N/C",U135,"#N/C")))))), _xlpm.finalResult,IF(OR(_xlpm.computedResult="",_xlpm.computedResult="#N/C"),_xlpm.fallback,_xlpm.computedResult), INDEX(_xlpm.finalResult,1))</f>
        <v>Gelechioidea</v>
      </c>
      <c r="Z135" s="116" t="str" cm="1">
        <f t="array" ref="Z135">IF(OR(Y135="Insecta",Y135="Arachnida",Y135="#N/C"),"",IFERROR(_xlfn.LET(_xlpm.fc,IFERROR(_xlfn._xlws.FILTER(ClassificationClasses[],ClassificationClasses[Classification Class]=Y135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135,ClassificationClasses[Key])),0),MATCH(Y135,INDEX(ClassificationClasses[],MATCH(TRUE,ISNUMBER(SEARCH(Y135,ClassificationClasses[Key])),0),0),0)-1)))</f>
        <v>Heterocera</v>
      </c>
      <c r="AA135" s="116" t="str" cm="1">
        <f t="array" ref="AA135">IFERROR(IF(OR(Z135="Insecta",Z135="Arachnida",Z135="#N/C"),"",INDEX(ClassificationClasses[[Class]:[Infraorder]],MATCH(TRUE,ISNUMBER(SEARCH(Z135,ClassificationClasses[Key])),0),MATCH(Z135,INDEX(ClassificationClasses[#Data], MATCH(TRUE,ISNUMBER(SEARCH(Z135,ClassificationClasses[Key])),0), 0), 0)-1)),"")</f>
        <v>Glossata</v>
      </c>
      <c r="AB135" s="116" t="str" cm="1">
        <f t="array" ref="AB135">IFERROR(IF(OR(AA135="Insecta",AA135="Arachnida",AA135="#N/C"),"",INDEX(ClassificationClasses[[Class]:[Suborder]],MATCH(TRUE,ISNUMBER(SEARCH(AA135,ClassificationClasses[Key])),0),MATCH(AA135,INDEX(ClassificationClasses[#Data], MATCH(TRUE,ISNUMBER(SEARCH(AA135,ClassificationClasses[Key])),0), 0), 0)-1)),"")</f>
        <v>Lepidoptera</v>
      </c>
      <c r="AC135" s="116" t="str" cm="1">
        <f t="array" ref="AC135">IFERROR(IF(OR(AB135="Insecta",AB135="Arachnida",AB135="#N/C"),"",INDEX(ClassificationClasses[[Class]:[Suborder]],MATCH(TRUE,ISNUMBER(SEARCH(AB135,ClassificationClasses[Key])),0),MATCH(AB135,INDEX(ClassificationClasses[#Data], MATCH(TRUE,ISNUMBER(SEARCH(AB135,ClassificationClasses[Key])),0), 0), 0)-1)),"")</f>
        <v>Insecta</v>
      </c>
      <c r="AD135" s="116" t="str" cm="1">
        <f t="array" ref="AD135">IFERROR(IF(OR(AC135="Insecta",AC135="Arachnida",AC135="#N/C"),"",INDEX(ClassificationClasses[[Class]:[Suborder]],MATCH(TRUE,ISNUMBER(SEARCH(AC135,ClassificationClasses[Key])),0),MATCH(AC135,INDEX(ClassificationClasses[#Data], MATCH(TRUE,ISNUMBER(SEARCH(AC135,ClassificationClasses[Key])),0), 0), 0)-1)),"")</f>
        <v/>
      </c>
      <c r="AE135" s="18" t="str">
        <f t="shared" si="4"/>
        <v>Insecta.Lepidoptera.Glossata.Heterocera.Gelechioidea.#N/C.#N/C.#N/C.#N/C</v>
      </c>
    </row>
    <row r="136" spans="1:31" x14ac:dyDescent="0.3">
      <c r="A136" s="91">
        <v>135</v>
      </c>
      <c r="B136" s="7">
        <v>44392</v>
      </c>
      <c r="C136" s="92" t="s">
        <v>283</v>
      </c>
      <c r="D136" s="93" t="str">
        <f>HYPERLINK(VLOOKUP(C136,Video_List!$F:$J,5),"video")</f>
        <v>video</v>
      </c>
      <c r="E136" s="94" t="str">
        <f>IFERROR(IF(MATCH(C136,Video_List!$F:$F,)&gt;0,"ok",""),"error")</f>
        <v>ok</v>
      </c>
      <c r="F136" s="92" t="s">
        <v>283</v>
      </c>
      <c r="G136" s="93" t="str">
        <f>HYPERLINK(VLOOKUP(F136,Video_List!$F:$J,5),"video")</f>
        <v>video</v>
      </c>
      <c r="H136" s="94" t="str">
        <f>IFERROR(IF(MATCH(F136,Video_List!$F:$F,)&gt;0,"ok",""),"error")</f>
        <v>ok</v>
      </c>
      <c r="I136" s="17">
        <v>44392.953298611108</v>
      </c>
      <c r="J136" s="98">
        <v>44392.953356481485</v>
      </c>
      <c r="K136" s="99">
        <f t="shared" si="5"/>
        <v>5.787037662230432E-5</v>
      </c>
      <c r="L136" s="100" t="s">
        <v>32</v>
      </c>
      <c r="M136" s="100" t="s">
        <v>33</v>
      </c>
      <c r="N136" s="96" t="str">
        <f>IF(ISBLANK(C136),"",IF(C136=F136, "1 video",CONCATENATE((+COUNTIFS(Video_List!$C:$C,"&lt;=" &amp;Monitoring!J136)-COUNTIFS(Video_List!$C:$C,"&lt;=" &amp;Monitoring!I136))+1," videos")))</f>
        <v>1 video</v>
      </c>
      <c r="O136" s="27" t="s">
        <v>32</v>
      </c>
      <c r="P136" s="42" t="s">
        <v>37</v>
      </c>
      <c r="Q136" s="42" t="s">
        <v>56</v>
      </c>
      <c r="R136" s="42" t="s">
        <v>35</v>
      </c>
      <c r="S136" s="97" t="str">
        <f>+IFERROR(IF(T136="#N/C","#N/C",IF(U136=0,INDEX(Taxonomy_UniqueValues!D:D,MATCH(U136,Taxonomy_UniqueValues!F:F,0)),INDEX(Taxonomy_UniqueValues!D:D,MATCH(T136,Taxonomy_UniqueValues!E:E,0)))),"#N/C")</f>
        <v>#N/C</v>
      </c>
      <c r="T136" s="42" t="s">
        <v>35</v>
      </c>
      <c r="U136" s="42" t="s">
        <v>35</v>
      </c>
      <c r="V136" s="42" t="s">
        <v>35</v>
      </c>
      <c r="W136" s="42" t="s">
        <v>35</v>
      </c>
      <c r="X136" s="28" t="s">
        <v>35</v>
      </c>
      <c r="Y136" s="69" t="str" cm="1">
        <f t="array" ref="Y136">_xlfn.LET(_xlpm.cls,P136, _xlpm.ord,IFERROR(Q136,"#N/C"), _xlpm.subord,IFERROR(R136,"#N/C"), _xlpm.infr,IFERROR(S136,"#N/C"), _xlpm.sf,IFERROR(T136,"#N/C"), _xlpm.fam,IFERROR(U136,"#N/C"), _xlpm.subfam,IF(TRIM(V136)="-","#N/C",IFERROR(V136,"#N/C")),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_xlpm.fallback,IF(IFERROR(Q136,"#N/C")="#N/C",P136,IF(IFERROR(R136,"#N/C")="#N/C",Q136,IF(IFERROR(S136,"#N/C")="#N/C",R136,IF(IFERROR(T136,"#N/C")="#N/C",S136,IF(IFERROR(U136,"#N/C")="#N/C",T136,IF(IFERROR(V136,"#N/C")="#N/C",U136,"#N/C")))))), _xlpm.finalResult,IF(OR(_xlpm.computedResult="",_xlpm.computedResult="#N/C"),_xlpm.fallback,_xlpm.computedResult), INDEX(_xlpm.finalResult,1))</f>
        <v>Lepidoptera</v>
      </c>
      <c r="Z136" s="116" t="str" cm="1">
        <f t="array" ref="Z136">IF(OR(Y136="Insecta",Y136="Arachnida",Y136="#N/C"),"",IFERROR(_xlfn.LET(_xlpm.fc,IFERROR(_xlfn._xlws.FILTER(ClassificationClasses[],ClassificationClasses[Classification Class]=Y136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136,ClassificationClasses[Key])),0),MATCH(Y136,INDEX(ClassificationClasses[],MATCH(TRUE,ISNUMBER(SEARCH(Y136,ClassificationClasses[Key])),0),0),0)-1)))</f>
        <v>Insecta</v>
      </c>
      <c r="AA136" s="116" t="str" cm="1">
        <f t="array" ref="AA136">IFERROR(IF(OR(Z136="Insecta",Z136="Arachnida",Z136="#N/C"),"",INDEX(ClassificationClasses[[Class]:[Infraorder]],MATCH(TRUE,ISNUMBER(SEARCH(Z136,ClassificationClasses[Key])),0),MATCH(Z136,INDEX(ClassificationClasses[#Data], MATCH(TRUE,ISNUMBER(SEARCH(Z136,ClassificationClasses[Key])),0), 0), 0)-1)),"")</f>
        <v/>
      </c>
      <c r="AB136" s="116" t="str" cm="1">
        <f t="array" ref="AB136">IFERROR(IF(OR(AA136="Insecta",AA136="Arachnida",AA136="#N/C"),"",INDEX(ClassificationClasses[[Class]:[Suborder]],MATCH(TRUE,ISNUMBER(SEARCH(AA136,ClassificationClasses[Key])),0),MATCH(AA136,INDEX(ClassificationClasses[#Data], MATCH(TRUE,ISNUMBER(SEARCH(AA136,ClassificationClasses[Key])),0), 0), 0)-1)),"")</f>
        <v/>
      </c>
      <c r="AC136" s="116" t="str" cm="1">
        <f t="array" ref="AC136">IFERROR(IF(OR(AB136="Insecta",AB136="Arachnida",AB136="#N/C"),"",INDEX(ClassificationClasses[[Class]:[Suborder]],MATCH(TRUE,ISNUMBER(SEARCH(AB136,ClassificationClasses[Key])),0),MATCH(AB136,INDEX(ClassificationClasses[#Data], MATCH(TRUE,ISNUMBER(SEARCH(AB136,ClassificationClasses[Key])),0), 0), 0)-1)),"")</f>
        <v/>
      </c>
      <c r="AD136" s="116" t="str" cm="1">
        <f t="array" ref="AD136">IFERROR(IF(OR(AC136="Insecta",AC136="Arachnida",AC136="#N/C"),"",INDEX(ClassificationClasses[[Class]:[Suborder]],MATCH(TRUE,ISNUMBER(SEARCH(AC136,ClassificationClasses[Key])),0),MATCH(AC136,INDEX(ClassificationClasses[#Data], MATCH(TRUE,ISNUMBER(SEARCH(AC136,ClassificationClasses[Key])),0), 0), 0)-1)),"")</f>
        <v/>
      </c>
      <c r="AE136" s="18" t="str">
        <f t="shared" ref="AE136:AE199" si="6">+CONCATENATE(P136,".",Q136,".",R136,".",S136,".",T136,".",U136,".",V136,".",W136,".",X136)</f>
        <v>Insecta.Lepidoptera.#N/C.#N/C.#N/C.#N/C.#N/C.#N/C.#N/C</v>
      </c>
    </row>
    <row r="137" spans="1:31" x14ac:dyDescent="0.3">
      <c r="A137" s="91">
        <v>136</v>
      </c>
      <c r="B137" s="7">
        <v>44392</v>
      </c>
      <c r="C137" s="92" t="s">
        <v>282</v>
      </c>
      <c r="D137" s="93" t="str">
        <f>HYPERLINK(VLOOKUP(C137,Video_List!$F:$J,5),"video")</f>
        <v>video</v>
      </c>
      <c r="E137" s="94" t="str">
        <f>IFERROR(IF(MATCH(C137,Video_List!$F:$F,)&gt;0,"ok",""),"error")</f>
        <v>ok</v>
      </c>
      <c r="F137" s="92" t="s">
        <v>282</v>
      </c>
      <c r="G137" s="93" t="str">
        <f>HYPERLINK(VLOOKUP(F137,Video_List!$F:$J,5),"video")</f>
        <v>video</v>
      </c>
      <c r="H137" s="94" t="str">
        <f>IFERROR(IF(MATCH(F137,Video_List!$F:$F,)&gt;0,"ok",""),"error")</f>
        <v>ok</v>
      </c>
      <c r="I137" s="17">
        <v>44392.959224537037</v>
      </c>
      <c r="J137" s="8">
        <v>44392.959618055553</v>
      </c>
      <c r="K137" s="15">
        <f t="shared" si="5"/>
        <v>3.9351851592073217E-4</v>
      </c>
      <c r="L137" s="4" t="s">
        <v>32</v>
      </c>
      <c r="M137" s="4" t="s">
        <v>33</v>
      </c>
      <c r="N137" s="96" t="str">
        <f>IF(ISBLANK(C137),"",IF(C137=F137, "1 video",CONCATENATE((+COUNTIFS(Video_List!$C:$C,"&lt;=" &amp;Monitoring!J137)-COUNTIFS(Video_List!$C:$C,"&lt;=" &amp;Monitoring!I137))+1," videos")))</f>
        <v>1 video</v>
      </c>
      <c r="O137" s="29" t="s">
        <v>44</v>
      </c>
      <c r="P137" s="42" t="s">
        <v>37</v>
      </c>
      <c r="Q137" s="42" t="s">
        <v>56</v>
      </c>
      <c r="R137" s="42" t="s">
        <v>57</v>
      </c>
      <c r="S137" s="97" t="str">
        <f>+IFERROR(IF(T137="#N/C","#N/C",IF(U137=0,INDEX(Taxonomy_UniqueValues!D:D,MATCH(U137,Taxonomy_UniqueValues!F:F,0)),INDEX(Taxonomy_UniqueValues!D:D,MATCH(T137,Taxonomy_UniqueValues!E:E,0)))),"#N/C")</f>
        <v>Heterocera</v>
      </c>
      <c r="T137" s="42" t="s">
        <v>257</v>
      </c>
      <c r="U137" s="42" t="s">
        <v>35</v>
      </c>
      <c r="V137" s="42" t="s">
        <v>35</v>
      </c>
      <c r="W137" s="42" t="s">
        <v>35</v>
      </c>
      <c r="X137" s="28" t="s">
        <v>35</v>
      </c>
      <c r="Y137" s="69" t="str" cm="1">
        <f t="array" ref="Y137">_xlfn.LET(_xlpm.cls,P137, _xlpm.ord,IFERROR(Q137,"#N/C"), _xlpm.subord,IFERROR(R137,"#N/C"), _xlpm.infr,IFERROR(S137,"#N/C"), _xlpm.sf,IFERROR(T137,"#N/C"), _xlpm.fam,IFERROR(U137,"#N/C"), _xlpm.subfam,IF(TRIM(V137)="-","#N/C",IFERROR(V137,"#N/C")),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_xlpm.fallback,IF(IFERROR(Q137,"#N/C")="#N/C",P137,IF(IFERROR(R137,"#N/C")="#N/C",Q137,IF(IFERROR(S137,"#N/C")="#N/C",R137,IF(IFERROR(T137,"#N/C")="#N/C",S137,IF(IFERROR(U137,"#N/C")="#N/C",T137,IF(IFERROR(V137,"#N/C")="#N/C",U137,"#N/C")))))), _xlpm.finalResult,IF(OR(_xlpm.computedResult="",_xlpm.computedResult="#N/C"),_xlpm.fallback,_xlpm.computedResult), INDEX(_xlpm.finalResult,1))</f>
        <v>Gelechioidea</v>
      </c>
      <c r="Z137" s="116" t="str" cm="1">
        <f t="array" ref="Z137">IF(OR(Y137="Insecta",Y137="Arachnida",Y137="#N/C"),"",IFERROR(_xlfn.LET(_xlpm.fc,IFERROR(_xlfn._xlws.FILTER(ClassificationClasses[],ClassificationClasses[Classification Class]=Y137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137,ClassificationClasses[Key])),0),MATCH(Y137,INDEX(ClassificationClasses[],MATCH(TRUE,ISNUMBER(SEARCH(Y137,ClassificationClasses[Key])),0),0),0)-1)))</f>
        <v>Heterocera</v>
      </c>
      <c r="AA137" s="116" t="str" cm="1">
        <f t="array" ref="AA137">IFERROR(IF(OR(Z137="Insecta",Z137="Arachnida",Z137="#N/C"),"",INDEX(ClassificationClasses[[Class]:[Infraorder]],MATCH(TRUE,ISNUMBER(SEARCH(Z137,ClassificationClasses[Key])),0),MATCH(Z137,INDEX(ClassificationClasses[#Data], MATCH(TRUE,ISNUMBER(SEARCH(Z137,ClassificationClasses[Key])),0), 0), 0)-1)),"")</f>
        <v>Glossata</v>
      </c>
      <c r="AB137" s="116" t="str" cm="1">
        <f t="array" ref="AB137">IFERROR(IF(OR(AA137="Insecta",AA137="Arachnida",AA137="#N/C"),"",INDEX(ClassificationClasses[[Class]:[Suborder]],MATCH(TRUE,ISNUMBER(SEARCH(AA137,ClassificationClasses[Key])),0),MATCH(AA137,INDEX(ClassificationClasses[#Data], MATCH(TRUE,ISNUMBER(SEARCH(AA137,ClassificationClasses[Key])),0), 0), 0)-1)),"")</f>
        <v>Lepidoptera</v>
      </c>
      <c r="AC137" s="116" t="str" cm="1">
        <f t="array" ref="AC137">IFERROR(IF(OR(AB137="Insecta",AB137="Arachnida",AB137="#N/C"),"",INDEX(ClassificationClasses[[Class]:[Suborder]],MATCH(TRUE,ISNUMBER(SEARCH(AB137,ClassificationClasses[Key])),0),MATCH(AB137,INDEX(ClassificationClasses[#Data], MATCH(TRUE,ISNUMBER(SEARCH(AB137,ClassificationClasses[Key])),0), 0), 0)-1)),"")</f>
        <v>Insecta</v>
      </c>
      <c r="AD137" s="116" t="str" cm="1">
        <f t="array" ref="AD137">IFERROR(IF(OR(AC137="Insecta",AC137="Arachnida",AC137="#N/C"),"",INDEX(ClassificationClasses[[Class]:[Suborder]],MATCH(TRUE,ISNUMBER(SEARCH(AC137,ClassificationClasses[Key])),0),MATCH(AC137,INDEX(ClassificationClasses[#Data], MATCH(TRUE,ISNUMBER(SEARCH(AC137,ClassificationClasses[Key])),0), 0), 0)-1)),"")</f>
        <v/>
      </c>
      <c r="AE137" s="18" t="str">
        <f t="shared" si="6"/>
        <v>Insecta.Lepidoptera.Glossata.Heterocera.Gelechioidea.#N/C.#N/C.#N/C.#N/C</v>
      </c>
    </row>
    <row r="138" spans="1:31" x14ac:dyDescent="0.3">
      <c r="A138" s="91">
        <v>137</v>
      </c>
      <c r="B138" s="7">
        <v>44392</v>
      </c>
      <c r="C138" s="92" t="s">
        <v>284</v>
      </c>
      <c r="D138" s="93" t="str">
        <f>HYPERLINK(VLOOKUP(C138,Video_List!$F:$J,5),"video")</f>
        <v>video</v>
      </c>
      <c r="E138" s="94" t="str">
        <f>IFERROR(IF(MATCH(C138,Video_List!$F:$F,)&gt;0,"ok",""),"error")</f>
        <v>ok</v>
      </c>
      <c r="F138" s="92" t="s">
        <v>285</v>
      </c>
      <c r="G138" s="93" t="str">
        <f>HYPERLINK(VLOOKUP(F138,Video_List!$F:$J,5),"video")</f>
        <v>video</v>
      </c>
      <c r="H138" s="94" t="str">
        <f>IFERROR(IF(MATCH(F138,Video_List!$F:$F,)&gt;0,"ok",""),"error")</f>
        <v>error</v>
      </c>
      <c r="I138" s="17">
        <v>44392.960451388892</v>
      </c>
      <c r="J138" s="8">
        <v>44393.003888888888</v>
      </c>
      <c r="K138" s="15">
        <f t="shared" si="5"/>
        <v>4.3437499996798579E-2</v>
      </c>
      <c r="L138" s="4" t="s">
        <v>55</v>
      </c>
      <c r="M138" s="4" t="s">
        <v>55</v>
      </c>
      <c r="N138" s="96" t="str">
        <f>IF(ISBLANK(C138),"",IF(C138=F138, "1 video",CONCATENATE((+COUNTIFS(Video_List!$C:$C,"&lt;=" &amp;Monitoring!J138)-COUNTIFS(Video_List!$C:$C,"&lt;=" &amp;Monitoring!I138))+1," videos")))</f>
        <v>5 videos</v>
      </c>
      <c r="O138" s="27" t="s">
        <v>32</v>
      </c>
      <c r="P138" s="42" t="s">
        <v>37</v>
      </c>
      <c r="Q138" s="42" t="s">
        <v>56</v>
      </c>
      <c r="R138" s="42" t="s">
        <v>57</v>
      </c>
      <c r="S138" s="97" t="str">
        <f>+IFERROR(IF(T138="#N/C","#N/C",IF(U138=0,INDEX(Taxonomy_UniqueValues!D:D,MATCH(U138,Taxonomy_UniqueValues!F:F,0)),INDEX(Taxonomy_UniqueValues!D:D,MATCH(T138,Taxonomy_UniqueValues!E:E,0)))),"#N/C")</f>
        <v>Heterocera</v>
      </c>
      <c r="T138" s="42" t="s">
        <v>257</v>
      </c>
      <c r="U138" s="42" t="s">
        <v>35</v>
      </c>
      <c r="V138" s="42" t="s">
        <v>35</v>
      </c>
      <c r="W138" s="42" t="s">
        <v>35</v>
      </c>
      <c r="X138" s="28" t="s">
        <v>35</v>
      </c>
      <c r="Y138" s="69" t="str" cm="1">
        <f t="array" ref="Y138">_xlfn.LET(_xlpm.cls,P138, _xlpm.ord,IFERROR(Q138,"#N/C"), _xlpm.subord,IFERROR(R138,"#N/C"), _xlpm.infr,IFERROR(S138,"#N/C"), _xlpm.sf,IFERROR(T138,"#N/C"), _xlpm.fam,IFERROR(U138,"#N/C"), _xlpm.subfam,IF(TRIM(V138)="-","#N/C",IFERROR(V138,"#N/C")),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_xlpm.fallback,IF(IFERROR(Q138,"#N/C")="#N/C",P138,IF(IFERROR(R138,"#N/C")="#N/C",Q138,IF(IFERROR(S138,"#N/C")="#N/C",R138,IF(IFERROR(T138,"#N/C")="#N/C",S138,IF(IFERROR(U138,"#N/C")="#N/C",T138,IF(IFERROR(V138,"#N/C")="#N/C",U138,"#N/C")))))), _xlpm.finalResult,IF(OR(_xlpm.computedResult="",_xlpm.computedResult="#N/C"),_xlpm.fallback,_xlpm.computedResult), INDEX(_xlpm.finalResult,1))</f>
        <v>Gelechioidea</v>
      </c>
      <c r="Z138" s="116" t="str" cm="1">
        <f t="array" ref="Z138">IF(OR(Y138="Insecta",Y138="Arachnida",Y138="#N/C"),"",IFERROR(_xlfn.LET(_xlpm.fc,IFERROR(_xlfn._xlws.FILTER(ClassificationClasses[],ClassificationClasses[Classification Class]=Y138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138,ClassificationClasses[Key])),0),MATCH(Y138,INDEX(ClassificationClasses[],MATCH(TRUE,ISNUMBER(SEARCH(Y138,ClassificationClasses[Key])),0),0),0)-1)))</f>
        <v>Heterocera</v>
      </c>
      <c r="AA138" s="116" t="str" cm="1">
        <f t="array" ref="AA138">IFERROR(IF(OR(Z138="Insecta",Z138="Arachnida",Z138="#N/C"),"",INDEX(ClassificationClasses[[Class]:[Infraorder]],MATCH(TRUE,ISNUMBER(SEARCH(Z138,ClassificationClasses[Key])),0),MATCH(Z138,INDEX(ClassificationClasses[#Data], MATCH(TRUE,ISNUMBER(SEARCH(Z138,ClassificationClasses[Key])),0), 0), 0)-1)),"")</f>
        <v>Glossata</v>
      </c>
      <c r="AB138" s="116" t="str" cm="1">
        <f t="array" ref="AB138">IFERROR(IF(OR(AA138="Insecta",AA138="Arachnida",AA138="#N/C"),"",INDEX(ClassificationClasses[[Class]:[Suborder]],MATCH(TRUE,ISNUMBER(SEARCH(AA138,ClassificationClasses[Key])),0),MATCH(AA138,INDEX(ClassificationClasses[#Data], MATCH(TRUE,ISNUMBER(SEARCH(AA138,ClassificationClasses[Key])),0), 0), 0)-1)),"")</f>
        <v>Lepidoptera</v>
      </c>
      <c r="AC138" s="116" t="str" cm="1">
        <f t="array" ref="AC138">IFERROR(IF(OR(AB138="Insecta",AB138="Arachnida",AB138="#N/C"),"",INDEX(ClassificationClasses[[Class]:[Suborder]],MATCH(TRUE,ISNUMBER(SEARCH(AB138,ClassificationClasses[Key])),0),MATCH(AB138,INDEX(ClassificationClasses[#Data], MATCH(TRUE,ISNUMBER(SEARCH(AB138,ClassificationClasses[Key])),0), 0), 0)-1)),"")</f>
        <v>Insecta</v>
      </c>
      <c r="AD138" s="116" t="str" cm="1">
        <f t="array" ref="AD138">IFERROR(IF(OR(AC138="Insecta",AC138="Arachnida",AC138="#N/C"),"",INDEX(ClassificationClasses[[Class]:[Suborder]],MATCH(TRUE,ISNUMBER(SEARCH(AC138,ClassificationClasses[Key])),0),MATCH(AC138,INDEX(ClassificationClasses[#Data], MATCH(TRUE,ISNUMBER(SEARCH(AC138,ClassificationClasses[Key])),0), 0), 0)-1)),"")</f>
        <v/>
      </c>
      <c r="AE138" s="18" t="str">
        <f t="shared" si="6"/>
        <v>Insecta.Lepidoptera.Glossata.Heterocera.Gelechioidea.#N/C.#N/C.#N/C.#N/C</v>
      </c>
    </row>
    <row r="139" spans="1:31" x14ac:dyDescent="0.3">
      <c r="A139" s="91">
        <v>138</v>
      </c>
      <c r="B139" s="7">
        <v>44393</v>
      </c>
      <c r="C139" s="92" t="s">
        <v>286</v>
      </c>
      <c r="D139" s="93" t="str">
        <f>HYPERLINK(VLOOKUP(C139,Video_List!$F:$J,5),"video")</f>
        <v>video</v>
      </c>
      <c r="E139" s="94" t="str">
        <f>IFERROR(IF(MATCH(C139,Video_List!$F:$F,)&gt;0,"ok",""),"error")</f>
        <v>ok</v>
      </c>
      <c r="F139" s="92" t="s">
        <v>286</v>
      </c>
      <c r="G139" s="93" t="str">
        <f>HYPERLINK(VLOOKUP(F139,Video_List!$F:$J,5),"video")</f>
        <v>video</v>
      </c>
      <c r="H139" s="94" t="str">
        <f>IFERROR(IF(MATCH(F139,Video_List!$F:$F,)&gt;0,"ok",""),"error")</f>
        <v>ok</v>
      </c>
      <c r="I139" s="17">
        <v>44393.003819444442</v>
      </c>
      <c r="J139" s="8">
        <v>44393.004143518519</v>
      </c>
      <c r="K139" s="15">
        <f t="shared" si="5"/>
        <v>3.2407407707069069E-4</v>
      </c>
      <c r="L139" s="4" t="s">
        <v>44</v>
      </c>
      <c r="M139" s="4" t="s">
        <v>33</v>
      </c>
      <c r="N139" s="96" t="str">
        <f>IF(ISBLANK(C139),"",IF(C139=F139, "1 video",CONCATENATE((+COUNTIFS(Video_List!$C:$C,"&lt;=" &amp;Monitoring!J139)-COUNTIFS(Video_List!$C:$C,"&lt;=" &amp;Monitoring!I139))+1," videos")))</f>
        <v>1 video</v>
      </c>
      <c r="O139" s="27" t="s">
        <v>32</v>
      </c>
      <c r="P139" s="42" t="s">
        <v>37</v>
      </c>
      <c r="Q139" s="42" t="s">
        <v>123</v>
      </c>
      <c r="R139" s="42" t="s">
        <v>287</v>
      </c>
      <c r="S139" s="97" t="str">
        <f>+IFERROR(IF(T139="#N/C","#N/C",IF(U139=0,INDEX(Taxonomy_UniqueValues!D:D,MATCH(U139,Taxonomy_UniqueValues!F:F,0)),INDEX(Taxonomy_UniqueValues!D:D,MATCH(T139,Taxonomy_UniqueValues!E:E,0)))),"#N/C")</f>
        <v>Tettigoniidea</v>
      </c>
      <c r="T139" s="42" t="s">
        <v>288</v>
      </c>
      <c r="U139" s="42" t="s">
        <v>289</v>
      </c>
      <c r="V139" s="42" t="s">
        <v>290</v>
      </c>
      <c r="W139" s="42" t="s">
        <v>291</v>
      </c>
      <c r="X139" s="28" t="s">
        <v>292</v>
      </c>
      <c r="Y139" s="69" t="str" cm="1">
        <f t="array" ref="Y139">_xlfn.LET(_xlpm.cls,P139, _xlpm.ord,IFERROR(Q139,"#N/C"), _xlpm.subord,IFERROR(R139,"#N/C"), _xlpm.infr,IFERROR(S139,"#N/C"), _xlpm.sf,IFERROR(T139,"#N/C"), _xlpm.fam,IFERROR(U139,"#N/C"), _xlpm.subfam,IF(TRIM(V139)="-","#N/C",IFERROR(V139,"#N/C")),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_xlpm.fallback,IF(IFERROR(Q139,"#N/C")="#N/C",P139,IF(IFERROR(R139,"#N/C")="#N/C",Q139,IF(IFERROR(S139,"#N/C")="#N/C",R139,IF(IFERROR(T139,"#N/C")="#N/C",S139,IF(IFERROR(U139,"#N/C")="#N/C",T139,IF(IFERROR(V139,"#N/C")="#N/C",U139,"#N/C")))))), _xlpm.finalResult,IF(OR(_xlpm.computedResult="",_xlpm.computedResult="#N/C"),_xlpm.fallback,_xlpm.computedResult), INDEX(_xlpm.finalResult,1))</f>
        <v>grasshopper</v>
      </c>
      <c r="Z139" s="116" t="str" cm="1">
        <f t="array" ref="Z139">IF(OR(Y139="Insecta",Y139="Arachnida",Y139="#N/C"),"",IFERROR(_xlfn.LET(_xlpm.fc,IFERROR(_xlfn._xlws.FILTER(ClassificationClasses[],ClassificationClasses[Classification Class]=Y139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139,ClassificationClasses[Key])),0),MATCH(Y139,INDEX(ClassificationClasses[],MATCH(TRUE,ISNUMBER(SEARCH(Y139,ClassificationClasses[Key])),0),0),0)-1)))</f>
        <v>Orthoptera</v>
      </c>
      <c r="AA139" s="116" t="str" cm="1">
        <f t="array" ref="AA139">IFERROR(IF(OR(Z139="Insecta",Z139="Arachnida",Z139="#N/C"),"",INDEX(ClassificationClasses[[Class]:[Infraorder]],MATCH(TRUE,ISNUMBER(SEARCH(Z139,ClassificationClasses[Key])),0),MATCH(Z139,INDEX(ClassificationClasses[#Data], MATCH(TRUE,ISNUMBER(SEARCH(Z139,ClassificationClasses[Key])),0), 0), 0)-1)),"")</f>
        <v>Insecta</v>
      </c>
      <c r="AB139" s="116" t="str" cm="1">
        <f t="array" ref="AB139">IFERROR(IF(OR(AA139="Insecta",AA139="Arachnida",AA139="#N/C"),"",INDEX(ClassificationClasses[[Class]:[Suborder]],MATCH(TRUE,ISNUMBER(SEARCH(AA139,ClassificationClasses[Key])),0),MATCH(AA139,INDEX(ClassificationClasses[#Data], MATCH(TRUE,ISNUMBER(SEARCH(AA139,ClassificationClasses[Key])),0), 0), 0)-1)),"")</f>
        <v/>
      </c>
      <c r="AC139" s="116" t="str" cm="1">
        <f t="array" ref="AC139">IFERROR(IF(OR(AB139="Insecta",AB139="Arachnida",AB139="#N/C"),"",INDEX(ClassificationClasses[[Class]:[Suborder]],MATCH(TRUE,ISNUMBER(SEARCH(AB139,ClassificationClasses[Key])),0),MATCH(AB139,INDEX(ClassificationClasses[#Data], MATCH(TRUE,ISNUMBER(SEARCH(AB139,ClassificationClasses[Key])),0), 0), 0)-1)),"")</f>
        <v/>
      </c>
      <c r="AD139" s="116" t="str" cm="1">
        <f t="array" ref="AD139">IFERROR(IF(OR(AC139="Insecta",AC139="Arachnida",AC139="#N/C"),"",INDEX(ClassificationClasses[[Class]:[Suborder]],MATCH(TRUE,ISNUMBER(SEARCH(AC139,ClassificationClasses[Key])),0),MATCH(AC139,INDEX(ClassificationClasses[#Data], MATCH(TRUE,ISNUMBER(SEARCH(AC139,ClassificationClasses[Key])),0), 0), 0)-1)),"")</f>
        <v/>
      </c>
      <c r="AE139" s="18" t="str">
        <f t="shared" si="6"/>
        <v>Insecta.Orthoptera.Ensifera.Tettigoniidea.Tettigonioidea.Tettigoniidae.Phaneropterinae.Leptophyes.punctatissima</v>
      </c>
    </row>
    <row r="140" spans="1:31" x14ac:dyDescent="0.3">
      <c r="A140" s="91">
        <v>139</v>
      </c>
      <c r="B140" s="7">
        <v>44393</v>
      </c>
      <c r="C140" s="92" t="s">
        <v>293</v>
      </c>
      <c r="D140" s="93" t="str">
        <f>HYPERLINK(VLOOKUP(C140,Video_List!$F:$J,5),"video")</f>
        <v>video</v>
      </c>
      <c r="E140" s="94" t="str">
        <f>IFERROR(IF(MATCH(C140,Video_List!$F:$F,)&gt;0,"ok",""),"error")</f>
        <v>ok</v>
      </c>
      <c r="F140" s="92" t="s">
        <v>293</v>
      </c>
      <c r="G140" s="93" t="str">
        <f>HYPERLINK(VLOOKUP(F140,Video_List!$F:$J,5),"video")</f>
        <v>video</v>
      </c>
      <c r="H140" s="94" t="str">
        <f>IFERROR(IF(MATCH(F140,Video_List!$F:$F,)&gt;0,"ok",""),"error")</f>
        <v>ok</v>
      </c>
      <c r="I140" s="17">
        <v>44393.0078125</v>
      </c>
      <c r="J140" s="8">
        <v>44393.007870370369</v>
      </c>
      <c r="K140" s="15">
        <f t="shared" si="5"/>
        <v>5.7870369346346706E-5</v>
      </c>
      <c r="L140" s="4" t="s">
        <v>32</v>
      </c>
      <c r="M140" s="4" t="s">
        <v>33</v>
      </c>
      <c r="N140" s="96" t="str">
        <f>IF(ISBLANK(C140),"",IF(C140=F140, "1 video",CONCATENATE((+COUNTIFS(Video_List!$C:$C,"&lt;=" &amp;Monitoring!J140)-COUNTIFS(Video_List!$C:$C,"&lt;=" &amp;Monitoring!I140))+1," videos")))</f>
        <v>1 video</v>
      </c>
      <c r="O140" s="29" t="s">
        <v>44</v>
      </c>
      <c r="P140" s="42" t="s">
        <v>37</v>
      </c>
      <c r="Q140" s="42" t="s">
        <v>56</v>
      </c>
      <c r="R140" s="42" t="s">
        <v>57</v>
      </c>
      <c r="S140" s="97" t="str">
        <f>+IFERROR(IF(T140="#N/C","#N/C",IF(U140=0,INDEX(Taxonomy_UniqueValues!D:D,MATCH(U140,Taxonomy_UniqueValues!F:F,0)),INDEX(Taxonomy_UniqueValues!D:D,MATCH(T140,Taxonomy_UniqueValues!E:E,0)))),"#N/C")</f>
        <v>Heterocera</v>
      </c>
      <c r="T140" s="42" t="s">
        <v>257</v>
      </c>
      <c r="U140" s="42" t="s">
        <v>35</v>
      </c>
      <c r="V140" s="42" t="s">
        <v>35</v>
      </c>
      <c r="W140" s="42" t="s">
        <v>35</v>
      </c>
      <c r="X140" s="28" t="s">
        <v>35</v>
      </c>
      <c r="Y140" s="69" t="str" cm="1">
        <f t="array" ref="Y140">_xlfn.LET(_xlpm.cls,P140, _xlpm.ord,IFERROR(Q140,"#N/C"), _xlpm.subord,IFERROR(R140,"#N/C"), _xlpm.infr,IFERROR(S140,"#N/C"), _xlpm.sf,IFERROR(T140,"#N/C"), _xlpm.fam,IFERROR(U140,"#N/C"), _xlpm.subfam,IF(TRIM(V140)="-","#N/C",IFERROR(V140,"#N/C")),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_xlpm.fallback,IF(IFERROR(Q140,"#N/C")="#N/C",P140,IF(IFERROR(R140,"#N/C")="#N/C",Q140,IF(IFERROR(S140,"#N/C")="#N/C",R140,IF(IFERROR(T140,"#N/C")="#N/C",S140,IF(IFERROR(U140,"#N/C")="#N/C",T140,IF(IFERROR(V140,"#N/C")="#N/C",U140,"#N/C")))))), _xlpm.finalResult,IF(OR(_xlpm.computedResult="",_xlpm.computedResult="#N/C"),_xlpm.fallback,_xlpm.computedResult), INDEX(_xlpm.finalResult,1))</f>
        <v>Gelechioidea</v>
      </c>
      <c r="Z140" s="116" t="str" cm="1">
        <f t="array" ref="Z140">IF(OR(Y140="Insecta",Y140="Arachnida",Y140="#N/C"),"",IFERROR(_xlfn.LET(_xlpm.fc,IFERROR(_xlfn._xlws.FILTER(ClassificationClasses[],ClassificationClasses[Classification Class]=Y140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140,ClassificationClasses[Key])),0),MATCH(Y140,INDEX(ClassificationClasses[],MATCH(TRUE,ISNUMBER(SEARCH(Y140,ClassificationClasses[Key])),0),0),0)-1)))</f>
        <v>Heterocera</v>
      </c>
      <c r="AA140" s="116" t="str" cm="1">
        <f t="array" ref="AA140">IFERROR(IF(OR(Z140="Insecta",Z140="Arachnida",Z140="#N/C"),"",INDEX(ClassificationClasses[[Class]:[Infraorder]],MATCH(TRUE,ISNUMBER(SEARCH(Z140,ClassificationClasses[Key])),0),MATCH(Z140,INDEX(ClassificationClasses[#Data], MATCH(TRUE,ISNUMBER(SEARCH(Z140,ClassificationClasses[Key])),0), 0), 0)-1)),"")</f>
        <v>Glossata</v>
      </c>
      <c r="AB140" s="116" t="str" cm="1">
        <f t="array" ref="AB140">IFERROR(IF(OR(AA140="Insecta",AA140="Arachnida",AA140="#N/C"),"",INDEX(ClassificationClasses[[Class]:[Suborder]],MATCH(TRUE,ISNUMBER(SEARCH(AA140,ClassificationClasses[Key])),0),MATCH(AA140,INDEX(ClassificationClasses[#Data], MATCH(TRUE,ISNUMBER(SEARCH(AA140,ClassificationClasses[Key])),0), 0), 0)-1)),"")</f>
        <v>Lepidoptera</v>
      </c>
      <c r="AC140" s="116" t="str" cm="1">
        <f t="array" ref="AC140">IFERROR(IF(OR(AB140="Insecta",AB140="Arachnida",AB140="#N/C"),"",INDEX(ClassificationClasses[[Class]:[Suborder]],MATCH(TRUE,ISNUMBER(SEARCH(AB140,ClassificationClasses[Key])),0),MATCH(AB140,INDEX(ClassificationClasses[#Data], MATCH(TRUE,ISNUMBER(SEARCH(AB140,ClassificationClasses[Key])),0), 0), 0)-1)),"")</f>
        <v>Insecta</v>
      </c>
      <c r="AD140" s="116" t="str" cm="1">
        <f t="array" ref="AD140">IFERROR(IF(OR(AC140="Insecta",AC140="Arachnida",AC140="#N/C"),"",INDEX(ClassificationClasses[[Class]:[Suborder]],MATCH(TRUE,ISNUMBER(SEARCH(AC140,ClassificationClasses[Key])),0),MATCH(AC140,INDEX(ClassificationClasses[#Data], MATCH(TRUE,ISNUMBER(SEARCH(AC140,ClassificationClasses[Key])),0), 0), 0)-1)),"")</f>
        <v/>
      </c>
      <c r="AE140" s="18" t="str">
        <f t="shared" si="6"/>
        <v>Insecta.Lepidoptera.Glossata.Heterocera.Gelechioidea.#N/C.#N/C.#N/C.#N/C</v>
      </c>
    </row>
    <row r="141" spans="1:31" x14ac:dyDescent="0.3">
      <c r="A141" s="91">
        <v>140</v>
      </c>
      <c r="B141" s="7">
        <v>44393</v>
      </c>
      <c r="C141" s="92" t="s">
        <v>294</v>
      </c>
      <c r="D141" s="93" t="str">
        <f>HYPERLINK(VLOOKUP(C141,Video_List!$F:$J,5),"video")</f>
        <v>video</v>
      </c>
      <c r="E141" s="94" t="str">
        <f>IFERROR(IF(MATCH(C141,Video_List!$F:$F,)&gt;0,"ok",""),"error")</f>
        <v>ok</v>
      </c>
      <c r="F141" s="92" t="s">
        <v>294</v>
      </c>
      <c r="G141" s="93" t="str">
        <f>HYPERLINK(VLOOKUP(F141,Video_List!$F:$J,5),"video")</f>
        <v>video</v>
      </c>
      <c r="H141" s="94" t="str">
        <f>IFERROR(IF(MATCH(F141,Video_List!$F:$F,)&gt;0,"ok",""),"error")</f>
        <v>ok</v>
      </c>
      <c r="I141" s="17">
        <v>44393.012245370373</v>
      </c>
      <c r="J141" s="8">
        <v>44393.012337962966</v>
      </c>
      <c r="K141" s="15">
        <f t="shared" si="5"/>
        <v>9.2592592409346253E-5</v>
      </c>
      <c r="L141" s="4" t="s">
        <v>32</v>
      </c>
      <c r="M141" s="4" t="s">
        <v>33</v>
      </c>
      <c r="N141" s="96" t="str">
        <f>IF(ISBLANK(C141),"",IF(C141=F141, "1 video",CONCATENATE((+COUNTIFS(Video_List!$C:$C,"&lt;=" &amp;Monitoring!J141)-COUNTIFS(Video_List!$C:$C,"&lt;=" &amp;Monitoring!I141))+1," videos")))</f>
        <v>1 video</v>
      </c>
      <c r="O141" s="27" t="s">
        <v>32</v>
      </c>
      <c r="P141" s="42" t="s">
        <v>37</v>
      </c>
      <c r="Q141" s="42" t="s">
        <v>38</v>
      </c>
      <c r="R141" s="42" t="s">
        <v>39</v>
      </c>
      <c r="S141" s="97" t="str">
        <f>+IFERROR(IF(T141="#N/C","#N/C",IF(U141=0,INDEX(Taxonomy_UniqueValues!D:D,MATCH(U141,Taxonomy_UniqueValues!F:F,0)),INDEX(Taxonomy_UniqueValues!D:D,MATCH(T141,Taxonomy_UniqueValues!E:E,0)))),"#N/C")</f>
        <v>Muscomorpha</v>
      </c>
      <c r="T141" s="3" t="s">
        <v>161</v>
      </c>
      <c r="U141" s="42" t="s">
        <v>162</v>
      </c>
      <c r="V141" s="42" t="s">
        <v>163</v>
      </c>
      <c r="W141" s="42" t="s">
        <v>164</v>
      </c>
      <c r="X141" s="28" t="s">
        <v>35</v>
      </c>
      <c r="Y141" s="69" t="str" cm="1">
        <f t="array" ref="Y141">_xlfn.LET(_xlpm.cls,P141, _xlpm.ord,IFERROR(Q141,"#N/C"), _xlpm.subord,IFERROR(R141,"#N/C"), _xlpm.infr,IFERROR(S141,"#N/C"), _xlpm.sf,IFERROR(T141,"#N/C"), _xlpm.fam,IFERROR(U141,"#N/C"), _xlpm.subfam,IF(TRIM(V141)="-","#N/C",IFERROR(V141,"#N/C")),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_xlpm.fallback,IF(IFERROR(Q141,"#N/C")="#N/C",P141,IF(IFERROR(R141,"#N/C")="#N/C",Q141,IF(IFERROR(S141,"#N/C")="#N/C",R141,IF(IFERROR(T141,"#N/C")="#N/C",S141,IF(IFERROR(U141,"#N/C")="#N/C",T141,IF(IFERROR(V141,"#N/C")="#N/C",U141,"#N/C")))))), _xlpm.finalResult,IF(OR(_xlpm.computedResult="",_xlpm.computedResult="#N/C"),_xlpm.fallback,_xlpm.computedResult), INDEX(_xlpm.finalResult,1))</f>
        <v>scavenger_fly</v>
      </c>
      <c r="Z141" s="116" t="str" cm="1">
        <f t="array" ref="Z141">IF(OR(Y141="Insecta",Y141="Arachnida",Y141="#N/C"),"",IFERROR(_xlfn.LET(_xlpm.fc,IFERROR(_xlfn._xlws.FILTER(ClassificationClasses[],ClassificationClasses[Classification Class]=Y141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141,ClassificationClasses[Key])),0),MATCH(Y141,INDEX(ClassificationClasses[],MATCH(TRUE,ISNUMBER(SEARCH(Y141,ClassificationClasses[Key])),0),0),0)-1)))</f>
        <v>Muscomorpha</v>
      </c>
      <c r="AA141" s="116" t="str" cm="1">
        <f t="array" ref="AA141">IFERROR(IF(OR(Z141="Insecta",Z141="Arachnida",Z141="#N/C"),"",INDEX(ClassificationClasses[[Class]:[Infraorder]],MATCH(TRUE,ISNUMBER(SEARCH(Z141,ClassificationClasses[Key])),0),MATCH(Z141,INDEX(ClassificationClasses[#Data], MATCH(TRUE,ISNUMBER(SEARCH(Z141,ClassificationClasses[Key])),0), 0), 0)-1)),"")</f>
        <v>Brachycera</v>
      </c>
      <c r="AB141" s="116" t="str" cm="1">
        <f t="array" ref="AB141">IFERROR(IF(OR(AA141="Insecta",AA141="Arachnida",AA141="#N/C"),"",INDEX(ClassificationClasses[[Class]:[Suborder]],MATCH(TRUE,ISNUMBER(SEARCH(AA141,ClassificationClasses[Key])),0),MATCH(AA141,INDEX(ClassificationClasses[#Data], MATCH(TRUE,ISNUMBER(SEARCH(AA141,ClassificationClasses[Key])),0), 0), 0)-1)),"")</f>
        <v>Diptera</v>
      </c>
      <c r="AC141" s="116" t="str" cm="1">
        <f t="array" ref="AC141">IFERROR(IF(OR(AB141="Insecta",AB141="Arachnida",AB141="#N/C"),"",INDEX(ClassificationClasses[[Class]:[Suborder]],MATCH(TRUE,ISNUMBER(SEARCH(AB141,ClassificationClasses[Key])),0),MATCH(AB141,INDEX(ClassificationClasses[#Data], MATCH(TRUE,ISNUMBER(SEARCH(AB141,ClassificationClasses[Key])),0), 0), 0)-1)),"")</f>
        <v>Insecta</v>
      </c>
      <c r="AD141" s="116" t="str" cm="1">
        <f t="array" ref="AD141">IFERROR(IF(OR(AC141="Insecta",AC141="Arachnida",AC141="#N/C"),"",INDEX(ClassificationClasses[[Class]:[Suborder]],MATCH(TRUE,ISNUMBER(SEARCH(AC141,ClassificationClasses[Key])),0),MATCH(AC141,INDEX(ClassificationClasses[#Data], MATCH(TRUE,ISNUMBER(SEARCH(AC141,ClassificationClasses[Key])),0), 0), 0)-1)),"")</f>
        <v/>
      </c>
      <c r="AE141" s="18" t="str">
        <f t="shared" si="6"/>
        <v>Insecta.Diptera.Brachycera.Muscomorpha.Sciomyzoidea.Sepsidae.Sepsinae.Sepsis.#N/C</v>
      </c>
    </row>
    <row r="142" spans="1:31" x14ac:dyDescent="0.3">
      <c r="A142" s="91">
        <v>141</v>
      </c>
      <c r="B142" s="7">
        <v>44393</v>
      </c>
      <c r="C142" s="92" t="s">
        <v>295</v>
      </c>
      <c r="D142" s="93" t="str">
        <f>HYPERLINK(VLOOKUP(C142,Video_List!$F:$J,5),"video")</f>
        <v>video</v>
      </c>
      <c r="E142" s="94" t="str">
        <f>IFERROR(IF(MATCH(C142,Video_List!$F:$F,)&gt;0,"ok",""),"error")</f>
        <v>ok</v>
      </c>
      <c r="F142" s="92" t="s">
        <v>296</v>
      </c>
      <c r="G142" s="93" t="str">
        <f>HYPERLINK(VLOOKUP(F142,Video_List!$F:$J,5),"video")</f>
        <v>video</v>
      </c>
      <c r="H142" s="94" t="str">
        <f>IFERROR(IF(MATCH(F142,Video_List!$F:$F,)&gt;0,"ok",""),"error")</f>
        <v>ok</v>
      </c>
      <c r="I142" s="17">
        <v>44393.081354166665</v>
      </c>
      <c r="J142" s="8">
        <v>44393.086377314816</v>
      </c>
      <c r="K142" s="15">
        <f t="shared" si="5"/>
        <v>5.02314815093996E-3</v>
      </c>
      <c r="L142" s="4" t="s">
        <v>44</v>
      </c>
      <c r="M142" s="4" t="s">
        <v>118</v>
      </c>
      <c r="N142" s="96" t="str">
        <f>IF(ISBLANK(C142),"",IF(C142=F142, "1 video",CONCATENATE((+COUNTIFS(Video_List!$C:$C,"&lt;=" &amp;Monitoring!J142)-COUNTIFS(Video_List!$C:$C,"&lt;=" &amp;Monitoring!I142))+1," videos")))</f>
        <v>3 videos</v>
      </c>
      <c r="O142" s="27" t="s">
        <v>32</v>
      </c>
      <c r="P142" s="120" t="str">
        <f>+IFERROR(IF(Q142="#N/C","#N/C",INDEX(Taxonomy_UniqueValues!A:A,MATCH(Q142,Taxonomy_UniqueValues!B:B,0))),"#N/C")</f>
        <v>Insecta</v>
      </c>
      <c r="Q142" s="120" t="str">
        <f>+IFERROR(IF(R142="#N/C","#N/C",INDEX(Taxonomy_UniqueValues!B:B,MATCH(R142,Taxonomy_UniqueValues!C:C,0))),"#N/C")</f>
        <v>Hymenoptera</v>
      </c>
      <c r="R142" s="120" t="str">
        <f>+IFERROR(IF(S142="#N/C","#N/C",INDEX(Taxonomy_UniqueValues!C:C,MATCH(S142,Taxonomy_UniqueValues!D:D,0))),"#N/C")</f>
        <v>Apocrita</v>
      </c>
      <c r="S142" s="120" t="str">
        <f>+IFERROR(IF(T142="#N/C","#N/C",INDEX(Taxonomy_UniqueValues!D:D,MATCH(T142,Taxonomy_UniqueValues!E:E,0))),"#N/C")</f>
        <v>Aculeata</v>
      </c>
      <c r="T142" s="120" t="str">
        <f>+IFERROR(IF(U142="#N/C","#N/C",INDEX(Taxonomy_UniqueValues!E:E,MATCH(U142,Taxonomy_UniqueValues!F:F,0))),"#N/C")</f>
        <v>Formicoidea</v>
      </c>
      <c r="U142" s="120" t="str">
        <f>+IFERROR(IF(V142="#N/C","#N/C",INDEX(Taxonomy_UniqueValues!F:F,MATCH(V142,Taxonomy_UniqueValues!G:G,0))),"#N/C")</f>
        <v>Formicidae</v>
      </c>
      <c r="V142" s="120" t="str">
        <f>+IFERROR(IF(W142="#N/C","#N/C",INDEX(Taxonomy_UniqueValues!G:G,MATCH(W142,Taxonomy_UniqueValues!H:H,0))),"#N/C")</f>
        <v>Formicinae</v>
      </c>
      <c r="W142" s="42" t="s">
        <v>179</v>
      </c>
      <c r="X142" s="28" t="s">
        <v>35</v>
      </c>
      <c r="Y142" s="69" t="str" cm="1">
        <f t="array" ref="Y142">_xlfn.LET(_xlpm.cls,P142, _xlpm.ord,IFERROR(Q142,"#N/C"), _xlpm.subord,IFERROR(R142,"#N/C"), _xlpm.infr,IFERROR(S142,"#N/C"), _xlpm.sf,IFERROR(T142,"#N/C"), _xlpm.fam,IFERROR(U142,"#N/C"), _xlpm.subfam,IF(TRIM(V142)="-","#N/C",IFERROR(V142,"#N/C")),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_xlpm.fallback,IF(IFERROR(Q142,"#N/C")="#N/C",P142,IF(IFERROR(R142,"#N/C")="#N/C",Q142,IF(IFERROR(S142,"#N/C")="#N/C",R142,IF(IFERROR(T142,"#N/C")="#N/C",S142,IF(IFERROR(U142,"#N/C")="#N/C",T142,IF(IFERROR(V142,"#N/C")="#N/C",U142,"#N/C")))))), _xlpm.finalResult,IF(OR(_xlpm.computedResult="",_xlpm.computedResult="#N/C"),_xlpm.fallback,_xlpm.computedResult), INDEX(_xlpm.finalResult,1))</f>
        <v>ant</v>
      </c>
      <c r="Z142" s="116" t="str" cm="1">
        <f t="array" ref="Z142">IF(OR(Y142="Insecta",Y142="Arachnida",Y142="#N/C"),"",IFERROR(_xlfn.LET(_xlpm.fc,IFERROR(_xlfn._xlws.FILTER(ClassificationClasses[],ClassificationClasses[Classification Class]=Y142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142,ClassificationClasses[Key])),0),MATCH(Y142,INDEX(ClassificationClasses[],MATCH(TRUE,ISNUMBER(SEARCH(Y142,ClassificationClasses[Key])),0),0),0)-1)))</f>
        <v>Aculeata</v>
      </c>
      <c r="AA142" s="116" t="str" cm="1">
        <f t="array" ref="AA142">IFERROR(IF(OR(Z142="Insecta",Z142="Arachnida",Z142="#N/C"),"",INDEX(ClassificationClasses[[Class]:[Infraorder]],MATCH(TRUE,ISNUMBER(SEARCH(Z142,ClassificationClasses[Key])),0),MATCH(Z142,INDEX(ClassificationClasses[#Data], MATCH(TRUE,ISNUMBER(SEARCH(Z142,ClassificationClasses[Key])),0), 0), 0)-1)),"")</f>
        <v>Apocrita</v>
      </c>
      <c r="AB142" s="116" t="str" cm="1">
        <f t="array" ref="AB142">IFERROR(IF(OR(AA142="Insecta",AA142="Arachnida",AA142="#N/C"),"",INDEX(ClassificationClasses[[Class]:[Suborder]],MATCH(TRUE,ISNUMBER(SEARCH(AA142,ClassificationClasses[Key])),0),MATCH(AA142,INDEX(ClassificationClasses[#Data], MATCH(TRUE,ISNUMBER(SEARCH(AA142,ClassificationClasses[Key])),0), 0), 0)-1)),"")</f>
        <v>Hymenoptera</v>
      </c>
      <c r="AC142" s="116" t="str" cm="1">
        <f t="array" ref="AC142">IFERROR(IF(OR(AB142="Insecta",AB142="Arachnida",AB142="#N/C"),"",INDEX(ClassificationClasses[[Class]:[Suborder]],MATCH(TRUE,ISNUMBER(SEARCH(AB142,ClassificationClasses[Key])),0),MATCH(AB142,INDEX(ClassificationClasses[#Data], MATCH(TRUE,ISNUMBER(SEARCH(AB142,ClassificationClasses[Key])),0), 0), 0)-1)),"")</f>
        <v>Insecta</v>
      </c>
      <c r="AD142" s="116" t="str" cm="1">
        <f t="array" ref="AD142">IFERROR(IF(OR(AC142="Insecta",AC142="Arachnida",AC142="#N/C"),"",INDEX(ClassificationClasses[[Class]:[Suborder]],MATCH(TRUE,ISNUMBER(SEARCH(AC142,ClassificationClasses[Key])),0),MATCH(AC142,INDEX(ClassificationClasses[#Data], MATCH(TRUE,ISNUMBER(SEARCH(AC142,ClassificationClasses[Key])),0), 0), 0)-1)),"")</f>
        <v/>
      </c>
      <c r="AE142" s="18" t="str">
        <f t="shared" si="6"/>
        <v>Insecta.Hymenoptera.Apocrita.Aculeata.Formicoidea.Formicidae.Formicinae.Lasius.#N/C</v>
      </c>
    </row>
    <row r="143" spans="1:31" x14ac:dyDescent="0.3">
      <c r="A143" s="91">
        <v>142</v>
      </c>
      <c r="B143" s="7">
        <v>44393</v>
      </c>
      <c r="C143" s="92" t="s">
        <v>295</v>
      </c>
      <c r="D143" s="93" t="str">
        <f>HYPERLINK(VLOOKUP(C143,Video_List!$F:$J,5),"video")</f>
        <v>video</v>
      </c>
      <c r="E143" s="94" t="str">
        <f>IFERROR(IF(MATCH(C143,Video_List!$F:$F,)&gt;0,"ok",""),"error")</f>
        <v>ok</v>
      </c>
      <c r="F143" s="92" t="s">
        <v>296</v>
      </c>
      <c r="G143" s="93" t="str">
        <f>HYPERLINK(VLOOKUP(F143,Video_List!$F:$J,5),"video")</f>
        <v>video</v>
      </c>
      <c r="H143" s="94" t="str">
        <f>IFERROR(IF(MATCH(F143,Video_List!$F:$F,)&gt;0,"ok",""),"error")</f>
        <v>ok</v>
      </c>
      <c r="I143" s="17">
        <v>44393.082314814812</v>
      </c>
      <c r="J143" s="8">
        <v>44393.086331018516</v>
      </c>
      <c r="K143" s="15">
        <f t="shared" si="5"/>
        <v>4.016203703940846E-3</v>
      </c>
      <c r="L143" s="4" t="s">
        <v>32</v>
      </c>
      <c r="M143" s="4" t="s">
        <v>33</v>
      </c>
      <c r="N143" s="96" t="str">
        <f>IF(ISBLANK(C143),"",IF(C143=F143, "1 video",CONCATENATE((+COUNTIFS(Video_List!$C:$C,"&lt;=" &amp;Monitoring!J143)-COUNTIFS(Video_List!$C:$C,"&lt;=" &amp;Monitoring!I143))+1," videos")))</f>
        <v>3 videos</v>
      </c>
      <c r="O143" s="27" t="s">
        <v>32</v>
      </c>
      <c r="P143" s="42" t="s">
        <v>37</v>
      </c>
      <c r="Q143" s="42" t="s">
        <v>56</v>
      </c>
      <c r="R143" s="42" t="s">
        <v>35</v>
      </c>
      <c r="S143" s="97" t="str">
        <f>+IFERROR(IF(T143="#N/C","#N/C",IF(U143=0,INDEX(Taxonomy_UniqueValues!D:D,MATCH(U143,Taxonomy_UniqueValues!F:F,0)),INDEX(Taxonomy_UniqueValues!D:D,MATCH(T143,Taxonomy_UniqueValues!E:E,0)))),"#N/C")</f>
        <v>#N/C</v>
      </c>
      <c r="T143" s="42" t="s">
        <v>35</v>
      </c>
      <c r="U143" s="42" t="s">
        <v>35</v>
      </c>
      <c r="V143" s="42" t="s">
        <v>35</v>
      </c>
      <c r="W143" s="42" t="s">
        <v>35</v>
      </c>
      <c r="X143" s="28" t="s">
        <v>35</v>
      </c>
      <c r="Y143" s="69" t="str" cm="1">
        <f t="array" ref="Y143">_xlfn.LET(_xlpm.cls,P143, _xlpm.ord,IFERROR(Q143,"#N/C"), _xlpm.subord,IFERROR(R143,"#N/C"), _xlpm.infr,IFERROR(S143,"#N/C"), _xlpm.sf,IFERROR(T143,"#N/C"), _xlpm.fam,IFERROR(U143,"#N/C"), _xlpm.subfam,IF(TRIM(V143)="-","#N/C",IFERROR(V143,"#N/C")),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_xlpm.fallback,IF(IFERROR(Q143,"#N/C")="#N/C",P143,IF(IFERROR(R143,"#N/C")="#N/C",Q143,IF(IFERROR(S143,"#N/C")="#N/C",R143,IF(IFERROR(T143,"#N/C")="#N/C",S143,IF(IFERROR(U143,"#N/C")="#N/C",T143,IF(IFERROR(V143,"#N/C")="#N/C",U143,"#N/C")))))), _xlpm.finalResult,IF(OR(_xlpm.computedResult="",_xlpm.computedResult="#N/C"),_xlpm.fallback,_xlpm.computedResult), INDEX(_xlpm.finalResult,1))</f>
        <v>Lepidoptera</v>
      </c>
      <c r="Z143" s="116" t="str" cm="1">
        <f t="array" ref="Z143">IF(OR(Y143="Insecta",Y143="Arachnida",Y143="#N/C"),"",IFERROR(_xlfn.LET(_xlpm.fc,IFERROR(_xlfn._xlws.FILTER(ClassificationClasses[],ClassificationClasses[Classification Class]=Y143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143,ClassificationClasses[Key])),0),MATCH(Y143,INDEX(ClassificationClasses[],MATCH(TRUE,ISNUMBER(SEARCH(Y143,ClassificationClasses[Key])),0),0),0)-1)))</f>
        <v>Insecta</v>
      </c>
      <c r="AA143" s="116" t="str" cm="1">
        <f t="array" ref="AA143">IFERROR(IF(OR(Z143="Insecta",Z143="Arachnida",Z143="#N/C"),"",INDEX(ClassificationClasses[[Class]:[Infraorder]],MATCH(TRUE,ISNUMBER(SEARCH(Z143,ClassificationClasses[Key])),0),MATCH(Z143,INDEX(ClassificationClasses[#Data], MATCH(TRUE,ISNUMBER(SEARCH(Z143,ClassificationClasses[Key])),0), 0), 0)-1)),"")</f>
        <v/>
      </c>
      <c r="AB143" s="116" t="str" cm="1">
        <f t="array" ref="AB143">IFERROR(IF(OR(AA143="Insecta",AA143="Arachnida",AA143="#N/C"),"",INDEX(ClassificationClasses[[Class]:[Suborder]],MATCH(TRUE,ISNUMBER(SEARCH(AA143,ClassificationClasses[Key])),0),MATCH(AA143,INDEX(ClassificationClasses[#Data], MATCH(TRUE,ISNUMBER(SEARCH(AA143,ClassificationClasses[Key])),0), 0), 0)-1)),"")</f>
        <v/>
      </c>
      <c r="AC143" s="116" t="str" cm="1">
        <f t="array" ref="AC143">IFERROR(IF(OR(AB143="Insecta",AB143="Arachnida",AB143="#N/C"),"",INDEX(ClassificationClasses[[Class]:[Suborder]],MATCH(TRUE,ISNUMBER(SEARCH(AB143,ClassificationClasses[Key])),0),MATCH(AB143,INDEX(ClassificationClasses[#Data], MATCH(TRUE,ISNUMBER(SEARCH(AB143,ClassificationClasses[Key])),0), 0), 0)-1)),"")</f>
        <v/>
      </c>
      <c r="AD143" s="116" t="str" cm="1">
        <f t="array" ref="AD143">IFERROR(IF(OR(AC143="Insecta",AC143="Arachnida",AC143="#N/C"),"",INDEX(ClassificationClasses[[Class]:[Suborder]],MATCH(TRUE,ISNUMBER(SEARCH(AC143,ClassificationClasses[Key])),0),MATCH(AC143,INDEX(ClassificationClasses[#Data], MATCH(TRUE,ISNUMBER(SEARCH(AC143,ClassificationClasses[Key])),0), 0), 0)-1)),"")</f>
        <v/>
      </c>
      <c r="AE143" s="18" t="str">
        <f t="shared" si="6"/>
        <v>Insecta.Lepidoptera.#N/C.#N/C.#N/C.#N/C.#N/C.#N/C.#N/C</v>
      </c>
    </row>
    <row r="144" spans="1:31" x14ac:dyDescent="0.3">
      <c r="A144" s="91">
        <v>143</v>
      </c>
      <c r="B144" s="7">
        <v>44393</v>
      </c>
      <c r="C144" s="92" t="s">
        <v>297</v>
      </c>
      <c r="D144" s="93" t="str">
        <f>HYPERLINK(VLOOKUP(C144,Video_List!$F:$J,5),"video")</f>
        <v>video</v>
      </c>
      <c r="E144" s="94" t="str">
        <f>IFERROR(IF(MATCH(C144,Video_List!$F:$F,)&gt;0,"ok",""),"error")</f>
        <v>ok</v>
      </c>
      <c r="F144" s="92" t="s">
        <v>297</v>
      </c>
      <c r="G144" s="93" t="str">
        <f>HYPERLINK(VLOOKUP(F144,Video_List!$F:$J,5),"video")</f>
        <v>video</v>
      </c>
      <c r="H144" s="94" t="str">
        <f>IFERROR(IF(MATCH(F144,Video_List!$F:$F,)&gt;0,"ok",""),"error")</f>
        <v>ok</v>
      </c>
      <c r="I144" s="17">
        <v>44393.109305555554</v>
      </c>
      <c r="J144" s="8">
        <v>44393.109375</v>
      </c>
      <c r="K144" s="15">
        <f t="shared" si="5"/>
        <v>6.9444446125999093E-5</v>
      </c>
      <c r="L144" s="4" t="s">
        <v>32</v>
      </c>
      <c r="M144" s="4" t="s">
        <v>33</v>
      </c>
      <c r="N144" s="96" t="str">
        <f>IF(ISBLANK(C144),"",IF(C144=F144, "1 video",CONCATENATE((+COUNTIFS(Video_List!$C:$C,"&lt;=" &amp;Monitoring!J144)-COUNTIFS(Video_List!$C:$C,"&lt;=" &amp;Monitoring!I144))+1," videos")))</f>
        <v>1 video</v>
      </c>
      <c r="O144" s="27" t="s">
        <v>32</v>
      </c>
      <c r="P144" s="42" t="s">
        <v>37</v>
      </c>
      <c r="Q144" s="42" t="s">
        <v>56</v>
      </c>
      <c r="R144" s="42" t="s">
        <v>35</v>
      </c>
      <c r="S144" s="97" t="str">
        <f>+IFERROR(IF(T144="#N/C","#N/C",IF(U144=0,INDEX(Taxonomy_UniqueValues!D:D,MATCH(U144,Taxonomy_UniqueValues!F:F,0)),INDEX(Taxonomy_UniqueValues!D:D,MATCH(T144,Taxonomy_UniqueValues!E:E,0)))),"#N/C")</f>
        <v>#N/C</v>
      </c>
      <c r="T144" s="42" t="s">
        <v>35</v>
      </c>
      <c r="U144" s="42" t="s">
        <v>35</v>
      </c>
      <c r="V144" s="42" t="s">
        <v>35</v>
      </c>
      <c r="W144" s="42" t="s">
        <v>35</v>
      </c>
      <c r="X144" s="28" t="s">
        <v>35</v>
      </c>
      <c r="Y144" s="69" t="str" cm="1">
        <f t="array" ref="Y144">_xlfn.LET(_xlpm.cls,P144, _xlpm.ord,IFERROR(Q144,"#N/C"), _xlpm.subord,IFERROR(R144,"#N/C"), _xlpm.infr,IFERROR(S144,"#N/C"), _xlpm.sf,IFERROR(T144,"#N/C"), _xlpm.fam,IFERROR(U144,"#N/C"), _xlpm.subfam,IF(TRIM(V144)="-","#N/C",IFERROR(V144,"#N/C")),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_xlpm.fallback,IF(IFERROR(Q144,"#N/C")="#N/C",P144,IF(IFERROR(R144,"#N/C")="#N/C",Q144,IF(IFERROR(S144,"#N/C")="#N/C",R144,IF(IFERROR(T144,"#N/C")="#N/C",S144,IF(IFERROR(U144,"#N/C")="#N/C",T144,IF(IFERROR(V144,"#N/C")="#N/C",U144,"#N/C")))))), _xlpm.finalResult,IF(OR(_xlpm.computedResult="",_xlpm.computedResult="#N/C"),_xlpm.fallback,_xlpm.computedResult), INDEX(_xlpm.finalResult,1))</f>
        <v>Lepidoptera</v>
      </c>
      <c r="Z144" s="116" t="str" cm="1">
        <f t="array" ref="Z144">IF(OR(Y144="Insecta",Y144="Arachnida",Y144="#N/C"),"",IFERROR(_xlfn.LET(_xlpm.fc,IFERROR(_xlfn._xlws.FILTER(ClassificationClasses[],ClassificationClasses[Classification Class]=Y144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144,ClassificationClasses[Key])),0),MATCH(Y144,INDEX(ClassificationClasses[],MATCH(TRUE,ISNUMBER(SEARCH(Y144,ClassificationClasses[Key])),0),0),0)-1)))</f>
        <v>Insecta</v>
      </c>
      <c r="AA144" s="116" t="str" cm="1">
        <f t="array" ref="AA144">IFERROR(IF(OR(Z144="Insecta",Z144="Arachnida",Z144="#N/C"),"",INDEX(ClassificationClasses[[Class]:[Infraorder]],MATCH(TRUE,ISNUMBER(SEARCH(Z144,ClassificationClasses[Key])),0),MATCH(Z144,INDEX(ClassificationClasses[#Data], MATCH(TRUE,ISNUMBER(SEARCH(Z144,ClassificationClasses[Key])),0), 0), 0)-1)),"")</f>
        <v/>
      </c>
      <c r="AB144" s="116" t="str" cm="1">
        <f t="array" ref="AB144">IFERROR(IF(OR(AA144="Insecta",AA144="Arachnida",AA144="#N/C"),"",INDEX(ClassificationClasses[[Class]:[Suborder]],MATCH(TRUE,ISNUMBER(SEARCH(AA144,ClassificationClasses[Key])),0),MATCH(AA144,INDEX(ClassificationClasses[#Data], MATCH(TRUE,ISNUMBER(SEARCH(AA144,ClassificationClasses[Key])),0), 0), 0)-1)),"")</f>
        <v/>
      </c>
      <c r="AC144" s="116" t="str" cm="1">
        <f t="array" ref="AC144">IFERROR(IF(OR(AB144="Insecta",AB144="Arachnida",AB144="#N/C"),"",INDEX(ClassificationClasses[[Class]:[Suborder]],MATCH(TRUE,ISNUMBER(SEARCH(AB144,ClassificationClasses[Key])),0),MATCH(AB144,INDEX(ClassificationClasses[#Data], MATCH(TRUE,ISNUMBER(SEARCH(AB144,ClassificationClasses[Key])),0), 0), 0)-1)),"")</f>
        <v/>
      </c>
      <c r="AD144" s="116" t="str" cm="1">
        <f t="array" ref="AD144">IFERROR(IF(OR(AC144="Insecta",AC144="Arachnida",AC144="#N/C"),"",INDEX(ClassificationClasses[[Class]:[Suborder]],MATCH(TRUE,ISNUMBER(SEARCH(AC144,ClassificationClasses[Key])),0),MATCH(AC144,INDEX(ClassificationClasses[#Data], MATCH(TRUE,ISNUMBER(SEARCH(AC144,ClassificationClasses[Key])),0), 0), 0)-1)),"")</f>
        <v/>
      </c>
      <c r="AE144" s="18" t="str">
        <f t="shared" si="6"/>
        <v>Insecta.Lepidoptera.#N/C.#N/C.#N/C.#N/C.#N/C.#N/C.#N/C</v>
      </c>
    </row>
    <row r="145" spans="1:31" x14ac:dyDescent="0.3">
      <c r="A145" s="91">
        <v>144</v>
      </c>
      <c r="B145" s="7">
        <v>44393</v>
      </c>
      <c r="C145" s="92" t="s">
        <v>297</v>
      </c>
      <c r="D145" s="93" t="str">
        <f>HYPERLINK(VLOOKUP(C145,Video_List!$F:$J,5),"video")</f>
        <v>video</v>
      </c>
      <c r="E145" s="94" t="str">
        <f>IFERROR(IF(MATCH(C145,Video_List!$F:$F,)&gt;0,"ok",""),"error")</f>
        <v>ok</v>
      </c>
      <c r="F145" s="92" t="s">
        <v>297</v>
      </c>
      <c r="G145" s="93" t="str">
        <f>HYPERLINK(VLOOKUP(F145,Video_List!$F:$J,5),"video")</f>
        <v>video</v>
      </c>
      <c r="H145" s="94" t="str">
        <f>IFERROR(IF(MATCH(F145,Video_List!$F:$F,)&gt;0,"ok",""),"error")</f>
        <v>ok</v>
      </c>
      <c r="I145" s="17">
        <v>44393.109525462962</v>
      </c>
      <c r="J145" s="8">
        <v>44393.109548611108</v>
      </c>
      <c r="K145" s="15">
        <f t="shared" si="5"/>
        <v>2.314814628334716E-5</v>
      </c>
      <c r="L145" s="4" t="s">
        <v>32</v>
      </c>
      <c r="M145" s="4" t="s">
        <v>33</v>
      </c>
      <c r="N145" s="96" t="str">
        <f>IF(ISBLANK(C145),"",IF(C145=F145, "1 video",CONCATENATE((+COUNTIFS(Video_List!$C:$C,"&lt;=" &amp;Monitoring!J145)-COUNTIFS(Video_List!$C:$C,"&lt;=" &amp;Monitoring!I145))+1," videos")))</f>
        <v>1 video</v>
      </c>
      <c r="O145" s="29" t="s">
        <v>44</v>
      </c>
      <c r="P145" s="42" t="s">
        <v>37</v>
      </c>
      <c r="Q145" s="42" t="s">
        <v>38</v>
      </c>
      <c r="R145" s="42" t="s">
        <v>39</v>
      </c>
      <c r="S145" s="97" t="str">
        <f>+IFERROR(IF(T145="#N/C","#N/C",IF(U145=0,INDEX(Taxonomy_UniqueValues!D:D,MATCH(U145,Taxonomy_UniqueValues!F:F,0)),INDEX(Taxonomy_UniqueValues!D:D,MATCH(T145,Taxonomy_UniqueValues!E:E,0)))),"#N/C")</f>
        <v>#N/C</v>
      </c>
      <c r="T145" s="42" t="s">
        <v>35</v>
      </c>
      <c r="U145" s="42" t="s">
        <v>35</v>
      </c>
      <c r="V145" s="42" t="s">
        <v>35</v>
      </c>
      <c r="W145" s="42" t="s">
        <v>35</v>
      </c>
      <c r="X145" s="28" t="s">
        <v>35</v>
      </c>
      <c r="Y145" s="69" t="str" cm="1">
        <f t="array" ref="Y145">_xlfn.LET(_xlpm.cls,P145, _xlpm.ord,IFERROR(Q145,"#N/C"), _xlpm.subord,IFERROR(R145,"#N/C"), _xlpm.infr,IFERROR(S145,"#N/C"), _xlpm.sf,IFERROR(T145,"#N/C"), _xlpm.fam,IFERROR(U145,"#N/C"), _xlpm.subfam,IF(TRIM(V145)="-","#N/C",IFERROR(V145,"#N/C")),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_xlpm.fallback,IF(IFERROR(Q145,"#N/C")="#N/C",P145,IF(IFERROR(R145,"#N/C")="#N/C",Q145,IF(IFERROR(S145,"#N/C")="#N/C",R145,IF(IFERROR(T145,"#N/C")="#N/C",S145,IF(IFERROR(U145,"#N/C")="#N/C",T145,IF(IFERROR(V145,"#N/C")="#N/C",U145,"#N/C")))))), _xlpm.finalResult,IF(OR(_xlpm.computedResult="",_xlpm.computedResult="#N/C"),_xlpm.fallback,_xlpm.computedResult), INDEX(_xlpm.finalResult,1))</f>
        <v>Brachycera</v>
      </c>
      <c r="Z145" s="116" t="str" cm="1">
        <f t="array" ref="Z145">IF(OR(Y145="Insecta",Y145="Arachnida",Y145="#N/C"),"",IFERROR(_xlfn.LET(_xlpm.fc,IFERROR(_xlfn._xlws.FILTER(ClassificationClasses[],ClassificationClasses[Classification Class]=Y145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145,ClassificationClasses[Key])),0),MATCH(Y145,INDEX(ClassificationClasses[],MATCH(TRUE,ISNUMBER(SEARCH(Y145,ClassificationClasses[Key])),0),0),0)-1)))</f>
        <v>Diptera</v>
      </c>
      <c r="AA145" s="116" t="str" cm="1">
        <f t="array" ref="AA145">IFERROR(IF(OR(Z145="Insecta",Z145="Arachnida",Z145="#N/C"),"",INDEX(ClassificationClasses[[Class]:[Infraorder]],MATCH(TRUE,ISNUMBER(SEARCH(Z145,ClassificationClasses[Key])),0),MATCH(Z145,INDEX(ClassificationClasses[#Data], MATCH(TRUE,ISNUMBER(SEARCH(Z145,ClassificationClasses[Key])),0), 0), 0)-1)),"")</f>
        <v>Insecta</v>
      </c>
      <c r="AB145" s="116" t="str" cm="1">
        <f t="array" ref="AB145">IFERROR(IF(OR(AA145="Insecta",AA145="Arachnida",AA145="#N/C"),"",INDEX(ClassificationClasses[[Class]:[Suborder]],MATCH(TRUE,ISNUMBER(SEARCH(AA145,ClassificationClasses[Key])),0),MATCH(AA145,INDEX(ClassificationClasses[#Data], MATCH(TRUE,ISNUMBER(SEARCH(AA145,ClassificationClasses[Key])),0), 0), 0)-1)),"")</f>
        <v/>
      </c>
      <c r="AC145" s="116" t="str" cm="1">
        <f t="array" ref="AC145">IFERROR(IF(OR(AB145="Insecta",AB145="Arachnida",AB145="#N/C"),"",INDEX(ClassificationClasses[[Class]:[Suborder]],MATCH(TRUE,ISNUMBER(SEARCH(AB145,ClassificationClasses[Key])),0),MATCH(AB145,INDEX(ClassificationClasses[#Data], MATCH(TRUE,ISNUMBER(SEARCH(AB145,ClassificationClasses[Key])),0), 0), 0)-1)),"")</f>
        <v/>
      </c>
      <c r="AD145" s="116" t="str" cm="1">
        <f t="array" ref="AD145">IFERROR(IF(OR(AC145="Insecta",AC145="Arachnida",AC145="#N/C"),"",INDEX(ClassificationClasses[[Class]:[Suborder]],MATCH(TRUE,ISNUMBER(SEARCH(AC145,ClassificationClasses[Key])),0),MATCH(AC145,INDEX(ClassificationClasses[#Data], MATCH(TRUE,ISNUMBER(SEARCH(AC145,ClassificationClasses[Key])),0), 0), 0)-1)),"")</f>
        <v/>
      </c>
      <c r="AE145" s="18" t="str">
        <f t="shared" si="6"/>
        <v>Insecta.Diptera.Brachycera.#N/C.#N/C.#N/C.#N/C.#N/C.#N/C</v>
      </c>
    </row>
    <row r="146" spans="1:31" x14ac:dyDescent="0.3">
      <c r="A146" s="91">
        <v>145</v>
      </c>
      <c r="B146" s="7">
        <v>44393</v>
      </c>
      <c r="C146" s="92" t="s">
        <v>298</v>
      </c>
      <c r="D146" s="93" t="str">
        <f>HYPERLINK(VLOOKUP(C146,Video_List!$F:$J,5),"video")</f>
        <v>video</v>
      </c>
      <c r="E146" s="94" t="str">
        <f>IFERROR(IF(MATCH(C146,Video_List!$F:$F,)&gt;0,"ok",""),"error")</f>
        <v>ok</v>
      </c>
      <c r="F146" s="92" t="s">
        <v>299</v>
      </c>
      <c r="G146" s="93" t="str">
        <f>HYPERLINK(VLOOKUP(F146,Video_List!$F:$J,5),"video")</f>
        <v>video</v>
      </c>
      <c r="H146" s="94" t="str">
        <f>IFERROR(IF(MATCH(F146,Video_List!$F:$F,)&gt;0,"ok",""),"error")</f>
        <v>ok</v>
      </c>
      <c r="I146" s="17">
        <v>44393.123865740738</v>
      </c>
      <c r="J146" s="8">
        <v>44393.125289351854</v>
      </c>
      <c r="K146" s="15">
        <f t="shared" si="5"/>
        <v>1.423611116479151E-3</v>
      </c>
      <c r="L146" s="4" t="s">
        <v>32</v>
      </c>
      <c r="M146" s="4" t="s">
        <v>33</v>
      </c>
      <c r="N146" s="96" t="str">
        <f>IF(ISBLANK(C146),"",IF(C146=F146, "1 video",CONCATENATE((+COUNTIFS(Video_List!$C:$C,"&lt;=" &amp;Monitoring!J146)-COUNTIFS(Video_List!$C:$C,"&lt;=" &amp;Monitoring!I146))+1," videos")))</f>
        <v>2 videos</v>
      </c>
      <c r="O146" s="29" t="s">
        <v>44</v>
      </c>
      <c r="P146" s="42" t="s">
        <v>37</v>
      </c>
      <c r="Q146" s="42" t="s">
        <v>56</v>
      </c>
      <c r="R146" s="42" t="s">
        <v>57</v>
      </c>
      <c r="S146" s="97" t="str">
        <f>+IFERROR(IF(T146="#N/C","#N/C",IF(U146=0,INDEX(Taxonomy_UniqueValues!D:D,MATCH(U146,Taxonomy_UniqueValues!F:F,0)),INDEX(Taxonomy_UniqueValues!D:D,MATCH(T146,Taxonomy_UniqueValues!E:E,0)))),"#N/C")</f>
        <v>Heterocera</v>
      </c>
      <c r="T146" s="42" t="s">
        <v>257</v>
      </c>
      <c r="U146" s="42" t="s">
        <v>300</v>
      </c>
      <c r="V146" s="42" t="s">
        <v>35</v>
      </c>
      <c r="W146" s="42" t="s">
        <v>35</v>
      </c>
      <c r="X146" s="28" t="s">
        <v>35</v>
      </c>
      <c r="Y146" s="69" t="str" cm="1">
        <f t="array" ref="Y146">_xlfn.LET(_xlpm.cls,P146, _xlpm.ord,IFERROR(Q146,"#N/C"), _xlpm.subord,IFERROR(R146,"#N/C"), _xlpm.infr,IFERROR(S146,"#N/C"), _xlpm.sf,IFERROR(T146,"#N/C"), _xlpm.fam,IFERROR(U146,"#N/C"), _xlpm.subfam,IF(TRIM(V146)="-","#N/C",IFERROR(V146,"#N/C")),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_xlpm.fallback,IF(IFERROR(Q146,"#N/C")="#N/C",P146,IF(IFERROR(R146,"#N/C")="#N/C",Q146,IF(IFERROR(S146,"#N/C")="#N/C",R146,IF(IFERROR(T146,"#N/C")="#N/C",S146,IF(IFERROR(U146,"#N/C")="#N/C",T146,IF(IFERROR(V146,"#N/C")="#N/C",U146,"#N/C")))))), _xlpm.finalResult,IF(OR(_xlpm.computedResult="",_xlpm.computedResult="#N/C"),_xlpm.fallback,_xlpm.computedResult), INDEX(_xlpm.finalResult,1))</f>
        <v>moth</v>
      </c>
      <c r="Z146" s="116" t="str" cm="1">
        <f t="array" ref="Z146">IF(OR(Y146="Insecta",Y146="Arachnida",Y146="#N/C"),"",IFERROR(_xlfn.LET(_xlpm.fc,IFERROR(_xlfn._xlws.FILTER(ClassificationClasses[],ClassificationClasses[Classification Class]=Y146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146,ClassificationClasses[Key])),0),MATCH(Y146,INDEX(ClassificationClasses[],MATCH(TRUE,ISNUMBER(SEARCH(Y146,ClassificationClasses[Key])),0),0),0)-1)))</f>
        <v>Heterocera</v>
      </c>
      <c r="AA146" s="116" t="str" cm="1">
        <f t="array" ref="AA146">IFERROR(IF(OR(Z146="Insecta",Z146="Arachnida",Z146="#N/C"),"",INDEX(ClassificationClasses[[Class]:[Infraorder]],MATCH(TRUE,ISNUMBER(SEARCH(Z146,ClassificationClasses[Key])),0),MATCH(Z146,INDEX(ClassificationClasses[#Data], MATCH(TRUE,ISNUMBER(SEARCH(Z146,ClassificationClasses[Key])),0), 0), 0)-1)),"")</f>
        <v>Glossata</v>
      </c>
      <c r="AB146" s="116" t="str" cm="1">
        <f t="array" ref="AB146">IFERROR(IF(OR(AA146="Insecta",AA146="Arachnida",AA146="#N/C"),"",INDEX(ClassificationClasses[[Class]:[Suborder]],MATCH(TRUE,ISNUMBER(SEARCH(AA146,ClassificationClasses[Key])),0),MATCH(AA146,INDEX(ClassificationClasses[#Data], MATCH(TRUE,ISNUMBER(SEARCH(AA146,ClassificationClasses[Key])),0), 0), 0)-1)),"")</f>
        <v>Lepidoptera</v>
      </c>
      <c r="AC146" s="116" t="str" cm="1">
        <f t="array" ref="AC146">IFERROR(IF(OR(AB146="Insecta",AB146="Arachnida",AB146="#N/C"),"",INDEX(ClassificationClasses[[Class]:[Suborder]],MATCH(TRUE,ISNUMBER(SEARCH(AB146,ClassificationClasses[Key])),0),MATCH(AB146,INDEX(ClassificationClasses[#Data], MATCH(TRUE,ISNUMBER(SEARCH(AB146,ClassificationClasses[Key])),0), 0), 0)-1)),"")</f>
        <v>Insecta</v>
      </c>
      <c r="AD146" s="116" t="str" cm="1">
        <f t="array" ref="AD146">IFERROR(IF(OR(AC146="Insecta",AC146="Arachnida",AC146="#N/C"),"",INDEX(ClassificationClasses[[Class]:[Suborder]],MATCH(TRUE,ISNUMBER(SEARCH(AC146,ClassificationClasses[Key])),0),MATCH(AC146,INDEX(ClassificationClasses[#Data], MATCH(TRUE,ISNUMBER(SEARCH(AC146,ClassificationClasses[Key])),0), 0), 0)-1)),"")</f>
        <v/>
      </c>
      <c r="AE146" s="18" t="str">
        <f t="shared" si="6"/>
        <v>Insecta.Lepidoptera.Glossata.Heterocera.Gelechioidea.Gelechiidae.#N/C.#N/C.#N/C</v>
      </c>
    </row>
    <row r="147" spans="1:31" x14ac:dyDescent="0.3">
      <c r="A147" s="91">
        <v>146</v>
      </c>
      <c r="B147" s="7">
        <v>44393</v>
      </c>
      <c r="C147" s="92" t="s">
        <v>299</v>
      </c>
      <c r="D147" s="93" t="str">
        <f>HYPERLINK(VLOOKUP(C147,Video_List!$F:$J,5),"video")</f>
        <v>video</v>
      </c>
      <c r="E147" s="94" t="str">
        <f>IFERROR(IF(MATCH(C147,Video_List!$F:$F,)&gt;0,"ok",""),"error")</f>
        <v>ok</v>
      </c>
      <c r="F147" s="92" t="s">
        <v>299</v>
      </c>
      <c r="G147" s="93" t="str">
        <f>HYPERLINK(VLOOKUP(F147,Video_List!$F:$J,5),"video")</f>
        <v>video</v>
      </c>
      <c r="H147" s="94" t="str">
        <f>IFERROR(IF(MATCH(F147,Video_List!$F:$F,)&gt;0,"ok",""),"error")</f>
        <v>ok</v>
      </c>
      <c r="I147" s="17">
        <v>44393.124872685185</v>
      </c>
      <c r="J147" s="8">
        <v>44393.124918981484</v>
      </c>
      <c r="K147" s="15">
        <f t="shared" si="5"/>
        <v>4.6296299842651933E-5</v>
      </c>
      <c r="L147" s="4" t="s">
        <v>32</v>
      </c>
      <c r="M147" s="4" t="s">
        <v>33</v>
      </c>
      <c r="N147" s="96" t="str">
        <f>IF(ISBLANK(C147),"",IF(C147=F147, "1 video",CONCATENATE((+COUNTIFS(Video_List!$C:$C,"&lt;=" &amp;Monitoring!J147)-COUNTIFS(Video_List!$C:$C,"&lt;=" &amp;Monitoring!I147))+1," videos")))</f>
        <v>1 video</v>
      </c>
      <c r="O147" s="29" t="s">
        <v>44</v>
      </c>
      <c r="P147" s="42" t="s">
        <v>37</v>
      </c>
      <c r="Q147" s="42" t="s">
        <v>56</v>
      </c>
      <c r="R147" s="42" t="s">
        <v>57</v>
      </c>
      <c r="S147" s="97" t="str">
        <f>+IFERROR(IF(T147="#N/C","#N/C",IF(U147=0,INDEX(Taxonomy_UniqueValues!D:D,MATCH(U147,Taxonomy_UniqueValues!F:F,0)),INDEX(Taxonomy_UniqueValues!D:D,MATCH(T147,Taxonomy_UniqueValues!E:E,0)))),"#N/C")</f>
        <v>Heterocera</v>
      </c>
      <c r="T147" s="42" t="s">
        <v>257</v>
      </c>
      <c r="U147" s="42" t="s">
        <v>35</v>
      </c>
      <c r="V147" s="42" t="s">
        <v>35</v>
      </c>
      <c r="W147" s="42" t="s">
        <v>35</v>
      </c>
      <c r="X147" s="28" t="s">
        <v>35</v>
      </c>
      <c r="Y147" s="69" t="str" cm="1">
        <f t="array" ref="Y147">_xlfn.LET(_xlpm.cls,P147, _xlpm.ord,IFERROR(Q147,"#N/C"), _xlpm.subord,IFERROR(R147,"#N/C"), _xlpm.infr,IFERROR(S147,"#N/C"), _xlpm.sf,IFERROR(T147,"#N/C"), _xlpm.fam,IFERROR(U147,"#N/C"), _xlpm.subfam,IF(TRIM(V147)="-","#N/C",IFERROR(V147,"#N/C")),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_xlpm.fallback,IF(IFERROR(Q147,"#N/C")="#N/C",P147,IF(IFERROR(R147,"#N/C")="#N/C",Q147,IF(IFERROR(S147,"#N/C")="#N/C",R147,IF(IFERROR(T147,"#N/C")="#N/C",S147,IF(IFERROR(U147,"#N/C")="#N/C",T147,IF(IFERROR(V147,"#N/C")="#N/C",U147,"#N/C")))))), _xlpm.finalResult,IF(OR(_xlpm.computedResult="",_xlpm.computedResult="#N/C"),_xlpm.fallback,_xlpm.computedResult), INDEX(_xlpm.finalResult,1))</f>
        <v>Gelechioidea</v>
      </c>
      <c r="Z147" s="116" t="str" cm="1">
        <f t="array" ref="Z147">IF(OR(Y147="Insecta",Y147="Arachnida",Y147="#N/C"),"",IFERROR(_xlfn.LET(_xlpm.fc,IFERROR(_xlfn._xlws.FILTER(ClassificationClasses[],ClassificationClasses[Classification Class]=Y147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147,ClassificationClasses[Key])),0),MATCH(Y147,INDEX(ClassificationClasses[],MATCH(TRUE,ISNUMBER(SEARCH(Y147,ClassificationClasses[Key])),0),0),0)-1)))</f>
        <v>Heterocera</v>
      </c>
      <c r="AA147" s="116" t="str" cm="1">
        <f t="array" ref="AA147">IFERROR(IF(OR(Z147="Insecta",Z147="Arachnida",Z147="#N/C"),"",INDEX(ClassificationClasses[[Class]:[Infraorder]],MATCH(TRUE,ISNUMBER(SEARCH(Z147,ClassificationClasses[Key])),0),MATCH(Z147,INDEX(ClassificationClasses[#Data], MATCH(TRUE,ISNUMBER(SEARCH(Z147,ClassificationClasses[Key])),0), 0), 0)-1)),"")</f>
        <v>Glossata</v>
      </c>
      <c r="AB147" s="116" t="str" cm="1">
        <f t="array" ref="AB147">IFERROR(IF(OR(AA147="Insecta",AA147="Arachnida",AA147="#N/C"),"",INDEX(ClassificationClasses[[Class]:[Suborder]],MATCH(TRUE,ISNUMBER(SEARCH(AA147,ClassificationClasses[Key])),0),MATCH(AA147,INDEX(ClassificationClasses[#Data], MATCH(TRUE,ISNUMBER(SEARCH(AA147,ClassificationClasses[Key])),0), 0), 0)-1)),"")</f>
        <v>Lepidoptera</v>
      </c>
      <c r="AC147" s="116" t="str" cm="1">
        <f t="array" ref="AC147">IFERROR(IF(OR(AB147="Insecta",AB147="Arachnida",AB147="#N/C"),"",INDEX(ClassificationClasses[[Class]:[Suborder]],MATCH(TRUE,ISNUMBER(SEARCH(AB147,ClassificationClasses[Key])),0),MATCH(AB147,INDEX(ClassificationClasses[#Data], MATCH(TRUE,ISNUMBER(SEARCH(AB147,ClassificationClasses[Key])),0), 0), 0)-1)),"")</f>
        <v>Insecta</v>
      </c>
      <c r="AD147" s="116" t="str" cm="1">
        <f t="array" ref="AD147">IFERROR(IF(OR(AC147="Insecta",AC147="Arachnida",AC147="#N/C"),"",INDEX(ClassificationClasses[[Class]:[Suborder]],MATCH(TRUE,ISNUMBER(SEARCH(AC147,ClassificationClasses[Key])),0),MATCH(AC147,INDEX(ClassificationClasses[#Data], MATCH(TRUE,ISNUMBER(SEARCH(AC147,ClassificationClasses[Key])),0), 0), 0)-1)),"")</f>
        <v/>
      </c>
      <c r="AE147" s="18" t="str">
        <f t="shared" si="6"/>
        <v>Insecta.Lepidoptera.Glossata.Heterocera.Gelechioidea.#N/C.#N/C.#N/C.#N/C</v>
      </c>
    </row>
    <row r="148" spans="1:31" x14ac:dyDescent="0.3">
      <c r="A148" s="91">
        <v>147</v>
      </c>
      <c r="B148" s="7">
        <v>44393</v>
      </c>
      <c r="C148" s="92" t="s">
        <v>301</v>
      </c>
      <c r="D148" s="93" t="str">
        <f>HYPERLINK(VLOOKUP(C148,Video_List!$F:$J,5),"video")</f>
        <v>video</v>
      </c>
      <c r="E148" s="94" t="str">
        <f>IFERROR(IF(MATCH(C148,Video_List!$F:$F,)&gt;0,"ok",""),"error")</f>
        <v>ok</v>
      </c>
      <c r="F148" s="92" t="s">
        <v>301</v>
      </c>
      <c r="G148" s="93" t="str">
        <f>HYPERLINK(VLOOKUP(F148,Video_List!$F:$J,5),"video")</f>
        <v>video</v>
      </c>
      <c r="H148" s="94" t="str">
        <f>IFERROR(IF(MATCH(F148,Video_List!$F:$F,)&gt;0,"ok",""),"error")</f>
        <v>ok</v>
      </c>
      <c r="I148" s="17">
        <v>44393.127488425926</v>
      </c>
      <c r="J148" s="8">
        <v>44393.127581018518</v>
      </c>
      <c r="K148" s="15">
        <f t="shared" si="5"/>
        <v>9.2592592409346253E-5</v>
      </c>
      <c r="L148" s="4" t="s">
        <v>32</v>
      </c>
      <c r="M148" s="4" t="s">
        <v>33</v>
      </c>
      <c r="N148" s="96" t="str">
        <f>IF(ISBLANK(C148),"",IF(C148=F148, "1 video",CONCATENATE((+COUNTIFS(Video_List!$C:$C,"&lt;=" &amp;Monitoring!J148)-COUNTIFS(Video_List!$C:$C,"&lt;=" &amp;Monitoring!I148))+1," videos")))</f>
        <v>1 video</v>
      </c>
      <c r="O148" s="27" t="s">
        <v>32</v>
      </c>
      <c r="P148" s="42" t="s">
        <v>37</v>
      </c>
      <c r="Q148" s="42" t="s">
        <v>56</v>
      </c>
      <c r="R148" s="42" t="s">
        <v>57</v>
      </c>
      <c r="S148" s="97" t="str">
        <f>+IFERROR(IF(T148="#N/C","#N/C",IF(U148=0,INDEX(Taxonomy_UniqueValues!D:D,MATCH(U148,Taxonomy_UniqueValues!F:F,0)),INDEX(Taxonomy_UniqueValues!D:D,MATCH(T148,Taxonomy_UniqueValues!E:E,0)))),"#N/C")</f>
        <v>Heterocera</v>
      </c>
      <c r="T148" s="42" t="s">
        <v>257</v>
      </c>
      <c r="U148" s="42" t="s">
        <v>300</v>
      </c>
      <c r="V148" s="42" t="s">
        <v>35</v>
      </c>
      <c r="W148" s="42" t="s">
        <v>35</v>
      </c>
      <c r="X148" s="28" t="s">
        <v>35</v>
      </c>
      <c r="Y148" s="69" t="str" cm="1">
        <f t="array" ref="Y148">_xlfn.LET(_xlpm.cls,P148, _xlpm.ord,IFERROR(Q148,"#N/C"), _xlpm.subord,IFERROR(R148,"#N/C"), _xlpm.infr,IFERROR(S148,"#N/C"), _xlpm.sf,IFERROR(T148,"#N/C"), _xlpm.fam,IFERROR(U148,"#N/C"), _xlpm.subfam,IF(TRIM(V148)="-","#N/C",IFERROR(V148,"#N/C")),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_xlpm.fallback,IF(IFERROR(Q148,"#N/C")="#N/C",P148,IF(IFERROR(R148,"#N/C")="#N/C",Q148,IF(IFERROR(S148,"#N/C")="#N/C",R148,IF(IFERROR(T148,"#N/C")="#N/C",S148,IF(IFERROR(U148,"#N/C")="#N/C",T148,IF(IFERROR(V148,"#N/C")="#N/C",U148,"#N/C")))))), _xlpm.finalResult,IF(OR(_xlpm.computedResult="",_xlpm.computedResult="#N/C"),_xlpm.fallback,_xlpm.computedResult), INDEX(_xlpm.finalResult,1))</f>
        <v>moth</v>
      </c>
      <c r="Z148" s="116" t="str" cm="1">
        <f t="array" ref="Z148">IF(OR(Y148="Insecta",Y148="Arachnida",Y148="#N/C"),"",IFERROR(_xlfn.LET(_xlpm.fc,IFERROR(_xlfn._xlws.FILTER(ClassificationClasses[],ClassificationClasses[Classification Class]=Y148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148,ClassificationClasses[Key])),0),MATCH(Y148,INDEX(ClassificationClasses[],MATCH(TRUE,ISNUMBER(SEARCH(Y148,ClassificationClasses[Key])),0),0),0)-1)))</f>
        <v>Heterocera</v>
      </c>
      <c r="AA148" s="116" t="str" cm="1">
        <f t="array" ref="AA148">IFERROR(IF(OR(Z148="Insecta",Z148="Arachnida",Z148="#N/C"),"",INDEX(ClassificationClasses[[Class]:[Infraorder]],MATCH(TRUE,ISNUMBER(SEARCH(Z148,ClassificationClasses[Key])),0),MATCH(Z148,INDEX(ClassificationClasses[#Data], MATCH(TRUE,ISNUMBER(SEARCH(Z148,ClassificationClasses[Key])),0), 0), 0)-1)),"")</f>
        <v>Glossata</v>
      </c>
      <c r="AB148" s="116" t="str" cm="1">
        <f t="array" ref="AB148">IFERROR(IF(OR(AA148="Insecta",AA148="Arachnida",AA148="#N/C"),"",INDEX(ClassificationClasses[[Class]:[Suborder]],MATCH(TRUE,ISNUMBER(SEARCH(AA148,ClassificationClasses[Key])),0),MATCH(AA148,INDEX(ClassificationClasses[#Data], MATCH(TRUE,ISNUMBER(SEARCH(AA148,ClassificationClasses[Key])),0), 0), 0)-1)),"")</f>
        <v>Lepidoptera</v>
      </c>
      <c r="AC148" s="116" t="str" cm="1">
        <f t="array" ref="AC148">IFERROR(IF(OR(AB148="Insecta",AB148="Arachnida",AB148="#N/C"),"",INDEX(ClassificationClasses[[Class]:[Suborder]],MATCH(TRUE,ISNUMBER(SEARCH(AB148,ClassificationClasses[Key])),0),MATCH(AB148,INDEX(ClassificationClasses[#Data], MATCH(TRUE,ISNUMBER(SEARCH(AB148,ClassificationClasses[Key])),0), 0), 0)-1)),"")</f>
        <v>Insecta</v>
      </c>
      <c r="AD148" s="116" t="str" cm="1">
        <f t="array" ref="AD148">IFERROR(IF(OR(AC148="Insecta",AC148="Arachnida",AC148="#N/C"),"",INDEX(ClassificationClasses[[Class]:[Suborder]],MATCH(TRUE,ISNUMBER(SEARCH(AC148,ClassificationClasses[Key])),0),MATCH(AC148,INDEX(ClassificationClasses[#Data], MATCH(TRUE,ISNUMBER(SEARCH(AC148,ClassificationClasses[Key])),0), 0), 0)-1)),"")</f>
        <v/>
      </c>
      <c r="AE148" s="18" t="str">
        <f t="shared" si="6"/>
        <v>Insecta.Lepidoptera.Glossata.Heterocera.Gelechioidea.Gelechiidae.#N/C.#N/C.#N/C</v>
      </c>
    </row>
    <row r="149" spans="1:31" x14ac:dyDescent="0.3">
      <c r="A149" s="91">
        <v>148</v>
      </c>
      <c r="B149" s="7">
        <v>44393</v>
      </c>
      <c r="C149" s="92" t="s">
        <v>302</v>
      </c>
      <c r="D149" s="93" t="str">
        <f>HYPERLINK(VLOOKUP(C149,Video_List!$F:$J,5),"video")</f>
        <v>video</v>
      </c>
      <c r="E149" s="94" t="str">
        <f>IFERROR(IF(MATCH(C149,Video_List!$F:$F,)&gt;0,"ok",""),"error")</f>
        <v>ok</v>
      </c>
      <c r="F149" s="92" t="s">
        <v>302</v>
      </c>
      <c r="G149" s="93" t="str">
        <f>HYPERLINK(VLOOKUP(F149,Video_List!$F:$J,5),"video")</f>
        <v>video</v>
      </c>
      <c r="H149" s="94" t="str">
        <f>IFERROR(IF(MATCH(F149,Video_List!$F:$F,)&gt;0,"ok",""),"error")</f>
        <v>ok</v>
      </c>
      <c r="I149" s="17">
        <v>44393.1330787037</v>
      </c>
      <c r="J149" s="8">
        <v>44393.133125</v>
      </c>
      <c r="K149" s="15">
        <f t="shared" si="5"/>
        <v>4.6296299842651933E-5</v>
      </c>
      <c r="L149" s="4" t="s">
        <v>32</v>
      </c>
      <c r="M149" s="4" t="s">
        <v>33</v>
      </c>
      <c r="N149" s="96" t="str">
        <f>IF(ISBLANK(C149),"",IF(C149=F149, "1 video",CONCATENATE((+COUNTIFS(Video_List!$C:$C,"&lt;=" &amp;Monitoring!J149)-COUNTIFS(Video_List!$C:$C,"&lt;=" &amp;Monitoring!I149))+1," videos")))</f>
        <v>1 video</v>
      </c>
      <c r="O149" s="29" t="s">
        <v>44</v>
      </c>
      <c r="P149" s="42" t="s">
        <v>37</v>
      </c>
      <c r="Q149" s="42" t="s">
        <v>56</v>
      </c>
      <c r="R149" s="42" t="s">
        <v>57</v>
      </c>
      <c r="S149" s="97" t="str">
        <f>+IFERROR(IF(T149="#N/C","#N/C",IF(U149=0,INDEX(Taxonomy_UniqueValues!D:D,MATCH(U149,Taxonomy_UniqueValues!F:F,0)),INDEX(Taxonomy_UniqueValues!D:D,MATCH(T149,Taxonomy_UniqueValues!E:E,0)))),"#N/C")</f>
        <v>Heterocera</v>
      </c>
      <c r="T149" s="42" t="s">
        <v>257</v>
      </c>
      <c r="U149" s="42" t="s">
        <v>35</v>
      </c>
      <c r="V149" s="42" t="s">
        <v>35</v>
      </c>
      <c r="W149" s="42" t="s">
        <v>35</v>
      </c>
      <c r="X149" s="28" t="s">
        <v>35</v>
      </c>
      <c r="Y149" s="69" t="str" cm="1">
        <f t="array" ref="Y149">_xlfn.LET(_xlpm.cls,P149, _xlpm.ord,IFERROR(Q149,"#N/C"), _xlpm.subord,IFERROR(R149,"#N/C"), _xlpm.infr,IFERROR(S149,"#N/C"), _xlpm.sf,IFERROR(T149,"#N/C"), _xlpm.fam,IFERROR(U149,"#N/C"), _xlpm.subfam,IF(TRIM(V149)="-","#N/C",IFERROR(V149,"#N/C")),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_xlpm.fallback,IF(IFERROR(Q149,"#N/C")="#N/C",P149,IF(IFERROR(R149,"#N/C")="#N/C",Q149,IF(IFERROR(S149,"#N/C")="#N/C",R149,IF(IFERROR(T149,"#N/C")="#N/C",S149,IF(IFERROR(U149,"#N/C")="#N/C",T149,IF(IFERROR(V149,"#N/C")="#N/C",U149,"#N/C")))))), _xlpm.finalResult,IF(OR(_xlpm.computedResult="",_xlpm.computedResult="#N/C"),_xlpm.fallback,_xlpm.computedResult), INDEX(_xlpm.finalResult,1))</f>
        <v>Gelechioidea</v>
      </c>
      <c r="Z149" s="116" t="str" cm="1">
        <f t="array" ref="Z149">IF(OR(Y149="Insecta",Y149="Arachnida",Y149="#N/C"),"",IFERROR(_xlfn.LET(_xlpm.fc,IFERROR(_xlfn._xlws.FILTER(ClassificationClasses[],ClassificationClasses[Classification Class]=Y149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149,ClassificationClasses[Key])),0),MATCH(Y149,INDEX(ClassificationClasses[],MATCH(TRUE,ISNUMBER(SEARCH(Y149,ClassificationClasses[Key])),0),0),0)-1)))</f>
        <v>Heterocera</v>
      </c>
      <c r="AA149" s="116" t="str" cm="1">
        <f t="array" ref="AA149">IFERROR(IF(OR(Z149="Insecta",Z149="Arachnida",Z149="#N/C"),"",INDEX(ClassificationClasses[[Class]:[Infraorder]],MATCH(TRUE,ISNUMBER(SEARCH(Z149,ClassificationClasses[Key])),0),MATCH(Z149,INDEX(ClassificationClasses[#Data], MATCH(TRUE,ISNUMBER(SEARCH(Z149,ClassificationClasses[Key])),0), 0), 0)-1)),"")</f>
        <v>Glossata</v>
      </c>
      <c r="AB149" s="116" t="str" cm="1">
        <f t="array" ref="AB149">IFERROR(IF(OR(AA149="Insecta",AA149="Arachnida",AA149="#N/C"),"",INDEX(ClassificationClasses[[Class]:[Suborder]],MATCH(TRUE,ISNUMBER(SEARCH(AA149,ClassificationClasses[Key])),0),MATCH(AA149,INDEX(ClassificationClasses[#Data], MATCH(TRUE,ISNUMBER(SEARCH(AA149,ClassificationClasses[Key])),0), 0), 0)-1)),"")</f>
        <v>Lepidoptera</v>
      </c>
      <c r="AC149" s="116" t="str" cm="1">
        <f t="array" ref="AC149">IFERROR(IF(OR(AB149="Insecta",AB149="Arachnida",AB149="#N/C"),"",INDEX(ClassificationClasses[[Class]:[Suborder]],MATCH(TRUE,ISNUMBER(SEARCH(AB149,ClassificationClasses[Key])),0),MATCH(AB149,INDEX(ClassificationClasses[#Data], MATCH(TRUE,ISNUMBER(SEARCH(AB149,ClassificationClasses[Key])),0), 0), 0)-1)),"")</f>
        <v>Insecta</v>
      </c>
      <c r="AD149" s="116" t="str" cm="1">
        <f t="array" ref="AD149">IFERROR(IF(OR(AC149="Insecta",AC149="Arachnida",AC149="#N/C"),"",INDEX(ClassificationClasses[[Class]:[Suborder]],MATCH(TRUE,ISNUMBER(SEARCH(AC149,ClassificationClasses[Key])),0),MATCH(AC149,INDEX(ClassificationClasses[#Data], MATCH(TRUE,ISNUMBER(SEARCH(AC149,ClassificationClasses[Key])),0), 0), 0)-1)),"")</f>
        <v/>
      </c>
      <c r="AE149" s="18" t="str">
        <f t="shared" si="6"/>
        <v>Insecta.Lepidoptera.Glossata.Heterocera.Gelechioidea.#N/C.#N/C.#N/C.#N/C</v>
      </c>
    </row>
    <row r="150" spans="1:31" x14ac:dyDescent="0.3">
      <c r="A150" s="91">
        <v>149</v>
      </c>
      <c r="B150" s="7">
        <v>44393</v>
      </c>
      <c r="C150" s="92" t="s">
        <v>303</v>
      </c>
      <c r="D150" s="93" t="str">
        <f>HYPERLINK(VLOOKUP(C150,Video_List!$F:$J,5),"video")</f>
        <v>video</v>
      </c>
      <c r="E150" s="94" t="str">
        <f>IFERROR(IF(MATCH(C150,Video_List!$F:$F,)&gt;0,"ok",""),"error")</f>
        <v>ok</v>
      </c>
      <c r="F150" s="92" t="s">
        <v>303</v>
      </c>
      <c r="G150" s="93" t="str">
        <f>HYPERLINK(VLOOKUP(F150,Video_List!$F:$J,5),"video")</f>
        <v>video</v>
      </c>
      <c r="H150" s="94" t="str">
        <f>IFERROR(IF(MATCH(F150,Video_List!$F:$F,)&gt;0,"ok",""),"error")</f>
        <v>ok</v>
      </c>
      <c r="I150" s="17">
        <v>44393.136747685188</v>
      </c>
      <c r="J150" s="8">
        <v>44393.136805555558</v>
      </c>
      <c r="K150" s="15">
        <f t="shared" si="5"/>
        <v>5.7870369346346706E-5</v>
      </c>
      <c r="L150" s="4" t="s">
        <v>32</v>
      </c>
      <c r="M150" s="4" t="s">
        <v>33</v>
      </c>
      <c r="N150" s="96" t="str">
        <f>IF(ISBLANK(C150),"",IF(C150=F150, "1 video",CONCATENATE((+COUNTIFS(Video_List!$C:$C,"&lt;=" &amp;Monitoring!J150)-COUNTIFS(Video_List!$C:$C,"&lt;=" &amp;Monitoring!I150))+1," videos")))</f>
        <v>1 video</v>
      </c>
      <c r="O150" s="29" t="s">
        <v>44</v>
      </c>
      <c r="P150" s="42" t="s">
        <v>37</v>
      </c>
      <c r="Q150" s="42" t="s">
        <v>56</v>
      </c>
      <c r="R150" s="42" t="s">
        <v>57</v>
      </c>
      <c r="S150" s="97" t="str">
        <f>+IFERROR(IF(T150="#N/C","#N/C",IF(U150=0,INDEX(Taxonomy_UniqueValues!D:D,MATCH(U150,Taxonomy_UniqueValues!F:F,0)),INDEX(Taxonomy_UniqueValues!D:D,MATCH(T150,Taxonomy_UniqueValues!E:E,0)))),"#N/C")</f>
        <v>Heterocera</v>
      </c>
      <c r="T150" s="42" t="s">
        <v>257</v>
      </c>
      <c r="U150" s="42" t="s">
        <v>35</v>
      </c>
      <c r="V150" s="42" t="s">
        <v>35</v>
      </c>
      <c r="W150" s="42" t="s">
        <v>35</v>
      </c>
      <c r="X150" s="28" t="s">
        <v>35</v>
      </c>
      <c r="Y150" s="69" t="str" cm="1">
        <f t="array" ref="Y150">_xlfn.LET(_xlpm.cls,P150, _xlpm.ord,IFERROR(Q150,"#N/C"), _xlpm.subord,IFERROR(R150,"#N/C"), _xlpm.infr,IFERROR(S150,"#N/C"), _xlpm.sf,IFERROR(T150,"#N/C"), _xlpm.fam,IFERROR(U150,"#N/C"), _xlpm.subfam,IF(TRIM(V150)="-","#N/C",IFERROR(V150,"#N/C")),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_xlpm.fallback,IF(IFERROR(Q150,"#N/C")="#N/C",P150,IF(IFERROR(R150,"#N/C")="#N/C",Q150,IF(IFERROR(S150,"#N/C")="#N/C",R150,IF(IFERROR(T150,"#N/C")="#N/C",S150,IF(IFERROR(U150,"#N/C")="#N/C",T150,IF(IFERROR(V150,"#N/C")="#N/C",U150,"#N/C")))))), _xlpm.finalResult,IF(OR(_xlpm.computedResult="",_xlpm.computedResult="#N/C"),_xlpm.fallback,_xlpm.computedResult), INDEX(_xlpm.finalResult,1))</f>
        <v>Gelechioidea</v>
      </c>
      <c r="Z150" s="116" t="str" cm="1">
        <f t="array" ref="Z150">IF(OR(Y150="Insecta",Y150="Arachnida",Y150="#N/C"),"",IFERROR(_xlfn.LET(_xlpm.fc,IFERROR(_xlfn._xlws.FILTER(ClassificationClasses[],ClassificationClasses[Classification Class]=Y150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150,ClassificationClasses[Key])),0),MATCH(Y150,INDEX(ClassificationClasses[],MATCH(TRUE,ISNUMBER(SEARCH(Y150,ClassificationClasses[Key])),0),0),0)-1)))</f>
        <v>Heterocera</v>
      </c>
      <c r="AA150" s="116" t="str" cm="1">
        <f t="array" ref="AA150">IFERROR(IF(OR(Z150="Insecta",Z150="Arachnida",Z150="#N/C"),"",INDEX(ClassificationClasses[[Class]:[Infraorder]],MATCH(TRUE,ISNUMBER(SEARCH(Z150,ClassificationClasses[Key])),0),MATCH(Z150,INDEX(ClassificationClasses[#Data], MATCH(TRUE,ISNUMBER(SEARCH(Z150,ClassificationClasses[Key])),0), 0), 0)-1)),"")</f>
        <v>Glossata</v>
      </c>
      <c r="AB150" s="116" t="str" cm="1">
        <f t="array" ref="AB150">IFERROR(IF(OR(AA150="Insecta",AA150="Arachnida",AA150="#N/C"),"",INDEX(ClassificationClasses[[Class]:[Suborder]],MATCH(TRUE,ISNUMBER(SEARCH(AA150,ClassificationClasses[Key])),0),MATCH(AA150,INDEX(ClassificationClasses[#Data], MATCH(TRUE,ISNUMBER(SEARCH(AA150,ClassificationClasses[Key])),0), 0), 0)-1)),"")</f>
        <v>Lepidoptera</v>
      </c>
      <c r="AC150" s="116" t="str" cm="1">
        <f t="array" ref="AC150">IFERROR(IF(OR(AB150="Insecta",AB150="Arachnida",AB150="#N/C"),"",INDEX(ClassificationClasses[[Class]:[Suborder]],MATCH(TRUE,ISNUMBER(SEARCH(AB150,ClassificationClasses[Key])),0),MATCH(AB150,INDEX(ClassificationClasses[#Data], MATCH(TRUE,ISNUMBER(SEARCH(AB150,ClassificationClasses[Key])),0), 0), 0)-1)),"")</f>
        <v>Insecta</v>
      </c>
      <c r="AD150" s="116" t="str" cm="1">
        <f t="array" ref="AD150">IFERROR(IF(OR(AC150="Insecta",AC150="Arachnida",AC150="#N/C"),"",INDEX(ClassificationClasses[[Class]:[Suborder]],MATCH(TRUE,ISNUMBER(SEARCH(AC150,ClassificationClasses[Key])),0),MATCH(AC150,INDEX(ClassificationClasses[#Data], MATCH(TRUE,ISNUMBER(SEARCH(AC150,ClassificationClasses[Key])),0), 0), 0)-1)),"")</f>
        <v/>
      </c>
      <c r="AE150" s="18" t="str">
        <f t="shared" si="6"/>
        <v>Insecta.Lepidoptera.Glossata.Heterocera.Gelechioidea.#N/C.#N/C.#N/C.#N/C</v>
      </c>
    </row>
    <row r="151" spans="1:31" x14ac:dyDescent="0.3">
      <c r="A151" s="91">
        <v>150</v>
      </c>
      <c r="B151" s="7">
        <v>44393</v>
      </c>
      <c r="C151" s="92" t="s">
        <v>304</v>
      </c>
      <c r="D151" s="93" t="str">
        <f>HYPERLINK(VLOOKUP(C151,Video_List!$F:$J,5),"video")</f>
        <v>video</v>
      </c>
      <c r="E151" s="94" t="str">
        <f>IFERROR(IF(MATCH(C151,Video_List!$F:$F,)&gt;0,"ok",""),"error")</f>
        <v>ok</v>
      </c>
      <c r="F151" s="92" t="s">
        <v>304</v>
      </c>
      <c r="G151" s="93" t="str">
        <f>HYPERLINK(VLOOKUP(F151,Video_List!$F:$J,5),"video")</f>
        <v>video</v>
      </c>
      <c r="H151" s="94" t="str">
        <f>IFERROR(IF(MATCH(F151,Video_List!$F:$F,)&gt;0,"ok",""),"error")</f>
        <v>ok</v>
      </c>
      <c r="I151" s="17">
        <v>44393.137326388889</v>
      </c>
      <c r="J151" s="8">
        <v>44393.137384259258</v>
      </c>
      <c r="K151" s="15">
        <f t="shared" si="5"/>
        <v>5.7870369346346706E-5</v>
      </c>
      <c r="L151" s="4" t="s">
        <v>32</v>
      </c>
      <c r="M151" s="4" t="s">
        <v>33</v>
      </c>
      <c r="N151" s="96" t="str">
        <f>IF(ISBLANK(C151),"",IF(C151=F151, "1 video",CONCATENATE((+COUNTIFS(Video_List!$C:$C,"&lt;=" &amp;Monitoring!J151)-COUNTIFS(Video_List!$C:$C,"&lt;=" &amp;Monitoring!I151))+1," videos")))</f>
        <v>1 video</v>
      </c>
      <c r="O151" s="29" t="s">
        <v>44</v>
      </c>
      <c r="P151" s="42" t="s">
        <v>37</v>
      </c>
      <c r="Q151" s="42" t="s">
        <v>56</v>
      </c>
      <c r="R151" s="42" t="s">
        <v>57</v>
      </c>
      <c r="S151" s="97" t="str">
        <f>+IFERROR(IF(T151="#N/C","#N/C",IF(U151=0,INDEX(Taxonomy_UniqueValues!D:D,MATCH(U151,Taxonomy_UniqueValues!F:F,0)),INDEX(Taxonomy_UniqueValues!D:D,MATCH(T151,Taxonomy_UniqueValues!E:E,0)))),"#N/C")</f>
        <v>Heterocera</v>
      </c>
      <c r="T151" s="42" t="s">
        <v>257</v>
      </c>
      <c r="U151" s="42" t="s">
        <v>300</v>
      </c>
      <c r="V151" s="42" t="s">
        <v>35</v>
      </c>
      <c r="W151" s="42" t="s">
        <v>35</v>
      </c>
      <c r="X151" s="28" t="s">
        <v>35</v>
      </c>
      <c r="Y151" s="69" t="str" cm="1">
        <f t="array" ref="Y151">_xlfn.LET(_xlpm.cls,P151, _xlpm.ord,IFERROR(Q151,"#N/C"), _xlpm.subord,IFERROR(R151,"#N/C"), _xlpm.infr,IFERROR(S151,"#N/C"), _xlpm.sf,IFERROR(T151,"#N/C"), _xlpm.fam,IFERROR(U151,"#N/C"), _xlpm.subfam,IF(TRIM(V151)="-","#N/C",IFERROR(V151,"#N/C")),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_xlpm.fallback,IF(IFERROR(Q151,"#N/C")="#N/C",P151,IF(IFERROR(R151,"#N/C")="#N/C",Q151,IF(IFERROR(S151,"#N/C")="#N/C",R151,IF(IFERROR(T151,"#N/C")="#N/C",S151,IF(IFERROR(U151,"#N/C")="#N/C",T151,IF(IFERROR(V151,"#N/C")="#N/C",U151,"#N/C")))))), _xlpm.finalResult,IF(OR(_xlpm.computedResult="",_xlpm.computedResult="#N/C"),_xlpm.fallback,_xlpm.computedResult), INDEX(_xlpm.finalResult,1))</f>
        <v>moth</v>
      </c>
      <c r="Z151" s="116" t="str" cm="1">
        <f t="array" ref="Z151">IF(OR(Y151="Insecta",Y151="Arachnida",Y151="#N/C"),"",IFERROR(_xlfn.LET(_xlpm.fc,IFERROR(_xlfn._xlws.FILTER(ClassificationClasses[],ClassificationClasses[Classification Class]=Y151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151,ClassificationClasses[Key])),0),MATCH(Y151,INDEX(ClassificationClasses[],MATCH(TRUE,ISNUMBER(SEARCH(Y151,ClassificationClasses[Key])),0),0),0)-1)))</f>
        <v>Heterocera</v>
      </c>
      <c r="AA151" s="116" t="str" cm="1">
        <f t="array" ref="AA151">IFERROR(IF(OR(Z151="Insecta",Z151="Arachnida",Z151="#N/C"),"",INDEX(ClassificationClasses[[Class]:[Infraorder]],MATCH(TRUE,ISNUMBER(SEARCH(Z151,ClassificationClasses[Key])),0),MATCH(Z151,INDEX(ClassificationClasses[#Data], MATCH(TRUE,ISNUMBER(SEARCH(Z151,ClassificationClasses[Key])),0), 0), 0)-1)),"")</f>
        <v>Glossata</v>
      </c>
      <c r="AB151" s="116" t="str" cm="1">
        <f t="array" ref="AB151">IFERROR(IF(OR(AA151="Insecta",AA151="Arachnida",AA151="#N/C"),"",INDEX(ClassificationClasses[[Class]:[Suborder]],MATCH(TRUE,ISNUMBER(SEARCH(AA151,ClassificationClasses[Key])),0),MATCH(AA151,INDEX(ClassificationClasses[#Data], MATCH(TRUE,ISNUMBER(SEARCH(AA151,ClassificationClasses[Key])),0), 0), 0)-1)),"")</f>
        <v>Lepidoptera</v>
      </c>
      <c r="AC151" s="116" t="str" cm="1">
        <f t="array" ref="AC151">IFERROR(IF(OR(AB151="Insecta",AB151="Arachnida",AB151="#N/C"),"",INDEX(ClassificationClasses[[Class]:[Suborder]],MATCH(TRUE,ISNUMBER(SEARCH(AB151,ClassificationClasses[Key])),0),MATCH(AB151,INDEX(ClassificationClasses[#Data], MATCH(TRUE,ISNUMBER(SEARCH(AB151,ClassificationClasses[Key])),0), 0), 0)-1)),"")</f>
        <v>Insecta</v>
      </c>
      <c r="AD151" s="116" t="str" cm="1">
        <f t="array" ref="AD151">IFERROR(IF(OR(AC151="Insecta",AC151="Arachnida",AC151="#N/C"),"",INDEX(ClassificationClasses[[Class]:[Suborder]],MATCH(TRUE,ISNUMBER(SEARCH(AC151,ClassificationClasses[Key])),0),MATCH(AC151,INDEX(ClassificationClasses[#Data], MATCH(TRUE,ISNUMBER(SEARCH(AC151,ClassificationClasses[Key])),0), 0), 0)-1)),"")</f>
        <v/>
      </c>
      <c r="AE151" s="18" t="str">
        <f t="shared" si="6"/>
        <v>Insecta.Lepidoptera.Glossata.Heterocera.Gelechioidea.Gelechiidae.#N/C.#N/C.#N/C</v>
      </c>
    </row>
    <row r="152" spans="1:31" x14ac:dyDescent="0.3">
      <c r="A152" s="91">
        <v>151</v>
      </c>
      <c r="B152" s="7">
        <v>44393</v>
      </c>
      <c r="C152" s="92" t="s">
        <v>305</v>
      </c>
      <c r="D152" s="93" t="str">
        <f>HYPERLINK(VLOOKUP(C152,Video_List!$F:$J,5),"video")</f>
        <v>video</v>
      </c>
      <c r="E152" s="94" t="str">
        <f>IFERROR(IF(MATCH(C152,Video_List!$F:$F,)&gt;0,"ok",""),"error")</f>
        <v>ok</v>
      </c>
      <c r="F152" s="92" t="s">
        <v>305</v>
      </c>
      <c r="G152" s="93" t="str">
        <f>HYPERLINK(VLOOKUP(F152,Video_List!$F:$J,5),"video")</f>
        <v>video</v>
      </c>
      <c r="H152" s="94" t="str">
        <f>IFERROR(IF(MATCH(F152,Video_List!$F:$F,)&gt;0,"ok",""),"error")</f>
        <v>ok</v>
      </c>
      <c r="I152" s="17">
        <v>44393.13789351852</v>
      </c>
      <c r="J152" s="8">
        <v>44393.13795138889</v>
      </c>
      <c r="K152" s="15">
        <f t="shared" si="5"/>
        <v>5.7870369346346706E-5</v>
      </c>
      <c r="L152" s="4" t="s">
        <v>32</v>
      </c>
      <c r="M152" s="4" t="s">
        <v>33</v>
      </c>
      <c r="N152" s="96" t="str">
        <f>IF(ISBLANK(C152),"",IF(C152=F152, "1 video",CONCATENATE((+COUNTIFS(Video_List!$C:$C,"&lt;=" &amp;Monitoring!J152)-COUNTIFS(Video_List!$C:$C,"&lt;=" &amp;Monitoring!I152))+1," videos")))</f>
        <v>1 video</v>
      </c>
      <c r="O152" s="29" t="s">
        <v>44</v>
      </c>
      <c r="P152" s="42" t="s">
        <v>37</v>
      </c>
      <c r="Q152" s="42" t="s">
        <v>56</v>
      </c>
      <c r="R152" s="42" t="s">
        <v>57</v>
      </c>
      <c r="S152" s="97" t="str">
        <f>+IFERROR(IF(T152="#N/C","#N/C",IF(U152=0,INDEX(Taxonomy_UniqueValues!D:D,MATCH(U152,Taxonomy_UniqueValues!F:F,0)),INDEX(Taxonomy_UniqueValues!D:D,MATCH(T152,Taxonomy_UniqueValues!E:E,0)))),"#N/C")</f>
        <v>Heterocera</v>
      </c>
      <c r="T152" s="42" t="s">
        <v>257</v>
      </c>
      <c r="U152" s="42" t="s">
        <v>300</v>
      </c>
      <c r="V152" s="42" t="s">
        <v>35</v>
      </c>
      <c r="W152" s="42" t="s">
        <v>35</v>
      </c>
      <c r="X152" s="28" t="s">
        <v>35</v>
      </c>
      <c r="Y152" s="69" t="str" cm="1">
        <f t="array" ref="Y152">_xlfn.LET(_xlpm.cls,P152, _xlpm.ord,IFERROR(Q152,"#N/C"), _xlpm.subord,IFERROR(R152,"#N/C"), _xlpm.infr,IFERROR(S152,"#N/C"), _xlpm.sf,IFERROR(T152,"#N/C"), _xlpm.fam,IFERROR(U152,"#N/C"), _xlpm.subfam,IF(TRIM(V152)="-","#N/C",IFERROR(V152,"#N/C")),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_xlpm.fallback,IF(IFERROR(Q152,"#N/C")="#N/C",P152,IF(IFERROR(R152,"#N/C")="#N/C",Q152,IF(IFERROR(S152,"#N/C")="#N/C",R152,IF(IFERROR(T152,"#N/C")="#N/C",S152,IF(IFERROR(U152,"#N/C")="#N/C",T152,IF(IFERROR(V152,"#N/C")="#N/C",U152,"#N/C")))))), _xlpm.finalResult,IF(OR(_xlpm.computedResult="",_xlpm.computedResult="#N/C"),_xlpm.fallback,_xlpm.computedResult), INDEX(_xlpm.finalResult,1))</f>
        <v>moth</v>
      </c>
      <c r="Z152" s="116" t="str" cm="1">
        <f t="array" ref="Z152">IF(OR(Y152="Insecta",Y152="Arachnida",Y152="#N/C"),"",IFERROR(_xlfn.LET(_xlpm.fc,IFERROR(_xlfn._xlws.FILTER(ClassificationClasses[],ClassificationClasses[Classification Class]=Y152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152,ClassificationClasses[Key])),0),MATCH(Y152,INDEX(ClassificationClasses[],MATCH(TRUE,ISNUMBER(SEARCH(Y152,ClassificationClasses[Key])),0),0),0)-1)))</f>
        <v>Heterocera</v>
      </c>
      <c r="AA152" s="116" t="str" cm="1">
        <f t="array" ref="AA152">IFERROR(IF(OR(Z152="Insecta",Z152="Arachnida",Z152="#N/C"),"",INDEX(ClassificationClasses[[Class]:[Infraorder]],MATCH(TRUE,ISNUMBER(SEARCH(Z152,ClassificationClasses[Key])),0),MATCH(Z152,INDEX(ClassificationClasses[#Data], MATCH(TRUE,ISNUMBER(SEARCH(Z152,ClassificationClasses[Key])),0), 0), 0)-1)),"")</f>
        <v>Glossata</v>
      </c>
      <c r="AB152" s="116" t="str" cm="1">
        <f t="array" ref="AB152">IFERROR(IF(OR(AA152="Insecta",AA152="Arachnida",AA152="#N/C"),"",INDEX(ClassificationClasses[[Class]:[Suborder]],MATCH(TRUE,ISNUMBER(SEARCH(AA152,ClassificationClasses[Key])),0),MATCH(AA152,INDEX(ClassificationClasses[#Data], MATCH(TRUE,ISNUMBER(SEARCH(AA152,ClassificationClasses[Key])),0), 0), 0)-1)),"")</f>
        <v>Lepidoptera</v>
      </c>
      <c r="AC152" s="116" t="str" cm="1">
        <f t="array" ref="AC152">IFERROR(IF(OR(AB152="Insecta",AB152="Arachnida",AB152="#N/C"),"",INDEX(ClassificationClasses[[Class]:[Suborder]],MATCH(TRUE,ISNUMBER(SEARCH(AB152,ClassificationClasses[Key])),0),MATCH(AB152,INDEX(ClassificationClasses[#Data], MATCH(TRUE,ISNUMBER(SEARCH(AB152,ClassificationClasses[Key])),0), 0), 0)-1)),"")</f>
        <v>Insecta</v>
      </c>
      <c r="AD152" s="116" t="str" cm="1">
        <f t="array" ref="AD152">IFERROR(IF(OR(AC152="Insecta",AC152="Arachnida",AC152="#N/C"),"",INDEX(ClassificationClasses[[Class]:[Suborder]],MATCH(TRUE,ISNUMBER(SEARCH(AC152,ClassificationClasses[Key])),0),MATCH(AC152,INDEX(ClassificationClasses[#Data], MATCH(TRUE,ISNUMBER(SEARCH(AC152,ClassificationClasses[Key])),0), 0), 0)-1)),"")</f>
        <v/>
      </c>
      <c r="AE152" s="18" t="str">
        <f t="shared" si="6"/>
        <v>Insecta.Lepidoptera.Glossata.Heterocera.Gelechioidea.Gelechiidae.#N/C.#N/C.#N/C</v>
      </c>
    </row>
    <row r="153" spans="1:31" x14ac:dyDescent="0.3">
      <c r="A153" s="91">
        <v>152</v>
      </c>
      <c r="B153" s="7">
        <v>44393</v>
      </c>
      <c r="C153" s="92" t="s">
        <v>305</v>
      </c>
      <c r="D153" s="93" t="str">
        <f>HYPERLINK(VLOOKUP(C153,Video_List!$F:$J,5),"video")</f>
        <v>video</v>
      </c>
      <c r="E153" s="94" t="str">
        <f>IFERROR(IF(MATCH(C153,Video_List!$F:$F,)&gt;0,"ok",""),"error")</f>
        <v>ok</v>
      </c>
      <c r="F153" s="92" t="s">
        <v>305</v>
      </c>
      <c r="G153" s="93" t="str">
        <f>HYPERLINK(VLOOKUP(F153,Video_List!$F:$J,5),"video")</f>
        <v>video</v>
      </c>
      <c r="H153" s="94" t="str">
        <f>IFERROR(IF(MATCH(F153,Video_List!$F:$F,)&gt;0,"ok",""),"error")</f>
        <v>ok</v>
      </c>
      <c r="I153" s="17">
        <v>44393.138113425928</v>
      </c>
      <c r="J153" s="8">
        <v>44393.138182870367</v>
      </c>
      <c r="K153" s="15">
        <f t="shared" si="5"/>
        <v>6.9444438850041479E-5</v>
      </c>
      <c r="L153" s="4" t="s">
        <v>32</v>
      </c>
      <c r="M153" s="4" t="s">
        <v>33</v>
      </c>
      <c r="N153" s="96" t="str">
        <f>IF(ISBLANK(C153),"",IF(C153=F153, "1 video",CONCATENATE((+COUNTIFS(Video_List!$C:$C,"&lt;=" &amp;Monitoring!J153)-COUNTIFS(Video_List!$C:$C,"&lt;=" &amp;Monitoring!I153))+1," videos")))</f>
        <v>1 video</v>
      </c>
      <c r="O153" s="29" t="s">
        <v>44</v>
      </c>
      <c r="P153" s="42" t="s">
        <v>37</v>
      </c>
      <c r="Q153" s="42" t="s">
        <v>56</v>
      </c>
      <c r="R153" s="42" t="s">
        <v>57</v>
      </c>
      <c r="S153" s="97" t="str">
        <f>+IFERROR(IF(T153="#N/C","#N/C",IF(U153=0,INDEX(Taxonomy_UniqueValues!D:D,MATCH(U153,Taxonomy_UniqueValues!F:F,0)),INDEX(Taxonomy_UniqueValues!D:D,MATCH(T153,Taxonomy_UniqueValues!E:E,0)))),"#N/C")</f>
        <v>Heterocera</v>
      </c>
      <c r="T153" s="42" t="s">
        <v>257</v>
      </c>
      <c r="U153" s="42" t="s">
        <v>300</v>
      </c>
      <c r="V153" s="42" t="s">
        <v>35</v>
      </c>
      <c r="W153" s="42" t="s">
        <v>35</v>
      </c>
      <c r="X153" s="28" t="s">
        <v>35</v>
      </c>
      <c r="Y153" s="69" t="str" cm="1">
        <f t="array" ref="Y153">_xlfn.LET(_xlpm.cls,P153, _xlpm.ord,IFERROR(Q153,"#N/C"), _xlpm.subord,IFERROR(R153,"#N/C"), _xlpm.infr,IFERROR(S153,"#N/C"), _xlpm.sf,IFERROR(T153,"#N/C"), _xlpm.fam,IFERROR(U153,"#N/C"), _xlpm.subfam,IF(TRIM(V153)="-","#N/C",IFERROR(V153,"#N/C")),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_xlpm.fallback,IF(IFERROR(Q153,"#N/C")="#N/C",P153,IF(IFERROR(R153,"#N/C")="#N/C",Q153,IF(IFERROR(S153,"#N/C")="#N/C",R153,IF(IFERROR(T153,"#N/C")="#N/C",S153,IF(IFERROR(U153,"#N/C")="#N/C",T153,IF(IFERROR(V153,"#N/C")="#N/C",U153,"#N/C")))))), _xlpm.finalResult,IF(OR(_xlpm.computedResult="",_xlpm.computedResult="#N/C"),_xlpm.fallback,_xlpm.computedResult), INDEX(_xlpm.finalResult,1))</f>
        <v>moth</v>
      </c>
      <c r="Z153" s="116" t="str" cm="1">
        <f t="array" ref="Z153">IF(OR(Y153="Insecta",Y153="Arachnida",Y153="#N/C"),"",IFERROR(_xlfn.LET(_xlpm.fc,IFERROR(_xlfn._xlws.FILTER(ClassificationClasses[],ClassificationClasses[Classification Class]=Y153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153,ClassificationClasses[Key])),0),MATCH(Y153,INDEX(ClassificationClasses[],MATCH(TRUE,ISNUMBER(SEARCH(Y153,ClassificationClasses[Key])),0),0),0)-1)))</f>
        <v>Heterocera</v>
      </c>
      <c r="AA153" s="116" t="str" cm="1">
        <f t="array" ref="AA153">IFERROR(IF(OR(Z153="Insecta",Z153="Arachnida",Z153="#N/C"),"",INDEX(ClassificationClasses[[Class]:[Infraorder]],MATCH(TRUE,ISNUMBER(SEARCH(Z153,ClassificationClasses[Key])),0),MATCH(Z153,INDEX(ClassificationClasses[#Data], MATCH(TRUE,ISNUMBER(SEARCH(Z153,ClassificationClasses[Key])),0), 0), 0)-1)),"")</f>
        <v>Glossata</v>
      </c>
      <c r="AB153" s="116" t="str" cm="1">
        <f t="array" ref="AB153">IFERROR(IF(OR(AA153="Insecta",AA153="Arachnida",AA153="#N/C"),"",INDEX(ClassificationClasses[[Class]:[Suborder]],MATCH(TRUE,ISNUMBER(SEARCH(AA153,ClassificationClasses[Key])),0),MATCH(AA153,INDEX(ClassificationClasses[#Data], MATCH(TRUE,ISNUMBER(SEARCH(AA153,ClassificationClasses[Key])),0), 0), 0)-1)),"")</f>
        <v>Lepidoptera</v>
      </c>
      <c r="AC153" s="116" t="str" cm="1">
        <f t="array" ref="AC153">IFERROR(IF(OR(AB153="Insecta",AB153="Arachnida",AB153="#N/C"),"",INDEX(ClassificationClasses[[Class]:[Suborder]],MATCH(TRUE,ISNUMBER(SEARCH(AB153,ClassificationClasses[Key])),0),MATCH(AB153,INDEX(ClassificationClasses[#Data], MATCH(TRUE,ISNUMBER(SEARCH(AB153,ClassificationClasses[Key])),0), 0), 0)-1)),"")</f>
        <v>Insecta</v>
      </c>
      <c r="AD153" s="116" t="str" cm="1">
        <f t="array" ref="AD153">IFERROR(IF(OR(AC153="Insecta",AC153="Arachnida",AC153="#N/C"),"",INDEX(ClassificationClasses[[Class]:[Suborder]],MATCH(TRUE,ISNUMBER(SEARCH(AC153,ClassificationClasses[Key])),0),MATCH(AC153,INDEX(ClassificationClasses[#Data], MATCH(TRUE,ISNUMBER(SEARCH(AC153,ClassificationClasses[Key])),0), 0), 0)-1)),"")</f>
        <v/>
      </c>
      <c r="AE153" s="18" t="str">
        <f t="shared" si="6"/>
        <v>Insecta.Lepidoptera.Glossata.Heterocera.Gelechioidea.Gelechiidae.#N/C.#N/C.#N/C</v>
      </c>
    </row>
    <row r="154" spans="1:31" x14ac:dyDescent="0.3">
      <c r="A154" s="91">
        <v>153</v>
      </c>
      <c r="B154" s="7">
        <v>44393</v>
      </c>
      <c r="C154" s="92" t="s">
        <v>305</v>
      </c>
      <c r="D154" s="93" t="str">
        <f>HYPERLINK(VLOOKUP(C154,Video_List!$F:$J,5),"video")</f>
        <v>video</v>
      </c>
      <c r="E154" s="94" t="str">
        <f>IFERROR(IF(MATCH(C154,Video_List!$F:$F,)&gt;0,"ok",""),"error")</f>
        <v>ok</v>
      </c>
      <c r="F154" s="92" t="s">
        <v>305</v>
      </c>
      <c r="G154" s="93" t="str">
        <f>HYPERLINK(VLOOKUP(F154,Video_List!$F:$J,5),"video")</f>
        <v>video</v>
      </c>
      <c r="H154" s="94" t="str">
        <f>IFERROR(IF(MATCH(F154,Video_List!$F:$F,)&gt;0,"ok",""),"error")</f>
        <v>ok</v>
      </c>
      <c r="I154" s="17">
        <v>44393.138171296298</v>
      </c>
      <c r="J154" s="8">
        <v>44393.138229166667</v>
      </c>
      <c r="K154" s="15">
        <f t="shared" si="5"/>
        <v>5.7870369346346706E-5</v>
      </c>
      <c r="L154" s="4" t="s">
        <v>32</v>
      </c>
      <c r="M154" s="4" t="s">
        <v>33</v>
      </c>
      <c r="N154" s="96" t="str">
        <f>IF(ISBLANK(C154),"",IF(C154=F154, "1 video",CONCATENATE((+COUNTIFS(Video_List!$C:$C,"&lt;=" &amp;Monitoring!J154)-COUNTIFS(Video_List!$C:$C,"&lt;=" &amp;Monitoring!I154))+1," videos")))</f>
        <v>1 video</v>
      </c>
      <c r="O154" s="29" t="s">
        <v>44</v>
      </c>
      <c r="P154" s="42" t="s">
        <v>37</v>
      </c>
      <c r="Q154" s="42" t="s">
        <v>56</v>
      </c>
      <c r="R154" s="42" t="s">
        <v>57</v>
      </c>
      <c r="S154" s="97" t="str">
        <f>+IFERROR(IF(T154="#N/C","#N/C",IF(U154=0,INDEX(Taxonomy_UniqueValues!D:D,MATCH(U154,Taxonomy_UniqueValues!F:F,0)),INDEX(Taxonomy_UniqueValues!D:D,MATCH(T154,Taxonomy_UniqueValues!E:E,0)))),"#N/C")</f>
        <v>Heterocera</v>
      </c>
      <c r="T154" s="42" t="s">
        <v>257</v>
      </c>
      <c r="U154" s="42" t="s">
        <v>300</v>
      </c>
      <c r="V154" s="42" t="s">
        <v>35</v>
      </c>
      <c r="W154" s="42" t="s">
        <v>35</v>
      </c>
      <c r="X154" s="28" t="s">
        <v>35</v>
      </c>
      <c r="Y154" s="69" t="str" cm="1">
        <f t="array" ref="Y154">_xlfn.LET(_xlpm.cls,P154, _xlpm.ord,IFERROR(Q154,"#N/C"), _xlpm.subord,IFERROR(R154,"#N/C"), _xlpm.infr,IFERROR(S154,"#N/C"), _xlpm.sf,IFERROR(T154,"#N/C"), _xlpm.fam,IFERROR(U154,"#N/C"), _xlpm.subfam,IF(TRIM(V154)="-","#N/C",IFERROR(V154,"#N/C")),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_xlpm.fallback,IF(IFERROR(Q154,"#N/C")="#N/C",P154,IF(IFERROR(R154,"#N/C")="#N/C",Q154,IF(IFERROR(S154,"#N/C")="#N/C",R154,IF(IFERROR(T154,"#N/C")="#N/C",S154,IF(IFERROR(U154,"#N/C")="#N/C",T154,IF(IFERROR(V154,"#N/C")="#N/C",U154,"#N/C")))))), _xlpm.finalResult,IF(OR(_xlpm.computedResult="",_xlpm.computedResult="#N/C"),_xlpm.fallback,_xlpm.computedResult), INDEX(_xlpm.finalResult,1))</f>
        <v>moth</v>
      </c>
      <c r="Z154" s="116" t="str" cm="1">
        <f t="array" ref="Z154">IF(OR(Y154="Insecta",Y154="Arachnida",Y154="#N/C"),"",IFERROR(_xlfn.LET(_xlpm.fc,IFERROR(_xlfn._xlws.FILTER(ClassificationClasses[],ClassificationClasses[Classification Class]=Y154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154,ClassificationClasses[Key])),0),MATCH(Y154,INDEX(ClassificationClasses[],MATCH(TRUE,ISNUMBER(SEARCH(Y154,ClassificationClasses[Key])),0),0),0)-1)))</f>
        <v>Heterocera</v>
      </c>
      <c r="AA154" s="116" t="str" cm="1">
        <f t="array" ref="AA154">IFERROR(IF(OR(Z154="Insecta",Z154="Arachnida",Z154="#N/C"),"",INDEX(ClassificationClasses[[Class]:[Infraorder]],MATCH(TRUE,ISNUMBER(SEARCH(Z154,ClassificationClasses[Key])),0),MATCH(Z154,INDEX(ClassificationClasses[#Data], MATCH(TRUE,ISNUMBER(SEARCH(Z154,ClassificationClasses[Key])),0), 0), 0)-1)),"")</f>
        <v>Glossata</v>
      </c>
      <c r="AB154" s="116" t="str" cm="1">
        <f t="array" ref="AB154">IFERROR(IF(OR(AA154="Insecta",AA154="Arachnida",AA154="#N/C"),"",INDEX(ClassificationClasses[[Class]:[Suborder]],MATCH(TRUE,ISNUMBER(SEARCH(AA154,ClassificationClasses[Key])),0),MATCH(AA154,INDEX(ClassificationClasses[#Data], MATCH(TRUE,ISNUMBER(SEARCH(AA154,ClassificationClasses[Key])),0), 0), 0)-1)),"")</f>
        <v>Lepidoptera</v>
      </c>
      <c r="AC154" s="116" t="str" cm="1">
        <f t="array" ref="AC154">IFERROR(IF(OR(AB154="Insecta",AB154="Arachnida",AB154="#N/C"),"",INDEX(ClassificationClasses[[Class]:[Suborder]],MATCH(TRUE,ISNUMBER(SEARCH(AB154,ClassificationClasses[Key])),0),MATCH(AB154,INDEX(ClassificationClasses[#Data], MATCH(TRUE,ISNUMBER(SEARCH(AB154,ClassificationClasses[Key])),0), 0), 0)-1)),"")</f>
        <v>Insecta</v>
      </c>
      <c r="AD154" s="116" t="str" cm="1">
        <f t="array" ref="AD154">IFERROR(IF(OR(AC154="Insecta",AC154="Arachnida",AC154="#N/C"),"",INDEX(ClassificationClasses[[Class]:[Suborder]],MATCH(TRUE,ISNUMBER(SEARCH(AC154,ClassificationClasses[Key])),0),MATCH(AC154,INDEX(ClassificationClasses[#Data], MATCH(TRUE,ISNUMBER(SEARCH(AC154,ClassificationClasses[Key])),0), 0), 0)-1)),"")</f>
        <v/>
      </c>
      <c r="AE154" s="18" t="str">
        <f t="shared" si="6"/>
        <v>Insecta.Lepidoptera.Glossata.Heterocera.Gelechioidea.Gelechiidae.#N/C.#N/C.#N/C</v>
      </c>
    </row>
    <row r="155" spans="1:31" x14ac:dyDescent="0.3">
      <c r="A155" s="91">
        <v>154</v>
      </c>
      <c r="B155" s="7">
        <v>44393</v>
      </c>
      <c r="C155" s="92" t="s">
        <v>306</v>
      </c>
      <c r="D155" s="93" t="str">
        <f>HYPERLINK(VLOOKUP(C155,Video_List!$F:$J,5),"video")</f>
        <v>video</v>
      </c>
      <c r="E155" s="94" t="str">
        <f>IFERROR(IF(MATCH(C155,Video_List!$F:$F,)&gt;0,"ok",""),"error")</f>
        <v>ok</v>
      </c>
      <c r="F155" s="92" t="s">
        <v>306</v>
      </c>
      <c r="G155" s="93" t="str">
        <f>HYPERLINK(VLOOKUP(F155,Video_List!$F:$J,5),"video")</f>
        <v>video</v>
      </c>
      <c r="H155" s="94" t="str">
        <f>IFERROR(IF(MATCH(F155,Video_List!$F:$F,)&gt;0,"ok",""),"error")</f>
        <v>ok</v>
      </c>
      <c r="I155" s="17">
        <v>44393.140555555554</v>
      </c>
      <c r="J155" s="8">
        <v>44393.140601851854</v>
      </c>
      <c r="K155" s="15">
        <f t="shared" si="5"/>
        <v>4.6296299842651933E-5</v>
      </c>
      <c r="L155" s="4" t="s">
        <v>32</v>
      </c>
      <c r="M155" s="4" t="s">
        <v>33</v>
      </c>
      <c r="N155" s="96" t="str">
        <f>IF(ISBLANK(C155),"",IF(C155=F155, "1 video",CONCATENATE((+COUNTIFS(Video_List!$C:$C,"&lt;=" &amp;Monitoring!J155)-COUNTIFS(Video_List!$C:$C,"&lt;=" &amp;Monitoring!I155))+1," videos")))</f>
        <v>1 video</v>
      </c>
      <c r="O155" s="29" t="s">
        <v>44</v>
      </c>
      <c r="P155" s="42" t="s">
        <v>37</v>
      </c>
      <c r="Q155" s="42" t="s">
        <v>56</v>
      </c>
      <c r="R155" s="42" t="s">
        <v>57</v>
      </c>
      <c r="S155" s="97" t="str">
        <f>+IFERROR(IF(T155="#N/C","#N/C",IF(U155=0,INDEX(Taxonomy_UniqueValues!D:D,MATCH(U155,Taxonomy_UniqueValues!F:F,0)),INDEX(Taxonomy_UniqueValues!D:D,MATCH(T155,Taxonomy_UniqueValues!E:E,0)))),"#N/C")</f>
        <v>Heterocera</v>
      </c>
      <c r="T155" s="42" t="s">
        <v>257</v>
      </c>
      <c r="U155" s="42" t="s">
        <v>300</v>
      </c>
      <c r="V155" s="42" t="s">
        <v>35</v>
      </c>
      <c r="W155" s="42" t="s">
        <v>35</v>
      </c>
      <c r="X155" s="28" t="s">
        <v>35</v>
      </c>
      <c r="Y155" s="69" t="str" cm="1">
        <f t="array" ref="Y155">_xlfn.LET(_xlpm.cls,P155, _xlpm.ord,IFERROR(Q155,"#N/C"), _xlpm.subord,IFERROR(R155,"#N/C"), _xlpm.infr,IFERROR(S155,"#N/C"), _xlpm.sf,IFERROR(T155,"#N/C"), _xlpm.fam,IFERROR(U155,"#N/C"), _xlpm.subfam,IF(TRIM(V155)="-","#N/C",IFERROR(V155,"#N/C")),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_xlpm.fallback,IF(IFERROR(Q155,"#N/C")="#N/C",P155,IF(IFERROR(R155,"#N/C")="#N/C",Q155,IF(IFERROR(S155,"#N/C")="#N/C",R155,IF(IFERROR(T155,"#N/C")="#N/C",S155,IF(IFERROR(U155,"#N/C")="#N/C",T155,IF(IFERROR(V155,"#N/C")="#N/C",U155,"#N/C")))))), _xlpm.finalResult,IF(OR(_xlpm.computedResult="",_xlpm.computedResult="#N/C"),_xlpm.fallback,_xlpm.computedResult), INDEX(_xlpm.finalResult,1))</f>
        <v>moth</v>
      </c>
      <c r="Z155" s="116" t="str" cm="1">
        <f t="array" ref="Z155">IF(OR(Y155="Insecta",Y155="Arachnida",Y155="#N/C"),"",IFERROR(_xlfn.LET(_xlpm.fc,IFERROR(_xlfn._xlws.FILTER(ClassificationClasses[],ClassificationClasses[Classification Class]=Y155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155,ClassificationClasses[Key])),0),MATCH(Y155,INDEX(ClassificationClasses[],MATCH(TRUE,ISNUMBER(SEARCH(Y155,ClassificationClasses[Key])),0),0),0)-1)))</f>
        <v>Heterocera</v>
      </c>
      <c r="AA155" s="116" t="str" cm="1">
        <f t="array" ref="AA155">IFERROR(IF(OR(Z155="Insecta",Z155="Arachnida",Z155="#N/C"),"",INDEX(ClassificationClasses[[Class]:[Infraorder]],MATCH(TRUE,ISNUMBER(SEARCH(Z155,ClassificationClasses[Key])),0),MATCH(Z155,INDEX(ClassificationClasses[#Data], MATCH(TRUE,ISNUMBER(SEARCH(Z155,ClassificationClasses[Key])),0), 0), 0)-1)),"")</f>
        <v>Glossata</v>
      </c>
      <c r="AB155" s="116" t="str" cm="1">
        <f t="array" ref="AB155">IFERROR(IF(OR(AA155="Insecta",AA155="Arachnida",AA155="#N/C"),"",INDEX(ClassificationClasses[[Class]:[Suborder]],MATCH(TRUE,ISNUMBER(SEARCH(AA155,ClassificationClasses[Key])),0),MATCH(AA155,INDEX(ClassificationClasses[#Data], MATCH(TRUE,ISNUMBER(SEARCH(AA155,ClassificationClasses[Key])),0), 0), 0)-1)),"")</f>
        <v>Lepidoptera</v>
      </c>
      <c r="AC155" s="116" t="str" cm="1">
        <f t="array" ref="AC155">IFERROR(IF(OR(AB155="Insecta",AB155="Arachnida",AB155="#N/C"),"",INDEX(ClassificationClasses[[Class]:[Suborder]],MATCH(TRUE,ISNUMBER(SEARCH(AB155,ClassificationClasses[Key])),0),MATCH(AB155,INDEX(ClassificationClasses[#Data], MATCH(TRUE,ISNUMBER(SEARCH(AB155,ClassificationClasses[Key])),0), 0), 0)-1)),"")</f>
        <v>Insecta</v>
      </c>
      <c r="AD155" s="116" t="str" cm="1">
        <f t="array" ref="AD155">IFERROR(IF(OR(AC155="Insecta",AC155="Arachnida",AC155="#N/C"),"",INDEX(ClassificationClasses[[Class]:[Suborder]],MATCH(TRUE,ISNUMBER(SEARCH(AC155,ClassificationClasses[Key])),0),MATCH(AC155,INDEX(ClassificationClasses[#Data], MATCH(TRUE,ISNUMBER(SEARCH(AC155,ClassificationClasses[Key])),0), 0), 0)-1)),"")</f>
        <v/>
      </c>
      <c r="AE155" s="18" t="str">
        <f t="shared" si="6"/>
        <v>Insecta.Lepidoptera.Glossata.Heterocera.Gelechioidea.Gelechiidae.#N/C.#N/C.#N/C</v>
      </c>
    </row>
    <row r="156" spans="1:31" x14ac:dyDescent="0.3">
      <c r="A156" s="91">
        <v>155</v>
      </c>
      <c r="B156" s="7">
        <v>44393</v>
      </c>
      <c r="C156" s="92" t="s">
        <v>307</v>
      </c>
      <c r="D156" s="93" t="str">
        <f>HYPERLINK(VLOOKUP(C156,Video_List!$F:$J,5),"video")</f>
        <v>video</v>
      </c>
      <c r="E156" s="94" t="str">
        <f>IFERROR(IF(MATCH(C156,Video_List!$F:$F,)&gt;0,"ok",""),"error")</f>
        <v>ok</v>
      </c>
      <c r="F156" s="92" t="s">
        <v>307</v>
      </c>
      <c r="G156" s="93" t="str">
        <f>HYPERLINK(VLOOKUP(F156,Video_List!$F:$J,5),"video")</f>
        <v>video</v>
      </c>
      <c r="H156" s="94" t="str">
        <f>IFERROR(IF(MATCH(F156,Video_List!$F:$F,)&gt;0,"ok",""),"error")</f>
        <v>ok</v>
      </c>
      <c r="I156" s="17">
        <v>44393.141655092593</v>
      </c>
      <c r="J156" s="8">
        <v>44393.141701388886</v>
      </c>
      <c r="K156" s="15">
        <f t="shared" si="5"/>
        <v>4.6296292566694319E-5</v>
      </c>
      <c r="L156" s="4" t="s">
        <v>32</v>
      </c>
      <c r="M156" s="4" t="s">
        <v>33</v>
      </c>
      <c r="N156" s="96" t="str">
        <f>IF(ISBLANK(C156),"",IF(C156=F156, "1 video",CONCATENATE((+COUNTIFS(Video_List!$C:$C,"&lt;=" &amp;Monitoring!J156)-COUNTIFS(Video_List!$C:$C,"&lt;=" &amp;Monitoring!I156))+1," videos")))</f>
        <v>1 video</v>
      </c>
      <c r="O156" s="29" t="s">
        <v>44</v>
      </c>
      <c r="P156" s="42" t="s">
        <v>37</v>
      </c>
      <c r="Q156" s="42" t="s">
        <v>56</v>
      </c>
      <c r="R156" s="42" t="s">
        <v>57</v>
      </c>
      <c r="S156" s="97" t="str">
        <f>+IFERROR(IF(T156="#N/C","#N/C",IF(U156=0,INDEX(Taxonomy_UniqueValues!D:D,MATCH(U156,Taxonomy_UniqueValues!F:F,0)),INDEX(Taxonomy_UniqueValues!D:D,MATCH(T156,Taxonomy_UniqueValues!E:E,0)))),"#N/C")</f>
        <v>Heterocera</v>
      </c>
      <c r="T156" s="42" t="s">
        <v>257</v>
      </c>
      <c r="U156" s="42" t="s">
        <v>35</v>
      </c>
      <c r="V156" s="42" t="s">
        <v>35</v>
      </c>
      <c r="W156" s="42" t="s">
        <v>35</v>
      </c>
      <c r="X156" s="28" t="s">
        <v>35</v>
      </c>
      <c r="Y156" s="69" t="str" cm="1">
        <f t="array" ref="Y156">_xlfn.LET(_xlpm.cls,P156, _xlpm.ord,IFERROR(Q156,"#N/C"), _xlpm.subord,IFERROR(R156,"#N/C"), _xlpm.infr,IFERROR(S156,"#N/C"), _xlpm.sf,IFERROR(T156,"#N/C"), _xlpm.fam,IFERROR(U156,"#N/C"), _xlpm.subfam,IF(TRIM(V156)="-","#N/C",IFERROR(V156,"#N/C")),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_xlpm.fallback,IF(IFERROR(Q156,"#N/C")="#N/C",P156,IF(IFERROR(R156,"#N/C")="#N/C",Q156,IF(IFERROR(S156,"#N/C")="#N/C",R156,IF(IFERROR(T156,"#N/C")="#N/C",S156,IF(IFERROR(U156,"#N/C")="#N/C",T156,IF(IFERROR(V156,"#N/C")="#N/C",U156,"#N/C")))))), _xlpm.finalResult,IF(OR(_xlpm.computedResult="",_xlpm.computedResult="#N/C"),_xlpm.fallback,_xlpm.computedResult), INDEX(_xlpm.finalResult,1))</f>
        <v>Gelechioidea</v>
      </c>
      <c r="Z156" s="116" t="str" cm="1">
        <f t="array" ref="Z156">IF(OR(Y156="Insecta",Y156="Arachnida",Y156="#N/C"),"",IFERROR(_xlfn.LET(_xlpm.fc,IFERROR(_xlfn._xlws.FILTER(ClassificationClasses[],ClassificationClasses[Classification Class]=Y156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156,ClassificationClasses[Key])),0),MATCH(Y156,INDEX(ClassificationClasses[],MATCH(TRUE,ISNUMBER(SEARCH(Y156,ClassificationClasses[Key])),0),0),0)-1)))</f>
        <v>Heterocera</v>
      </c>
      <c r="AA156" s="116" t="str" cm="1">
        <f t="array" ref="AA156">IFERROR(IF(OR(Z156="Insecta",Z156="Arachnida",Z156="#N/C"),"",INDEX(ClassificationClasses[[Class]:[Infraorder]],MATCH(TRUE,ISNUMBER(SEARCH(Z156,ClassificationClasses[Key])),0),MATCH(Z156,INDEX(ClassificationClasses[#Data], MATCH(TRUE,ISNUMBER(SEARCH(Z156,ClassificationClasses[Key])),0), 0), 0)-1)),"")</f>
        <v>Glossata</v>
      </c>
      <c r="AB156" s="116" t="str" cm="1">
        <f t="array" ref="AB156">IFERROR(IF(OR(AA156="Insecta",AA156="Arachnida",AA156="#N/C"),"",INDEX(ClassificationClasses[[Class]:[Suborder]],MATCH(TRUE,ISNUMBER(SEARCH(AA156,ClassificationClasses[Key])),0),MATCH(AA156,INDEX(ClassificationClasses[#Data], MATCH(TRUE,ISNUMBER(SEARCH(AA156,ClassificationClasses[Key])),0), 0), 0)-1)),"")</f>
        <v>Lepidoptera</v>
      </c>
      <c r="AC156" s="116" t="str" cm="1">
        <f t="array" ref="AC156">IFERROR(IF(OR(AB156="Insecta",AB156="Arachnida",AB156="#N/C"),"",INDEX(ClassificationClasses[[Class]:[Suborder]],MATCH(TRUE,ISNUMBER(SEARCH(AB156,ClassificationClasses[Key])),0),MATCH(AB156,INDEX(ClassificationClasses[#Data], MATCH(TRUE,ISNUMBER(SEARCH(AB156,ClassificationClasses[Key])),0), 0), 0)-1)),"")</f>
        <v>Insecta</v>
      </c>
      <c r="AD156" s="116" t="str" cm="1">
        <f t="array" ref="AD156">IFERROR(IF(OR(AC156="Insecta",AC156="Arachnida",AC156="#N/C"),"",INDEX(ClassificationClasses[[Class]:[Suborder]],MATCH(TRUE,ISNUMBER(SEARCH(AC156,ClassificationClasses[Key])),0),MATCH(AC156,INDEX(ClassificationClasses[#Data], MATCH(TRUE,ISNUMBER(SEARCH(AC156,ClassificationClasses[Key])),0), 0), 0)-1)),"")</f>
        <v/>
      </c>
      <c r="AE156" s="18" t="str">
        <f t="shared" si="6"/>
        <v>Insecta.Lepidoptera.Glossata.Heterocera.Gelechioidea.#N/C.#N/C.#N/C.#N/C</v>
      </c>
    </row>
    <row r="157" spans="1:31" x14ac:dyDescent="0.3">
      <c r="A157" s="91">
        <v>156</v>
      </c>
      <c r="B157" s="7">
        <v>44393</v>
      </c>
      <c r="C157" s="92" t="s">
        <v>307</v>
      </c>
      <c r="D157" s="93" t="str">
        <f>HYPERLINK(VLOOKUP(C157,Video_List!$F:$J,5),"video")</f>
        <v>video</v>
      </c>
      <c r="E157" s="94" t="str">
        <f>IFERROR(IF(MATCH(C157,Video_List!$F:$F,)&gt;0,"ok",""),"error")</f>
        <v>ok</v>
      </c>
      <c r="F157" s="92" t="s">
        <v>307</v>
      </c>
      <c r="G157" s="93" t="str">
        <f>HYPERLINK(VLOOKUP(F157,Video_List!$F:$J,5),"video")</f>
        <v>video</v>
      </c>
      <c r="H157" s="94" t="str">
        <f>IFERROR(IF(MATCH(F157,Video_List!$F:$F,)&gt;0,"ok",""),"error")</f>
        <v>ok</v>
      </c>
      <c r="I157" s="17">
        <v>44393.142187500001</v>
      </c>
      <c r="J157" s="8">
        <v>44393.142222222225</v>
      </c>
      <c r="K157" s="15">
        <f t="shared" si="5"/>
        <v>3.4722223062999547E-5</v>
      </c>
      <c r="L157" s="4" t="s">
        <v>32</v>
      </c>
      <c r="M157" s="4" t="s">
        <v>33</v>
      </c>
      <c r="N157" s="96" t="str">
        <f>IF(ISBLANK(C157),"",IF(C157=F157, "1 video",CONCATENATE((+COUNTIFS(Video_List!$C:$C,"&lt;=" &amp;Monitoring!J157)-COUNTIFS(Video_List!$C:$C,"&lt;=" &amp;Monitoring!I157))+1," videos")))</f>
        <v>1 video</v>
      </c>
      <c r="O157" s="29" t="s">
        <v>44</v>
      </c>
      <c r="P157" s="42" t="s">
        <v>37</v>
      </c>
      <c r="Q157" s="42" t="s">
        <v>56</v>
      </c>
      <c r="R157" s="42" t="s">
        <v>57</v>
      </c>
      <c r="S157" s="97" t="str">
        <f>+IFERROR(IF(T157="#N/C","#N/C",IF(U157=0,INDEX(Taxonomy_UniqueValues!D:D,MATCH(U157,Taxonomy_UniqueValues!F:F,0)),INDEX(Taxonomy_UniqueValues!D:D,MATCH(T157,Taxonomy_UniqueValues!E:E,0)))),"#N/C")</f>
        <v>Heterocera</v>
      </c>
      <c r="T157" s="42" t="s">
        <v>257</v>
      </c>
      <c r="U157" s="42" t="s">
        <v>35</v>
      </c>
      <c r="V157" s="42" t="s">
        <v>35</v>
      </c>
      <c r="W157" s="42" t="s">
        <v>35</v>
      </c>
      <c r="X157" s="28" t="s">
        <v>35</v>
      </c>
      <c r="Y157" s="69" t="str" cm="1">
        <f t="array" ref="Y157">_xlfn.LET(_xlpm.cls,P157, _xlpm.ord,IFERROR(Q157,"#N/C"), _xlpm.subord,IFERROR(R157,"#N/C"), _xlpm.infr,IFERROR(S157,"#N/C"), _xlpm.sf,IFERROR(T157,"#N/C"), _xlpm.fam,IFERROR(U157,"#N/C"), _xlpm.subfam,IF(TRIM(V157)="-","#N/C",IFERROR(V157,"#N/C")),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_xlpm.fallback,IF(IFERROR(Q157,"#N/C")="#N/C",P157,IF(IFERROR(R157,"#N/C")="#N/C",Q157,IF(IFERROR(S157,"#N/C")="#N/C",R157,IF(IFERROR(T157,"#N/C")="#N/C",S157,IF(IFERROR(U157,"#N/C")="#N/C",T157,IF(IFERROR(V157,"#N/C")="#N/C",U157,"#N/C")))))), _xlpm.finalResult,IF(OR(_xlpm.computedResult="",_xlpm.computedResult="#N/C"),_xlpm.fallback,_xlpm.computedResult), INDEX(_xlpm.finalResult,1))</f>
        <v>Gelechioidea</v>
      </c>
      <c r="Z157" s="116" t="str" cm="1">
        <f t="array" ref="Z157">IF(OR(Y157="Insecta",Y157="Arachnida",Y157="#N/C"),"",IFERROR(_xlfn.LET(_xlpm.fc,IFERROR(_xlfn._xlws.FILTER(ClassificationClasses[],ClassificationClasses[Classification Class]=Y157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157,ClassificationClasses[Key])),0),MATCH(Y157,INDEX(ClassificationClasses[],MATCH(TRUE,ISNUMBER(SEARCH(Y157,ClassificationClasses[Key])),0),0),0)-1)))</f>
        <v>Heterocera</v>
      </c>
      <c r="AA157" s="116" t="str" cm="1">
        <f t="array" ref="AA157">IFERROR(IF(OR(Z157="Insecta",Z157="Arachnida",Z157="#N/C"),"",INDEX(ClassificationClasses[[Class]:[Infraorder]],MATCH(TRUE,ISNUMBER(SEARCH(Z157,ClassificationClasses[Key])),0),MATCH(Z157,INDEX(ClassificationClasses[#Data], MATCH(TRUE,ISNUMBER(SEARCH(Z157,ClassificationClasses[Key])),0), 0), 0)-1)),"")</f>
        <v>Glossata</v>
      </c>
      <c r="AB157" s="116" t="str" cm="1">
        <f t="array" ref="AB157">IFERROR(IF(OR(AA157="Insecta",AA157="Arachnida",AA157="#N/C"),"",INDEX(ClassificationClasses[[Class]:[Suborder]],MATCH(TRUE,ISNUMBER(SEARCH(AA157,ClassificationClasses[Key])),0),MATCH(AA157,INDEX(ClassificationClasses[#Data], MATCH(TRUE,ISNUMBER(SEARCH(AA157,ClassificationClasses[Key])),0), 0), 0)-1)),"")</f>
        <v>Lepidoptera</v>
      </c>
      <c r="AC157" s="116" t="str" cm="1">
        <f t="array" ref="AC157">IFERROR(IF(OR(AB157="Insecta",AB157="Arachnida",AB157="#N/C"),"",INDEX(ClassificationClasses[[Class]:[Suborder]],MATCH(TRUE,ISNUMBER(SEARCH(AB157,ClassificationClasses[Key])),0),MATCH(AB157,INDEX(ClassificationClasses[#Data], MATCH(TRUE,ISNUMBER(SEARCH(AB157,ClassificationClasses[Key])),0), 0), 0)-1)),"")</f>
        <v>Insecta</v>
      </c>
      <c r="AD157" s="116" t="str" cm="1">
        <f t="array" ref="AD157">IFERROR(IF(OR(AC157="Insecta",AC157="Arachnida",AC157="#N/C"),"",INDEX(ClassificationClasses[[Class]:[Suborder]],MATCH(TRUE,ISNUMBER(SEARCH(AC157,ClassificationClasses[Key])),0),MATCH(AC157,INDEX(ClassificationClasses[#Data], MATCH(TRUE,ISNUMBER(SEARCH(AC157,ClassificationClasses[Key])),0), 0), 0)-1)),"")</f>
        <v/>
      </c>
      <c r="AE157" s="18" t="str">
        <f t="shared" si="6"/>
        <v>Insecta.Lepidoptera.Glossata.Heterocera.Gelechioidea.#N/C.#N/C.#N/C.#N/C</v>
      </c>
    </row>
    <row r="158" spans="1:31" x14ac:dyDescent="0.3">
      <c r="A158" s="91">
        <v>157</v>
      </c>
      <c r="B158" s="7">
        <v>44393</v>
      </c>
      <c r="C158" s="92" t="s">
        <v>308</v>
      </c>
      <c r="D158" s="93" t="str">
        <f>HYPERLINK(VLOOKUP(C158,Video_List!$F:$J,5),"video")</f>
        <v>video</v>
      </c>
      <c r="E158" s="94" t="str">
        <f>IFERROR(IF(MATCH(C158,Video_List!$F:$F,)&gt;0,"ok",""),"error")</f>
        <v>ok</v>
      </c>
      <c r="F158" s="92" t="s">
        <v>308</v>
      </c>
      <c r="G158" s="93" t="str">
        <f>HYPERLINK(VLOOKUP(F158,Video_List!$F:$J,5),"video")</f>
        <v>video</v>
      </c>
      <c r="H158" s="94" t="str">
        <f>IFERROR(IF(MATCH(F158,Video_List!$F:$F,)&gt;0,"ok",""),"error")</f>
        <v>ok</v>
      </c>
      <c r="I158" s="17">
        <v>44393.144212962965</v>
      </c>
      <c r="J158" s="8">
        <v>44393.144270833334</v>
      </c>
      <c r="K158" s="15">
        <f t="shared" si="5"/>
        <v>5.7870369346346706E-5</v>
      </c>
      <c r="L158" s="4" t="s">
        <v>32</v>
      </c>
      <c r="M158" s="4" t="s">
        <v>33</v>
      </c>
      <c r="N158" s="96" t="str">
        <f>IF(ISBLANK(C158),"",IF(C158=F158, "1 video",CONCATENATE((+COUNTIFS(Video_List!$C:$C,"&lt;=" &amp;Monitoring!J158)-COUNTIFS(Video_List!$C:$C,"&lt;=" &amp;Monitoring!I158))+1," videos")))</f>
        <v>1 video</v>
      </c>
      <c r="O158" s="29" t="s">
        <v>44</v>
      </c>
      <c r="P158" s="42" t="s">
        <v>37</v>
      </c>
      <c r="Q158" s="42" t="s">
        <v>56</v>
      </c>
      <c r="R158" s="42" t="s">
        <v>57</v>
      </c>
      <c r="S158" s="97" t="str">
        <f>+IFERROR(IF(T158="#N/C","#N/C",IF(U158=0,INDEX(Taxonomy_UniqueValues!D:D,MATCH(U158,Taxonomy_UniqueValues!F:F,0)),INDEX(Taxonomy_UniqueValues!D:D,MATCH(T158,Taxonomy_UniqueValues!E:E,0)))),"#N/C")</f>
        <v>Heterocera</v>
      </c>
      <c r="T158" s="42" t="s">
        <v>257</v>
      </c>
      <c r="U158" s="42" t="s">
        <v>35</v>
      </c>
      <c r="V158" s="42" t="s">
        <v>35</v>
      </c>
      <c r="W158" s="42" t="s">
        <v>35</v>
      </c>
      <c r="X158" s="28" t="s">
        <v>35</v>
      </c>
      <c r="Y158" s="69" t="str" cm="1">
        <f t="array" ref="Y158">_xlfn.LET(_xlpm.cls,P158, _xlpm.ord,IFERROR(Q158,"#N/C"), _xlpm.subord,IFERROR(R158,"#N/C"), _xlpm.infr,IFERROR(S158,"#N/C"), _xlpm.sf,IFERROR(T158,"#N/C"), _xlpm.fam,IFERROR(U158,"#N/C"), _xlpm.subfam,IF(TRIM(V158)="-","#N/C",IFERROR(V158,"#N/C")),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_xlpm.fallback,IF(IFERROR(Q158,"#N/C")="#N/C",P158,IF(IFERROR(R158,"#N/C")="#N/C",Q158,IF(IFERROR(S158,"#N/C")="#N/C",R158,IF(IFERROR(T158,"#N/C")="#N/C",S158,IF(IFERROR(U158,"#N/C")="#N/C",T158,IF(IFERROR(V158,"#N/C")="#N/C",U158,"#N/C")))))), _xlpm.finalResult,IF(OR(_xlpm.computedResult="",_xlpm.computedResult="#N/C"),_xlpm.fallback,_xlpm.computedResult), INDEX(_xlpm.finalResult,1))</f>
        <v>Gelechioidea</v>
      </c>
      <c r="Z158" s="116" t="str" cm="1">
        <f t="array" ref="Z158">IF(OR(Y158="Insecta",Y158="Arachnida",Y158="#N/C"),"",IFERROR(_xlfn.LET(_xlpm.fc,IFERROR(_xlfn._xlws.FILTER(ClassificationClasses[],ClassificationClasses[Classification Class]=Y158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158,ClassificationClasses[Key])),0),MATCH(Y158,INDEX(ClassificationClasses[],MATCH(TRUE,ISNUMBER(SEARCH(Y158,ClassificationClasses[Key])),0),0),0)-1)))</f>
        <v>Heterocera</v>
      </c>
      <c r="AA158" s="116" t="str" cm="1">
        <f t="array" ref="AA158">IFERROR(IF(OR(Z158="Insecta",Z158="Arachnida",Z158="#N/C"),"",INDEX(ClassificationClasses[[Class]:[Infraorder]],MATCH(TRUE,ISNUMBER(SEARCH(Z158,ClassificationClasses[Key])),0),MATCH(Z158,INDEX(ClassificationClasses[#Data], MATCH(TRUE,ISNUMBER(SEARCH(Z158,ClassificationClasses[Key])),0), 0), 0)-1)),"")</f>
        <v>Glossata</v>
      </c>
      <c r="AB158" s="116" t="str" cm="1">
        <f t="array" ref="AB158">IFERROR(IF(OR(AA158="Insecta",AA158="Arachnida",AA158="#N/C"),"",INDEX(ClassificationClasses[[Class]:[Suborder]],MATCH(TRUE,ISNUMBER(SEARCH(AA158,ClassificationClasses[Key])),0),MATCH(AA158,INDEX(ClassificationClasses[#Data], MATCH(TRUE,ISNUMBER(SEARCH(AA158,ClassificationClasses[Key])),0), 0), 0)-1)),"")</f>
        <v>Lepidoptera</v>
      </c>
      <c r="AC158" s="116" t="str" cm="1">
        <f t="array" ref="AC158">IFERROR(IF(OR(AB158="Insecta",AB158="Arachnida",AB158="#N/C"),"",INDEX(ClassificationClasses[[Class]:[Suborder]],MATCH(TRUE,ISNUMBER(SEARCH(AB158,ClassificationClasses[Key])),0),MATCH(AB158,INDEX(ClassificationClasses[#Data], MATCH(TRUE,ISNUMBER(SEARCH(AB158,ClassificationClasses[Key])),0), 0), 0)-1)),"")</f>
        <v>Insecta</v>
      </c>
      <c r="AD158" s="116" t="str" cm="1">
        <f t="array" ref="AD158">IFERROR(IF(OR(AC158="Insecta",AC158="Arachnida",AC158="#N/C"),"",INDEX(ClassificationClasses[[Class]:[Suborder]],MATCH(TRUE,ISNUMBER(SEARCH(AC158,ClassificationClasses[Key])),0),MATCH(AC158,INDEX(ClassificationClasses[#Data], MATCH(TRUE,ISNUMBER(SEARCH(AC158,ClassificationClasses[Key])),0), 0), 0)-1)),"")</f>
        <v/>
      </c>
      <c r="AE158" s="18" t="str">
        <f t="shared" si="6"/>
        <v>Insecta.Lepidoptera.Glossata.Heterocera.Gelechioidea.#N/C.#N/C.#N/C.#N/C</v>
      </c>
    </row>
    <row r="159" spans="1:31" x14ac:dyDescent="0.3">
      <c r="A159" s="91">
        <v>158</v>
      </c>
      <c r="B159" s="7">
        <v>44393</v>
      </c>
      <c r="C159" s="92" t="s">
        <v>309</v>
      </c>
      <c r="D159" s="93" t="str">
        <f>HYPERLINK(VLOOKUP(C159,Video_List!$F:$J,5),"video")</f>
        <v>video</v>
      </c>
      <c r="E159" s="94" t="str">
        <f>IFERROR(IF(MATCH(C159,Video_List!$F:$F,)&gt;0,"ok",""),"error")</f>
        <v>ok</v>
      </c>
      <c r="F159" s="92" t="s">
        <v>309</v>
      </c>
      <c r="G159" s="93" t="str">
        <f>HYPERLINK(VLOOKUP(F159,Video_List!$F:$J,5),"video")</f>
        <v>video</v>
      </c>
      <c r="H159" s="94" t="str">
        <f>IFERROR(IF(MATCH(F159,Video_List!$F:$F,)&gt;0,"ok",""),"error")</f>
        <v>ok</v>
      </c>
      <c r="I159" s="17">
        <v>44393.146168981482</v>
      </c>
      <c r="J159" s="8">
        <v>44393.146226851852</v>
      </c>
      <c r="K159" s="15">
        <f t="shared" si="5"/>
        <v>5.7870369346346706E-5</v>
      </c>
      <c r="L159" s="4" t="s">
        <v>32</v>
      </c>
      <c r="M159" s="4" t="s">
        <v>33</v>
      </c>
      <c r="N159" s="96" t="str">
        <f>IF(ISBLANK(C159),"",IF(C159=F159, "1 video",CONCATENATE((+COUNTIFS(Video_List!$C:$C,"&lt;=" &amp;Monitoring!J159)-COUNTIFS(Video_List!$C:$C,"&lt;=" &amp;Monitoring!I159))+1," videos")))</f>
        <v>1 video</v>
      </c>
      <c r="O159" s="29" t="s">
        <v>44</v>
      </c>
      <c r="P159" s="42" t="s">
        <v>37</v>
      </c>
      <c r="Q159" s="42" t="s">
        <v>56</v>
      </c>
      <c r="R159" s="42" t="s">
        <v>57</v>
      </c>
      <c r="S159" s="97" t="str">
        <f>+IFERROR(IF(T159="#N/C","#N/C",IF(U159=0,INDEX(Taxonomy_UniqueValues!D:D,MATCH(U159,Taxonomy_UniqueValues!F:F,0)),INDEX(Taxonomy_UniqueValues!D:D,MATCH(T159,Taxonomy_UniqueValues!E:E,0)))),"#N/C")</f>
        <v>Heterocera</v>
      </c>
      <c r="T159" s="42" t="s">
        <v>257</v>
      </c>
      <c r="U159" s="42" t="s">
        <v>300</v>
      </c>
      <c r="V159" s="42" t="s">
        <v>35</v>
      </c>
      <c r="W159" s="42" t="s">
        <v>35</v>
      </c>
      <c r="X159" s="28" t="s">
        <v>35</v>
      </c>
      <c r="Y159" s="69" t="str" cm="1">
        <f t="array" ref="Y159">_xlfn.LET(_xlpm.cls,P159, _xlpm.ord,IFERROR(Q159,"#N/C"), _xlpm.subord,IFERROR(R159,"#N/C"), _xlpm.infr,IFERROR(S159,"#N/C"), _xlpm.sf,IFERROR(T159,"#N/C"), _xlpm.fam,IFERROR(U159,"#N/C"), _xlpm.subfam,IF(TRIM(V159)="-","#N/C",IFERROR(V159,"#N/C")),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_xlpm.fallback,IF(IFERROR(Q159,"#N/C")="#N/C",P159,IF(IFERROR(R159,"#N/C")="#N/C",Q159,IF(IFERROR(S159,"#N/C")="#N/C",R159,IF(IFERROR(T159,"#N/C")="#N/C",S159,IF(IFERROR(U159,"#N/C")="#N/C",T159,IF(IFERROR(V159,"#N/C")="#N/C",U159,"#N/C")))))), _xlpm.finalResult,IF(OR(_xlpm.computedResult="",_xlpm.computedResult="#N/C"),_xlpm.fallback,_xlpm.computedResult), INDEX(_xlpm.finalResult,1))</f>
        <v>moth</v>
      </c>
      <c r="Z159" s="116" t="str" cm="1">
        <f t="array" ref="Z159">IF(OR(Y159="Insecta",Y159="Arachnida",Y159="#N/C"),"",IFERROR(_xlfn.LET(_xlpm.fc,IFERROR(_xlfn._xlws.FILTER(ClassificationClasses[],ClassificationClasses[Classification Class]=Y159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159,ClassificationClasses[Key])),0),MATCH(Y159,INDEX(ClassificationClasses[],MATCH(TRUE,ISNUMBER(SEARCH(Y159,ClassificationClasses[Key])),0),0),0)-1)))</f>
        <v>Heterocera</v>
      </c>
      <c r="AA159" s="116" t="str" cm="1">
        <f t="array" ref="AA159">IFERROR(IF(OR(Z159="Insecta",Z159="Arachnida",Z159="#N/C"),"",INDEX(ClassificationClasses[[Class]:[Infraorder]],MATCH(TRUE,ISNUMBER(SEARCH(Z159,ClassificationClasses[Key])),0),MATCH(Z159,INDEX(ClassificationClasses[#Data], MATCH(TRUE,ISNUMBER(SEARCH(Z159,ClassificationClasses[Key])),0), 0), 0)-1)),"")</f>
        <v>Glossata</v>
      </c>
      <c r="AB159" s="116" t="str" cm="1">
        <f t="array" ref="AB159">IFERROR(IF(OR(AA159="Insecta",AA159="Arachnida",AA159="#N/C"),"",INDEX(ClassificationClasses[[Class]:[Suborder]],MATCH(TRUE,ISNUMBER(SEARCH(AA159,ClassificationClasses[Key])),0),MATCH(AA159,INDEX(ClassificationClasses[#Data], MATCH(TRUE,ISNUMBER(SEARCH(AA159,ClassificationClasses[Key])),0), 0), 0)-1)),"")</f>
        <v>Lepidoptera</v>
      </c>
      <c r="AC159" s="116" t="str" cm="1">
        <f t="array" ref="AC159">IFERROR(IF(OR(AB159="Insecta",AB159="Arachnida",AB159="#N/C"),"",INDEX(ClassificationClasses[[Class]:[Suborder]],MATCH(TRUE,ISNUMBER(SEARCH(AB159,ClassificationClasses[Key])),0),MATCH(AB159,INDEX(ClassificationClasses[#Data], MATCH(TRUE,ISNUMBER(SEARCH(AB159,ClassificationClasses[Key])),0), 0), 0)-1)),"")</f>
        <v>Insecta</v>
      </c>
      <c r="AD159" s="116" t="str" cm="1">
        <f t="array" ref="AD159">IFERROR(IF(OR(AC159="Insecta",AC159="Arachnida",AC159="#N/C"),"",INDEX(ClassificationClasses[[Class]:[Suborder]],MATCH(TRUE,ISNUMBER(SEARCH(AC159,ClassificationClasses[Key])),0),MATCH(AC159,INDEX(ClassificationClasses[#Data], MATCH(TRUE,ISNUMBER(SEARCH(AC159,ClassificationClasses[Key])),0), 0), 0)-1)),"")</f>
        <v/>
      </c>
      <c r="AE159" s="18" t="str">
        <f t="shared" si="6"/>
        <v>Insecta.Lepidoptera.Glossata.Heterocera.Gelechioidea.Gelechiidae.#N/C.#N/C.#N/C</v>
      </c>
    </row>
    <row r="160" spans="1:31" x14ac:dyDescent="0.3">
      <c r="A160" s="91">
        <v>159</v>
      </c>
      <c r="B160" s="7">
        <v>44393</v>
      </c>
      <c r="C160" s="92" t="s">
        <v>310</v>
      </c>
      <c r="D160" s="93" t="str">
        <f>HYPERLINK(VLOOKUP(C160,Video_List!$F:$J,5),"video")</f>
        <v>video</v>
      </c>
      <c r="E160" s="94" t="str">
        <f>IFERROR(IF(MATCH(C160,Video_List!$F:$F,)&gt;0,"ok",""),"error")</f>
        <v>ok</v>
      </c>
      <c r="F160" s="92" t="s">
        <v>310</v>
      </c>
      <c r="G160" s="93" t="str">
        <f>HYPERLINK(VLOOKUP(F160,Video_List!$F:$J,5),"video")</f>
        <v>video</v>
      </c>
      <c r="H160" s="94" t="str">
        <f>IFERROR(IF(MATCH(F160,Video_List!$F:$F,)&gt;0,"ok",""),"error")</f>
        <v>ok</v>
      </c>
      <c r="I160" s="17">
        <v>44393.158263888887</v>
      </c>
      <c r="J160" s="8">
        <v>44393.158333333333</v>
      </c>
      <c r="K160" s="15">
        <f t="shared" si="5"/>
        <v>6.9444446125999093E-5</v>
      </c>
      <c r="L160" s="4" t="s">
        <v>32</v>
      </c>
      <c r="M160" s="4" t="s">
        <v>33</v>
      </c>
      <c r="N160" s="96" t="str">
        <f>IF(ISBLANK(C160),"",IF(C160=F160, "1 video",CONCATENATE((+COUNTIFS(Video_List!$C:$C,"&lt;=" &amp;Monitoring!J160)-COUNTIFS(Video_List!$C:$C,"&lt;=" &amp;Monitoring!I160))+1," videos")))</f>
        <v>1 video</v>
      </c>
      <c r="O160" s="29" t="s">
        <v>44</v>
      </c>
      <c r="P160" s="42" t="s">
        <v>37</v>
      </c>
      <c r="Q160" s="42" t="s">
        <v>38</v>
      </c>
      <c r="R160" s="42" t="s">
        <v>185</v>
      </c>
      <c r="S160" s="97" t="str">
        <f>+IFERROR(IF(T160="#N/C","#N/C",IF(U160=0,INDEX(Taxonomy_UniqueValues!D:D,MATCH(U160,Taxonomy_UniqueValues!F:F,0)),INDEX(Taxonomy_UniqueValues!D:D,MATCH(T160,Taxonomy_UniqueValues!E:E,0)))),"#N/C")</f>
        <v>Culicomorpha</v>
      </c>
      <c r="T160" s="42" t="s">
        <v>311</v>
      </c>
      <c r="U160" s="42" t="s">
        <v>312</v>
      </c>
      <c r="V160" s="42" t="s">
        <v>35</v>
      </c>
      <c r="W160" s="42" t="s">
        <v>35</v>
      </c>
      <c r="X160" s="28" t="s">
        <v>35</v>
      </c>
      <c r="Y160" s="69" t="str" cm="1">
        <f t="array" ref="Y160">_xlfn.LET(_xlpm.cls,P160, _xlpm.ord,IFERROR(Q160,"#N/C"), _xlpm.subord,IFERROR(R160,"#N/C"), _xlpm.infr,IFERROR(S160,"#N/C"), _xlpm.sf,IFERROR(T160,"#N/C"), _xlpm.fam,IFERROR(U160,"#N/C"), _xlpm.subfam,IF(TRIM(V160)="-","#N/C",IFERROR(V160,"#N/C")),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_xlpm.fallback,IF(IFERROR(Q160,"#N/C")="#N/C",P160,IF(IFERROR(R160,"#N/C")="#N/C",Q160,IF(IFERROR(S160,"#N/C")="#N/C",R160,IF(IFERROR(T160,"#N/C")="#N/C",S160,IF(IFERROR(U160,"#N/C")="#N/C",T160,IF(IFERROR(V160,"#N/C")="#N/C",U160,"#N/C")))))), _xlpm.finalResult,IF(OR(_xlpm.computedResult="",_xlpm.computedResult="#N/C"),_xlpm.fallback,_xlpm.computedResult), INDEX(_xlpm.finalResult,1))</f>
        <v>midge</v>
      </c>
      <c r="Z160" s="116" t="str" cm="1">
        <f t="array" ref="Z160">IF(OR(Y160="Insecta",Y160="Arachnida",Y160="#N/C"),"",IFERROR(_xlfn.LET(_xlpm.fc,IFERROR(_xlfn._xlws.FILTER(ClassificationClasses[],ClassificationClasses[Classification Class]=Y160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160,ClassificationClasses[Key])),0),MATCH(Y160,INDEX(ClassificationClasses[],MATCH(TRUE,ISNUMBER(SEARCH(Y160,ClassificationClasses[Key])),0),0),0)-1)))</f>
        <v>Culicomorpha</v>
      </c>
      <c r="AA160" s="116" t="str" cm="1">
        <f t="array" ref="AA160">IFERROR(IF(OR(Z160="Insecta",Z160="Arachnida",Z160="#N/C"),"",INDEX(ClassificationClasses[[Class]:[Infraorder]],MATCH(TRUE,ISNUMBER(SEARCH(Z160,ClassificationClasses[Key])),0),MATCH(Z160,INDEX(ClassificationClasses[#Data], MATCH(TRUE,ISNUMBER(SEARCH(Z160,ClassificationClasses[Key])),0), 0), 0)-1)),"")</f>
        <v>Nematocera</v>
      </c>
      <c r="AB160" s="116" t="str" cm="1">
        <f t="array" ref="AB160">IFERROR(IF(OR(AA160="Insecta",AA160="Arachnida",AA160="#N/C"),"",INDEX(ClassificationClasses[[Class]:[Suborder]],MATCH(TRUE,ISNUMBER(SEARCH(AA160,ClassificationClasses[Key])),0),MATCH(AA160,INDEX(ClassificationClasses[#Data], MATCH(TRUE,ISNUMBER(SEARCH(AA160,ClassificationClasses[Key])),0), 0), 0)-1)),"")</f>
        <v>Diptera</v>
      </c>
      <c r="AC160" s="116" t="str" cm="1">
        <f t="array" ref="AC160">IFERROR(IF(OR(AB160="Insecta",AB160="Arachnida",AB160="#N/C"),"",INDEX(ClassificationClasses[[Class]:[Suborder]],MATCH(TRUE,ISNUMBER(SEARCH(AB160,ClassificationClasses[Key])),0),MATCH(AB160,INDEX(ClassificationClasses[#Data], MATCH(TRUE,ISNUMBER(SEARCH(AB160,ClassificationClasses[Key])),0), 0), 0)-1)),"")</f>
        <v>Insecta</v>
      </c>
      <c r="AD160" s="116" t="str" cm="1">
        <f t="array" ref="AD160">IFERROR(IF(OR(AC160="Insecta",AC160="Arachnida",AC160="#N/C"),"",INDEX(ClassificationClasses[[Class]:[Suborder]],MATCH(TRUE,ISNUMBER(SEARCH(AC160,ClassificationClasses[Key])),0),MATCH(AC160,INDEX(ClassificationClasses[#Data], MATCH(TRUE,ISNUMBER(SEARCH(AC160,ClassificationClasses[Key])),0), 0), 0)-1)),"")</f>
        <v/>
      </c>
      <c r="AE160" s="18" t="str">
        <f t="shared" si="6"/>
        <v>Insecta.Diptera.Nematocera.Culicomorpha.Culicoidea.Culicidae.#N/C.#N/C.#N/C</v>
      </c>
    </row>
    <row r="161" spans="1:31" x14ac:dyDescent="0.3">
      <c r="A161" s="91">
        <v>160</v>
      </c>
      <c r="B161" s="7">
        <v>44393</v>
      </c>
      <c r="C161" s="92" t="s">
        <v>313</v>
      </c>
      <c r="D161" s="93" t="str">
        <f>HYPERLINK(VLOOKUP(C161,Video_List!$F:$J,5),"video")</f>
        <v>video</v>
      </c>
      <c r="E161" s="94" t="str">
        <f>IFERROR(IF(MATCH(C161,Video_List!$F:$F,)&gt;0,"ok",""),"error")</f>
        <v>ok</v>
      </c>
      <c r="F161" s="92" t="s">
        <v>313</v>
      </c>
      <c r="G161" s="93" t="str">
        <f>HYPERLINK(VLOOKUP(F161,Video_List!$F:$J,5),"video")</f>
        <v>video</v>
      </c>
      <c r="H161" s="94" t="str">
        <f>IFERROR(IF(MATCH(F161,Video_List!$F:$F,)&gt;0,"ok",""),"error")</f>
        <v>ok</v>
      </c>
      <c r="I161" s="17">
        <v>44393.173344907409</v>
      </c>
      <c r="J161" s="8">
        <v>44393.173391203702</v>
      </c>
      <c r="K161" s="15">
        <f t="shared" si="5"/>
        <v>4.6296292566694319E-5</v>
      </c>
      <c r="L161" s="4" t="s">
        <v>32</v>
      </c>
      <c r="M161" s="4" t="s">
        <v>33</v>
      </c>
      <c r="N161" s="96" t="str">
        <f>IF(ISBLANK(C161),"",IF(C161=F161, "1 video",CONCATENATE((+COUNTIFS(Video_List!$C:$C,"&lt;=" &amp;Monitoring!J161)-COUNTIFS(Video_List!$C:$C,"&lt;=" &amp;Monitoring!I161))+1," videos")))</f>
        <v>1 video</v>
      </c>
      <c r="O161" s="29" t="s">
        <v>44</v>
      </c>
      <c r="P161" s="42" t="s">
        <v>37</v>
      </c>
      <c r="Q161" s="42" t="s">
        <v>56</v>
      </c>
      <c r="R161" s="42" t="s">
        <v>35</v>
      </c>
      <c r="S161" s="97" t="str">
        <f>+IFERROR(IF(T161="#N/C","#N/C",IF(U161=0,INDEX(Taxonomy_UniqueValues!D:D,MATCH(U161,Taxonomy_UniqueValues!F:F,0)),INDEX(Taxonomy_UniqueValues!D:D,MATCH(T161,Taxonomy_UniqueValues!E:E,0)))),"#N/C")</f>
        <v>#N/C</v>
      </c>
      <c r="T161" s="42" t="s">
        <v>35</v>
      </c>
      <c r="U161" s="42" t="s">
        <v>35</v>
      </c>
      <c r="V161" s="42" t="s">
        <v>35</v>
      </c>
      <c r="W161" s="42" t="s">
        <v>35</v>
      </c>
      <c r="X161" s="28" t="s">
        <v>35</v>
      </c>
      <c r="Y161" s="69" t="str" cm="1">
        <f t="array" ref="Y161">_xlfn.LET(_xlpm.cls,P161, _xlpm.ord,IFERROR(Q161,"#N/C"), _xlpm.subord,IFERROR(R161,"#N/C"), _xlpm.infr,IFERROR(S161,"#N/C"), _xlpm.sf,IFERROR(T161,"#N/C"), _xlpm.fam,IFERROR(U161,"#N/C"), _xlpm.subfam,IF(TRIM(V161)="-","#N/C",IFERROR(V161,"#N/C")),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_xlpm.fallback,IF(IFERROR(Q161,"#N/C")="#N/C",P161,IF(IFERROR(R161,"#N/C")="#N/C",Q161,IF(IFERROR(S161,"#N/C")="#N/C",R161,IF(IFERROR(T161,"#N/C")="#N/C",S161,IF(IFERROR(U161,"#N/C")="#N/C",T161,IF(IFERROR(V161,"#N/C")="#N/C",U161,"#N/C")))))), _xlpm.finalResult,IF(OR(_xlpm.computedResult="",_xlpm.computedResult="#N/C"),_xlpm.fallback,_xlpm.computedResult), INDEX(_xlpm.finalResult,1))</f>
        <v>Lepidoptera</v>
      </c>
      <c r="Z161" s="116" t="str" cm="1">
        <f t="array" ref="Z161">IF(OR(Y161="Insecta",Y161="Arachnida",Y161="#N/C"),"",IFERROR(_xlfn.LET(_xlpm.fc,IFERROR(_xlfn._xlws.FILTER(ClassificationClasses[],ClassificationClasses[Classification Class]=Y161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161,ClassificationClasses[Key])),0),MATCH(Y161,INDEX(ClassificationClasses[],MATCH(TRUE,ISNUMBER(SEARCH(Y161,ClassificationClasses[Key])),0),0),0)-1)))</f>
        <v>Insecta</v>
      </c>
      <c r="AA161" s="116" t="str" cm="1">
        <f t="array" ref="AA161">IFERROR(IF(OR(Z161="Insecta",Z161="Arachnida",Z161="#N/C"),"",INDEX(ClassificationClasses[[Class]:[Infraorder]],MATCH(TRUE,ISNUMBER(SEARCH(Z161,ClassificationClasses[Key])),0),MATCH(Z161,INDEX(ClassificationClasses[#Data], MATCH(TRUE,ISNUMBER(SEARCH(Z161,ClassificationClasses[Key])),0), 0), 0)-1)),"")</f>
        <v/>
      </c>
      <c r="AB161" s="116" t="str" cm="1">
        <f t="array" ref="AB161">IFERROR(IF(OR(AA161="Insecta",AA161="Arachnida",AA161="#N/C"),"",INDEX(ClassificationClasses[[Class]:[Suborder]],MATCH(TRUE,ISNUMBER(SEARCH(AA161,ClassificationClasses[Key])),0),MATCH(AA161,INDEX(ClassificationClasses[#Data], MATCH(TRUE,ISNUMBER(SEARCH(AA161,ClassificationClasses[Key])),0), 0), 0)-1)),"")</f>
        <v/>
      </c>
      <c r="AC161" s="116" t="str" cm="1">
        <f t="array" ref="AC161">IFERROR(IF(OR(AB161="Insecta",AB161="Arachnida",AB161="#N/C"),"",INDEX(ClassificationClasses[[Class]:[Suborder]],MATCH(TRUE,ISNUMBER(SEARCH(AB161,ClassificationClasses[Key])),0),MATCH(AB161,INDEX(ClassificationClasses[#Data], MATCH(TRUE,ISNUMBER(SEARCH(AB161,ClassificationClasses[Key])),0), 0), 0)-1)),"")</f>
        <v/>
      </c>
      <c r="AD161" s="116" t="str" cm="1">
        <f t="array" ref="AD161">IFERROR(IF(OR(AC161="Insecta",AC161="Arachnida",AC161="#N/C"),"",INDEX(ClassificationClasses[[Class]:[Suborder]],MATCH(TRUE,ISNUMBER(SEARCH(AC161,ClassificationClasses[Key])),0),MATCH(AC161,INDEX(ClassificationClasses[#Data], MATCH(TRUE,ISNUMBER(SEARCH(AC161,ClassificationClasses[Key])),0), 0), 0)-1)),"")</f>
        <v/>
      </c>
      <c r="AE161" s="18" t="str">
        <f t="shared" si="6"/>
        <v>Insecta.Lepidoptera.#N/C.#N/C.#N/C.#N/C.#N/C.#N/C.#N/C</v>
      </c>
    </row>
    <row r="162" spans="1:31" x14ac:dyDescent="0.3">
      <c r="A162" s="91">
        <v>161</v>
      </c>
      <c r="B162" s="7">
        <v>44393</v>
      </c>
      <c r="C162" s="92" t="s">
        <v>314</v>
      </c>
      <c r="D162" s="93" t="str">
        <f>HYPERLINK(VLOOKUP(C162,Video_List!$F:$J,5),"video")</f>
        <v>video</v>
      </c>
      <c r="E162" s="94" t="str">
        <f>IFERROR(IF(MATCH(C162,Video_List!$F:$F,)&gt;0,"ok",""),"error")</f>
        <v>ok</v>
      </c>
      <c r="F162" s="92" t="s">
        <v>314</v>
      </c>
      <c r="G162" s="93" t="str">
        <f>HYPERLINK(VLOOKUP(F162,Video_List!$F:$J,5),"video")</f>
        <v>video</v>
      </c>
      <c r="H162" s="94" t="str">
        <f>IFERROR(IF(MATCH(F162,Video_List!$F:$F,)&gt;0,"ok",""),"error")</f>
        <v>ok</v>
      </c>
      <c r="I162" s="17">
        <v>44393.177395833336</v>
      </c>
      <c r="J162" s="8">
        <v>44393.177511574075</v>
      </c>
      <c r="K162" s="15">
        <f t="shared" si="5"/>
        <v>1.1574073869269341E-4</v>
      </c>
      <c r="L162" s="4" t="s">
        <v>44</v>
      </c>
      <c r="M162" s="4" t="s">
        <v>33</v>
      </c>
      <c r="N162" s="96" t="str">
        <f>IF(ISBLANK(C162),"",IF(C162=F162, "1 video",CONCATENATE((+COUNTIFS(Video_List!$C:$C,"&lt;=" &amp;Monitoring!J162)-COUNTIFS(Video_List!$C:$C,"&lt;=" &amp;Monitoring!I162))+1," videos")))</f>
        <v>1 video</v>
      </c>
      <c r="O162" s="29" t="s">
        <v>44</v>
      </c>
      <c r="P162" s="42" t="s">
        <v>37</v>
      </c>
      <c r="Q162" s="42" t="s">
        <v>123</v>
      </c>
      <c r="R162" s="42" t="s">
        <v>287</v>
      </c>
      <c r="S162" s="97" t="str">
        <f>+IFERROR(IF(T162="#N/C","#N/C",IF(U162=0,INDEX(Taxonomy_UniqueValues!D:D,MATCH(U162,Taxonomy_UniqueValues!F:F,0)),INDEX(Taxonomy_UniqueValues!D:D,MATCH(T162,Taxonomy_UniqueValues!E:E,0)))),"#N/C")</f>
        <v>Tettigoniidea</v>
      </c>
      <c r="T162" s="42" t="s">
        <v>288</v>
      </c>
      <c r="U162" s="42" t="s">
        <v>289</v>
      </c>
      <c r="V162" s="42" t="s">
        <v>290</v>
      </c>
      <c r="W162" s="42" t="s">
        <v>291</v>
      </c>
      <c r="X162" s="28" t="s">
        <v>292</v>
      </c>
      <c r="Y162" s="69" t="str" cm="1">
        <f t="array" ref="Y162">_xlfn.LET(_xlpm.cls,P162, _xlpm.ord,IFERROR(Q162,"#N/C"), _xlpm.subord,IFERROR(R162,"#N/C"), _xlpm.infr,IFERROR(S162,"#N/C"), _xlpm.sf,IFERROR(T162,"#N/C"), _xlpm.fam,IFERROR(U162,"#N/C"), _xlpm.subfam,IF(TRIM(V162)="-","#N/C",IFERROR(V162,"#N/C")),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_xlpm.fallback,IF(IFERROR(Q162,"#N/C")="#N/C",P162,IF(IFERROR(R162,"#N/C")="#N/C",Q162,IF(IFERROR(S162,"#N/C")="#N/C",R162,IF(IFERROR(T162,"#N/C")="#N/C",S162,IF(IFERROR(U162,"#N/C")="#N/C",T162,IF(IFERROR(V162,"#N/C")="#N/C",U162,"#N/C")))))), _xlpm.finalResult,IF(OR(_xlpm.computedResult="",_xlpm.computedResult="#N/C"),_xlpm.fallback,_xlpm.computedResult), INDEX(_xlpm.finalResult,1))</f>
        <v>grasshopper</v>
      </c>
      <c r="Z162" s="116" t="str" cm="1">
        <f t="array" ref="Z162">IF(OR(Y162="Insecta",Y162="Arachnida",Y162="#N/C"),"",IFERROR(_xlfn.LET(_xlpm.fc,IFERROR(_xlfn._xlws.FILTER(ClassificationClasses[],ClassificationClasses[Classification Class]=Y162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162,ClassificationClasses[Key])),0),MATCH(Y162,INDEX(ClassificationClasses[],MATCH(TRUE,ISNUMBER(SEARCH(Y162,ClassificationClasses[Key])),0),0),0)-1)))</f>
        <v>Orthoptera</v>
      </c>
      <c r="AA162" s="116" t="str" cm="1">
        <f t="array" ref="AA162">IFERROR(IF(OR(Z162="Insecta",Z162="Arachnida",Z162="#N/C"),"",INDEX(ClassificationClasses[[Class]:[Infraorder]],MATCH(TRUE,ISNUMBER(SEARCH(Z162,ClassificationClasses[Key])),0),MATCH(Z162,INDEX(ClassificationClasses[#Data], MATCH(TRUE,ISNUMBER(SEARCH(Z162,ClassificationClasses[Key])),0), 0), 0)-1)),"")</f>
        <v>Insecta</v>
      </c>
      <c r="AB162" s="116" t="str" cm="1">
        <f t="array" ref="AB162">IFERROR(IF(OR(AA162="Insecta",AA162="Arachnida",AA162="#N/C"),"",INDEX(ClassificationClasses[[Class]:[Suborder]],MATCH(TRUE,ISNUMBER(SEARCH(AA162,ClassificationClasses[Key])),0),MATCH(AA162,INDEX(ClassificationClasses[#Data], MATCH(TRUE,ISNUMBER(SEARCH(AA162,ClassificationClasses[Key])),0), 0), 0)-1)),"")</f>
        <v/>
      </c>
      <c r="AC162" s="116" t="str" cm="1">
        <f t="array" ref="AC162">IFERROR(IF(OR(AB162="Insecta",AB162="Arachnida",AB162="#N/C"),"",INDEX(ClassificationClasses[[Class]:[Suborder]],MATCH(TRUE,ISNUMBER(SEARCH(AB162,ClassificationClasses[Key])),0),MATCH(AB162,INDEX(ClassificationClasses[#Data], MATCH(TRUE,ISNUMBER(SEARCH(AB162,ClassificationClasses[Key])),0), 0), 0)-1)),"")</f>
        <v/>
      </c>
      <c r="AD162" s="116" t="str" cm="1">
        <f t="array" ref="AD162">IFERROR(IF(OR(AC162="Insecta",AC162="Arachnida",AC162="#N/C"),"",INDEX(ClassificationClasses[[Class]:[Suborder]],MATCH(TRUE,ISNUMBER(SEARCH(AC162,ClassificationClasses[Key])),0),MATCH(AC162,INDEX(ClassificationClasses[#Data], MATCH(TRUE,ISNUMBER(SEARCH(AC162,ClassificationClasses[Key])),0), 0), 0)-1)),"")</f>
        <v/>
      </c>
      <c r="AE162" s="18" t="str">
        <f t="shared" si="6"/>
        <v>Insecta.Orthoptera.Ensifera.Tettigoniidea.Tettigonioidea.Tettigoniidae.Phaneropterinae.Leptophyes.punctatissima</v>
      </c>
    </row>
    <row r="163" spans="1:31" x14ac:dyDescent="0.3">
      <c r="A163" s="91">
        <v>162</v>
      </c>
      <c r="B163" s="7">
        <v>44393</v>
      </c>
      <c r="C163" s="92" t="s">
        <v>315</v>
      </c>
      <c r="D163" s="93" t="str">
        <f>HYPERLINK(VLOOKUP(C163,Video_List!$F:$J,5),"video")</f>
        <v>video</v>
      </c>
      <c r="E163" s="94" t="str">
        <f>IFERROR(IF(MATCH(C163,Video_List!$F:$F,)&gt;0,"ok",""),"error")</f>
        <v>ok</v>
      </c>
      <c r="F163" s="92" t="s">
        <v>315</v>
      </c>
      <c r="G163" s="93" t="str">
        <f>HYPERLINK(VLOOKUP(F163,Video_List!$F:$J,5),"video")</f>
        <v>video</v>
      </c>
      <c r="H163" s="94" t="str">
        <f>IFERROR(IF(MATCH(F163,Video_List!$F:$F,)&gt;0,"ok",""),"error")</f>
        <v>ok</v>
      </c>
      <c r="I163" s="17">
        <v>44393.210057870368</v>
      </c>
      <c r="J163" s="8">
        <v>44393.210173611114</v>
      </c>
      <c r="K163" s="15">
        <f t="shared" si="5"/>
        <v>1.1574074596865103E-4</v>
      </c>
      <c r="L163" s="95" t="s">
        <v>32</v>
      </c>
      <c r="M163" s="95" t="s">
        <v>33</v>
      </c>
      <c r="N163" s="96" t="str">
        <f>IF(ISBLANK(C163),"",IF(C163=F163, "1 video",CONCATENATE((+COUNTIFS(Video_List!$C:$C,"&lt;=" &amp;Monitoring!J163)-COUNTIFS(Video_List!$C:$C,"&lt;=" &amp;Monitoring!I163))+1," videos")))</f>
        <v>1 video</v>
      </c>
      <c r="O163" s="29" t="s">
        <v>44</v>
      </c>
      <c r="P163" s="42" t="s">
        <v>37</v>
      </c>
      <c r="Q163" s="42" t="s">
        <v>38</v>
      </c>
      <c r="R163" s="42" t="s">
        <v>39</v>
      </c>
      <c r="S163" s="97" t="str">
        <f>+IFERROR(IF(T163="#N/C","#N/C",IF(U163=0,INDEX(Taxonomy_UniqueValues!D:D,MATCH(U163,Taxonomy_UniqueValues!F:F,0)),INDEX(Taxonomy_UniqueValues!D:D,MATCH(T163,Taxonomy_UniqueValues!E:E,0)))),"#N/C")</f>
        <v>#N/C</v>
      </c>
      <c r="T163" s="42" t="s">
        <v>35</v>
      </c>
      <c r="U163" s="42" t="s">
        <v>35</v>
      </c>
      <c r="V163" s="42" t="s">
        <v>35</v>
      </c>
      <c r="W163" s="42" t="s">
        <v>35</v>
      </c>
      <c r="X163" s="28" t="s">
        <v>35</v>
      </c>
      <c r="Y163" s="69" t="str" cm="1">
        <f t="array" ref="Y163">_xlfn.LET(_xlpm.cls,P163, _xlpm.ord,IFERROR(Q163,"#N/C"), _xlpm.subord,IFERROR(R163,"#N/C"), _xlpm.infr,IFERROR(S163,"#N/C"), _xlpm.sf,IFERROR(T163,"#N/C"), _xlpm.fam,IFERROR(U163,"#N/C"), _xlpm.subfam,IF(TRIM(V163)="-","#N/C",IFERROR(V163,"#N/C")),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_xlpm.fallback,IF(IFERROR(Q163,"#N/C")="#N/C",P163,IF(IFERROR(R163,"#N/C")="#N/C",Q163,IF(IFERROR(S163,"#N/C")="#N/C",R163,IF(IFERROR(T163,"#N/C")="#N/C",S163,IF(IFERROR(U163,"#N/C")="#N/C",T163,IF(IFERROR(V163,"#N/C")="#N/C",U163,"#N/C")))))), _xlpm.finalResult,IF(OR(_xlpm.computedResult="",_xlpm.computedResult="#N/C"),_xlpm.fallback,_xlpm.computedResult), INDEX(_xlpm.finalResult,1))</f>
        <v>Brachycera</v>
      </c>
      <c r="Z163" s="116" t="str" cm="1">
        <f t="array" ref="Z163">IF(OR(Y163="Insecta",Y163="Arachnida",Y163="#N/C"),"",IFERROR(_xlfn.LET(_xlpm.fc,IFERROR(_xlfn._xlws.FILTER(ClassificationClasses[],ClassificationClasses[Classification Class]=Y163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163,ClassificationClasses[Key])),0),MATCH(Y163,INDEX(ClassificationClasses[],MATCH(TRUE,ISNUMBER(SEARCH(Y163,ClassificationClasses[Key])),0),0),0)-1)))</f>
        <v>Diptera</v>
      </c>
      <c r="AA163" s="116" t="str" cm="1">
        <f t="array" ref="AA163">IFERROR(IF(OR(Z163="Insecta",Z163="Arachnida",Z163="#N/C"),"",INDEX(ClassificationClasses[[Class]:[Infraorder]],MATCH(TRUE,ISNUMBER(SEARCH(Z163,ClassificationClasses[Key])),0),MATCH(Z163,INDEX(ClassificationClasses[#Data], MATCH(TRUE,ISNUMBER(SEARCH(Z163,ClassificationClasses[Key])),0), 0), 0)-1)),"")</f>
        <v>Insecta</v>
      </c>
      <c r="AB163" s="116" t="str" cm="1">
        <f t="array" ref="AB163">IFERROR(IF(OR(AA163="Insecta",AA163="Arachnida",AA163="#N/C"),"",INDEX(ClassificationClasses[[Class]:[Suborder]],MATCH(TRUE,ISNUMBER(SEARCH(AA163,ClassificationClasses[Key])),0),MATCH(AA163,INDEX(ClassificationClasses[#Data], MATCH(TRUE,ISNUMBER(SEARCH(AA163,ClassificationClasses[Key])),0), 0), 0)-1)),"")</f>
        <v/>
      </c>
      <c r="AC163" s="116" t="str" cm="1">
        <f t="array" ref="AC163">IFERROR(IF(OR(AB163="Insecta",AB163="Arachnida",AB163="#N/C"),"",INDEX(ClassificationClasses[[Class]:[Suborder]],MATCH(TRUE,ISNUMBER(SEARCH(AB163,ClassificationClasses[Key])),0),MATCH(AB163,INDEX(ClassificationClasses[#Data], MATCH(TRUE,ISNUMBER(SEARCH(AB163,ClassificationClasses[Key])),0), 0), 0)-1)),"")</f>
        <v/>
      </c>
      <c r="AD163" s="116" t="str" cm="1">
        <f t="array" ref="AD163">IFERROR(IF(OR(AC163="Insecta",AC163="Arachnida",AC163="#N/C"),"",INDEX(ClassificationClasses[[Class]:[Suborder]],MATCH(TRUE,ISNUMBER(SEARCH(AC163,ClassificationClasses[Key])),0),MATCH(AC163,INDEX(ClassificationClasses[#Data], MATCH(TRUE,ISNUMBER(SEARCH(AC163,ClassificationClasses[Key])),0), 0), 0)-1)),"")</f>
        <v/>
      </c>
      <c r="AE163" s="18" t="str">
        <f t="shared" si="6"/>
        <v>Insecta.Diptera.Brachycera.#N/C.#N/C.#N/C.#N/C.#N/C.#N/C</v>
      </c>
    </row>
    <row r="164" spans="1:31" x14ac:dyDescent="0.3">
      <c r="A164" s="91">
        <v>163</v>
      </c>
      <c r="B164" s="7">
        <v>44393</v>
      </c>
      <c r="C164" s="92" t="s">
        <v>316</v>
      </c>
      <c r="D164" s="93" t="str">
        <f>HYPERLINK(VLOOKUP(C164,Video_List!$F:$J,5),"video")</f>
        <v>video</v>
      </c>
      <c r="E164" s="94" t="str">
        <f>IFERROR(IF(MATCH(C164,Video_List!$F:$F,)&gt;0,"ok",""),"error")</f>
        <v>ok</v>
      </c>
      <c r="F164" s="92" t="s">
        <v>316</v>
      </c>
      <c r="G164" s="93" t="str">
        <f>HYPERLINK(VLOOKUP(F164,Video_List!$F:$J,5),"video")</f>
        <v>video</v>
      </c>
      <c r="H164" s="94" t="str">
        <f>IFERROR(IF(MATCH(F164,Video_List!$F:$F,)&gt;0,"ok",""),"error")</f>
        <v>ok</v>
      </c>
      <c r="I164" s="17">
        <v>44393.25953703704</v>
      </c>
      <c r="J164" s="8">
        <v>44393.259768518517</v>
      </c>
      <c r="K164" s="15">
        <f t="shared" si="5"/>
        <v>2.3148147738538682E-4</v>
      </c>
      <c r="L164" s="4" t="s">
        <v>55</v>
      </c>
      <c r="M164" s="4" t="s">
        <v>55</v>
      </c>
      <c r="N164" s="96" t="str">
        <f>IF(ISBLANK(C164),"",IF(C164=F164, "1 video",CONCATENATE((+COUNTIFS(Video_List!$C:$C,"&lt;=" &amp;Monitoring!J164)-COUNTIFS(Video_List!$C:$C,"&lt;=" &amp;Monitoring!I164))+1," videos")))</f>
        <v>1 video</v>
      </c>
      <c r="O164" s="27" t="s">
        <v>32</v>
      </c>
      <c r="P164" s="42" t="s">
        <v>37</v>
      </c>
      <c r="Q164" s="42" t="s">
        <v>56</v>
      </c>
      <c r="R164" s="42" t="s">
        <v>35</v>
      </c>
      <c r="S164" s="97" t="str">
        <f>+IFERROR(IF(T164="#N/C","#N/C",IF(U164=0,INDEX(Taxonomy_UniqueValues!D:D,MATCH(U164,Taxonomy_UniqueValues!F:F,0)),INDEX(Taxonomy_UniqueValues!D:D,MATCH(T164,Taxonomy_UniqueValues!E:E,0)))),"#N/C")</f>
        <v>#N/C</v>
      </c>
      <c r="T164" s="42" t="s">
        <v>35</v>
      </c>
      <c r="U164" s="42" t="s">
        <v>35</v>
      </c>
      <c r="V164" s="42" t="s">
        <v>35</v>
      </c>
      <c r="W164" s="42" t="s">
        <v>35</v>
      </c>
      <c r="X164" s="28" t="s">
        <v>35</v>
      </c>
      <c r="Y164" s="69" t="str" cm="1">
        <f t="array" ref="Y164">_xlfn.LET(_xlpm.cls,P164, _xlpm.ord,IFERROR(Q164,"#N/C"), _xlpm.subord,IFERROR(R164,"#N/C"), _xlpm.infr,IFERROR(S164,"#N/C"), _xlpm.sf,IFERROR(T164,"#N/C"), _xlpm.fam,IFERROR(U164,"#N/C"), _xlpm.subfam,IF(TRIM(V164)="-","#N/C",IFERROR(V164,"#N/C")),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_xlpm.fallback,IF(IFERROR(Q164,"#N/C")="#N/C",P164,IF(IFERROR(R164,"#N/C")="#N/C",Q164,IF(IFERROR(S164,"#N/C")="#N/C",R164,IF(IFERROR(T164,"#N/C")="#N/C",S164,IF(IFERROR(U164,"#N/C")="#N/C",T164,IF(IFERROR(V164,"#N/C")="#N/C",U164,"#N/C")))))), _xlpm.finalResult,IF(OR(_xlpm.computedResult="",_xlpm.computedResult="#N/C"),_xlpm.fallback,_xlpm.computedResult), INDEX(_xlpm.finalResult,1))</f>
        <v>Lepidoptera</v>
      </c>
      <c r="Z164" s="116" t="str" cm="1">
        <f t="array" ref="Z164">IF(OR(Y164="Insecta",Y164="Arachnida",Y164="#N/C"),"",IFERROR(_xlfn.LET(_xlpm.fc,IFERROR(_xlfn._xlws.FILTER(ClassificationClasses[],ClassificationClasses[Classification Class]=Y164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164,ClassificationClasses[Key])),0),MATCH(Y164,INDEX(ClassificationClasses[],MATCH(TRUE,ISNUMBER(SEARCH(Y164,ClassificationClasses[Key])),0),0),0)-1)))</f>
        <v>Insecta</v>
      </c>
      <c r="AA164" s="116" t="str" cm="1">
        <f t="array" ref="AA164">IFERROR(IF(OR(Z164="Insecta",Z164="Arachnida",Z164="#N/C"),"",INDEX(ClassificationClasses[[Class]:[Infraorder]],MATCH(TRUE,ISNUMBER(SEARCH(Z164,ClassificationClasses[Key])),0),MATCH(Z164,INDEX(ClassificationClasses[#Data], MATCH(TRUE,ISNUMBER(SEARCH(Z164,ClassificationClasses[Key])),0), 0), 0)-1)),"")</f>
        <v/>
      </c>
      <c r="AB164" s="116" t="str" cm="1">
        <f t="array" ref="AB164">IFERROR(IF(OR(AA164="Insecta",AA164="Arachnida",AA164="#N/C"),"",INDEX(ClassificationClasses[[Class]:[Suborder]],MATCH(TRUE,ISNUMBER(SEARCH(AA164,ClassificationClasses[Key])),0),MATCH(AA164,INDEX(ClassificationClasses[#Data], MATCH(TRUE,ISNUMBER(SEARCH(AA164,ClassificationClasses[Key])),0), 0), 0)-1)),"")</f>
        <v/>
      </c>
      <c r="AC164" s="116" t="str" cm="1">
        <f t="array" ref="AC164">IFERROR(IF(OR(AB164="Insecta",AB164="Arachnida",AB164="#N/C"),"",INDEX(ClassificationClasses[[Class]:[Suborder]],MATCH(TRUE,ISNUMBER(SEARCH(AB164,ClassificationClasses[Key])),0),MATCH(AB164,INDEX(ClassificationClasses[#Data], MATCH(TRUE,ISNUMBER(SEARCH(AB164,ClassificationClasses[Key])),0), 0), 0)-1)),"")</f>
        <v/>
      </c>
      <c r="AD164" s="116" t="str" cm="1">
        <f t="array" ref="AD164">IFERROR(IF(OR(AC164="Insecta",AC164="Arachnida",AC164="#N/C"),"",INDEX(ClassificationClasses[[Class]:[Suborder]],MATCH(TRUE,ISNUMBER(SEARCH(AC164,ClassificationClasses[Key])),0),MATCH(AC164,INDEX(ClassificationClasses[#Data], MATCH(TRUE,ISNUMBER(SEARCH(AC164,ClassificationClasses[Key])),0), 0), 0)-1)),"")</f>
        <v/>
      </c>
      <c r="AE164" s="18" t="str">
        <f t="shared" si="6"/>
        <v>Insecta.Lepidoptera.#N/C.#N/C.#N/C.#N/C.#N/C.#N/C.#N/C</v>
      </c>
    </row>
    <row r="165" spans="1:31" x14ac:dyDescent="0.3">
      <c r="A165" s="91">
        <v>164</v>
      </c>
      <c r="B165" s="7">
        <v>44393</v>
      </c>
      <c r="C165" s="92" t="s">
        <v>317</v>
      </c>
      <c r="D165" s="93" t="str">
        <f>HYPERLINK(VLOOKUP(C165,Video_List!$F:$J,5),"video")</f>
        <v>video</v>
      </c>
      <c r="E165" s="94" t="str">
        <f>IFERROR(IF(MATCH(C165,Video_List!$F:$F,)&gt;0,"ok",""),"error")</f>
        <v>ok</v>
      </c>
      <c r="F165" s="92" t="s">
        <v>317</v>
      </c>
      <c r="G165" s="93" t="str">
        <f>HYPERLINK(VLOOKUP(F165,Video_List!$F:$J,5),"video")</f>
        <v>video</v>
      </c>
      <c r="H165" s="94" t="str">
        <f>IFERROR(IF(MATCH(F165,Video_List!$F:$F,)&gt;0,"ok",""),"error")</f>
        <v>ok</v>
      </c>
      <c r="I165" s="17">
        <v>44393.353460648148</v>
      </c>
      <c r="J165" s="8">
        <v>44393.353506944448</v>
      </c>
      <c r="K165" s="15">
        <f t="shared" si="5"/>
        <v>4.6296299842651933E-5</v>
      </c>
      <c r="L165" s="95" t="s">
        <v>32</v>
      </c>
      <c r="M165" s="95" t="s">
        <v>33</v>
      </c>
      <c r="N165" s="96" t="str">
        <f>IF(ISBLANK(C165),"",IF(C165=F165, "1 video",CONCATENATE((+COUNTIFS(Video_List!$C:$C,"&lt;=" &amp;Monitoring!J165)-COUNTIFS(Video_List!$C:$C,"&lt;=" &amp;Monitoring!I165))+1," videos")))</f>
        <v>1 video</v>
      </c>
      <c r="O165" s="29" t="s">
        <v>44</v>
      </c>
      <c r="P165" s="42" t="s">
        <v>37</v>
      </c>
      <c r="Q165" s="42" t="s">
        <v>38</v>
      </c>
      <c r="R165" s="42" t="s">
        <v>39</v>
      </c>
      <c r="S165" s="97" t="str">
        <f>+IFERROR(IF(T165="#N/C","#N/C",IF(U165=0,INDEX(Taxonomy_UniqueValues!D:D,MATCH(U165,Taxonomy_UniqueValues!F:F,0)),INDEX(Taxonomy_UniqueValues!D:D,MATCH(T165,Taxonomy_UniqueValues!E:E,0)))),"#N/C")</f>
        <v>Muscomorpha</v>
      </c>
      <c r="T165" s="42" t="s">
        <v>46</v>
      </c>
      <c r="U165" s="42" t="s">
        <v>47</v>
      </c>
      <c r="V165" s="42" t="s">
        <v>48</v>
      </c>
      <c r="W165" s="42" t="s">
        <v>35</v>
      </c>
      <c r="X165" s="28" t="s">
        <v>35</v>
      </c>
      <c r="Y165" s="69" t="str" cm="1">
        <f t="array" ref="Y165">_xlfn.LET(_xlpm.cls,P165, _xlpm.ord,IFERROR(Q165,"#N/C"), _xlpm.subord,IFERROR(R165,"#N/C"), _xlpm.infr,IFERROR(S165,"#N/C"), _xlpm.sf,IFERROR(T165,"#N/C"), _xlpm.fam,IFERROR(U165,"#N/C"), _xlpm.subfam,IF(TRIM(V165)="-","#N/C",IFERROR(V165,"#N/C")),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_xlpm.fallback,IF(IFERROR(Q165,"#N/C")="#N/C",P165,IF(IFERROR(R165,"#N/C")="#N/C",Q165,IF(IFERROR(S165,"#N/C")="#N/C",R165,IF(IFERROR(T165,"#N/C")="#N/C",S165,IF(IFERROR(U165,"#N/C")="#N/C",T165,IF(IFERROR(V165,"#N/C")="#N/C",U165,"#N/C")))))), _xlpm.finalResult,IF(OR(_xlpm.computedResult="",_xlpm.computedResult="#N/C"),_xlpm.fallback,_xlpm.computedResult), INDEX(_xlpm.finalResult,1))</f>
        <v>hoverfly</v>
      </c>
      <c r="Z165" s="116" t="str" cm="1">
        <f t="array" ref="Z165">IF(OR(Y165="Insecta",Y165="Arachnida",Y165="#N/C"),"",IFERROR(_xlfn.LET(_xlpm.fc,IFERROR(_xlfn._xlws.FILTER(ClassificationClasses[],ClassificationClasses[Classification Class]=Y165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165,ClassificationClasses[Key])),0),MATCH(Y165,INDEX(ClassificationClasses[],MATCH(TRUE,ISNUMBER(SEARCH(Y165,ClassificationClasses[Key])),0),0),0)-1)))</f>
        <v>Muscomorpha</v>
      </c>
      <c r="AA165" s="116" t="str" cm="1">
        <f t="array" ref="AA165">IFERROR(IF(OR(Z165="Insecta",Z165="Arachnida",Z165="#N/C"),"",INDEX(ClassificationClasses[[Class]:[Infraorder]],MATCH(TRUE,ISNUMBER(SEARCH(Z165,ClassificationClasses[Key])),0),MATCH(Z165,INDEX(ClassificationClasses[#Data], MATCH(TRUE,ISNUMBER(SEARCH(Z165,ClassificationClasses[Key])),0), 0), 0)-1)),"")</f>
        <v>Brachycera</v>
      </c>
      <c r="AB165" s="116" t="str" cm="1">
        <f t="array" ref="AB165">IFERROR(IF(OR(AA165="Insecta",AA165="Arachnida",AA165="#N/C"),"",INDEX(ClassificationClasses[[Class]:[Suborder]],MATCH(TRUE,ISNUMBER(SEARCH(AA165,ClassificationClasses[Key])),0),MATCH(AA165,INDEX(ClassificationClasses[#Data], MATCH(TRUE,ISNUMBER(SEARCH(AA165,ClassificationClasses[Key])),0), 0), 0)-1)),"")</f>
        <v>Diptera</v>
      </c>
      <c r="AC165" s="116" t="str" cm="1">
        <f t="array" ref="AC165">IFERROR(IF(OR(AB165="Insecta",AB165="Arachnida",AB165="#N/C"),"",INDEX(ClassificationClasses[[Class]:[Suborder]],MATCH(TRUE,ISNUMBER(SEARCH(AB165,ClassificationClasses[Key])),0),MATCH(AB165,INDEX(ClassificationClasses[#Data], MATCH(TRUE,ISNUMBER(SEARCH(AB165,ClassificationClasses[Key])),0), 0), 0)-1)),"")</f>
        <v>Insecta</v>
      </c>
      <c r="AD165" s="116" t="str" cm="1">
        <f t="array" ref="AD165">IFERROR(IF(OR(AC165="Insecta",AC165="Arachnida",AC165="#N/C"),"",INDEX(ClassificationClasses[[Class]:[Suborder]],MATCH(TRUE,ISNUMBER(SEARCH(AC165,ClassificationClasses[Key])),0),MATCH(AC165,INDEX(ClassificationClasses[#Data], MATCH(TRUE,ISNUMBER(SEARCH(AC165,ClassificationClasses[Key])),0), 0), 0)-1)),"")</f>
        <v/>
      </c>
      <c r="AE165" s="18" t="str">
        <f t="shared" si="6"/>
        <v>Insecta.Diptera.Brachycera.Muscomorpha.Syrphoidea.Syrphidae.Syrphinae.#N/C.#N/C</v>
      </c>
    </row>
    <row r="166" spans="1:31" x14ac:dyDescent="0.3">
      <c r="A166" s="91">
        <v>165</v>
      </c>
      <c r="B166" s="7">
        <v>44393</v>
      </c>
      <c r="C166" s="92" t="s">
        <v>318</v>
      </c>
      <c r="D166" s="93" t="str">
        <f>HYPERLINK(VLOOKUP(C166,Video_List!$F:$J,5),"video")</f>
        <v>video</v>
      </c>
      <c r="E166" s="94" t="str">
        <f>IFERROR(IF(MATCH(C166,Video_List!$F:$F,)&gt;0,"ok",""),"error")</f>
        <v>ok</v>
      </c>
      <c r="F166" s="92" t="s">
        <v>318</v>
      </c>
      <c r="G166" s="93" t="str">
        <f>HYPERLINK(VLOOKUP(F166,Video_List!$F:$J,5),"video")</f>
        <v>video</v>
      </c>
      <c r="H166" s="94" t="str">
        <f>IFERROR(IF(MATCH(F166,Video_List!$F:$F,)&gt;0,"ok",""),"error")</f>
        <v>ok</v>
      </c>
      <c r="I166" s="17">
        <v>44393.505104166667</v>
      </c>
      <c r="J166" s="8">
        <v>44393.505798611113</v>
      </c>
      <c r="K166" s="15">
        <f t="shared" si="5"/>
        <v>6.944444467080757E-4</v>
      </c>
      <c r="L166" s="95" t="s">
        <v>32</v>
      </c>
      <c r="M166" s="95" t="s">
        <v>33</v>
      </c>
      <c r="N166" s="96" t="str">
        <f>IF(ISBLANK(C166),"",IF(C166=F166, "1 video",CONCATENATE((+COUNTIFS(Video_List!$C:$C,"&lt;=" &amp;Monitoring!J166)-COUNTIFS(Video_List!$C:$C,"&lt;=" &amp;Monitoring!I166))+1," videos")))</f>
        <v>1 video</v>
      </c>
      <c r="O166" s="29" t="s">
        <v>44</v>
      </c>
      <c r="P166" s="42" t="s">
        <v>37</v>
      </c>
      <c r="Q166" s="42" t="s">
        <v>38</v>
      </c>
      <c r="R166" s="42" t="s">
        <v>39</v>
      </c>
      <c r="S166" s="97" t="str">
        <f>+IFERROR(IF(T166="#N/C","#N/C",IF(U166=0,INDEX(Taxonomy_UniqueValues!D:D,MATCH(U166,Taxonomy_UniqueValues!F:F,0)),INDEX(Taxonomy_UniqueValues!D:D,MATCH(T166,Taxonomy_UniqueValues!E:E,0)))),"#N/C")</f>
        <v>Muscomorpha</v>
      </c>
      <c r="T166" s="42" t="s">
        <v>46</v>
      </c>
      <c r="U166" s="42" t="s">
        <v>47</v>
      </c>
      <c r="V166" s="42" t="s">
        <v>48</v>
      </c>
      <c r="W166" s="42" t="s">
        <v>49</v>
      </c>
      <c r="X166" s="28" t="s">
        <v>35</v>
      </c>
      <c r="Y166" s="69" t="str" cm="1">
        <f t="array" ref="Y166">_xlfn.LET(_xlpm.cls,P166, _xlpm.ord,IFERROR(Q166,"#N/C"), _xlpm.subord,IFERROR(R166,"#N/C"), _xlpm.infr,IFERROR(S166,"#N/C"), _xlpm.sf,IFERROR(T166,"#N/C"), _xlpm.fam,IFERROR(U166,"#N/C"), _xlpm.subfam,IF(TRIM(V166)="-","#N/C",IFERROR(V166,"#N/C")),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_xlpm.fallback,IF(IFERROR(Q166,"#N/C")="#N/C",P166,IF(IFERROR(R166,"#N/C")="#N/C",Q166,IF(IFERROR(S166,"#N/C")="#N/C",R166,IF(IFERROR(T166,"#N/C")="#N/C",S166,IF(IFERROR(U166,"#N/C")="#N/C",T166,IF(IFERROR(V166,"#N/C")="#N/C",U166,"#N/C")))))), _xlpm.finalResult,IF(OR(_xlpm.computedResult="",_xlpm.computedResult="#N/C"),_xlpm.fallback,_xlpm.computedResult), INDEX(_xlpm.finalResult,1))</f>
        <v>hoverfly</v>
      </c>
      <c r="Z166" s="116" t="str" cm="1">
        <f t="array" ref="Z166">IF(OR(Y166="Insecta",Y166="Arachnida",Y166="#N/C"),"",IFERROR(_xlfn.LET(_xlpm.fc,IFERROR(_xlfn._xlws.FILTER(ClassificationClasses[],ClassificationClasses[Classification Class]=Y166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166,ClassificationClasses[Key])),0),MATCH(Y166,INDEX(ClassificationClasses[],MATCH(TRUE,ISNUMBER(SEARCH(Y166,ClassificationClasses[Key])),0),0),0)-1)))</f>
        <v>Muscomorpha</v>
      </c>
      <c r="AA166" s="116" t="str" cm="1">
        <f t="array" ref="AA166">IFERROR(IF(OR(Z166="Insecta",Z166="Arachnida",Z166="#N/C"),"",INDEX(ClassificationClasses[[Class]:[Infraorder]],MATCH(TRUE,ISNUMBER(SEARCH(Z166,ClassificationClasses[Key])),0),MATCH(Z166,INDEX(ClassificationClasses[#Data], MATCH(TRUE,ISNUMBER(SEARCH(Z166,ClassificationClasses[Key])),0), 0), 0)-1)),"")</f>
        <v>Brachycera</v>
      </c>
      <c r="AB166" s="116" t="str" cm="1">
        <f t="array" ref="AB166">IFERROR(IF(OR(AA166="Insecta",AA166="Arachnida",AA166="#N/C"),"",INDEX(ClassificationClasses[[Class]:[Suborder]],MATCH(TRUE,ISNUMBER(SEARCH(AA166,ClassificationClasses[Key])),0),MATCH(AA166,INDEX(ClassificationClasses[#Data], MATCH(TRUE,ISNUMBER(SEARCH(AA166,ClassificationClasses[Key])),0), 0), 0)-1)),"")</f>
        <v>Diptera</v>
      </c>
      <c r="AC166" s="116" t="str" cm="1">
        <f t="array" ref="AC166">IFERROR(IF(OR(AB166="Insecta",AB166="Arachnida",AB166="#N/C"),"",INDEX(ClassificationClasses[[Class]:[Suborder]],MATCH(TRUE,ISNUMBER(SEARCH(AB166,ClassificationClasses[Key])),0),MATCH(AB166,INDEX(ClassificationClasses[#Data], MATCH(TRUE,ISNUMBER(SEARCH(AB166,ClassificationClasses[Key])),0), 0), 0)-1)),"")</f>
        <v>Insecta</v>
      </c>
      <c r="AD166" s="116" t="str" cm="1">
        <f t="array" ref="AD166">IFERROR(IF(OR(AC166="Insecta",AC166="Arachnida",AC166="#N/C"),"",INDEX(ClassificationClasses[[Class]:[Suborder]],MATCH(TRUE,ISNUMBER(SEARCH(AC166,ClassificationClasses[Key])),0),MATCH(AC166,INDEX(ClassificationClasses[#Data], MATCH(TRUE,ISNUMBER(SEARCH(AC166,ClassificationClasses[Key])),0), 0), 0)-1)),"")</f>
        <v/>
      </c>
      <c r="AE166" s="18" t="str">
        <f t="shared" si="6"/>
        <v>Insecta.Diptera.Brachycera.Muscomorpha.Syrphoidea.Syrphidae.Syrphinae.Sphaerophoria.#N/C</v>
      </c>
    </row>
    <row r="167" spans="1:31" x14ac:dyDescent="0.3">
      <c r="A167" s="91">
        <v>166</v>
      </c>
      <c r="B167" s="7">
        <v>44393</v>
      </c>
      <c r="C167" s="92" t="s">
        <v>319</v>
      </c>
      <c r="D167" s="93" t="str">
        <f>HYPERLINK(VLOOKUP(C167,Video_List!$F:$J,5),"video")</f>
        <v>video</v>
      </c>
      <c r="E167" s="94" t="str">
        <f>IFERROR(IF(MATCH(C167,Video_List!$F:$F,)&gt;0,"ok",""),"error")</f>
        <v>ok</v>
      </c>
      <c r="F167" s="92" t="s">
        <v>320</v>
      </c>
      <c r="G167" s="93" t="str">
        <f>HYPERLINK(VLOOKUP(F167,Video_List!$F:$J,5),"video")</f>
        <v>video</v>
      </c>
      <c r="H167" s="94" t="str">
        <f>IFERROR(IF(MATCH(F167,Video_List!$F:$F,)&gt;0,"ok",""),"error")</f>
        <v>ok</v>
      </c>
      <c r="I167" s="17">
        <v>44393.53533564815</v>
      </c>
      <c r="J167" s="8">
        <v>44393.566643518519</v>
      </c>
      <c r="K167" s="15">
        <f t="shared" si="5"/>
        <v>3.1307870369346347E-2</v>
      </c>
      <c r="L167" s="95" t="s">
        <v>44</v>
      </c>
      <c r="M167" s="95" t="s">
        <v>33</v>
      </c>
      <c r="N167" s="96" t="str">
        <f>IF(ISBLANK(C167),"",IF(C167=F167, "1 video",CONCATENATE((+COUNTIFS(Video_List!$C:$C,"&lt;=" &amp;Monitoring!J167)-COUNTIFS(Video_List!$C:$C,"&lt;=" &amp;Monitoring!I167))+1," videos")))</f>
        <v>2 videos</v>
      </c>
      <c r="O167" s="27" t="s">
        <v>32</v>
      </c>
      <c r="P167" s="120" t="str">
        <f>+IFERROR(IF(Q167="#N/C","#N/C",INDEX(Taxonomy_UniqueValues!A:A,MATCH(Q167,Taxonomy_UniqueValues!B:B,0))),"#N/C")</f>
        <v>Insecta</v>
      </c>
      <c r="Q167" s="120" t="str">
        <f>+IFERROR(IF(R167="#N/C","#N/C",INDEX(Taxonomy_UniqueValues!B:B,MATCH(R167,Taxonomy_UniqueValues!C:C,0))),"#N/C")</f>
        <v>Hymenoptera</v>
      </c>
      <c r="R167" s="120" t="str">
        <f>+IFERROR(IF(S167="#N/C","#N/C",INDEX(Taxonomy_UniqueValues!C:C,MATCH(S167,Taxonomy_UniqueValues!D:D,0))),"#N/C")</f>
        <v>Apocrita</v>
      </c>
      <c r="S167" s="120" t="str">
        <f>+IFERROR(IF(T167="#N/C","#N/C",INDEX(Taxonomy_UniqueValues!D:D,MATCH(T167,Taxonomy_UniqueValues!E:E,0))),"#N/C")</f>
        <v>Aculeata</v>
      </c>
      <c r="T167" s="120" t="str">
        <f>+IFERROR(IF(U167="#N/C","#N/C",INDEX(Taxonomy_UniqueValues!E:E,MATCH(U167,Taxonomy_UniqueValues!F:F,0))),"#N/C")</f>
        <v>Formicoidea</v>
      </c>
      <c r="U167" s="120" t="str">
        <f>+IFERROR(IF(V167="#N/C","#N/C",INDEX(Taxonomy_UniqueValues!F:F,MATCH(V167,Taxonomy_UniqueValues!G:G,0))),"#N/C")</f>
        <v>Formicidae</v>
      </c>
      <c r="V167" s="120" t="str">
        <f>+IFERROR(IF(W167="#N/C","#N/C",INDEX(Taxonomy_UniqueValues!G:G,MATCH(W167,Taxonomy_UniqueValues!H:H,0))),"#N/C")</f>
        <v>Formicinae</v>
      </c>
      <c r="W167" s="42" t="s">
        <v>321</v>
      </c>
      <c r="X167" s="28" t="s">
        <v>35</v>
      </c>
      <c r="Y167" s="69" t="str" cm="1">
        <f t="array" ref="Y167">_xlfn.LET(_xlpm.cls,P167, _xlpm.ord,IFERROR(Q167,"#N/C"), _xlpm.subord,IFERROR(R167,"#N/C"), _xlpm.infr,IFERROR(S167,"#N/C"), _xlpm.sf,IFERROR(T167,"#N/C"), _xlpm.fam,IFERROR(U167,"#N/C"), _xlpm.subfam,IF(TRIM(V167)="-","#N/C",IFERROR(V167,"#N/C")),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_xlpm.fallback,IF(IFERROR(Q167,"#N/C")="#N/C",P167,IF(IFERROR(R167,"#N/C")="#N/C",Q167,IF(IFERROR(S167,"#N/C")="#N/C",R167,IF(IFERROR(T167,"#N/C")="#N/C",S167,IF(IFERROR(U167,"#N/C")="#N/C",T167,IF(IFERROR(V167,"#N/C")="#N/C",U167,"#N/C")))))), _xlpm.finalResult,IF(OR(_xlpm.computedResult="",_xlpm.computedResult="#N/C"),_xlpm.fallback,_xlpm.computedResult), INDEX(_xlpm.finalResult,1))</f>
        <v>ant</v>
      </c>
      <c r="Z167" s="116" t="str" cm="1">
        <f t="array" ref="Z167">IF(OR(Y167="Insecta",Y167="Arachnida",Y167="#N/C"),"",IFERROR(_xlfn.LET(_xlpm.fc,IFERROR(_xlfn._xlws.FILTER(ClassificationClasses[],ClassificationClasses[Classification Class]=Y167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167,ClassificationClasses[Key])),0),MATCH(Y167,INDEX(ClassificationClasses[],MATCH(TRUE,ISNUMBER(SEARCH(Y167,ClassificationClasses[Key])),0),0),0)-1)))</f>
        <v>Aculeata</v>
      </c>
      <c r="AA167" s="116" t="str" cm="1">
        <f t="array" ref="AA167">IFERROR(IF(OR(Z167="Insecta",Z167="Arachnida",Z167="#N/C"),"",INDEX(ClassificationClasses[[Class]:[Infraorder]],MATCH(TRUE,ISNUMBER(SEARCH(Z167,ClassificationClasses[Key])),0),MATCH(Z167,INDEX(ClassificationClasses[#Data], MATCH(TRUE,ISNUMBER(SEARCH(Z167,ClassificationClasses[Key])),0), 0), 0)-1)),"")</f>
        <v>Apocrita</v>
      </c>
      <c r="AB167" s="116" t="str" cm="1">
        <f t="array" ref="AB167">IFERROR(IF(OR(AA167="Insecta",AA167="Arachnida",AA167="#N/C"),"",INDEX(ClassificationClasses[[Class]:[Suborder]],MATCH(TRUE,ISNUMBER(SEARCH(AA167,ClassificationClasses[Key])),0),MATCH(AA167,INDEX(ClassificationClasses[#Data], MATCH(TRUE,ISNUMBER(SEARCH(AA167,ClassificationClasses[Key])),0), 0), 0)-1)),"")</f>
        <v>Hymenoptera</v>
      </c>
      <c r="AC167" s="116" t="str" cm="1">
        <f t="array" ref="AC167">IFERROR(IF(OR(AB167="Insecta",AB167="Arachnida",AB167="#N/C"),"",INDEX(ClassificationClasses[[Class]:[Suborder]],MATCH(TRUE,ISNUMBER(SEARCH(AB167,ClassificationClasses[Key])),0),MATCH(AB167,INDEX(ClassificationClasses[#Data], MATCH(TRUE,ISNUMBER(SEARCH(AB167,ClassificationClasses[Key])),0), 0), 0)-1)),"")</f>
        <v>Insecta</v>
      </c>
      <c r="AD167" s="116" t="str" cm="1">
        <f t="array" ref="AD167">IFERROR(IF(OR(AC167="Insecta",AC167="Arachnida",AC167="#N/C"),"",INDEX(ClassificationClasses[[Class]:[Suborder]],MATCH(TRUE,ISNUMBER(SEARCH(AC167,ClassificationClasses[Key])),0),MATCH(AC167,INDEX(ClassificationClasses[#Data], MATCH(TRUE,ISNUMBER(SEARCH(AC167,ClassificationClasses[Key])),0), 0), 0)-1)),"")</f>
        <v/>
      </c>
      <c r="AE167" s="18" t="str">
        <f t="shared" si="6"/>
        <v>Insecta.Hymenoptera.Apocrita.Aculeata.Formicoidea.Formicidae.Formicinae.Formica.#N/C</v>
      </c>
    </row>
    <row r="168" spans="1:31" x14ac:dyDescent="0.3">
      <c r="A168" s="91">
        <v>167</v>
      </c>
      <c r="B168" s="7">
        <v>44393</v>
      </c>
      <c r="C168" s="92" t="s">
        <v>322</v>
      </c>
      <c r="D168" s="93" t="str">
        <f>HYPERLINK(VLOOKUP(C168,Video_List!$F:$J,5),"video")</f>
        <v>video</v>
      </c>
      <c r="E168" s="94" t="str">
        <f>IFERROR(IF(MATCH(C168,Video_List!$F:$F,)&gt;0,"ok",""),"error")</f>
        <v>ok</v>
      </c>
      <c r="F168" s="92" t="s">
        <v>322</v>
      </c>
      <c r="G168" s="93" t="str">
        <f>HYPERLINK(VLOOKUP(F168,Video_List!$F:$J,5),"video")</f>
        <v>video</v>
      </c>
      <c r="H168" s="94" t="str">
        <f>IFERROR(IF(MATCH(F168,Video_List!$F:$F,)&gt;0,"ok",""),"error")</f>
        <v>ok</v>
      </c>
      <c r="I168" s="17">
        <v>44393.650555555556</v>
      </c>
      <c r="J168" s="8">
        <v>44393.650717592594</v>
      </c>
      <c r="K168" s="15">
        <f t="shared" si="5"/>
        <v>1.6203703853534535E-4</v>
      </c>
      <c r="L168" s="4" t="s">
        <v>32</v>
      </c>
      <c r="M168" s="4" t="s">
        <v>33</v>
      </c>
      <c r="N168" s="96" t="str">
        <f>IF(ISBLANK(C168),"",IF(C168=F168, "1 video",CONCATENATE((+COUNTIFS(Video_List!$C:$C,"&lt;=" &amp;Monitoring!J168)-COUNTIFS(Video_List!$C:$C,"&lt;=" &amp;Monitoring!I168))+1," videos")))</f>
        <v>1 video</v>
      </c>
      <c r="O168" s="27" t="s">
        <v>32</v>
      </c>
      <c r="P168" s="42" t="s">
        <v>37</v>
      </c>
      <c r="Q168" s="42" t="s">
        <v>38</v>
      </c>
      <c r="R168" s="42" t="s">
        <v>39</v>
      </c>
      <c r="S168" s="97" t="str">
        <f>+IFERROR(IF(T168="#N/C","#N/C",IF(U168=0,INDEX(Taxonomy_UniqueValues!D:D,MATCH(U168,Taxonomy_UniqueValues!F:F,0)),INDEX(Taxonomy_UniqueValues!D:D,MATCH(T168,Taxonomy_UniqueValues!E:E,0)))),"#N/C")</f>
        <v>#N/C</v>
      </c>
      <c r="T168" s="42" t="s">
        <v>35</v>
      </c>
      <c r="U168" s="42" t="s">
        <v>35</v>
      </c>
      <c r="V168" s="42" t="s">
        <v>35</v>
      </c>
      <c r="W168" s="42" t="s">
        <v>35</v>
      </c>
      <c r="X168" s="28" t="s">
        <v>35</v>
      </c>
      <c r="Y168" s="69" t="str" cm="1">
        <f t="array" ref="Y168">_xlfn.LET(_xlpm.cls,P168, _xlpm.ord,IFERROR(Q168,"#N/C"), _xlpm.subord,IFERROR(R168,"#N/C"), _xlpm.infr,IFERROR(S168,"#N/C"), _xlpm.sf,IFERROR(T168,"#N/C"), _xlpm.fam,IFERROR(U168,"#N/C"), _xlpm.subfam,IF(TRIM(V168)="-","#N/C",IFERROR(V168,"#N/C")),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_xlpm.fallback,IF(IFERROR(Q168,"#N/C")="#N/C",P168,IF(IFERROR(R168,"#N/C")="#N/C",Q168,IF(IFERROR(S168,"#N/C")="#N/C",R168,IF(IFERROR(T168,"#N/C")="#N/C",S168,IF(IFERROR(U168,"#N/C")="#N/C",T168,IF(IFERROR(V168,"#N/C")="#N/C",U168,"#N/C")))))), _xlpm.finalResult,IF(OR(_xlpm.computedResult="",_xlpm.computedResult="#N/C"),_xlpm.fallback,_xlpm.computedResult), INDEX(_xlpm.finalResult,1))</f>
        <v>Brachycera</v>
      </c>
      <c r="Z168" s="116" t="str" cm="1">
        <f t="array" ref="Z168">IF(OR(Y168="Insecta",Y168="Arachnida",Y168="#N/C"),"",IFERROR(_xlfn.LET(_xlpm.fc,IFERROR(_xlfn._xlws.FILTER(ClassificationClasses[],ClassificationClasses[Classification Class]=Y168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168,ClassificationClasses[Key])),0),MATCH(Y168,INDEX(ClassificationClasses[],MATCH(TRUE,ISNUMBER(SEARCH(Y168,ClassificationClasses[Key])),0),0),0)-1)))</f>
        <v>Diptera</v>
      </c>
      <c r="AA168" s="116" t="str" cm="1">
        <f t="array" ref="AA168">IFERROR(IF(OR(Z168="Insecta",Z168="Arachnida",Z168="#N/C"),"",INDEX(ClassificationClasses[[Class]:[Infraorder]],MATCH(TRUE,ISNUMBER(SEARCH(Z168,ClassificationClasses[Key])),0),MATCH(Z168,INDEX(ClassificationClasses[#Data], MATCH(TRUE,ISNUMBER(SEARCH(Z168,ClassificationClasses[Key])),0), 0), 0)-1)),"")</f>
        <v>Insecta</v>
      </c>
      <c r="AB168" s="116" t="str" cm="1">
        <f t="array" ref="AB168">IFERROR(IF(OR(AA168="Insecta",AA168="Arachnida",AA168="#N/C"),"",INDEX(ClassificationClasses[[Class]:[Suborder]],MATCH(TRUE,ISNUMBER(SEARCH(AA168,ClassificationClasses[Key])),0),MATCH(AA168,INDEX(ClassificationClasses[#Data], MATCH(TRUE,ISNUMBER(SEARCH(AA168,ClassificationClasses[Key])),0), 0), 0)-1)),"")</f>
        <v/>
      </c>
      <c r="AC168" s="116" t="str" cm="1">
        <f t="array" ref="AC168">IFERROR(IF(OR(AB168="Insecta",AB168="Arachnida",AB168="#N/C"),"",INDEX(ClassificationClasses[[Class]:[Suborder]],MATCH(TRUE,ISNUMBER(SEARCH(AB168,ClassificationClasses[Key])),0),MATCH(AB168,INDEX(ClassificationClasses[#Data], MATCH(TRUE,ISNUMBER(SEARCH(AB168,ClassificationClasses[Key])),0), 0), 0)-1)),"")</f>
        <v/>
      </c>
      <c r="AD168" s="116" t="str" cm="1">
        <f t="array" ref="AD168">IFERROR(IF(OR(AC168="Insecta",AC168="Arachnida",AC168="#N/C"),"",INDEX(ClassificationClasses[[Class]:[Suborder]],MATCH(TRUE,ISNUMBER(SEARCH(AC168,ClassificationClasses[Key])),0),MATCH(AC168,INDEX(ClassificationClasses[#Data], MATCH(TRUE,ISNUMBER(SEARCH(AC168,ClassificationClasses[Key])),0), 0), 0)-1)),"")</f>
        <v/>
      </c>
      <c r="AE168" s="18" t="str">
        <f t="shared" si="6"/>
        <v>Insecta.Diptera.Brachycera.#N/C.#N/C.#N/C.#N/C.#N/C.#N/C</v>
      </c>
    </row>
    <row r="169" spans="1:31" x14ac:dyDescent="0.3">
      <c r="A169" s="91">
        <v>168</v>
      </c>
      <c r="B169" s="7">
        <v>44393</v>
      </c>
      <c r="C169" s="92" t="s">
        <v>323</v>
      </c>
      <c r="D169" s="93" t="str">
        <f>HYPERLINK(VLOOKUP(C169,Video_List!$F:$J,5),"video")</f>
        <v>video</v>
      </c>
      <c r="E169" s="94" t="str">
        <f>IFERROR(IF(MATCH(C169,Video_List!$F:$F,)&gt;0,"ok",""),"error")</f>
        <v>ok</v>
      </c>
      <c r="F169" s="92" t="s">
        <v>323</v>
      </c>
      <c r="G169" s="93" t="str">
        <f>HYPERLINK(VLOOKUP(F169,Video_List!$F:$J,5),"video")</f>
        <v>video</v>
      </c>
      <c r="H169" s="94" t="str">
        <f>IFERROR(IF(MATCH(F169,Video_List!$F:$F,)&gt;0,"ok",""),"error")</f>
        <v>ok</v>
      </c>
      <c r="I169" s="17">
        <v>44393.663912037038</v>
      </c>
      <c r="J169" s="8">
        <v>44393.663969907408</v>
      </c>
      <c r="K169" s="15">
        <f t="shared" si="5"/>
        <v>5.7870369346346706E-5</v>
      </c>
      <c r="L169" s="4" t="s">
        <v>32</v>
      </c>
      <c r="M169" s="4" t="s">
        <v>33</v>
      </c>
      <c r="N169" s="96" t="str">
        <f>IF(ISBLANK(C169),"",IF(C169=F169, "1 video",CONCATENATE((+COUNTIFS(Video_List!$C:$C,"&lt;=" &amp;Monitoring!J169)-COUNTIFS(Video_List!$C:$C,"&lt;=" &amp;Monitoring!I169))+1," videos")))</f>
        <v>1 video</v>
      </c>
      <c r="O169" s="29" t="s">
        <v>44</v>
      </c>
      <c r="P169" s="42" t="s">
        <v>37</v>
      </c>
      <c r="Q169" s="42" t="s">
        <v>38</v>
      </c>
      <c r="R169" s="42" t="s">
        <v>39</v>
      </c>
      <c r="S169" s="97" t="str">
        <f>+IFERROR(IF(T169="#N/C","#N/C",IF(U169=0,INDEX(Taxonomy_UniqueValues!D:D,MATCH(U169,Taxonomy_UniqueValues!F:F,0)),INDEX(Taxonomy_UniqueValues!D:D,MATCH(T169,Taxonomy_UniqueValues!E:E,0)))),"#N/C")</f>
        <v>#N/C</v>
      </c>
      <c r="T169" s="42" t="s">
        <v>35</v>
      </c>
      <c r="U169" s="42" t="s">
        <v>35</v>
      </c>
      <c r="V169" s="42" t="s">
        <v>35</v>
      </c>
      <c r="W169" s="42" t="s">
        <v>35</v>
      </c>
      <c r="X169" s="28" t="s">
        <v>35</v>
      </c>
      <c r="Y169" s="69" t="str" cm="1">
        <f t="array" ref="Y169">_xlfn.LET(_xlpm.cls,P169, _xlpm.ord,IFERROR(Q169,"#N/C"), _xlpm.subord,IFERROR(R169,"#N/C"), _xlpm.infr,IFERROR(S169,"#N/C"), _xlpm.sf,IFERROR(T169,"#N/C"), _xlpm.fam,IFERROR(U169,"#N/C"), _xlpm.subfam,IF(TRIM(V169)="-","#N/C",IFERROR(V169,"#N/C")),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_xlpm.fallback,IF(IFERROR(Q169,"#N/C")="#N/C",P169,IF(IFERROR(R169,"#N/C")="#N/C",Q169,IF(IFERROR(S169,"#N/C")="#N/C",R169,IF(IFERROR(T169,"#N/C")="#N/C",S169,IF(IFERROR(U169,"#N/C")="#N/C",T169,IF(IFERROR(V169,"#N/C")="#N/C",U169,"#N/C")))))), _xlpm.finalResult,IF(OR(_xlpm.computedResult="",_xlpm.computedResult="#N/C"),_xlpm.fallback,_xlpm.computedResult), INDEX(_xlpm.finalResult,1))</f>
        <v>Brachycera</v>
      </c>
      <c r="Z169" s="116" t="str" cm="1">
        <f t="array" ref="Z169">IF(OR(Y169="Insecta",Y169="Arachnida",Y169="#N/C"),"",IFERROR(_xlfn.LET(_xlpm.fc,IFERROR(_xlfn._xlws.FILTER(ClassificationClasses[],ClassificationClasses[Classification Class]=Y169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169,ClassificationClasses[Key])),0),MATCH(Y169,INDEX(ClassificationClasses[],MATCH(TRUE,ISNUMBER(SEARCH(Y169,ClassificationClasses[Key])),0),0),0)-1)))</f>
        <v>Diptera</v>
      </c>
      <c r="AA169" s="116" t="str" cm="1">
        <f t="array" ref="AA169">IFERROR(IF(OR(Z169="Insecta",Z169="Arachnida",Z169="#N/C"),"",INDEX(ClassificationClasses[[Class]:[Infraorder]],MATCH(TRUE,ISNUMBER(SEARCH(Z169,ClassificationClasses[Key])),0),MATCH(Z169,INDEX(ClassificationClasses[#Data], MATCH(TRUE,ISNUMBER(SEARCH(Z169,ClassificationClasses[Key])),0), 0), 0)-1)),"")</f>
        <v>Insecta</v>
      </c>
      <c r="AB169" s="116" t="str" cm="1">
        <f t="array" ref="AB169">IFERROR(IF(OR(AA169="Insecta",AA169="Arachnida",AA169="#N/C"),"",INDEX(ClassificationClasses[[Class]:[Suborder]],MATCH(TRUE,ISNUMBER(SEARCH(AA169,ClassificationClasses[Key])),0),MATCH(AA169,INDEX(ClassificationClasses[#Data], MATCH(TRUE,ISNUMBER(SEARCH(AA169,ClassificationClasses[Key])),0), 0), 0)-1)),"")</f>
        <v/>
      </c>
      <c r="AC169" s="116" t="str" cm="1">
        <f t="array" ref="AC169">IFERROR(IF(OR(AB169="Insecta",AB169="Arachnida",AB169="#N/C"),"",INDEX(ClassificationClasses[[Class]:[Suborder]],MATCH(TRUE,ISNUMBER(SEARCH(AB169,ClassificationClasses[Key])),0),MATCH(AB169,INDEX(ClassificationClasses[#Data], MATCH(TRUE,ISNUMBER(SEARCH(AB169,ClassificationClasses[Key])),0), 0), 0)-1)),"")</f>
        <v/>
      </c>
      <c r="AD169" s="116" t="str" cm="1">
        <f t="array" ref="AD169">IFERROR(IF(OR(AC169="Insecta",AC169="Arachnida",AC169="#N/C"),"",INDEX(ClassificationClasses[[Class]:[Suborder]],MATCH(TRUE,ISNUMBER(SEARCH(AC169,ClassificationClasses[Key])),0),MATCH(AC169,INDEX(ClassificationClasses[#Data], MATCH(TRUE,ISNUMBER(SEARCH(AC169,ClassificationClasses[Key])),0), 0), 0)-1)),"")</f>
        <v/>
      </c>
      <c r="AE169" s="18" t="str">
        <f t="shared" si="6"/>
        <v>Insecta.Diptera.Brachycera.#N/C.#N/C.#N/C.#N/C.#N/C.#N/C</v>
      </c>
    </row>
    <row r="170" spans="1:31" x14ac:dyDescent="0.3">
      <c r="A170" s="91">
        <v>169</v>
      </c>
      <c r="B170" s="7">
        <v>44393</v>
      </c>
      <c r="C170" s="92" t="s">
        <v>324</v>
      </c>
      <c r="D170" s="93" t="str">
        <f>HYPERLINK(VLOOKUP(C170,Video_List!$F:$J,5),"video")</f>
        <v>video</v>
      </c>
      <c r="E170" s="94" t="str">
        <f>IFERROR(IF(MATCH(C170,Video_List!$F:$F,)&gt;0,"ok",""),"error")</f>
        <v>ok</v>
      </c>
      <c r="F170" s="92" t="s">
        <v>324</v>
      </c>
      <c r="G170" s="93" t="str">
        <f>HYPERLINK(VLOOKUP(F170,Video_List!$F:$J,5),"video")</f>
        <v>video</v>
      </c>
      <c r="H170" s="94" t="str">
        <f>IFERROR(IF(MATCH(F170,Video_List!$F:$F,)&gt;0,"ok",""),"error")</f>
        <v>ok</v>
      </c>
      <c r="I170" s="17">
        <v>44393.72084490741</v>
      </c>
      <c r="J170" s="8">
        <v>44393.720972222225</v>
      </c>
      <c r="K170" s="15">
        <f t="shared" si="5"/>
        <v>1.273148154723458E-4</v>
      </c>
      <c r="L170" s="4" t="s">
        <v>55</v>
      </c>
      <c r="M170" s="4" t="s">
        <v>55</v>
      </c>
      <c r="N170" s="96" t="str">
        <f>IF(ISBLANK(C170),"",IF(C170=F170, "1 video",CONCATENATE((+COUNTIFS(Video_List!$C:$C,"&lt;=" &amp;Monitoring!J170)-COUNTIFS(Video_List!$C:$C,"&lt;=" &amp;Monitoring!I170))+1," videos")))</f>
        <v>1 video</v>
      </c>
      <c r="O170" s="27" t="s">
        <v>32</v>
      </c>
      <c r="P170" s="42" t="s">
        <v>37</v>
      </c>
      <c r="Q170" s="42" t="s">
        <v>41</v>
      </c>
      <c r="R170" s="42" t="s">
        <v>42</v>
      </c>
      <c r="S170" s="97" t="str">
        <f>+IFERROR(IF(T170="#N/C","#N/C",IF(U170=0,INDEX(Taxonomy_UniqueValues!D:D,MATCH(U170,Taxonomy_UniqueValues!F:F,0)),INDEX(Taxonomy_UniqueValues!D:D,MATCH(T170,Taxonomy_UniqueValues!E:E,0)))),"#N/C")</f>
        <v>Parasitica</v>
      </c>
      <c r="T170" s="42" t="s">
        <v>71</v>
      </c>
      <c r="U170" s="42" t="s">
        <v>72</v>
      </c>
      <c r="V170" s="42" t="s">
        <v>325</v>
      </c>
      <c r="W170" s="42" t="s">
        <v>326</v>
      </c>
      <c r="X170" s="28" t="s">
        <v>35</v>
      </c>
      <c r="Y170" s="69" t="str" cm="1">
        <f t="array" ref="Y170">_xlfn.LET(_xlpm.cls,P170, _xlpm.ord,IFERROR(Q170,"#N/C"), _xlpm.subord,IFERROR(R170,"#N/C"), _xlpm.infr,IFERROR(S170,"#N/C"), _xlpm.sf,IFERROR(T170,"#N/C"), _xlpm.fam,IFERROR(U170,"#N/C"), _xlpm.subfam,IF(TRIM(V170)="-","#N/C",IFERROR(V170,"#N/C")),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_xlpm.fallback,IF(IFERROR(Q170,"#N/C")="#N/C",P170,IF(IFERROR(R170,"#N/C")="#N/C",Q170,IF(IFERROR(S170,"#N/C")="#N/C",R170,IF(IFERROR(T170,"#N/C")="#N/C",S170,IF(IFERROR(U170,"#N/C")="#N/C",T170,IF(IFERROR(V170,"#N/C")="#N/C",U170,"#N/C")))))), _xlpm.finalResult,IF(OR(_xlpm.computedResult="",_xlpm.computedResult="#N/C"),_xlpm.fallback,_xlpm.computedResult), INDEX(_xlpm.finalResult,1))</f>
        <v>parasitoid_wasp_small</v>
      </c>
      <c r="Z170" s="116" t="str" cm="1">
        <f t="array" ref="Z170">IF(OR(Y170="Insecta",Y170="Arachnida",Y170="#N/C"),"",IFERROR(_xlfn.LET(_xlpm.fc,IFERROR(_xlfn._xlws.FILTER(ClassificationClasses[],ClassificationClasses[Classification Class]=Y170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170,ClassificationClasses[Key])),0),MATCH(Y170,INDEX(ClassificationClasses[],MATCH(TRUE,ISNUMBER(SEARCH(Y170,ClassificationClasses[Key])),0),0),0)-1)))</f>
        <v>Parasitica</v>
      </c>
      <c r="AA170" s="116" t="str" cm="1">
        <f t="array" ref="AA170">IFERROR(IF(OR(Z170="Insecta",Z170="Arachnida",Z170="#N/C"),"",INDEX(ClassificationClasses[[Class]:[Infraorder]],MATCH(TRUE,ISNUMBER(SEARCH(Z170,ClassificationClasses[Key])),0),MATCH(Z170,INDEX(ClassificationClasses[#Data], MATCH(TRUE,ISNUMBER(SEARCH(Z170,ClassificationClasses[Key])),0), 0), 0)-1)),"")</f>
        <v>Apocrita</v>
      </c>
      <c r="AB170" s="116" t="str" cm="1">
        <f t="array" ref="AB170">IFERROR(IF(OR(AA170="Insecta",AA170="Arachnida",AA170="#N/C"),"",INDEX(ClassificationClasses[[Class]:[Suborder]],MATCH(TRUE,ISNUMBER(SEARCH(AA170,ClassificationClasses[Key])),0),MATCH(AA170,INDEX(ClassificationClasses[#Data], MATCH(TRUE,ISNUMBER(SEARCH(AA170,ClassificationClasses[Key])),0), 0), 0)-1)),"")</f>
        <v>Hymenoptera</v>
      </c>
      <c r="AC170" s="116" t="str" cm="1">
        <f t="array" ref="AC170">IFERROR(IF(OR(AB170="Insecta",AB170="Arachnida",AB170="#N/C"),"",INDEX(ClassificationClasses[[Class]:[Suborder]],MATCH(TRUE,ISNUMBER(SEARCH(AB170,ClassificationClasses[Key])),0),MATCH(AB170,INDEX(ClassificationClasses[#Data], MATCH(TRUE,ISNUMBER(SEARCH(AB170,ClassificationClasses[Key])),0), 0), 0)-1)),"")</f>
        <v>Insecta</v>
      </c>
      <c r="AD170" s="116" t="str" cm="1">
        <f t="array" ref="AD170">IFERROR(IF(OR(AC170="Insecta",AC170="Arachnida",AC170="#N/C"),"",INDEX(ClassificationClasses[[Class]:[Suborder]],MATCH(TRUE,ISNUMBER(SEARCH(AC170,ClassificationClasses[Key])),0),MATCH(AC170,INDEX(ClassificationClasses[#Data], MATCH(TRUE,ISNUMBER(SEARCH(AC170,ClassificationClasses[Key])),0), 0), 0)-1)),"")</f>
        <v/>
      </c>
      <c r="AE170" s="18" t="str">
        <f t="shared" si="6"/>
        <v>Insecta.Hymenoptera.Apocrita.Parasitica.Ichneumonoidea.Ichneumonidae.Phygadeuontinae.Gelis.#N/C</v>
      </c>
    </row>
    <row r="171" spans="1:31" x14ac:dyDescent="0.3">
      <c r="A171" s="91">
        <v>170</v>
      </c>
      <c r="B171" s="7">
        <v>44396</v>
      </c>
      <c r="C171" s="92" t="s">
        <v>327</v>
      </c>
      <c r="D171" s="93" t="str">
        <f>HYPERLINK(VLOOKUP(C171,Video_List!$F:$J,5),"video")</f>
        <v>video</v>
      </c>
      <c r="E171" s="94" t="str">
        <f>IFERROR(IF(MATCH(C171,Video_List!$F:$F,)&gt;0,"ok",""),"error")</f>
        <v>ok</v>
      </c>
      <c r="F171" s="92" t="s">
        <v>327</v>
      </c>
      <c r="G171" s="93" t="str">
        <f>HYPERLINK(VLOOKUP(F171,Video_List!$F:$J,5),"video")</f>
        <v>video</v>
      </c>
      <c r="H171" s="94" t="str">
        <f>IFERROR(IF(MATCH(F171,Video_List!$F:$F,)&gt;0,"ok",""),"error")</f>
        <v>ok</v>
      </c>
      <c r="I171" s="17">
        <v>44396.865370370368</v>
      </c>
      <c r="J171" s="8">
        <v>44396.865439814814</v>
      </c>
      <c r="K171" s="15">
        <f t="shared" si="5"/>
        <v>6.9444446125999093E-5</v>
      </c>
      <c r="L171" s="95" t="s">
        <v>32</v>
      </c>
      <c r="M171" s="95" t="s">
        <v>33</v>
      </c>
      <c r="N171" s="96" t="str">
        <f>IF(ISBLANK(C171),"",IF(C171=F171, "1 video",CONCATENATE((+COUNTIFS(Video_List!$C:$C,"&lt;=" &amp;Monitoring!J171)-COUNTIFS(Video_List!$C:$C,"&lt;=" &amp;Monitoring!I171))+1," videos")))</f>
        <v>1 video</v>
      </c>
      <c r="O171" s="29" t="s">
        <v>44</v>
      </c>
      <c r="P171" s="42" t="s">
        <v>37</v>
      </c>
      <c r="Q171" s="42" t="s">
        <v>38</v>
      </c>
      <c r="R171" s="42" t="s">
        <v>39</v>
      </c>
      <c r="S171" s="97" t="str">
        <f>+IFERROR(IF(T171="#N/C","#N/C",IF(U171=0,INDEX(Taxonomy_UniqueValues!D:D,MATCH(U171,Taxonomy_UniqueValues!F:F,0)),INDEX(Taxonomy_UniqueValues!D:D,MATCH(T171,Taxonomy_UniqueValues!E:E,0)))),"#N/C")</f>
        <v>#N/C</v>
      </c>
      <c r="T171" s="42" t="s">
        <v>35</v>
      </c>
      <c r="U171" s="42" t="s">
        <v>35</v>
      </c>
      <c r="V171" s="42" t="s">
        <v>35</v>
      </c>
      <c r="W171" s="42" t="s">
        <v>35</v>
      </c>
      <c r="X171" s="28" t="s">
        <v>35</v>
      </c>
      <c r="Y171" s="69" t="str" cm="1">
        <f t="array" ref="Y171">_xlfn.LET(_xlpm.cls,P171, _xlpm.ord,IFERROR(Q171,"#N/C"), _xlpm.subord,IFERROR(R171,"#N/C"), _xlpm.infr,IFERROR(S171,"#N/C"), _xlpm.sf,IFERROR(T171,"#N/C"), _xlpm.fam,IFERROR(U171,"#N/C"), _xlpm.subfam,IF(TRIM(V171)="-","#N/C",IFERROR(V171,"#N/C")),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_xlpm.fallback,IF(IFERROR(Q171,"#N/C")="#N/C",P171,IF(IFERROR(R171,"#N/C")="#N/C",Q171,IF(IFERROR(S171,"#N/C")="#N/C",R171,IF(IFERROR(T171,"#N/C")="#N/C",S171,IF(IFERROR(U171,"#N/C")="#N/C",T171,IF(IFERROR(V171,"#N/C")="#N/C",U171,"#N/C")))))), _xlpm.finalResult,IF(OR(_xlpm.computedResult="",_xlpm.computedResult="#N/C"),_xlpm.fallback,_xlpm.computedResult), INDEX(_xlpm.finalResult,1))</f>
        <v>Brachycera</v>
      </c>
      <c r="Z171" s="116" t="str" cm="1">
        <f t="array" ref="Z171">IF(OR(Y171="Insecta",Y171="Arachnida",Y171="#N/C"),"",IFERROR(_xlfn.LET(_xlpm.fc,IFERROR(_xlfn._xlws.FILTER(ClassificationClasses[],ClassificationClasses[Classification Class]=Y171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171,ClassificationClasses[Key])),0),MATCH(Y171,INDEX(ClassificationClasses[],MATCH(TRUE,ISNUMBER(SEARCH(Y171,ClassificationClasses[Key])),0),0),0)-1)))</f>
        <v>Diptera</v>
      </c>
      <c r="AA171" s="116" t="str" cm="1">
        <f t="array" ref="AA171">IFERROR(IF(OR(Z171="Insecta",Z171="Arachnida",Z171="#N/C"),"",INDEX(ClassificationClasses[[Class]:[Infraorder]],MATCH(TRUE,ISNUMBER(SEARCH(Z171,ClassificationClasses[Key])),0),MATCH(Z171,INDEX(ClassificationClasses[#Data], MATCH(TRUE,ISNUMBER(SEARCH(Z171,ClassificationClasses[Key])),0), 0), 0)-1)),"")</f>
        <v>Insecta</v>
      </c>
      <c r="AB171" s="116" t="str" cm="1">
        <f t="array" ref="AB171">IFERROR(IF(OR(AA171="Insecta",AA171="Arachnida",AA171="#N/C"),"",INDEX(ClassificationClasses[[Class]:[Suborder]],MATCH(TRUE,ISNUMBER(SEARCH(AA171,ClassificationClasses[Key])),0),MATCH(AA171,INDEX(ClassificationClasses[#Data], MATCH(TRUE,ISNUMBER(SEARCH(AA171,ClassificationClasses[Key])),0), 0), 0)-1)),"")</f>
        <v/>
      </c>
      <c r="AC171" s="116" t="str" cm="1">
        <f t="array" ref="AC171">IFERROR(IF(OR(AB171="Insecta",AB171="Arachnida",AB171="#N/C"),"",INDEX(ClassificationClasses[[Class]:[Suborder]],MATCH(TRUE,ISNUMBER(SEARCH(AB171,ClassificationClasses[Key])),0),MATCH(AB171,INDEX(ClassificationClasses[#Data], MATCH(TRUE,ISNUMBER(SEARCH(AB171,ClassificationClasses[Key])),0), 0), 0)-1)),"")</f>
        <v/>
      </c>
      <c r="AD171" s="116" t="str" cm="1">
        <f t="array" ref="AD171">IFERROR(IF(OR(AC171="Insecta",AC171="Arachnida",AC171="#N/C"),"",INDEX(ClassificationClasses[[Class]:[Suborder]],MATCH(TRUE,ISNUMBER(SEARCH(AC171,ClassificationClasses[Key])),0),MATCH(AC171,INDEX(ClassificationClasses[#Data], MATCH(TRUE,ISNUMBER(SEARCH(AC171,ClassificationClasses[Key])),0), 0), 0)-1)),"")</f>
        <v/>
      </c>
      <c r="AE171" s="18" t="str">
        <f t="shared" si="6"/>
        <v>Insecta.Diptera.Brachycera.#N/C.#N/C.#N/C.#N/C.#N/C.#N/C</v>
      </c>
    </row>
    <row r="172" spans="1:31" x14ac:dyDescent="0.3">
      <c r="A172" s="91">
        <v>171</v>
      </c>
      <c r="B172" s="7">
        <v>44396</v>
      </c>
      <c r="C172" s="92" t="s">
        <v>328</v>
      </c>
      <c r="D172" s="93" t="str">
        <f>HYPERLINK(VLOOKUP(C172,Video_List!$F:$J,5),"video")</f>
        <v>video</v>
      </c>
      <c r="E172" s="94" t="str">
        <f>IFERROR(IF(MATCH(C172,Video_List!$F:$F,)&gt;0,"ok",""),"error")</f>
        <v>ok</v>
      </c>
      <c r="F172" s="92" t="s">
        <v>329</v>
      </c>
      <c r="G172" s="93" t="str">
        <f>HYPERLINK(VLOOKUP(F172,Video_List!$F:$J,5),"video")</f>
        <v>video</v>
      </c>
      <c r="H172" s="94" t="str">
        <f>IFERROR(IF(MATCH(F172,Video_List!$F:$F,)&gt;0,"ok",""),"error")</f>
        <v>ok</v>
      </c>
      <c r="I172" s="17">
        <v>44396.8752662037</v>
      </c>
      <c r="J172" s="8">
        <v>44396.879432870373</v>
      </c>
      <c r="K172" s="15">
        <f t="shared" si="5"/>
        <v>4.1666666729724966E-3</v>
      </c>
      <c r="L172" s="4" t="s">
        <v>32</v>
      </c>
      <c r="M172" s="4" t="s">
        <v>33</v>
      </c>
      <c r="N172" s="96" t="str">
        <f>IF(ISBLANK(C172),"",IF(C172=F172, "1 video",CONCATENATE((+COUNTIFS(Video_List!$C:$C,"&lt;=" &amp;Monitoring!J172)-COUNTIFS(Video_List!$C:$C,"&lt;=" &amp;Monitoring!I172))+1," videos")))</f>
        <v>3 videos</v>
      </c>
      <c r="O172" s="29" t="s">
        <v>44</v>
      </c>
      <c r="P172" s="42" t="s">
        <v>37</v>
      </c>
      <c r="Q172" s="42" t="s">
        <v>38</v>
      </c>
      <c r="R172" s="42" t="s">
        <v>39</v>
      </c>
      <c r="S172" s="97" t="str">
        <f>+IFERROR(IF(T172="#N/C","#N/C",IF(U172=0,INDEX(Taxonomy_UniqueValues!D:D,MATCH(U172,Taxonomy_UniqueValues!F:F,0)),INDEX(Taxonomy_UniqueValues!D:D,MATCH(T172,Taxonomy_UniqueValues!E:E,0)))),"#N/C")</f>
        <v>Muscomorpha</v>
      </c>
      <c r="T172" s="42" t="s">
        <v>330</v>
      </c>
      <c r="U172" s="42" t="s">
        <v>331</v>
      </c>
      <c r="V172" s="42" t="s">
        <v>332</v>
      </c>
      <c r="W172" s="42" t="s">
        <v>333</v>
      </c>
      <c r="X172" s="28" t="s">
        <v>35</v>
      </c>
      <c r="Y172" s="69" t="str" cm="1">
        <f t="array" ref="Y172">_xlfn.LET(_xlpm.cls,P172, _xlpm.ord,IFERROR(Q172,"#N/C"), _xlpm.subord,IFERROR(R172,"#N/C"), _xlpm.infr,IFERROR(S172,"#N/C"), _xlpm.sf,IFERROR(T172,"#N/C"), _xlpm.fam,IFERROR(U172,"#N/C"), _xlpm.subfam,IF(TRIM(V172)="-","#N/C",IFERROR(V172,"#N/C")),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_xlpm.fallback,IF(IFERROR(Q172,"#N/C")="#N/C",P172,IF(IFERROR(R172,"#N/C")="#N/C",Q172,IF(IFERROR(S172,"#N/C")="#N/C",R172,IF(IFERROR(T172,"#N/C")="#N/C",S172,IF(IFERROR(U172,"#N/C")="#N/C",T172,IF(IFERROR(V172,"#N/C")="#N/C",U172,"#N/C")))))), _xlpm.finalResult,IF(OR(_xlpm.computedResult="",_xlpm.computedResult="#N/C"),_xlpm.fallback,_xlpm.computedResult), INDEX(_xlpm.finalResult,1))</f>
        <v>fruit_fly</v>
      </c>
      <c r="Z172" s="116" t="str" cm="1">
        <f t="array" ref="Z172">IF(OR(Y172="Insecta",Y172="Arachnida",Y172="#N/C"),"",IFERROR(_xlfn.LET(_xlpm.fc,IFERROR(_xlfn._xlws.FILTER(ClassificationClasses[],ClassificationClasses[Classification Class]=Y172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172,ClassificationClasses[Key])),0),MATCH(Y172,INDEX(ClassificationClasses[],MATCH(TRUE,ISNUMBER(SEARCH(Y172,ClassificationClasses[Key])),0),0),0)-1)))</f>
        <v>Muscomorpha</v>
      </c>
      <c r="AA172" s="116" t="str" cm="1">
        <f t="array" ref="AA172">IFERROR(IF(OR(Z172="Insecta",Z172="Arachnida",Z172="#N/C"),"",INDEX(ClassificationClasses[[Class]:[Infraorder]],MATCH(TRUE,ISNUMBER(SEARCH(Z172,ClassificationClasses[Key])),0),MATCH(Z172,INDEX(ClassificationClasses[#Data], MATCH(TRUE,ISNUMBER(SEARCH(Z172,ClassificationClasses[Key])),0), 0), 0)-1)),"")</f>
        <v>Brachycera</v>
      </c>
      <c r="AB172" s="116" t="str" cm="1">
        <f t="array" ref="AB172">IFERROR(IF(OR(AA172="Insecta",AA172="Arachnida",AA172="#N/C"),"",INDEX(ClassificationClasses[[Class]:[Suborder]],MATCH(TRUE,ISNUMBER(SEARCH(AA172,ClassificationClasses[Key])),0),MATCH(AA172,INDEX(ClassificationClasses[#Data], MATCH(TRUE,ISNUMBER(SEARCH(AA172,ClassificationClasses[Key])),0), 0), 0)-1)),"")</f>
        <v>Diptera</v>
      </c>
      <c r="AC172" s="116" t="str" cm="1">
        <f t="array" ref="AC172">IFERROR(IF(OR(AB172="Insecta",AB172="Arachnida",AB172="#N/C"),"",INDEX(ClassificationClasses[[Class]:[Suborder]],MATCH(TRUE,ISNUMBER(SEARCH(AB172,ClassificationClasses[Key])),0),MATCH(AB172,INDEX(ClassificationClasses[#Data], MATCH(TRUE,ISNUMBER(SEARCH(AB172,ClassificationClasses[Key])),0), 0), 0)-1)),"")</f>
        <v>Insecta</v>
      </c>
      <c r="AD172" s="116" t="str" cm="1">
        <f t="array" ref="AD172">IFERROR(IF(OR(AC172="Insecta",AC172="Arachnida",AC172="#N/C"),"",INDEX(ClassificationClasses[[Class]:[Suborder]],MATCH(TRUE,ISNUMBER(SEARCH(AC172,ClassificationClasses[Key])),0),MATCH(AC172,INDEX(ClassificationClasses[#Data], MATCH(TRUE,ISNUMBER(SEARCH(AC172,ClassificationClasses[Key])),0), 0), 0)-1)),"")</f>
        <v/>
      </c>
      <c r="AE172" s="18" t="str">
        <f t="shared" si="6"/>
        <v>Insecta.Diptera.Brachycera.Muscomorpha.Lauxanioidea.Lauxaniidae.Lauxaniinae.Sapromyza.#N/C</v>
      </c>
    </row>
    <row r="173" spans="1:31" x14ac:dyDescent="0.3">
      <c r="A173" s="91">
        <v>172</v>
      </c>
      <c r="B173" s="7">
        <v>44396</v>
      </c>
      <c r="C173" s="92" t="s">
        <v>334</v>
      </c>
      <c r="D173" s="93" t="str">
        <f>HYPERLINK(VLOOKUP(C173,Video_List!$F:$J,5),"video")</f>
        <v>video</v>
      </c>
      <c r="E173" s="94" t="str">
        <f>IFERROR(IF(MATCH(C173,Video_List!$F:$F,)&gt;0,"ok",""),"error")</f>
        <v>ok</v>
      </c>
      <c r="F173" s="92" t="s">
        <v>334</v>
      </c>
      <c r="G173" s="93" t="str">
        <f>HYPERLINK(VLOOKUP(F173,Video_List!$F:$J,5),"video")</f>
        <v>video</v>
      </c>
      <c r="H173" s="94" t="str">
        <f>IFERROR(IF(MATCH(F173,Video_List!$F:$F,)&gt;0,"ok",""),"error")</f>
        <v>ok</v>
      </c>
      <c r="I173" s="17">
        <v>44396.881307870368</v>
      </c>
      <c r="J173" s="8">
        <v>44396.881365740737</v>
      </c>
      <c r="K173" s="15">
        <f t="shared" si="5"/>
        <v>5.7870369346346706E-5</v>
      </c>
      <c r="L173" s="95" t="s">
        <v>32</v>
      </c>
      <c r="M173" s="95" t="s">
        <v>33</v>
      </c>
      <c r="N173" s="96" t="str">
        <f>IF(ISBLANK(C173),"",IF(C173=F173, "1 video",CONCATENATE((+COUNTIFS(Video_List!$C:$C,"&lt;=" &amp;Monitoring!J173)-COUNTIFS(Video_List!$C:$C,"&lt;=" &amp;Monitoring!I173))+1," videos")))</f>
        <v>1 video</v>
      </c>
      <c r="O173" s="29" t="s">
        <v>44</v>
      </c>
      <c r="P173" s="42" t="s">
        <v>37</v>
      </c>
      <c r="Q173" s="42" t="s">
        <v>38</v>
      </c>
      <c r="R173" s="42" t="s">
        <v>39</v>
      </c>
      <c r="S173" s="97" t="str">
        <f>+IFERROR(IF(T173="#N/C","#N/C",IF(U173=0,INDEX(Taxonomy_UniqueValues!D:D,MATCH(U173,Taxonomy_UniqueValues!F:F,0)),INDEX(Taxonomy_UniqueValues!D:D,MATCH(T173,Taxonomy_UniqueValues!E:E,0)))),"#N/C")</f>
        <v>Muscomorpha</v>
      </c>
      <c r="T173" s="42" t="s">
        <v>335</v>
      </c>
      <c r="U173" s="42" t="s">
        <v>35</v>
      </c>
      <c r="V173" s="42" t="s">
        <v>35</v>
      </c>
      <c r="W173" s="42" t="s">
        <v>35</v>
      </c>
      <c r="X173" s="28" t="s">
        <v>35</v>
      </c>
      <c r="Y173" s="69" t="str" cm="1">
        <f t="array" ref="Y173">_xlfn.LET(_xlpm.cls,P173, _xlpm.ord,IFERROR(Q173,"#N/C"), _xlpm.subord,IFERROR(R173,"#N/C"), _xlpm.infr,IFERROR(S173,"#N/C"), _xlpm.sf,IFERROR(T173,"#N/C"), _xlpm.fam,IFERROR(U173,"#N/C"), _xlpm.subfam,IF(TRIM(V173)="-","#N/C",IFERROR(V173,"#N/C")),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_xlpm.fallback,IF(IFERROR(Q173,"#N/C")="#N/C",P173,IF(IFERROR(R173,"#N/C")="#N/C",Q173,IF(IFERROR(S173,"#N/C")="#N/C",R173,IF(IFERROR(T173,"#N/C")="#N/C",S173,IF(IFERROR(U173,"#N/C")="#N/C",T173,IF(IFERROR(V173,"#N/C")="#N/C",U173,"#N/C")))))), _xlpm.finalResult,IF(OR(_xlpm.computedResult="",_xlpm.computedResult="#N/C"),_xlpm.fallback,_xlpm.computedResult), INDEX(_xlpm.finalResult,1))</f>
        <v>Oestroidea</v>
      </c>
      <c r="Z173" s="116" t="str" cm="1">
        <f t="array" ref="Z173">IF(OR(Y173="Insecta",Y173="Arachnida",Y173="#N/C"),"",IFERROR(_xlfn.LET(_xlpm.fc,IFERROR(_xlfn._xlws.FILTER(ClassificationClasses[],ClassificationClasses[Classification Class]=Y173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173,ClassificationClasses[Key])),0),MATCH(Y173,INDEX(ClassificationClasses[],MATCH(TRUE,ISNUMBER(SEARCH(Y173,ClassificationClasses[Key])),0),0),0)-1)))</f>
        <v>Muscomorpha</v>
      </c>
      <c r="AA173" s="116" t="str" cm="1">
        <f t="array" ref="AA173">IFERROR(IF(OR(Z173="Insecta",Z173="Arachnida",Z173="#N/C"),"",INDEX(ClassificationClasses[[Class]:[Infraorder]],MATCH(TRUE,ISNUMBER(SEARCH(Z173,ClassificationClasses[Key])),0),MATCH(Z173,INDEX(ClassificationClasses[#Data], MATCH(TRUE,ISNUMBER(SEARCH(Z173,ClassificationClasses[Key])),0), 0), 0)-1)),"")</f>
        <v>Brachycera</v>
      </c>
      <c r="AB173" s="116" t="str" cm="1">
        <f t="array" ref="AB173">IFERROR(IF(OR(AA173="Insecta",AA173="Arachnida",AA173="#N/C"),"",INDEX(ClassificationClasses[[Class]:[Suborder]],MATCH(TRUE,ISNUMBER(SEARCH(AA173,ClassificationClasses[Key])),0),MATCH(AA173,INDEX(ClassificationClasses[#Data], MATCH(TRUE,ISNUMBER(SEARCH(AA173,ClassificationClasses[Key])),0), 0), 0)-1)),"")</f>
        <v>Diptera</v>
      </c>
      <c r="AC173" s="116" t="str" cm="1">
        <f t="array" ref="AC173">IFERROR(IF(OR(AB173="Insecta",AB173="Arachnida",AB173="#N/C"),"",INDEX(ClassificationClasses[[Class]:[Suborder]],MATCH(TRUE,ISNUMBER(SEARCH(AB173,ClassificationClasses[Key])),0),MATCH(AB173,INDEX(ClassificationClasses[#Data], MATCH(TRUE,ISNUMBER(SEARCH(AB173,ClassificationClasses[Key])),0), 0), 0)-1)),"")</f>
        <v>Insecta</v>
      </c>
      <c r="AD173" s="116" t="str" cm="1">
        <f t="array" ref="AD173">IFERROR(IF(OR(AC173="Insecta",AC173="Arachnida",AC173="#N/C"),"",INDEX(ClassificationClasses[[Class]:[Suborder]],MATCH(TRUE,ISNUMBER(SEARCH(AC173,ClassificationClasses[Key])),0),MATCH(AC173,INDEX(ClassificationClasses[#Data], MATCH(TRUE,ISNUMBER(SEARCH(AC173,ClassificationClasses[Key])),0), 0), 0)-1)),"")</f>
        <v/>
      </c>
      <c r="AE173" s="18" t="str">
        <f t="shared" si="6"/>
        <v>Insecta.Diptera.Brachycera.Muscomorpha.Oestroidea.#N/C.#N/C.#N/C.#N/C</v>
      </c>
    </row>
    <row r="174" spans="1:31" x14ac:dyDescent="0.3">
      <c r="A174" s="91">
        <v>173</v>
      </c>
      <c r="B174" s="7">
        <v>44396</v>
      </c>
      <c r="C174" s="92" t="s">
        <v>336</v>
      </c>
      <c r="D174" s="93" t="str">
        <f>HYPERLINK(VLOOKUP(C174,Video_List!$F:$J,5),"video")</f>
        <v>video</v>
      </c>
      <c r="E174" s="94" t="str">
        <f>IFERROR(IF(MATCH(C174,Video_List!$F:$F,)&gt;0,"ok",""),"error")</f>
        <v>ok</v>
      </c>
      <c r="F174" s="92" t="s">
        <v>336</v>
      </c>
      <c r="G174" s="93" t="str">
        <f>HYPERLINK(VLOOKUP(F174,Video_List!$F:$J,5),"video")</f>
        <v>video</v>
      </c>
      <c r="H174" s="94" t="str">
        <f>IFERROR(IF(MATCH(F174,Video_List!$F:$F,)&gt;0,"ok",""),"error")</f>
        <v>ok</v>
      </c>
      <c r="I174" s="17">
        <v>44396.89707175926</v>
      </c>
      <c r="J174" s="8">
        <v>44396.897407407407</v>
      </c>
      <c r="K174" s="15">
        <f t="shared" si="5"/>
        <v>3.3564814657438546E-4</v>
      </c>
      <c r="L174" s="95" t="s">
        <v>32</v>
      </c>
      <c r="M174" s="95" t="s">
        <v>33</v>
      </c>
      <c r="N174" s="96" t="str">
        <f>IF(ISBLANK(C174),"",IF(C174=F174, "1 video",CONCATENATE((+COUNTIFS(Video_List!$C:$C,"&lt;=" &amp;Monitoring!J174)-COUNTIFS(Video_List!$C:$C,"&lt;=" &amp;Monitoring!I174))+1," videos")))</f>
        <v>1 video</v>
      </c>
      <c r="O174" s="29" t="s">
        <v>44</v>
      </c>
      <c r="P174" s="42" t="s">
        <v>37</v>
      </c>
      <c r="Q174" s="42" t="s">
        <v>56</v>
      </c>
      <c r="R174" s="42" t="s">
        <v>57</v>
      </c>
      <c r="S174" s="97" t="str">
        <f>+IFERROR(IF(T174="#N/C","#N/C",IF(U174=0,INDEX(Taxonomy_UniqueValues!D:D,MATCH(U174,Taxonomy_UniqueValues!F:F,0)),INDEX(Taxonomy_UniqueValues!D:D,MATCH(T174,Taxonomy_UniqueValues!E:E,0)))),"#N/C")</f>
        <v>Heterocera</v>
      </c>
      <c r="T174" s="42" t="s">
        <v>257</v>
      </c>
      <c r="U174" s="42" t="s">
        <v>35</v>
      </c>
      <c r="V174" s="42" t="s">
        <v>35</v>
      </c>
      <c r="W174" s="42" t="s">
        <v>35</v>
      </c>
      <c r="X174" s="28" t="s">
        <v>35</v>
      </c>
      <c r="Y174" s="69" t="str" cm="1">
        <f t="array" ref="Y174">_xlfn.LET(_xlpm.cls,P174, _xlpm.ord,IFERROR(Q174,"#N/C"), _xlpm.subord,IFERROR(R174,"#N/C"), _xlpm.infr,IFERROR(S174,"#N/C"), _xlpm.sf,IFERROR(T174,"#N/C"), _xlpm.fam,IFERROR(U174,"#N/C"), _xlpm.subfam,IF(TRIM(V174)="-","#N/C",IFERROR(V174,"#N/C")),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_xlpm.fallback,IF(IFERROR(Q174,"#N/C")="#N/C",P174,IF(IFERROR(R174,"#N/C")="#N/C",Q174,IF(IFERROR(S174,"#N/C")="#N/C",R174,IF(IFERROR(T174,"#N/C")="#N/C",S174,IF(IFERROR(U174,"#N/C")="#N/C",T174,IF(IFERROR(V174,"#N/C")="#N/C",U174,"#N/C")))))), _xlpm.finalResult,IF(OR(_xlpm.computedResult="",_xlpm.computedResult="#N/C"),_xlpm.fallback,_xlpm.computedResult), INDEX(_xlpm.finalResult,1))</f>
        <v>Gelechioidea</v>
      </c>
      <c r="Z174" s="116" t="str" cm="1">
        <f t="array" ref="Z174">IF(OR(Y174="Insecta",Y174="Arachnida",Y174="#N/C"),"",IFERROR(_xlfn.LET(_xlpm.fc,IFERROR(_xlfn._xlws.FILTER(ClassificationClasses[],ClassificationClasses[Classification Class]=Y174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174,ClassificationClasses[Key])),0),MATCH(Y174,INDEX(ClassificationClasses[],MATCH(TRUE,ISNUMBER(SEARCH(Y174,ClassificationClasses[Key])),0),0),0)-1)))</f>
        <v>Heterocera</v>
      </c>
      <c r="AA174" s="116" t="str" cm="1">
        <f t="array" ref="AA174">IFERROR(IF(OR(Z174="Insecta",Z174="Arachnida",Z174="#N/C"),"",INDEX(ClassificationClasses[[Class]:[Infraorder]],MATCH(TRUE,ISNUMBER(SEARCH(Z174,ClassificationClasses[Key])),0),MATCH(Z174,INDEX(ClassificationClasses[#Data], MATCH(TRUE,ISNUMBER(SEARCH(Z174,ClassificationClasses[Key])),0), 0), 0)-1)),"")</f>
        <v>Glossata</v>
      </c>
      <c r="AB174" s="116" t="str" cm="1">
        <f t="array" ref="AB174">IFERROR(IF(OR(AA174="Insecta",AA174="Arachnida",AA174="#N/C"),"",INDEX(ClassificationClasses[[Class]:[Suborder]],MATCH(TRUE,ISNUMBER(SEARCH(AA174,ClassificationClasses[Key])),0),MATCH(AA174,INDEX(ClassificationClasses[#Data], MATCH(TRUE,ISNUMBER(SEARCH(AA174,ClassificationClasses[Key])),0), 0), 0)-1)),"")</f>
        <v>Lepidoptera</v>
      </c>
      <c r="AC174" s="116" t="str" cm="1">
        <f t="array" ref="AC174">IFERROR(IF(OR(AB174="Insecta",AB174="Arachnida",AB174="#N/C"),"",INDEX(ClassificationClasses[[Class]:[Suborder]],MATCH(TRUE,ISNUMBER(SEARCH(AB174,ClassificationClasses[Key])),0),MATCH(AB174,INDEX(ClassificationClasses[#Data], MATCH(TRUE,ISNUMBER(SEARCH(AB174,ClassificationClasses[Key])),0), 0), 0)-1)),"")</f>
        <v>Insecta</v>
      </c>
      <c r="AD174" s="116" t="str" cm="1">
        <f t="array" ref="AD174">IFERROR(IF(OR(AC174="Insecta",AC174="Arachnida",AC174="#N/C"),"",INDEX(ClassificationClasses[[Class]:[Suborder]],MATCH(TRUE,ISNUMBER(SEARCH(AC174,ClassificationClasses[Key])),0),MATCH(AC174,INDEX(ClassificationClasses[#Data], MATCH(TRUE,ISNUMBER(SEARCH(AC174,ClassificationClasses[Key])),0), 0), 0)-1)),"")</f>
        <v/>
      </c>
      <c r="AE174" s="18" t="str">
        <f t="shared" si="6"/>
        <v>Insecta.Lepidoptera.Glossata.Heterocera.Gelechioidea.#N/C.#N/C.#N/C.#N/C</v>
      </c>
    </row>
    <row r="175" spans="1:31" x14ac:dyDescent="0.3">
      <c r="A175" s="91">
        <v>174</v>
      </c>
      <c r="B175" s="7">
        <v>44396</v>
      </c>
      <c r="C175" s="92" t="s">
        <v>337</v>
      </c>
      <c r="D175" s="93" t="str">
        <f>HYPERLINK(VLOOKUP(C175,Video_List!$F:$J,5),"video")</f>
        <v>video</v>
      </c>
      <c r="E175" s="94" t="str">
        <f>IFERROR(IF(MATCH(C175,Video_List!$F:$F,)&gt;0,"ok",""),"error")</f>
        <v>ok</v>
      </c>
      <c r="F175" s="92" t="s">
        <v>337</v>
      </c>
      <c r="G175" s="93" t="str">
        <f>HYPERLINK(VLOOKUP(F175,Video_List!$F:$J,5),"video")</f>
        <v>video</v>
      </c>
      <c r="H175" s="94" t="str">
        <f>IFERROR(IF(MATCH(F175,Video_List!$F:$F,)&gt;0,"ok",""),"error")</f>
        <v>ok</v>
      </c>
      <c r="I175" s="17">
        <v>44396.912847222222</v>
      </c>
      <c r="J175" s="8">
        <v>44396.912916666668</v>
      </c>
      <c r="K175" s="15">
        <f t="shared" si="5"/>
        <v>6.9444446125999093E-5</v>
      </c>
      <c r="L175" s="95" t="s">
        <v>32</v>
      </c>
      <c r="M175" s="95" t="s">
        <v>33</v>
      </c>
      <c r="N175" s="96" t="str">
        <f>IF(ISBLANK(C175),"",IF(C175=F175, "1 video",CONCATENATE((+COUNTIFS(Video_List!$C:$C,"&lt;=" &amp;Monitoring!J175)-COUNTIFS(Video_List!$C:$C,"&lt;=" &amp;Monitoring!I175))+1," videos")))</f>
        <v>1 video</v>
      </c>
      <c r="O175" s="29" t="s">
        <v>44</v>
      </c>
      <c r="P175" s="42" t="s">
        <v>37</v>
      </c>
      <c r="Q175" s="42" t="s">
        <v>56</v>
      </c>
      <c r="R175" s="42" t="s">
        <v>57</v>
      </c>
      <c r="S175" s="97" t="str">
        <f>+IFERROR(IF(T175="#N/C","#N/C",IF(U175=0,INDEX(Taxonomy_UniqueValues!D:D,MATCH(U175,Taxonomy_UniqueValues!F:F,0)),INDEX(Taxonomy_UniqueValues!D:D,MATCH(T175,Taxonomy_UniqueValues!E:E,0)))),"#N/C")</f>
        <v>Heterocera</v>
      </c>
      <c r="T175" s="42" t="s">
        <v>257</v>
      </c>
      <c r="U175" s="42" t="s">
        <v>35</v>
      </c>
      <c r="V175" s="42" t="s">
        <v>35</v>
      </c>
      <c r="W175" s="42" t="s">
        <v>35</v>
      </c>
      <c r="X175" s="28" t="s">
        <v>35</v>
      </c>
      <c r="Y175" s="69" t="str" cm="1">
        <f t="array" ref="Y175">_xlfn.LET(_xlpm.cls,P175, _xlpm.ord,IFERROR(Q175,"#N/C"), _xlpm.subord,IFERROR(R175,"#N/C"), _xlpm.infr,IFERROR(S175,"#N/C"), _xlpm.sf,IFERROR(T175,"#N/C"), _xlpm.fam,IFERROR(U175,"#N/C"), _xlpm.subfam,IF(TRIM(V175)="-","#N/C",IFERROR(V175,"#N/C")),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_xlpm.fallback,IF(IFERROR(Q175,"#N/C")="#N/C",P175,IF(IFERROR(R175,"#N/C")="#N/C",Q175,IF(IFERROR(S175,"#N/C")="#N/C",R175,IF(IFERROR(T175,"#N/C")="#N/C",S175,IF(IFERROR(U175,"#N/C")="#N/C",T175,IF(IFERROR(V175,"#N/C")="#N/C",U175,"#N/C")))))), _xlpm.finalResult,IF(OR(_xlpm.computedResult="",_xlpm.computedResult="#N/C"),_xlpm.fallback,_xlpm.computedResult), INDEX(_xlpm.finalResult,1))</f>
        <v>Gelechioidea</v>
      </c>
      <c r="Z175" s="116" t="str" cm="1">
        <f t="array" ref="Z175">IF(OR(Y175="Insecta",Y175="Arachnida",Y175="#N/C"),"",IFERROR(_xlfn.LET(_xlpm.fc,IFERROR(_xlfn._xlws.FILTER(ClassificationClasses[],ClassificationClasses[Classification Class]=Y175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175,ClassificationClasses[Key])),0),MATCH(Y175,INDEX(ClassificationClasses[],MATCH(TRUE,ISNUMBER(SEARCH(Y175,ClassificationClasses[Key])),0),0),0)-1)))</f>
        <v>Heterocera</v>
      </c>
      <c r="AA175" s="116" t="str" cm="1">
        <f t="array" ref="AA175">IFERROR(IF(OR(Z175="Insecta",Z175="Arachnida",Z175="#N/C"),"",INDEX(ClassificationClasses[[Class]:[Infraorder]],MATCH(TRUE,ISNUMBER(SEARCH(Z175,ClassificationClasses[Key])),0),MATCH(Z175,INDEX(ClassificationClasses[#Data], MATCH(TRUE,ISNUMBER(SEARCH(Z175,ClassificationClasses[Key])),0), 0), 0)-1)),"")</f>
        <v>Glossata</v>
      </c>
      <c r="AB175" s="116" t="str" cm="1">
        <f t="array" ref="AB175">IFERROR(IF(OR(AA175="Insecta",AA175="Arachnida",AA175="#N/C"),"",INDEX(ClassificationClasses[[Class]:[Suborder]],MATCH(TRUE,ISNUMBER(SEARCH(AA175,ClassificationClasses[Key])),0),MATCH(AA175,INDEX(ClassificationClasses[#Data], MATCH(TRUE,ISNUMBER(SEARCH(AA175,ClassificationClasses[Key])),0), 0), 0)-1)),"")</f>
        <v>Lepidoptera</v>
      </c>
      <c r="AC175" s="116" t="str" cm="1">
        <f t="array" ref="AC175">IFERROR(IF(OR(AB175="Insecta",AB175="Arachnida",AB175="#N/C"),"",INDEX(ClassificationClasses[[Class]:[Suborder]],MATCH(TRUE,ISNUMBER(SEARCH(AB175,ClassificationClasses[Key])),0),MATCH(AB175,INDEX(ClassificationClasses[#Data], MATCH(TRUE,ISNUMBER(SEARCH(AB175,ClassificationClasses[Key])),0), 0), 0)-1)),"")</f>
        <v>Insecta</v>
      </c>
      <c r="AD175" s="116" t="str" cm="1">
        <f t="array" ref="AD175">IFERROR(IF(OR(AC175="Insecta",AC175="Arachnida",AC175="#N/C"),"",INDEX(ClassificationClasses[[Class]:[Suborder]],MATCH(TRUE,ISNUMBER(SEARCH(AC175,ClassificationClasses[Key])),0),MATCH(AC175,INDEX(ClassificationClasses[#Data], MATCH(TRUE,ISNUMBER(SEARCH(AC175,ClassificationClasses[Key])),0), 0), 0)-1)),"")</f>
        <v/>
      </c>
      <c r="AE175" s="18" t="str">
        <f t="shared" si="6"/>
        <v>Insecta.Lepidoptera.Glossata.Heterocera.Gelechioidea.#N/C.#N/C.#N/C.#N/C</v>
      </c>
    </row>
    <row r="176" spans="1:31" x14ac:dyDescent="0.3">
      <c r="A176" s="91">
        <v>175</v>
      </c>
      <c r="B176" s="7">
        <v>44396</v>
      </c>
      <c r="C176" s="92" t="s">
        <v>338</v>
      </c>
      <c r="D176" s="93" t="str">
        <f>HYPERLINK(VLOOKUP(C176,Video_List!$F:$J,5),"video")</f>
        <v>video</v>
      </c>
      <c r="E176" s="94" t="str">
        <f>IFERROR(IF(MATCH(C176,Video_List!$F:$F,)&gt;0,"ok",""),"error")</f>
        <v>ok</v>
      </c>
      <c r="F176" s="92" t="s">
        <v>339</v>
      </c>
      <c r="G176" s="93" t="str">
        <f>HYPERLINK(VLOOKUP(F176,Video_List!$F:$J,5),"video")</f>
        <v>video</v>
      </c>
      <c r="H176" s="94" t="str">
        <f>IFERROR(IF(MATCH(F176,Video_List!$F:$F,)&gt;0,"ok",""),"error")</f>
        <v>ok</v>
      </c>
      <c r="I176" s="17">
        <v>44396.925104166665</v>
      </c>
      <c r="J176" s="8">
        <v>44396.936793981484</v>
      </c>
      <c r="K176" s="15">
        <f t="shared" si="5"/>
        <v>1.1689814818964805E-2</v>
      </c>
      <c r="L176" s="95" t="s">
        <v>44</v>
      </c>
      <c r="M176" s="95" t="s">
        <v>33</v>
      </c>
      <c r="N176" s="96" t="str">
        <f>IF(ISBLANK(C176),"",IF(C176=F176, "1 video",CONCATENATE((+COUNTIFS(Video_List!$C:$C,"&lt;=" &amp;Monitoring!J176)-COUNTIFS(Video_List!$C:$C,"&lt;=" &amp;Monitoring!I176))+1," videos")))</f>
        <v>4 videos</v>
      </c>
      <c r="O176" s="27" t="s">
        <v>32</v>
      </c>
      <c r="P176" s="42" t="s">
        <v>37</v>
      </c>
      <c r="Q176" s="42" t="s">
        <v>76</v>
      </c>
      <c r="R176" s="42" t="s">
        <v>77</v>
      </c>
      <c r="S176" s="97" t="str">
        <f>+IFERROR(IF(T176="#N/C","#N/C",IF(U176=0,INDEX(Taxonomy_UniqueValues!D:D,MATCH(U176,Taxonomy_UniqueValues!F:F,0)),INDEX(Taxonomy_UniqueValues!D:D,MATCH(T176,Taxonomy_UniqueValues!E:E,0)))),"#N/C")</f>
        <v>Cucujiformia</v>
      </c>
      <c r="T176" s="42" t="s">
        <v>143</v>
      </c>
      <c r="U176" s="42" t="s">
        <v>250</v>
      </c>
      <c r="V176" s="42" t="s">
        <v>340</v>
      </c>
      <c r="W176" s="42" t="s">
        <v>252</v>
      </c>
      <c r="X176" s="28" t="s">
        <v>253</v>
      </c>
      <c r="Y176" s="69" t="str" cm="1">
        <f t="array" ref="Y176">_xlfn.LET(_xlpm.cls,P176, _xlpm.ord,IFERROR(Q176,"#N/C"), _xlpm.subord,IFERROR(R176,"#N/C"), _xlpm.infr,IFERROR(S176,"#N/C"), _xlpm.sf,IFERROR(T176,"#N/C"), _xlpm.fam,IFERROR(U176,"#N/C"), _xlpm.subfam,IF(TRIM(V176)="-","#N/C",IFERROR(V176,"#N/C")),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_xlpm.fallback,IF(IFERROR(Q176,"#N/C")="#N/C",P176,IF(IFERROR(R176,"#N/C")="#N/C",Q176,IF(IFERROR(S176,"#N/C")="#N/C",R176,IF(IFERROR(T176,"#N/C")="#N/C",S176,IF(IFERROR(U176,"#N/C")="#N/C",T176,IF(IFERROR(V176,"#N/C")="#N/C",U176,"#N/C")))))), _xlpm.finalResult,IF(OR(_xlpm.computedResult="",_xlpm.computedResult="#N/C"),_xlpm.fallback,_xlpm.computedResult), INDEX(_xlpm.finalResult,1))</f>
        <v>ant_beetle</v>
      </c>
      <c r="Z176" s="116" t="str" cm="1">
        <f t="array" ref="Z176">IF(OR(Y176="Insecta",Y176="Arachnida",Y176="#N/C"),"",IFERROR(_xlfn.LET(_xlpm.fc,IFERROR(_xlfn._xlws.FILTER(ClassificationClasses[],ClassificationClasses[Classification Class]=Y176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176,ClassificationClasses[Key])),0),MATCH(Y176,INDEX(ClassificationClasses[],MATCH(TRUE,ISNUMBER(SEARCH(Y176,ClassificationClasses[Key])),0),0),0)-1)))</f>
        <v>Cucujiformia</v>
      </c>
      <c r="AA176" s="116" t="str" cm="1">
        <f t="array" ref="AA176">IFERROR(IF(OR(Z176="Insecta",Z176="Arachnida",Z176="#N/C"),"",INDEX(ClassificationClasses[[Class]:[Infraorder]],MATCH(TRUE,ISNUMBER(SEARCH(Z176,ClassificationClasses[Key])),0),MATCH(Z176,INDEX(ClassificationClasses[#Data], MATCH(TRUE,ISNUMBER(SEARCH(Z176,ClassificationClasses[Key])),0), 0), 0)-1)),"")</f>
        <v>Polyphaga</v>
      </c>
      <c r="AB176" s="116" t="str" cm="1">
        <f t="array" ref="AB176">IFERROR(IF(OR(AA176="Insecta",AA176="Arachnida",AA176="#N/C"),"",INDEX(ClassificationClasses[[Class]:[Suborder]],MATCH(TRUE,ISNUMBER(SEARCH(AA176,ClassificationClasses[Key])),0),MATCH(AA176,INDEX(ClassificationClasses[#Data], MATCH(TRUE,ISNUMBER(SEARCH(AA176,ClassificationClasses[Key])),0), 0), 0)-1)),"")</f>
        <v>Coleoptera</v>
      </c>
      <c r="AC176" s="116" t="str" cm="1">
        <f t="array" ref="AC176">IFERROR(IF(OR(AB176="Insecta",AB176="Arachnida",AB176="#N/C"),"",INDEX(ClassificationClasses[[Class]:[Suborder]],MATCH(TRUE,ISNUMBER(SEARCH(AB176,ClassificationClasses[Key])),0),MATCH(AB176,INDEX(ClassificationClasses[#Data], MATCH(TRUE,ISNUMBER(SEARCH(AB176,ClassificationClasses[Key])),0), 0), 0)-1)),"")</f>
        <v>Insecta</v>
      </c>
      <c r="AD176" s="116" t="str" cm="1">
        <f t="array" ref="AD176">IFERROR(IF(OR(AC176="Insecta",AC176="Arachnida",AC176="#N/C"),"",INDEX(ClassificationClasses[[Class]:[Suborder]],MATCH(TRUE,ISNUMBER(SEARCH(AC176,ClassificationClasses[Key])),0),MATCH(AC176,INDEX(ClassificationClasses[#Data], MATCH(TRUE,ISNUMBER(SEARCH(AC176,ClassificationClasses[Key])),0), 0), 0)-1)),"")</f>
        <v/>
      </c>
      <c r="AE176" s="18" t="str">
        <f t="shared" si="6"/>
        <v>Insecta.Coleoptera.Polyphaga.Cucujiformia.Tenebrionoidea.Anthicidae.Notoxinae.Notoxus.monoceros</v>
      </c>
    </row>
    <row r="177" spans="1:31" x14ac:dyDescent="0.3">
      <c r="A177" s="91">
        <v>132</v>
      </c>
      <c r="B177" s="7">
        <v>44392</v>
      </c>
      <c r="C177" s="92" t="s">
        <v>270</v>
      </c>
      <c r="D177" s="93" t="str">
        <f>HYPERLINK(VLOOKUP(C177,Video_List!$F:$J,5),"video")</f>
        <v>video</v>
      </c>
      <c r="E177" s="94" t="str">
        <f>IFERROR(IF(MATCH(C177,Video_List!$F:$F,)&gt;0,"ok",""),"error")</f>
        <v>ok</v>
      </c>
      <c r="F177" s="92" t="s">
        <v>270</v>
      </c>
      <c r="G177" s="93" t="str">
        <f>HYPERLINK(VLOOKUP(F177,Video_List!$F:$J,5),"video")</f>
        <v>video</v>
      </c>
      <c r="H177" s="94" t="str">
        <f>IFERROR(IF(MATCH(F177,Video_List!$F:$F,)&gt;0,"ok",""),"error")</f>
        <v>ok</v>
      </c>
      <c r="I177" s="17">
        <v>44392.935162037036</v>
      </c>
      <c r="J177" s="8">
        <v>44392.936030092591</v>
      </c>
      <c r="K177" s="15">
        <f t="shared" si="5"/>
        <v>8.6805555474711582E-4</v>
      </c>
      <c r="L177" s="4" t="s">
        <v>32</v>
      </c>
      <c r="M177" s="4" t="s">
        <v>33</v>
      </c>
      <c r="N177" s="96" t="str">
        <f>IF(ISBLANK(C177),"",IF(C177=F177, "1 video",CONCATENATE((+COUNTIFS(Video_List!$C:$C,"&lt;=" &amp;Monitoring!J177)-COUNTIFS(Video_List!$C:$C,"&lt;=" &amp;Monitoring!I177))+1," videos")))</f>
        <v>1 video</v>
      </c>
      <c r="O177" s="29" t="s">
        <v>44</v>
      </c>
      <c r="P177" s="42" t="s">
        <v>37</v>
      </c>
      <c r="Q177" s="42" t="s">
        <v>274</v>
      </c>
      <c r="R177" s="42" t="s">
        <v>341</v>
      </c>
      <c r="S177" s="97" t="str">
        <f>+IFERROR(IF(T177="#N/C","#N/C",IF(U177=0,INDEX(Taxonomy_UniqueValues!D:D,MATCH(U177,Taxonomy_UniqueValues!F:F,0)),INDEX(Taxonomy_UniqueValues!D:D,MATCH(T177,Taxonomy_UniqueValues!E:E,0)))),"#N/C")</f>
        <v>#N/C</v>
      </c>
      <c r="T177" s="42" t="s">
        <v>35</v>
      </c>
      <c r="U177" s="42" t="s">
        <v>35</v>
      </c>
      <c r="V177" s="42" t="s">
        <v>35</v>
      </c>
      <c r="W177" s="42" t="s">
        <v>35</v>
      </c>
      <c r="X177" s="28" t="s">
        <v>35</v>
      </c>
      <c r="Y177" s="69" t="str" cm="1">
        <f t="array" ref="Y177">_xlfn.LET(_xlpm.cls,P177, _xlpm.ord,IFERROR(Q177,"#N/C"), _xlpm.subord,IFERROR(R177,"#N/C"), _xlpm.infr,IFERROR(S177,"#N/C"), _xlpm.sf,IFERROR(T177,"#N/C"), _xlpm.fam,IFERROR(U177,"#N/C"), _xlpm.subfam,IF(TRIM(V177)="-","#N/C",IFERROR(V177,"#N/C")),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_xlpm.fallback,IF(IFERROR(Q177,"#N/C")="#N/C",P177,IF(IFERROR(R177,"#N/C")="#N/C",Q177,IF(IFERROR(S177,"#N/C")="#N/C",R177,IF(IFERROR(T177,"#N/C")="#N/C",S177,IF(IFERROR(U177,"#N/C")="#N/C",T177,IF(IFERROR(V177,"#N/C")="#N/C",U177,"#N/C")))))), _xlpm.finalResult,IF(OR(_xlpm.computedResult="",_xlpm.computedResult="#N/C"),_xlpm.fallback,_xlpm.computedResult), INDEX(_xlpm.finalResult,1))</f>
        <v>Auchenorrhyncha</v>
      </c>
      <c r="Z177" s="116" t="str" cm="1">
        <f t="array" ref="Z177">IF(OR(Y177="Insecta",Y177="Arachnida",Y177="#N/C"),"",IFERROR(_xlfn.LET(_xlpm.fc,IFERROR(_xlfn._xlws.FILTER(ClassificationClasses[],ClassificationClasses[Classification Class]=Y177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177,ClassificationClasses[Key])),0),MATCH(Y177,INDEX(ClassificationClasses[],MATCH(TRUE,ISNUMBER(SEARCH(Y177,ClassificationClasses[Key])),0),0),0)-1)))</f>
        <v>Hemiptera</v>
      </c>
      <c r="AA177" s="116" t="str" cm="1">
        <f t="array" ref="AA177">IFERROR(IF(OR(Z177="Insecta",Z177="Arachnida",Z177="#N/C"),"",INDEX(ClassificationClasses[[Class]:[Infraorder]],MATCH(TRUE,ISNUMBER(SEARCH(Z177,ClassificationClasses[Key])),0),MATCH(Z177,INDEX(ClassificationClasses[#Data], MATCH(TRUE,ISNUMBER(SEARCH(Z177,ClassificationClasses[Key])),0), 0), 0)-1)),"")</f>
        <v>Insecta</v>
      </c>
      <c r="AB177" s="116" t="str" cm="1">
        <f t="array" ref="AB177">IFERROR(IF(OR(AA177="Insecta",AA177="Arachnida",AA177="#N/C"),"",INDEX(ClassificationClasses[[Class]:[Suborder]],MATCH(TRUE,ISNUMBER(SEARCH(AA177,ClassificationClasses[Key])),0),MATCH(AA177,INDEX(ClassificationClasses[#Data], MATCH(TRUE,ISNUMBER(SEARCH(AA177,ClassificationClasses[Key])),0), 0), 0)-1)),"")</f>
        <v/>
      </c>
      <c r="AC177" s="116" t="str" cm="1">
        <f t="array" ref="AC177">IFERROR(IF(OR(AB177="Insecta",AB177="Arachnida",AB177="#N/C"),"",INDEX(ClassificationClasses[[Class]:[Suborder]],MATCH(TRUE,ISNUMBER(SEARCH(AB177,ClassificationClasses[Key])),0),MATCH(AB177,INDEX(ClassificationClasses[#Data], MATCH(TRUE,ISNUMBER(SEARCH(AB177,ClassificationClasses[Key])),0), 0), 0)-1)),"")</f>
        <v/>
      </c>
      <c r="AD177" s="116" t="str" cm="1">
        <f t="array" ref="AD177">IFERROR(IF(OR(AC177="Insecta",AC177="Arachnida",AC177="#N/C"),"",INDEX(ClassificationClasses[[Class]:[Suborder]],MATCH(TRUE,ISNUMBER(SEARCH(AC177,ClassificationClasses[Key])),0),MATCH(AC177,INDEX(ClassificationClasses[#Data], MATCH(TRUE,ISNUMBER(SEARCH(AC177,ClassificationClasses[Key])),0), 0), 0)-1)),"")</f>
        <v/>
      </c>
      <c r="AE177" s="18" t="str">
        <f t="shared" si="6"/>
        <v>Insecta.Hemiptera.Auchenorrhyncha.#N/C.#N/C.#N/C.#N/C.#N/C.#N/C</v>
      </c>
    </row>
    <row r="178" spans="1:31" x14ac:dyDescent="0.3">
      <c r="A178" s="91">
        <v>177</v>
      </c>
      <c r="B178" s="7">
        <v>44396</v>
      </c>
      <c r="C178" s="92" t="s">
        <v>342</v>
      </c>
      <c r="D178" s="93" t="str">
        <f>HYPERLINK(VLOOKUP(C178,Video_List!$F:$J,5),"video")</f>
        <v>video</v>
      </c>
      <c r="E178" s="94" t="str">
        <f>IFERROR(IF(MATCH(C178,Video_List!$F:$F,)&gt;0,"ok",""),"error")</f>
        <v>ok</v>
      </c>
      <c r="F178" s="92" t="s">
        <v>342</v>
      </c>
      <c r="G178" s="93" t="str">
        <f>HYPERLINK(VLOOKUP(F178,Video_List!$F:$J,5),"video")</f>
        <v>video</v>
      </c>
      <c r="H178" s="94" t="str">
        <f>IFERROR(IF(MATCH(F178,Video_List!$F:$F,)&gt;0,"ok",""),"error")</f>
        <v>ok</v>
      </c>
      <c r="I178" s="17">
        <v>44396.936828703707</v>
      </c>
      <c r="J178" s="8">
        <v>44396.936851851853</v>
      </c>
      <c r="K178" s="15">
        <f t="shared" si="5"/>
        <v>2.314814628334716E-5</v>
      </c>
      <c r="L178" s="95" t="s">
        <v>32</v>
      </c>
      <c r="M178" s="95" t="s">
        <v>33</v>
      </c>
      <c r="N178" s="96" t="str">
        <f>IF(ISBLANK(C178),"",IF(C178=F178, "1 video",CONCATENATE((+COUNTIFS(Video_List!$C:$C,"&lt;=" &amp;Monitoring!J178)-COUNTIFS(Video_List!$C:$C,"&lt;=" &amp;Monitoring!I178))+1," videos")))</f>
        <v>1 video</v>
      </c>
      <c r="O178" s="29" t="s">
        <v>44</v>
      </c>
      <c r="P178" s="42" t="s">
        <v>37</v>
      </c>
      <c r="Q178" s="42" t="s">
        <v>56</v>
      </c>
      <c r="R178" s="42" t="s">
        <v>57</v>
      </c>
      <c r="S178" s="97" t="str">
        <f>+IFERROR(IF(T178="#N/C","#N/C",IF(U178=0,INDEX(Taxonomy_UniqueValues!D:D,MATCH(U178,Taxonomy_UniqueValues!F:F,0)),INDEX(Taxonomy_UniqueValues!D:D,MATCH(T178,Taxonomy_UniqueValues!E:E,0)))),"#N/C")</f>
        <v>Heterocera</v>
      </c>
      <c r="T178" s="42" t="s">
        <v>257</v>
      </c>
      <c r="U178" s="42" t="s">
        <v>300</v>
      </c>
      <c r="V178" s="42" t="s">
        <v>35</v>
      </c>
      <c r="W178" s="42" t="s">
        <v>35</v>
      </c>
      <c r="X178" s="28" t="s">
        <v>35</v>
      </c>
      <c r="Y178" s="69" t="str" cm="1">
        <f t="array" ref="Y178">_xlfn.LET(_xlpm.cls,P178, _xlpm.ord,IFERROR(Q178,"#N/C"), _xlpm.subord,IFERROR(R178,"#N/C"), _xlpm.infr,IFERROR(S178,"#N/C"), _xlpm.sf,IFERROR(T178,"#N/C"), _xlpm.fam,IFERROR(U178,"#N/C"), _xlpm.subfam,IF(TRIM(V178)="-","#N/C",IFERROR(V178,"#N/C")),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_xlpm.fallback,IF(IFERROR(Q178,"#N/C")="#N/C",P178,IF(IFERROR(R178,"#N/C")="#N/C",Q178,IF(IFERROR(S178,"#N/C")="#N/C",R178,IF(IFERROR(T178,"#N/C")="#N/C",S178,IF(IFERROR(U178,"#N/C")="#N/C",T178,IF(IFERROR(V178,"#N/C")="#N/C",U178,"#N/C")))))), _xlpm.finalResult,IF(OR(_xlpm.computedResult="",_xlpm.computedResult="#N/C"),_xlpm.fallback,_xlpm.computedResult), INDEX(_xlpm.finalResult,1))</f>
        <v>moth</v>
      </c>
      <c r="Z178" s="116" t="str" cm="1">
        <f t="array" ref="Z178">IF(OR(Y178="Insecta",Y178="Arachnida",Y178="#N/C"),"",IFERROR(_xlfn.LET(_xlpm.fc,IFERROR(_xlfn._xlws.FILTER(ClassificationClasses[],ClassificationClasses[Classification Class]=Y178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178,ClassificationClasses[Key])),0),MATCH(Y178,INDEX(ClassificationClasses[],MATCH(TRUE,ISNUMBER(SEARCH(Y178,ClassificationClasses[Key])),0),0),0)-1)))</f>
        <v>Heterocera</v>
      </c>
      <c r="AA178" s="116" t="str" cm="1">
        <f t="array" ref="AA178">IFERROR(IF(OR(Z178="Insecta",Z178="Arachnida",Z178="#N/C"),"",INDEX(ClassificationClasses[[Class]:[Infraorder]],MATCH(TRUE,ISNUMBER(SEARCH(Z178,ClassificationClasses[Key])),0),MATCH(Z178,INDEX(ClassificationClasses[#Data], MATCH(TRUE,ISNUMBER(SEARCH(Z178,ClassificationClasses[Key])),0), 0), 0)-1)),"")</f>
        <v>Glossata</v>
      </c>
      <c r="AB178" s="116" t="str" cm="1">
        <f t="array" ref="AB178">IFERROR(IF(OR(AA178="Insecta",AA178="Arachnida",AA178="#N/C"),"",INDEX(ClassificationClasses[[Class]:[Suborder]],MATCH(TRUE,ISNUMBER(SEARCH(AA178,ClassificationClasses[Key])),0),MATCH(AA178,INDEX(ClassificationClasses[#Data], MATCH(TRUE,ISNUMBER(SEARCH(AA178,ClassificationClasses[Key])),0), 0), 0)-1)),"")</f>
        <v>Lepidoptera</v>
      </c>
      <c r="AC178" s="116" t="str" cm="1">
        <f t="array" ref="AC178">IFERROR(IF(OR(AB178="Insecta",AB178="Arachnida",AB178="#N/C"),"",INDEX(ClassificationClasses[[Class]:[Suborder]],MATCH(TRUE,ISNUMBER(SEARCH(AB178,ClassificationClasses[Key])),0),MATCH(AB178,INDEX(ClassificationClasses[#Data], MATCH(TRUE,ISNUMBER(SEARCH(AB178,ClassificationClasses[Key])),0), 0), 0)-1)),"")</f>
        <v>Insecta</v>
      </c>
      <c r="AD178" s="116" t="str" cm="1">
        <f t="array" ref="AD178">IFERROR(IF(OR(AC178="Insecta",AC178="Arachnida",AC178="#N/C"),"",INDEX(ClassificationClasses[[Class]:[Suborder]],MATCH(TRUE,ISNUMBER(SEARCH(AC178,ClassificationClasses[Key])),0),MATCH(AC178,INDEX(ClassificationClasses[#Data], MATCH(TRUE,ISNUMBER(SEARCH(AC178,ClassificationClasses[Key])),0), 0), 0)-1)),"")</f>
        <v/>
      </c>
      <c r="AE178" s="18" t="str">
        <f t="shared" si="6"/>
        <v>Insecta.Lepidoptera.Glossata.Heterocera.Gelechioidea.Gelechiidae.#N/C.#N/C.#N/C</v>
      </c>
    </row>
    <row r="179" spans="1:31" x14ac:dyDescent="0.3">
      <c r="A179" s="91">
        <v>178</v>
      </c>
      <c r="B179" s="7">
        <v>44397</v>
      </c>
      <c r="C179" s="92" t="s">
        <v>343</v>
      </c>
      <c r="D179" s="93" t="str">
        <f>HYPERLINK(VLOOKUP(C179,Video_List!$F:$J,5),"video")</f>
        <v>video</v>
      </c>
      <c r="E179" s="94" t="str">
        <f>IFERROR(IF(MATCH(C179,Video_List!$F:$F,)&gt;0,"ok",""),"error")</f>
        <v>ok</v>
      </c>
      <c r="F179" s="92" t="s">
        <v>343</v>
      </c>
      <c r="G179" s="93" t="str">
        <f>HYPERLINK(VLOOKUP(F179,Video_List!$F:$J,5),"video")</f>
        <v>video</v>
      </c>
      <c r="H179" s="94" t="str">
        <f>IFERROR(IF(MATCH(F179,Video_List!$F:$F,)&gt;0,"ok",""),"error")</f>
        <v>ok</v>
      </c>
      <c r="I179" s="17">
        <v>44397.170949074076</v>
      </c>
      <c r="J179" s="8">
        <v>44397.170995370368</v>
      </c>
      <c r="K179" s="15">
        <f t="shared" si="5"/>
        <v>4.6296292566694319E-5</v>
      </c>
      <c r="L179" s="4" t="s">
        <v>32</v>
      </c>
      <c r="M179" s="4" t="s">
        <v>33</v>
      </c>
      <c r="N179" s="96" t="str">
        <f>IF(ISBLANK(C179),"",IF(C179=F179, "1 video",CONCATENATE((+COUNTIFS(Video_List!$C:$C,"&lt;=" &amp;Monitoring!J179)-COUNTIFS(Video_List!$C:$C,"&lt;=" &amp;Monitoring!I179))+1," videos")))</f>
        <v>1 video</v>
      </c>
      <c r="O179" s="27" t="s">
        <v>32</v>
      </c>
      <c r="P179" s="42" t="s">
        <v>37</v>
      </c>
      <c r="Q179" s="42" t="s">
        <v>56</v>
      </c>
      <c r="R179" s="42" t="s">
        <v>57</v>
      </c>
      <c r="S179" s="97" t="str">
        <f>+IFERROR(IF(T179="#N/C","#N/C",IF(U179=0,INDEX(Taxonomy_UniqueValues!D:D,MATCH(U179,Taxonomy_UniqueValues!F:F,0)),INDEX(Taxonomy_UniqueValues!D:D,MATCH(T179,Taxonomy_UniqueValues!E:E,0)))),"#N/C")</f>
        <v>Heterocera</v>
      </c>
      <c r="T179" s="42" t="s">
        <v>257</v>
      </c>
      <c r="U179" s="42" t="s">
        <v>35</v>
      </c>
      <c r="V179" s="42" t="s">
        <v>35</v>
      </c>
      <c r="W179" s="42" t="s">
        <v>35</v>
      </c>
      <c r="X179" s="28" t="s">
        <v>35</v>
      </c>
      <c r="Y179" s="69" t="str" cm="1">
        <f t="array" ref="Y179">_xlfn.LET(_xlpm.cls,P179, _xlpm.ord,IFERROR(Q179,"#N/C"), _xlpm.subord,IFERROR(R179,"#N/C"), _xlpm.infr,IFERROR(S179,"#N/C"), _xlpm.sf,IFERROR(T179,"#N/C"), _xlpm.fam,IFERROR(U179,"#N/C"), _xlpm.subfam,IF(TRIM(V179)="-","#N/C",IFERROR(V179,"#N/C")),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_xlpm.fallback,IF(IFERROR(Q179,"#N/C")="#N/C",P179,IF(IFERROR(R179,"#N/C")="#N/C",Q179,IF(IFERROR(S179,"#N/C")="#N/C",R179,IF(IFERROR(T179,"#N/C")="#N/C",S179,IF(IFERROR(U179,"#N/C")="#N/C",T179,IF(IFERROR(V179,"#N/C")="#N/C",U179,"#N/C")))))), _xlpm.finalResult,IF(OR(_xlpm.computedResult="",_xlpm.computedResult="#N/C"),_xlpm.fallback,_xlpm.computedResult), INDEX(_xlpm.finalResult,1))</f>
        <v>Gelechioidea</v>
      </c>
      <c r="Z179" s="116" t="str" cm="1">
        <f t="array" ref="Z179">IF(OR(Y179="Insecta",Y179="Arachnida",Y179="#N/C"),"",IFERROR(_xlfn.LET(_xlpm.fc,IFERROR(_xlfn._xlws.FILTER(ClassificationClasses[],ClassificationClasses[Classification Class]=Y179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179,ClassificationClasses[Key])),0),MATCH(Y179,INDEX(ClassificationClasses[],MATCH(TRUE,ISNUMBER(SEARCH(Y179,ClassificationClasses[Key])),0),0),0)-1)))</f>
        <v>Heterocera</v>
      </c>
      <c r="AA179" s="116" t="str" cm="1">
        <f t="array" ref="AA179">IFERROR(IF(OR(Z179="Insecta",Z179="Arachnida",Z179="#N/C"),"",INDEX(ClassificationClasses[[Class]:[Infraorder]],MATCH(TRUE,ISNUMBER(SEARCH(Z179,ClassificationClasses[Key])),0),MATCH(Z179,INDEX(ClassificationClasses[#Data], MATCH(TRUE,ISNUMBER(SEARCH(Z179,ClassificationClasses[Key])),0), 0), 0)-1)),"")</f>
        <v>Glossata</v>
      </c>
      <c r="AB179" s="116" t="str" cm="1">
        <f t="array" ref="AB179">IFERROR(IF(OR(AA179="Insecta",AA179="Arachnida",AA179="#N/C"),"",INDEX(ClassificationClasses[[Class]:[Suborder]],MATCH(TRUE,ISNUMBER(SEARCH(AA179,ClassificationClasses[Key])),0),MATCH(AA179,INDEX(ClassificationClasses[#Data], MATCH(TRUE,ISNUMBER(SEARCH(AA179,ClassificationClasses[Key])),0), 0), 0)-1)),"")</f>
        <v>Lepidoptera</v>
      </c>
      <c r="AC179" s="116" t="str" cm="1">
        <f t="array" ref="AC179">IFERROR(IF(OR(AB179="Insecta",AB179="Arachnida",AB179="#N/C"),"",INDEX(ClassificationClasses[[Class]:[Suborder]],MATCH(TRUE,ISNUMBER(SEARCH(AB179,ClassificationClasses[Key])),0),MATCH(AB179,INDEX(ClassificationClasses[#Data], MATCH(TRUE,ISNUMBER(SEARCH(AB179,ClassificationClasses[Key])),0), 0), 0)-1)),"")</f>
        <v>Insecta</v>
      </c>
      <c r="AD179" s="116" t="str" cm="1">
        <f t="array" ref="AD179">IFERROR(IF(OR(AC179="Insecta",AC179="Arachnida",AC179="#N/C"),"",INDEX(ClassificationClasses[[Class]:[Suborder]],MATCH(TRUE,ISNUMBER(SEARCH(AC179,ClassificationClasses[Key])),0),MATCH(AC179,INDEX(ClassificationClasses[#Data], MATCH(TRUE,ISNUMBER(SEARCH(AC179,ClassificationClasses[Key])),0), 0), 0)-1)),"")</f>
        <v/>
      </c>
      <c r="AE179" s="18" t="str">
        <f t="shared" si="6"/>
        <v>Insecta.Lepidoptera.Glossata.Heterocera.Gelechioidea.#N/C.#N/C.#N/C.#N/C</v>
      </c>
    </row>
    <row r="180" spans="1:31" x14ac:dyDescent="0.3">
      <c r="A180" s="91">
        <v>179</v>
      </c>
      <c r="B180" s="7">
        <v>44397</v>
      </c>
      <c r="C180" s="92" t="s">
        <v>344</v>
      </c>
      <c r="D180" s="93" t="str">
        <f>HYPERLINK(VLOOKUP(C180,Video_List!$F:$J,5),"video")</f>
        <v>video</v>
      </c>
      <c r="E180" s="94" t="str">
        <f>IFERROR(IF(MATCH(C180,Video_List!$F:$F,)&gt;0,"ok",""),"error")</f>
        <v>ok</v>
      </c>
      <c r="F180" s="92" t="s">
        <v>344</v>
      </c>
      <c r="G180" s="93" t="str">
        <f>HYPERLINK(VLOOKUP(F180,Video_List!$F:$J,5),"video")</f>
        <v>video</v>
      </c>
      <c r="H180" s="94" t="str">
        <f>IFERROR(IF(MATCH(F180,Video_List!$F:$F,)&gt;0,"ok",""),"error")</f>
        <v>ok</v>
      </c>
      <c r="I180" s="17">
        <v>44397.538611111115</v>
      </c>
      <c r="J180" s="8">
        <v>44397.538784722223</v>
      </c>
      <c r="K180" s="15">
        <f t="shared" si="5"/>
        <v>1.7361110803904012E-4</v>
      </c>
      <c r="L180" s="4" t="s">
        <v>32</v>
      </c>
      <c r="M180" s="4" t="s">
        <v>33</v>
      </c>
      <c r="N180" s="96" t="str">
        <f>IF(ISBLANK(C180),"",IF(C180=F180, "1 video",CONCATENATE((+COUNTIFS(Video_List!$C:$C,"&lt;=" &amp;Monitoring!J180)-COUNTIFS(Video_List!$C:$C,"&lt;=" &amp;Monitoring!I180))+1," videos")))</f>
        <v>1 video</v>
      </c>
      <c r="O180" s="29" t="s">
        <v>44</v>
      </c>
      <c r="P180" s="42" t="s">
        <v>37</v>
      </c>
      <c r="Q180" s="42" t="s">
        <v>38</v>
      </c>
      <c r="R180" s="42" t="s">
        <v>39</v>
      </c>
      <c r="S180" s="97" t="str">
        <f>+IFERROR(IF(T180="#N/C","#N/C",IF(U180=0,INDEX(Taxonomy_UniqueValues!D:D,MATCH(U180,Taxonomy_UniqueValues!F:F,0)),INDEX(Taxonomy_UniqueValues!D:D,MATCH(T180,Taxonomy_UniqueValues!E:E,0)))),"#N/C")</f>
        <v>Asilomorpha</v>
      </c>
      <c r="T180" s="42" t="s">
        <v>149</v>
      </c>
      <c r="U180" s="42" t="s">
        <v>150</v>
      </c>
      <c r="V180" s="42" t="s">
        <v>151</v>
      </c>
      <c r="W180" s="42" t="s">
        <v>35</v>
      </c>
      <c r="X180" s="28" t="s">
        <v>35</v>
      </c>
      <c r="Y180" s="69" t="str" cm="1">
        <f t="array" ref="Y180">_xlfn.LET(_xlpm.cls,P180, _xlpm.ord,IFERROR(Q180,"#N/C"), _xlpm.subord,IFERROR(R180,"#N/C"), _xlpm.infr,IFERROR(S180,"#N/C"), _xlpm.sf,IFERROR(T180,"#N/C"), _xlpm.fam,IFERROR(U180,"#N/C"), _xlpm.subfam,IF(TRIM(V180)="-","#N/C",IFERROR(V180,"#N/C")),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_xlpm.fallback,IF(IFERROR(Q180,"#N/C")="#N/C",P180,IF(IFERROR(R180,"#N/C")="#N/C",Q180,IF(IFERROR(S180,"#N/C")="#N/C",R180,IF(IFERROR(T180,"#N/C")="#N/C",S180,IF(IFERROR(U180,"#N/C")="#N/C",T180,IF(IFERROR(V180,"#N/C")="#N/C",U180,"#N/C")))))), _xlpm.finalResult,IF(OR(_xlpm.computedResult="",_xlpm.computedResult="#N/C"),_xlpm.fallback,_xlpm.computedResult), INDEX(_xlpm.finalResult,1))</f>
        <v>robber_fly</v>
      </c>
      <c r="Z180" s="116" t="str" cm="1">
        <f t="array" ref="Z180">IF(OR(Y180="Insecta",Y180="Arachnida",Y180="#N/C"),"",IFERROR(_xlfn.LET(_xlpm.fc,IFERROR(_xlfn._xlws.FILTER(ClassificationClasses[],ClassificationClasses[Classification Class]=Y180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180,ClassificationClasses[Key])),0),MATCH(Y180,INDEX(ClassificationClasses[],MATCH(TRUE,ISNUMBER(SEARCH(Y180,ClassificationClasses[Key])),0),0),0)-1)))</f>
        <v>Asilomorpha</v>
      </c>
      <c r="AA180" s="116" t="str" cm="1">
        <f t="array" ref="AA180">IFERROR(IF(OR(Z180="Insecta",Z180="Arachnida",Z180="#N/C"),"",INDEX(ClassificationClasses[[Class]:[Infraorder]],MATCH(TRUE,ISNUMBER(SEARCH(Z180,ClassificationClasses[Key])),0),MATCH(Z180,INDEX(ClassificationClasses[#Data], MATCH(TRUE,ISNUMBER(SEARCH(Z180,ClassificationClasses[Key])),0), 0), 0)-1)),"")</f>
        <v>Brachycera</v>
      </c>
      <c r="AB180" s="116" t="str" cm="1">
        <f t="array" ref="AB180">IFERROR(IF(OR(AA180="Insecta",AA180="Arachnida",AA180="#N/C"),"",INDEX(ClassificationClasses[[Class]:[Suborder]],MATCH(TRUE,ISNUMBER(SEARCH(AA180,ClassificationClasses[Key])),0),MATCH(AA180,INDEX(ClassificationClasses[#Data], MATCH(TRUE,ISNUMBER(SEARCH(AA180,ClassificationClasses[Key])),0), 0), 0)-1)),"")</f>
        <v>Diptera</v>
      </c>
      <c r="AC180" s="116" t="str" cm="1">
        <f t="array" ref="AC180">IFERROR(IF(OR(AB180="Insecta",AB180="Arachnida",AB180="#N/C"),"",INDEX(ClassificationClasses[[Class]:[Suborder]],MATCH(TRUE,ISNUMBER(SEARCH(AB180,ClassificationClasses[Key])),0),MATCH(AB180,INDEX(ClassificationClasses[#Data], MATCH(TRUE,ISNUMBER(SEARCH(AB180,ClassificationClasses[Key])),0), 0), 0)-1)),"")</f>
        <v>Insecta</v>
      </c>
      <c r="AD180" s="116" t="str" cm="1">
        <f t="array" ref="AD180">IFERROR(IF(OR(AC180="Insecta",AC180="Arachnida",AC180="#N/C"),"",INDEX(ClassificationClasses[[Class]:[Suborder]],MATCH(TRUE,ISNUMBER(SEARCH(AC180,ClassificationClasses[Key])),0),MATCH(AC180,INDEX(ClassificationClasses[#Data], MATCH(TRUE,ISNUMBER(SEARCH(AC180,ClassificationClasses[Key])),0), 0), 0)-1)),"")</f>
        <v/>
      </c>
      <c r="AE180" s="18" t="str">
        <f t="shared" si="6"/>
        <v>Insecta.Diptera.Brachycera.Asilomorpha.Asiloidea.Asilidae.Asilinae.#N/C.#N/C</v>
      </c>
    </row>
    <row r="181" spans="1:31" x14ac:dyDescent="0.3">
      <c r="A181" s="91">
        <v>180</v>
      </c>
      <c r="B181" s="7">
        <v>44397</v>
      </c>
      <c r="C181" s="92" t="s">
        <v>345</v>
      </c>
      <c r="D181" s="93" t="str">
        <f>HYPERLINK(VLOOKUP(C181,Video_List!$F:$J,5),"video")</f>
        <v>video</v>
      </c>
      <c r="E181" s="94" t="str">
        <f>IFERROR(IF(MATCH(C181,Video_List!$F:$F,)&gt;0,"ok",""),"error")</f>
        <v>ok</v>
      </c>
      <c r="F181" s="92" t="s">
        <v>345</v>
      </c>
      <c r="G181" s="93" t="str">
        <f>HYPERLINK(VLOOKUP(F181,Video_List!$F:$J,5),"video")</f>
        <v>video</v>
      </c>
      <c r="H181" s="94" t="str">
        <f>IFERROR(IF(MATCH(F181,Video_List!$F:$F,)&gt;0,"ok",""),"error")</f>
        <v>ok</v>
      </c>
      <c r="I181" s="17">
        <v>44397.561319444445</v>
      </c>
      <c r="J181" s="8">
        <v>44397.561377314814</v>
      </c>
      <c r="K181" s="15">
        <f t="shared" si="5"/>
        <v>5.7870369346346706E-5</v>
      </c>
      <c r="L181" s="4" t="s">
        <v>32</v>
      </c>
      <c r="M181" s="4" t="s">
        <v>33</v>
      </c>
      <c r="N181" s="96" t="str">
        <f>IF(ISBLANK(C181),"",IF(C181=F181, "1 video",CONCATENATE((+COUNTIFS(Video_List!$C:$C,"&lt;=" &amp;Monitoring!J181)-COUNTIFS(Video_List!$C:$C,"&lt;=" &amp;Monitoring!I181))+1," videos")))</f>
        <v>1 video</v>
      </c>
      <c r="O181" s="29" t="s">
        <v>44</v>
      </c>
      <c r="P181" s="42" t="s">
        <v>37</v>
      </c>
      <c r="Q181" s="42" t="s">
        <v>38</v>
      </c>
      <c r="R181" s="42" t="s">
        <v>39</v>
      </c>
      <c r="S181" s="97" t="str">
        <f>+IFERROR(IF(T181="#N/C","#N/C",IF(U181=0,INDEX(Taxonomy_UniqueValues!D:D,MATCH(U181,Taxonomy_UniqueValues!F:F,0)),INDEX(Taxonomy_UniqueValues!D:D,MATCH(T181,Taxonomy_UniqueValues!E:E,0)))),"#N/C")</f>
        <v>Asilomorpha</v>
      </c>
      <c r="T181" s="42" t="s">
        <v>149</v>
      </c>
      <c r="U181" s="42" t="s">
        <v>150</v>
      </c>
      <c r="V181" s="42" t="s">
        <v>151</v>
      </c>
      <c r="W181" s="42" t="s">
        <v>35</v>
      </c>
      <c r="X181" s="28" t="s">
        <v>35</v>
      </c>
      <c r="Y181" s="69" t="str" cm="1">
        <f t="array" ref="Y181">_xlfn.LET(_xlpm.cls,P181, _xlpm.ord,IFERROR(Q181,"#N/C"), _xlpm.subord,IFERROR(R181,"#N/C"), _xlpm.infr,IFERROR(S181,"#N/C"), _xlpm.sf,IFERROR(T181,"#N/C"), _xlpm.fam,IFERROR(U181,"#N/C"), _xlpm.subfam,IF(TRIM(V181)="-","#N/C",IFERROR(V181,"#N/C")),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_xlpm.fallback,IF(IFERROR(Q181,"#N/C")="#N/C",P181,IF(IFERROR(R181,"#N/C")="#N/C",Q181,IF(IFERROR(S181,"#N/C")="#N/C",R181,IF(IFERROR(T181,"#N/C")="#N/C",S181,IF(IFERROR(U181,"#N/C")="#N/C",T181,IF(IFERROR(V181,"#N/C")="#N/C",U181,"#N/C")))))), _xlpm.finalResult,IF(OR(_xlpm.computedResult="",_xlpm.computedResult="#N/C"),_xlpm.fallback,_xlpm.computedResult), INDEX(_xlpm.finalResult,1))</f>
        <v>robber_fly</v>
      </c>
      <c r="Z181" s="116" t="str" cm="1">
        <f t="array" ref="Z181">IF(OR(Y181="Insecta",Y181="Arachnida",Y181="#N/C"),"",IFERROR(_xlfn.LET(_xlpm.fc,IFERROR(_xlfn._xlws.FILTER(ClassificationClasses[],ClassificationClasses[Classification Class]=Y181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181,ClassificationClasses[Key])),0),MATCH(Y181,INDEX(ClassificationClasses[],MATCH(TRUE,ISNUMBER(SEARCH(Y181,ClassificationClasses[Key])),0),0),0)-1)))</f>
        <v>Asilomorpha</v>
      </c>
      <c r="AA181" s="116" t="str" cm="1">
        <f t="array" ref="AA181">IFERROR(IF(OR(Z181="Insecta",Z181="Arachnida",Z181="#N/C"),"",INDEX(ClassificationClasses[[Class]:[Infraorder]],MATCH(TRUE,ISNUMBER(SEARCH(Z181,ClassificationClasses[Key])),0),MATCH(Z181,INDEX(ClassificationClasses[#Data], MATCH(TRUE,ISNUMBER(SEARCH(Z181,ClassificationClasses[Key])),0), 0), 0)-1)),"")</f>
        <v>Brachycera</v>
      </c>
      <c r="AB181" s="116" t="str" cm="1">
        <f t="array" ref="AB181">IFERROR(IF(OR(AA181="Insecta",AA181="Arachnida",AA181="#N/C"),"",INDEX(ClassificationClasses[[Class]:[Suborder]],MATCH(TRUE,ISNUMBER(SEARCH(AA181,ClassificationClasses[Key])),0),MATCH(AA181,INDEX(ClassificationClasses[#Data], MATCH(TRUE,ISNUMBER(SEARCH(AA181,ClassificationClasses[Key])),0), 0), 0)-1)),"")</f>
        <v>Diptera</v>
      </c>
      <c r="AC181" s="116" t="str" cm="1">
        <f t="array" ref="AC181">IFERROR(IF(OR(AB181="Insecta",AB181="Arachnida",AB181="#N/C"),"",INDEX(ClassificationClasses[[Class]:[Suborder]],MATCH(TRUE,ISNUMBER(SEARCH(AB181,ClassificationClasses[Key])),0),MATCH(AB181,INDEX(ClassificationClasses[#Data], MATCH(TRUE,ISNUMBER(SEARCH(AB181,ClassificationClasses[Key])),0), 0), 0)-1)),"")</f>
        <v>Insecta</v>
      </c>
      <c r="AD181" s="116" t="str" cm="1">
        <f t="array" ref="AD181">IFERROR(IF(OR(AC181="Insecta",AC181="Arachnida",AC181="#N/C"),"",INDEX(ClassificationClasses[[Class]:[Suborder]],MATCH(TRUE,ISNUMBER(SEARCH(AC181,ClassificationClasses[Key])),0),MATCH(AC181,INDEX(ClassificationClasses[#Data], MATCH(TRUE,ISNUMBER(SEARCH(AC181,ClassificationClasses[Key])),0), 0), 0)-1)),"")</f>
        <v/>
      </c>
      <c r="AE181" s="18" t="str">
        <f t="shared" si="6"/>
        <v>Insecta.Diptera.Brachycera.Asilomorpha.Asiloidea.Asilidae.Asilinae.#N/C.#N/C</v>
      </c>
    </row>
    <row r="182" spans="1:31" x14ac:dyDescent="0.3">
      <c r="A182" s="91">
        <v>181</v>
      </c>
      <c r="B182" s="7">
        <v>44397</v>
      </c>
      <c r="C182" s="92" t="s">
        <v>346</v>
      </c>
      <c r="D182" s="93" t="str">
        <f>HYPERLINK(VLOOKUP(C182,Video_List!$F:$J,5),"video")</f>
        <v>video</v>
      </c>
      <c r="E182" s="94" t="str">
        <f>IFERROR(IF(MATCH(C182,Video_List!$F:$F,)&gt;0,"ok",""),"error")</f>
        <v>ok</v>
      </c>
      <c r="F182" s="92" t="s">
        <v>346</v>
      </c>
      <c r="G182" s="93" t="str">
        <f>HYPERLINK(VLOOKUP(F182,Video_List!$F:$J,5),"video")</f>
        <v>video</v>
      </c>
      <c r="H182" s="94" t="str">
        <f>IFERROR(IF(MATCH(F182,Video_List!$F:$F,)&gt;0,"ok",""),"error")</f>
        <v>ok</v>
      </c>
      <c r="I182" s="17">
        <v>44397.584027777775</v>
      </c>
      <c r="J182" s="8">
        <v>44397.584085648145</v>
      </c>
      <c r="K182" s="15">
        <f t="shared" si="5"/>
        <v>5.7870369346346706E-5</v>
      </c>
      <c r="L182" s="4" t="s">
        <v>32</v>
      </c>
      <c r="M182" s="4" t="s">
        <v>33</v>
      </c>
      <c r="N182" s="96" t="str">
        <f>IF(ISBLANK(C182),"",IF(C182=F182, "1 video",CONCATENATE((+COUNTIFS(Video_List!$C:$C,"&lt;=" &amp;Monitoring!J182)-COUNTIFS(Video_List!$C:$C,"&lt;=" &amp;Monitoring!I182))+1," videos")))</f>
        <v>1 video</v>
      </c>
      <c r="O182" s="27" t="s">
        <v>32</v>
      </c>
      <c r="P182" s="42" t="s">
        <v>37</v>
      </c>
      <c r="Q182" s="42" t="s">
        <v>38</v>
      </c>
      <c r="R182" s="42" t="s">
        <v>39</v>
      </c>
      <c r="S182" s="97" t="str">
        <f>+IFERROR(IF(T182="#N/C","#N/C",IF(U182=0,INDEX(Taxonomy_UniqueValues!D:D,MATCH(U182,Taxonomy_UniqueValues!F:F,0)),INDEX(Taxonomy_UniqueValues!D:D,MATCH(T182,Taxonomy_UniqueValues!E:E,0)))),"#N/C")</f>
        <v>Muscomorpha</v>
      </c>
      <c r="T182" s="42" t="s">
        <v>46</v>
      </c>
      <c r="U182" s="42" t="s">
        <v>47</v>
      </c>
      <c r="V182" s="42" t="s">
        <v>48</v>
      </c>
      <c r="W182" s="42" t="s">
        <v>49</v>
      </c>
      <c r="X182" s="28" t="s">
        <v>35</v>
      </c>
      <c r="Y182" s="69" t="str" cm="1">
        <f t="array" ref="Y182">_xlfn.LET(_xlpm.cls,P182, _xlpm.ord,IFERROR(Q182,"#N/C"), _xlpm.subord,IFERROR(R182,"#N/C"), _xlpm.infr,IFERROR(S182,"#N/C"), _xlpm.sf,IFERROR(T182,"#N/C"), _xlpm.fam,IFERROR(U182,"#N/C"), _xlpm.subfam,IF(TRIM(V182)="-","#N/C",IFERROR(V182,"#N/C")),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_xlpm.fallback,IF(IFERROR(Q182,"#N/C")="#N/C",P182,IF(IFERROR(R182,"#N/C")="#N/C",Q182,IF(IFERROR(S182,"#N/C")="#N/C",R182,IF(IFERROR(T182,"#N/C")="#N/C",S182,IF(IFERROR(U182,"#N/C")="#N/C",T182,IF(IFERROR(V182,"#N/C")="#N/C",U182,"#N/C")))))), _xlpm.finalResult,IF(OR(_xlpm.computedResult="",_xlpm.computedResult="#N/C"),_xlpm.fallback,_xlpm.computedResult), INDEX(_xlpm.finalResult,1))</f>
        <v>hoverfly</v>
      </c>
      <c r="Z182" s="116" t="str" cm="1">
        <f t="array" ref="Z182">IF(OR(Y182="Insecta",Y182="Arachnida",Y182="#N/C"),"",IFERROR(_xlfn.LET(_xlpm.fc,IFERROR(_xlfn._xlws.FILTER(ClassificationClasses[],ClassificationClasses[Classification Class]=Y182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182,ClassificationClasses[Key])),0),MATCH(Y182,INDEX(ClassificationClasses[],MATCH(TRUE,ISNUMBER(SEARCH(Y182,ClassificationClasses[Key])),0),0),0)-1)))</f>
        <v>Muscomorpha</v>
      </c>
      <c r="AA182" s="116" t="str" cm="1">
        <f t="array" ref="AA182">IFERROR(IF(OR(Z182="Insecta",Z182="Arachnida",Z182="#N/C"),"",INDEX(ClassificationClasses[[Class]:[Infraorder]],MATCH(TRUE,ISNUMBER(SEARCH(Z182,ClassificationClasses[Key])),0),MATCH(Z182,INDEX(ClassificationClasses[#Data], MATCH(TRUE,ISNUMBER(SEARCH(Z182,ClassificationClasses[Key])),0), 0), 0)-1)),"")</f>
        <v>Brachycera</v>
      </c>
      <c r="AB182" s="116" t="str" cm="1">
        <f t="array" ref="AB182">IFERROR(IF(OR(AA182="Insecta",AA182="Arachnida",AA182="#N/C"),"",INDEX(ClassificationClasses[[Class]:[Suborder]],MATCH(TRUE,ISNUMBER(SEARCH(AA182,ClassificationClasses[Key])),0),MATCH(AA182,INDEX(ClassificationClasses[#Data], MATCH(TRUE,ISNUMBER(SEARCH(AA182,ClassificationClasses[Key])),0), 0), 0)-1)),"")</f>
        <v>Diptera</v>
      </c>
      <c r="AC182" s="116" t="str" cm="1">
        <f t="array" ref="AC182">IFERROR(IF(OR(AB182="Insecta",AB182="Arachnida",AB182="#N/C"),"",INDEX(ClassificationClasses[[Class]:[Suborder]],MATCH(TRUE,ISNUMBER(SEARCH(AB182,ClassificationClasses[Key])),0),MATCH(AB182,INDEX(ClassificationClasses[#Data], MATCH(TRUE,ISNUMBER(SEARCH(AB182,ClassificationClasses[Key])),0), 0), 0)-1)),"")</f>
        <v>Insecta</v>
      </c>
      <c r="AD182" s="116" t="str" cm="1">
        <f t="array" ref="AD182">IFERROR(IF(OR(AC182="Insecta",AC182="Arachnida",AC182="#N/C"),"",INDEX(ClassificationClasses[[Class]:[Suborder]],MATCH(TRUE,ISNUMBER(SEARCH(AC182,ClassificationClasses[Key])),0),MATCH(AC182,INDEX(ClassificationClasses[#Data], MATCH(TRUE,ISNUMBER(SEARCH(AC182,ClassificationClasses[Key])),0), 0), 0)-1)),"")</f>
        <v/>
      </c>
      <c r="AE182" s="18" t="str">
        <f t="shared" si="6"/>
        <v>Insecta.Diptera.Brachycera.Muscomorpha.Syrphoidea.Syrphidae.Syrphinae.Sphaerophoria.#N/C</v>
      </c>
    </row>
    <row r="183" spans="1:31" x14ac:dyDescent="0.3">
      <c r="A183" s="91">
        <v>182</v>
      </c>
      <c r="B183" s="7">
        <v>44397</v>
      </c>
      <c r="C183" s="92" t="s">
        <v>346</v>
      </c>
      <c r="D183" s="93" t="str">
        <f>HYPERLINK(VLOOKUP(C183,Video_List!$F:$J,5),"video")</f>
        <v>video</v>
      </c>
      <c r="E183" s="94" t="str">
        <f>IFERROR(IF(MATCH(C183,Video_List!$F:$F,)&gt;0,"ok",""),"error")</f>
        <v>ok</v>
      </c>
      <c r="F183" s="92" t="s">
        <v>346</v>
      </c>
      <c r="G183" s="93" t="str">
        <f>HYPERLINK(VLOOKUP(F183,Video_List!$F:$J,5),"video")</f>
        <v>video</v>
      </c>
      <c r="H183" s="94" t="str">
        <f>IFERROR(IF(MATCH(F183,Video_List!$F:$F,)&gt;0,"ok",""),"error")</f>
        <v>ok</v>
      </c>
      <c r="I183" s="17">
        <v>44397.584062499998</v>
      </c>
      <c r="J183" s="8">
        <v>44397.584108796298</v>
      </c>
      <c r="K183" s="15">
        <f t="shared" si="5"/>
        <v>4.6296299842651933E-5</v>
      </c>
      <c r="L183" s="4" t="s">
        <v>32</v>
      </c>
      <c r="M183" s="4" t="s">
        <v>33</v>
      </c>
      <c r="N183" s="96" t="str">
        <f>IF(ISBLANK(C183),"",IF(C183=F183, "1 video",CONCATENATE((+COUNTIFS(Video_List!$C:$C,"&lt;=" &amp;Monitoring!J183)-COUNTIFS(Video_List!$C:$C,"&lt;=" &amp;Monitoring!I183))+1," videos")))</f>
        <v>1 video</v>
      </c>
      <c r="O183" s="29" t="s">
        <v>44</v>
      </c>
      <c r="P183" s="42" t="s">
        <v>37</v>
      </c>
      <c r="Q183" s="42" t="s">
        <v>38</v>
      </c>
      <c r="R183" s="42" t="s">
        <v>39</v>
      </c>
      <c r="S183" s="97" t="str">
        <f>+IFERROR(IF(T183="#N/C","#N/C",IF(U183=0,INDEX(Taxonomy_UniqueValues!D:D,MATCH(U183,Taxonomy_UniqueValues!F:F,0)),INDEX(Taxonomy_UniqueValues!D:D,MATCH(T183,Taxonomy_UniqueValues!E:E,0)))),"#N/C")</f>
        <v>#N/C</v>
      </c>
      <c r="T183" s="42" t="s">
        <v>35</v>
      </c>
      <c r="U183" s="42" t="s">
        <v>35</v>
      </c>
      <c r="V183" s="42" t="s">
        <v>35</v>
      </c>
      <c r="W183" s="42" t="s">
        <v>35</v>
      </c>
      <c r="X183" s="28" t="s">
        <v>35</v>
      </c>
      <c r="Y183" s="69" t="str" cm="1">
        <f t="array" ref="Y183">_xlfn.LET(_xlpm.cls,P183, _xlpm.ord,IFERROR(Q183,"#N/C"), _xlpm.subord,IFERROR(R183,"#N/C"), _xlpm.infr,IFERROR(S183,"#N/C"), _xlpm.sf,IFERROR(T183,"#N/C"), _xlpm.fam,IFERROR(U183,"#N/C"), _xlpm.subfam,IF(TRIM(V183)="-","#N/C",IFERROR(V183,"#N/C")),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_xlpm.fallback,IF(IFERROR(Q183,"#N/C")="#N/C",P183,IF(IFERROR(R183,"#N/C")="#N/C",Q183,IF(IFERROR(S183,"#N/C")="#N/C",R183,IF(IFERROR(T183,"#N/C")="#N/C",S183,IF(IFERROR(U183,"#N/C")="#N/C",T183,IF(IFERROR(V183,"#N/C")="#N/C",U183,"#N/C")))))), _xlpm.finalResult,IF(OR(_xlpm.computedResult="",_xlpm.computedResult="#N/C"),_xlpm.fallback,_xlpm.computedResult), INDEX(_xlpm.finalResult,1))</f>
        <v>Brachycera</v>
      </c>
      <c r="Z183" s="116" t="str" cm="1">
        <f t="array" ref="Z183">IF(OR(Y183="Insecta",Y183="Arachnida",Y183="#N/C"),"",IFERROR(_xlfn.LET(_xlpm.fc,IFERROR(_xlfn._xlws.FILTER(ClassificationClasses[],ClassificationClasses[Classification Class]=Y183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183,ClassificationClasses[Key])),0),MATCH(Y183,INDEX(ClassificationClasses[],MATCH(TRUE,ISNUMBER(SEARCH(Y183,ClassificationClasses[Key])),0),0),0)-1)))</f>
        <v>Diptera</v>
      </c>
      <c r="AA183" s="116" t="str" cm="1">
        <f t="array" ref="AA183">IFERROR(IF(OR(Z183="Insecta",Z183="Arachnida",Z183="#N/C"),"",INDEX(ClassificationClasses[[Class]:[Infraorder]],MATCH(TRUE,ISNUMBER(SEARCH(Z183,ClassificationClasses[Key])),0),MATCH(Z183,INDEX(ClassificationClasses[#Data], MATCH(TRUE,ISNUMBER(SEARCH(Z183,ClassificationClasses[Key])),0), 0), 0)-1)),"")</f>
        <v>Insecta</v>
      </c>
      <c r="AB183" s="116" t="str" cm="1">
        <f t="array" ref="AB183">IFERROR(IF(OR(AA183="Insecta",AA183="Arachnida",AA183="#N/C"),"",INDEX(ClassificationClasses[[Class]:[Suborder]],MATCH(TRUE,ISNUMBER(SEARCH(AA183,ClassificationClasses[Key])),0),MATCH(AA183,INDEX(ClassificationClasses[#Data], MATCH(TRUE,ISNUMBER(SEARCH(AA183,ClassificationClasses[Key])),0), 0), 0)-1)),"")</f>
        <v/>
      </c>
      <c r="AC183" s="116" t="str" cm="1">
        <f t="array" ref="AC183">IFERROR(IF(OR(AB183="Insecta",AB183="Arachnida",AB183="#N/C"),"",INDEX(ClassificationClasses[[Class]:[Suborder]],MATCH(TRUE,ISNUMBER(SEARCH(AB183,ClassificationClasses[Key])),0),MATCH(AB183,INDEX(ClassificationClasses[#Data], MATCH(TRUE,ISNUMBER(SEARCH(AB183,ClassificationClasses[Key])),0), 0), 0)-1)),"")</f>
        <v/>
      </c>
      <c r="AD183" s="116" t="str" cm="1">
        <f t="array" ref="AD183">IFERROR(IF(OR(AC183="Insecta",AC183="Arachnida",AC183="#N/C"),"",INDEX(ClassificationClasses[[Class]:[Suborder]],MATCH(TRUE,ISNUMBER(SEARCH(AC183,ClassificationClasses[Key])),0),MATCH(AC183,INDEX(ClassificationClasses[#Data], MATCH(TRUE,ISNUMBER(SEARCH(AC183,ClassificationClasses[Key])),0), 0), 0)-1)),"")</f>
        <v/>
      </c>
      <c r="AE183" s="18" t="str">
        <f t="shared" si="6"/>
        <v>Insecta.Diptera.Brachycera.#N/C.#N/C.#N/C.#N/C.#N/C.#N/C</v>
      </c>
    </row>
    <row r="184" spans="1:31" x14ac:dyDescent="0.3">
      <c r="A184" s="91">
        <v>183</v>
      </c>
      <c r="B184" s="7">
        <v>44397</v>
      </c>
      <c r="C184" s="92" t="s">
        <v>347</v>
      </c>
      <c r="D184" s="93" t="str">
        <f>HYPERLINK(VLOOKUP(C184,Video_List!$F:$J,5),"video")</f>
        <v>video</v>
      </c>
      <c r="E184" s="94" t="str">
        <f>IFERROR(IF(MATCH(C184,Video_List!$F:$F,)&gt;0,"ok",""),"error")</f>
        <v>ok</v>
      </c>
      <c r="F184" s="92" t="s">
        <v>347</v>
      </c>
      <c r="G184" s="93" t="str">
        <f>HYPERLINK(VLOOKUP(F184,Video_List!$F:$J,5),"video")</f>
        <v>video</v>
      </c>
      <c r="H184" s="94" t="str">
        <f>IFERROR(IF(MATCH(F184,Video_List!$F:$F,)&gt;0,"ok",""),"error")</f>
        <v>ok</v>
      </c>
      <c r="I184" s="17">
        <v>44397.62641203704</v>
      </c>
      <c r="J184" s="8">
        <v>44397.626481481479</v>
      </c>
      <c r="K184" s="15">
        <f t="shared" si="5"/>
        <v>6.9444438850041479E-5</v>
      </c>
      <c r="L184" s="4" t="s">
        <v>32</v>
      </c>
      <c r="M184" s="4" t="s">
        <v>33</v>
      </c>
      <c r="N184" s="96" t="str">
        <f>IF(ISBLANK(C184),"",IF(C184=F184, "1 video",CONCATENATE((+COUNTIFS(Video_List!$C:$C,"&lt;=" &amp;Monitoring!J184)-COUNTIFS(Video_List!$C:$C,"&lt;=" &amp;Monitoring!I184))+1," videos")))</f>
        <v>1 video</v>
      </c>
      <c r="O184" s="29" t="s">
        <v>44</v>
      </c>
      <c r="P184" s="42" t="s">
        <v>37</v>
      </c>
      <c r="Q184" s="42" t="s">
        <v>38</v>
      </c>
      <c r="R184" s="42" t="s">
        <v>39</v>
      </c>
      <c r="S184" s="97" t="str">
        <f>+IFERROR(IF(T184="#N/C","#N/C",IF(U184=0,INDEX(Taxonomy_UniqueValues!D:D,MATCH(U184,Taxonomy_UniqueValues!F:F,0)),INDEX(Taxonomy_UniqueValues!D:D,MATCH(T184,Taxonomy_UniqueValues!E:E,0)))),"#N/C")</f>
        <v>Muscomorpha</v>
      </c>
      <c r="T184" s="42" t="s">
        <v>46</v>
      </c>
      <c r="U184" s="42" t="s">
        <v>47</v>
      </c>
      <c r="V184" s="42" t="s">
        <v>48</v>
      </c>
      <c r="W184" s="42" t="s">
        <v>49</v>
      </c>
      <c r="X184" s="28" t="s">
        <v>35</v>
      </c>
      <c r="Y184" s="69" t="str" cm="1">
        <f t="array" ref="Y184">_xlfn.LET(_xlpm.cls,P184, _xlpm.ord,IFERROR(Q184,"#N/C"), _xlpm.subord,IFERROR(R184,"#N/C"), _xlpm.infr,IFERROR(S184,"#N/C"), _xlpm.sf,IFERROR(T184,"#N/C"), _xlpm.fam,IFERROR(U184,"#N/C"), _xlpm.subfam,IF(TRIM(V184)="-","#N/C",IFERROR(V184,"#N/C")),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_xlpm.fallback,IF(IFERROR(Q184,"#N/C")="#N/C",P184,IF(IFERROR(R184,"#N/C")="#N/C",Q184,IF(IFERROR(S184,"#N/C")="#N/C",R184,IF(IFERROR(T184,"#N/C")="#N/C",S184,IF(IFERROR(U184,"#N/C")="#N/C",T184,IF(IFERROR(V184,"#N/C")="#N/C",U184,"#N/C")))))), _xlpm.finalResult,IF(OR(_xlpm.computedResult="",_xlpm.computedResult="#N/C"),_xlpm.fallback,_xlpm.computedResult), INDEX(_xlpm.finalResult,1))</f>
        <v>hoverfly</v>
      </c>
      <c r="Z184" s="116" t="str" cm="1">
        <f t="array" ref="Z184">IF(OR(Y184="Insecta",Y184="Arachnida",Y184="#N/C"),"",IFERROR(_xlfn.LET(_xlpm.fc,IFERROR(_xlfn._xlws.FILTER(ClassificationClasses[],ClassificationClasses[Classification Class]=Y184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184,ClassificationClasses[Key])),0),MATCH(Y184,INDEX(ClassificationClasses[],MATCH(TRUE,ISNUMBER(SEARCH(Y184,ClassificationClasses[Key])),0),0),0)-1)))</f>
        <v>Muscomorpha</v>
      </c>
      <c r="AA184" s="116" t="str" cm="1">
        <f t="array" ref="AA184">IFERROR(IF(OR(Z184="Insecta",Z184="Arachnida",Z184="#N/C"),"",INDEX(ClassificationClasses[[Class]:[Infraorder]],MATCH(TRUE,ISNUMBER(SEARCH(Z184,ClassificationClasses[Key])),0),MATCH(Z184,INDEX(ClassificationClasses[#Data], MATCH(TRUE,ISNUMBER(SEARCH(Z184,ClassificationClasses[Key])),0), 0), 0)-1)),"")</f>
        <v>Brachycera</v>
      </c>
      <c r="AB184" s="116" t="str" cm="1">
        <f t="array" ref="AB184">IFERROR(IF(OR(AA184="Insecta",AA184="Arachnida",AA184="#N/C"),"",INDEX(ClassificationClasses[[Class]:[Suborder]],MATCH(TRUE,ISNUMBER(SEARCH(AA184,ClassificationClasses[Key])),0),MATCH(AA184,INDEX(ClassificationClasses[#Data], MATCH(TRUE,ISNUMBER(SEARCH(AA184,ClassificationClasses[Key])),0), 0), 0)-1)),"")</f>
        <v>Diptera</v>
      </c>
      <c r="AC184" s="116" t="str" cm="1">
        <f t="array" ref="AC184">IFERROR(IF(OR(AB184="Insecta",AB184="Arachnida",AB184="#N/C"),"",INDEX(ClassificationClasses[[Class]:[Suborder]],MATCH(TRUE,ISNUMBER(SEARCH(AB184,ClassificationClasses[Key])),0),MATCH(AB184,INDEX(ClassificationClasses[#Data], MATCH(TRUE,ISNUMBER(SEARCH(AB184,ClassificationClasses[Key])),0), 0), 0)-1)),"")</f>
        <v>Insecta</v>
      </c>
      <c r="AD184" s="116" t="str" cm="1">
        <f t="array" ref="AD184">IFERROR(IF(OR(AC184="Insecta",AC184="Arachnida",AC184="#N/C"),"",INDEX(ClassificationClasses[[Class]:[Suborder]],MATCH(TRUE,ISNUMBER(SEARCH(AC184,ClassificationClasses[Key])),0),MATCH(AC184,INDEX(ClassificationClasses[#Data], MATCH(TRUE,ISNUMBER(SEARCH(AC184,ClassificationClasses[Key])),0), 0), 0)-1)),"")</f>
        <v/>
      </c>
      <c r="AE184" s="18" t="str">
        <f t="shared" si="6"/>
        <v>Insecta.Diptera.Brachycera.Muscomorpha.Syrphoidea.Syrphidae.Syrphinae.Sphaerophoria.#N/C</v>
      </c>
    </row>
    <row r="185" spans="1:31" x14ac:dyDescent="0.3">
      <c r="A185" s="91">
        <v>184</v>
      </c>
      <c r="B185" s="7">
        <v>44397</v>
      </c>
      <c r="C185" s="92" t="s">
        <v>348</v>
      </c>
      <c r="D185" s="93" t="str">
        <f>HYPERLINK(VLOOKUP(C185,Video_List!$F:$J,5),"video")</f>
        <v>video</v>
      </c>
      <c r="E185" s="94" t="str">
        <f>IFERROR(IF(MATCH(C185,Video_List!$F:$F,)&gt;0,"ok",""),"error")</f>
        <v>ok</v>
      </c>
      <c r="F185" s="92" t="s">
        <v>348</v>
      </c>
      <c r="G185" s="93" t="str">
        <f>HYPERLINK(VLOOKUP(F185,Video_List!$F:$J,5),"video")</f>
        <v>video</v>
      </c>
      <c r="H185" s="94" t="str">
        <f>IFERROR(IF(MATCH(F185,Video_List!$F:$F,)&gt;0,"ok",""),"error")</f>
        <v>ok</v>
      </c>
      <c r="I185" s="17">
        <v>44397.679988425924</v>
      </c>
      <c r="J185" s="8">
        <v>44397.680046296293</v>
      </c>
      <c r="K185" s="15">
        <f t="shared" si="5"/>
        <v>5.7870369346346706E-5</v>
      </c>
      <c r="L185" s="4" t="s">
        <v>32</v>
      </c>
      <c r="M185" s="4" t="s">
        <v>33</v>
      </c>
      <c r="N185" s="96" t="str">
        <f>IF(ISBLANK(C185),"",IF(C185=F185, "1 video",CONCATENATE((+COUNTIFS(Video_List!$C:$C,"&lt;=" &amp;Monitoring!J185)-COUNTIFS(Video_List!$C:$C,"&lt;=" &amp;Monitoring!I185))+1," videos")))</f>
        <v>1 video</v>
      </c>
      <c r="O185" s="29" t="s">
        <v>44</v>
      </c>
      <c r="P185" s="42" t="s">
        <v>37</v>
      </c>
      <c r="Q185" s="42" t="s">
        <v>38</v>
      </c>
      <c r="R185" s="42" t="s">
        <v>39</v>
      </c>
      <c r="S185" s="97" t="str">
        <f>+IFERROR(IF(T185="#N/C","#N/C",IF(U185=0,INDEX(Taxonomy_UniqueValues!D:D,MATCH(U185,Taxonomy_UniqueValues!F:F,0)),INDEX(Taxonomy_UniqueValues!D:D,MATCH(T185,Taxonomy_UniqueValues!E:E,0)))),"#N/C")</f>
        <v>Asilomorpha</v>
      </c>
      <c r="T185" s="42" t="s">
        <v>149</v>
      </c>
      <c r="U185" s="42" t="s">
        <v>150</v>
      </c>
      <c r="V185" s="42" t="s">
        <v>151</v>
      </c>
      <c r="W185" s="42" t="s">
        <v>35</v>
      </c>
      <c r="X185" s="28" t="s">
        <v>35</v>
      </c>
      <c r="Y185" s="69" t="str" cm="1">
        <f t="array" ref="Y185">_xlfn.LET(_xlpm.cls,P185, _xlpm.ord,IFERROR(Q185,"#N/C"), _xlpm.subord,IFERROR(R185,"#N/C"), _xlpm.infr,IFERROR(S185,"#N/C"), _xlpm.sf,IFERROR(T185,"#N/C"), _xlpm.fam,IFERROR(U185,"#N/C"), _xlpm.subfam,IF(TRIM(V185)="-","#N/C",IFERROR(V185,"#N/C")),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_xlpm.fallback,IF(IFERROR(Q185,"#N/C")="#N/C",P185,IF(IFERROR(R185,"#N/C")="#N/C",Q185,IF(IFERROR(S185,"#N/C")="#N/C",R185,IF(IFERROR(T185,"#N/C")="#N/C",S185,IF(IFERROR(U185,"#N/C")="#N/C",T185,IF(IFERROR(V185,"#N/C")="#N/C",U185,"#N/C")))))), _xlpm.finalResult,IF(OR(_xlpm.computedResult="",_xlpm.computedResult="#N/C"),_xlpm.fallback,_xlpm.computedResult), INDEX(_xlpm.finalResult,1))</f>
        <v>robber_fly</v>
      </c>
      <c r="Z185" s="116" t="str" cm="1">
        <f t="array" ref="Z185">IF(OR(Y185="Insecta",Y185="Arachnida",Y185="#N/C"),"",IFERROR(_xlfn.LET(_xlpm.fc,IFERROR(_xlfn._xlws.FILTER(ClassificationClasses[],ClassificationClasses[Classification Class]=Y185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185,ClassificationClasses[Key])),0),MATCH(Y185,INDEX(ClassificationClasses[],MATCH(TRUE,ISNUMBER(SEARCH(Y185,ClassificationClasses[Key])),0),0),0)-1)))</f>
        <v>Asilomorpha</v>
      </c>
      <c r="AA185" s="116" t="str" cm="1">
        <f t="array" ref="AA185">IFERROR(IF(OR(Z185="Insecta",Z185="Arachnida",Z185="#N/C"),"",INDEX(ClassificationClasses[[Class]:[Infraorder]],MATCH(TRUE,ISNUMBER(SEARCH(Z185,ClassificationClasses[Key])),0),MATCH(Z185,INDEX(ClassificationClasses[#Data], MATCH(TRUE,ISNUMBER(SEARCH(Z185,ClassificationClasses[Key])),0), 0), 0)-1)),"")</f>
        <v>Brachycera</v>
      </c>
      <c r="AB185" s="116" t="str" cm="1">
        <f t="array" ref="AB185">IFERROR(IF(OR(AA185="Insecta",AA185="Arachnida",AA185="#N/C"),"",INDEX(ClassificationClasses[[Class]:[Suborder]],MATCH(TRUE,ISNUMBER(SEARCH(AA185,ClassificationClasses[Key])),0),MATCH(AA185,INDEX(ClassificationClasses[#Data], MATCH(TRUE,ISNUMBER(SEARCH(AA185,ClassificationClasses[Key])),0), 0), 0)-1)),"")</f>
        <v>Diptera</v>
      </c>
      <c r="AC185" s="116" t="str" cm="1">
        <f t="array" ref="AC185">IFERROR(IF(OR(AB185="Insecta",AB185="Arachnida",AB185="#N/C"),"",INDEX(ClassificationClasses[[Class]:[Suborder]],MATCH(TRUE,ISNUMBER(SEARCH(AB185,ClassificationClasses[Key])),0),MATCH(AB185,INDEX(ClassificationClasses[#Data], MATCH(TRUE,ISNUMBER(SEARCH(AB185,ClassificationClasses[Key])),0), 0), 0)-1)),"")</f>
        <v>Insecta</v>
      </c>
      <c r="AD185" s="116" t="str" cm="1">
        <f t="array" ref="AD185">IFERROR(IF(OR(AC185="Insecta",AC185="Arachnida",AC185="#N/C"),"",INDEX(ClassificationClasses[[Class]:[Suborder]],MATCH(TRUE,ISNUMBER(SEARCH(AC185,ClassificationClasses[Key])),0),MATCH(AC185,INDEX(ClassificationClasses[#Data], MATCH(TRUE,ISNUMBER(SEARCH(AC185,ClassificationClasses[Key])),0), 0), 0)-1)),"")</f>
        <v/>
      </c>
      <c r="AE185" s="18" t="str">
        <f t="shared" si="6"/>
        <v>Insecta.Diptera.Brachycera.Asilomorpha.Asiloidea.Asilidae.Asilinae.#N/C.#N/C</v>
      </c>
    </row>
    <row r="186" spans="1:31" x14ac:dyDescent="0.3">
      <c r="A186" s="91">
        <v>185</v>
      </c>
      <c r="B186" s="7">
        <v>44397</v>
      </c>
      <c r="C186" s="92" t="s">
        <v>349</v>
      </c>
      <c r="D186" s="93" t="str">
        <f>HYPERLINK(VLOOKUP(C186,Video_List!$F:$J,5),"video")</f>
        <v>video</v>
      </c>
      <c r="E186" s="94" t="str">
        <f>IFERROR(IF(MATCH(C186,Video_List!$F:$F,)&gt;0,"ok",""),"error")</f>
        <v>ok</v>
      </c>
      <c r="F186" s="92" t="s">
        <v>350</v>
      </c>
      <c r="G186" s="93" t="str">
        <f>HYPERLINK(VLOOKUP(F186,Video_List!$F:$J,5),"video")</f>
        <v>video</v>
      </c>
      <c r="H186" s="94" t="str">
        <f>IFERROR(IF(MATCH(F186,Video_List!$F:$F,)&gt;0,"ok",""),"error")</f>
        <v>ok</v>
      </c>
      <c r="I186" s="17">
        <v>44397.683645833335</v>
      </c>
      <c r="J186" s="8">
        <v>44397.684386574074</v>
      </c>
      <c r="K186" s="15">
        <f t="shared" si="5"/>
        <v>7.4074073927477002E-4</v>
      </c>
      <c r="L186" s="4" t="s">
        <v>32</v>
      </c>
      <c r="M186" s="4" t="s">
        <v>33</v>
      </c>
      <c r="N186" s="96" t="str">
        <f>IF(ISBLANK(C186),"",IF(C186=F186, "1 video",CONCATENATE((+COUNTIFS(Video_List!$C:$C,"&lt;=" &amp;Monitoring!J186)-COUNTIFS(Video_List!$C:$C,"&lt;=" &amp;Monitoring!I186))+1," videos")))</f>
        <v>2 videos</v>
      </c>
      <c r="O186" s="29" t="s">
        <v>44</v>
      </c>
      <c r="P186" s="42" t="s">
        <v>37</v>
      </c>
      <c r="Q186" s="42" t="s">
        <v>38</v>
      </c>
      <c r="R186" s="42" t="s">
        <v>39</v>
      </c>
      <c r="S186" s="97" t="str">
        <f>+IFERROR(IF(T186="#N/C","#N/C",IF(U186=0,INDEX(Taxonomy_UniqueValues!D:D,MATCH(U186,Taxonomy_UniqueValues!F:F,0)),INDEX(Taxonomy_UniqueValues!D:D,MATCH(T186,Taxonomy_UniqueValues!E:E,0)))),"#N/C")</f>
        <v>Asilomorpha</v>
      </c>
      <c r="T186" s="42" t="s">
        <v>149</v>
      </c>
      <c r="U186" s="42" t="s">
        <v>150</v>
      </c>
      <c r="V186" s="42" t="s">
        <v>151</v>
      </c>
      <c r="W186" s="42" t="s">
        <v>35</v>
      </c>
      <c r="X186" s="28" t="s">
        <v>35</v>
      </c>
      <c r="Y186" s="69" t="str" cm="1">
        <f t="array" ref="Y186">_xlfn.LET(_xlpm.cls,P186, _xlpm.ord,IFERROR(Q186,"#N/C"), _xlpm.subord,IFERROR(R186,"#N/C"), _xlpm.infr,IFERROR(S186,"#N/C"), _xlpm.sf,IFERROR(T186,"#N/C"), _xlpm.fam,IFERROR(U186,"#N/C"), _xlpm.subfam,IF(TRIM(V186)="-","#N/C",IFERROR(V186,"#N/C")),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_xlpm.fallback,IF(IFERROR(Q186,"#N/C")="#N/C",P186,IF(IFERROR(R186,"#N/C")="#N/C",Q186,IF(IFERROR(S186,"#N/C")="#N/C",R186,IF(IFERROR(T186,"#N/C")="#N/C",S186,IF(IFERROR(U186,"#N/C")="#N/C",T186,IF(IFERROR(V186,"#N/C")="#N/C",U186,"#N/C")))))), _xlpm.finalResult,IF(OR(_xlpm.computedResult="",_xlpm.computedResult="#N/C"),_xlpm.fallback,_xlpm.computedResult), INDEX(_xlpm.finalResult,1))</f>
        <v>robber_fly</v>
      </c>
      <c r="Z186" s="116" t="str" cm="1">
        <f t="array" ref="Z186">IF(OR(Y186="Insecta",Y186="Arachnida",Y186="#N/C"),"",IFERROR(_xlfn.LET(_xlpm.fc,IFERROR(_xlfn._xlws.FILTER(ClassificationClasses[],ClassificationClasses[Classification Class]=Y186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186,ClassificationClasses[Key])),0),MATCH(Y186,INDEX(ClassificationClasses[],MATCH(TRUE,ISNUMBER(SEARCH(Y186,ClassificationClasses[Key])),0),0),0)-1)))</f>
        <v>Asilomorpha</v>
      </c>
      <c r="AA186" s="116" t="str" cm="1">
        <f t="array" ref="AA186">IFERROR(IF(OR(Z186="Insecta",Z186="Arachnida",Z186="#N/C"),"",INDEX(ClassificationClasses[[Class]:[Infraorder]],MATCH(TRUE,ISNUMBER(SEARCH(Z186,ClassificationClasses[Key])),0),MATCH(Z186,INDEX(ClassificationClasses[#Data], MATCH(TRUE,ISNUMBER(SEARCH(Z186,ClassificationClasses[Key])),0), 0), 0)-1)),"")</f>
        <v>Brachycera</v>
      </c>
      <c r="AB186" s="116" t="str" cm="1">
        <f t="array" ref="AB186">IFERROR(IF(OR(AA186="Insecta",AA186="Arachnida",AA186="#N/C"),"",INDEX(ClassificationClasses[[Class]:[Suborder]],MATCH(TRUE,ISNUMBER(SEARCH(AA186,ClassificationClasses[Key])),0),MATCH(AA186,INDEX(ClassificationClasses[#Data], MATCH(TRUE,ISNUMBER(SEARCH(AA186,ClassificationClasses[Key])),0), 0), 0)-1)),"")</f>
        <v>Diptera</v>
      </c>
      <c r="AC186" s="116" t="str" cm="1">
        <f t="array" ref="AC186">IFERROR(IF(OR(AB186="Insecta",AB186="Arachnida",AB186="#N/C"),"",INDEX(ClassificationClasses[[Class]:[Suborder]],MATCH(TRUE,ISNUMBER(SEARCH(AB186,ClassificationClasses[Key])),0),MATCH(AB186,INDEX(ClassificationClasses[#Data], MATCH(TRUE,ISNUMBER(SEARCH(AB186,ClassificationClasses[Key])),0), 0), 0)-1)),"")</f>
        <v>Insecta</v>
      </c>
      <c r="AD186" s="116" t="str" cm="1">
        <f t="array" ref="AD186">IFERROR(IF(OR(AC186="Insecta",AC186="Arachnida",AC186="#N/C"),"",INDEX(ClassificationClasses[[Class]:[Suborder]],MATCH(TRUE,ISNUMBER(SEARCH(AC186,ClassificationClasses[Key])),0),MATCH(AC186,INDEX(ClassificationClasses[#Data], MATCH(TRUE,ISNUMBER(SEARCH(AC186,ClassificationClasses[Key])),0), 0), 0)-1)),"")</f>
        <v/>
      </c>
      <c r="AE186" s="18" t="str">
        <f t="shared" si="6"/>
        <v>Insecta.Diptera.Brachycera.Asilomorpha.Asiloidea.Asilidae.Asilinae.#N/C.#N/C</v>
      </c>
    </row>
    <row r="187" spans="1:31" x14ac:dyDescent="0.3">
      <c r="A187" s="91">
        <v>186</v>
      </c>
      <c r="B187" s="7">
        <v>44398</v>
      </c>
      <c r="C187" s="92" t="s">
        <v>351</v>
      </c>
      <c r="D187" s="93" t="str">
        <f>HYPERLINK(VLOOKUP(C187,Video_List!$F:$J,5),"video")</f>
        <v>video</v>
      </c>
      <c r="E187" s="94" t="str">
        <f>IFERROR(IF(MATCH(C187,Video_List!$F:$F,)&gt;0,"ok",""),"error")</f>
        <v>ok</v>
      </c>
      <c r="F187" s="92" t="s">
        <v>351</v>
      </c>
      <c r="G187" s="93" t="str">
        <f>HYPERLINK(VLOOKUP(F187,Video_List!$F:$J,5),"video")</f>
        <v>video</v>
      </c>
      <c r="H187" s="94" t="str">
        <f>IFERROR(IF(MATCH(F187,Video_List!$F:$F,)&gt;0,"ok",""),"error")</f>
        <v>ok</v>
      </c>
      <c r="I187" s="17">
        <v>44398.81045138889</v>
      </c>
      <c r="J187" s="8">
        <v>44398.81050925926</v>
      </c>
      <c r="K187" s="15">
        <f t="shared" si="5"/>
        <v>5.7870369346346706E-5</v>
      </c>
      <c r="L187" s="4" t="s">
        <v>32</v>
      </c>
      <c r="M187" s="4" t="s">
        <v>33</v>
      </c>
      <c r="N187" s="96" t="str">
        <f>IF(ISBLANK(C187),"",IF(C187=F187, "1 video",CONCATENATE((+COUNTIFS(Video_List!$C:$C,"&lt;=" &amp;Monitoring!J187)-COUNTIFS(Video_List!$C:$C,"&lt;=" &amp;Monitoring!I187))+1," videos")))</f>
        <v>1 video</v>
      </c>
      <c r="O187" s="29" t="s">
        <v>44</v>
      </c>
      <c r="P187" s="42" t="s">
        <v>37</v>
      </c>
      <c r="Q187" s="42" t="s">
        <v>38</v>
      </c>
      <c r="R187" s="42" t="s">
        <v>39</v>
      </c>
      <c r="S187" s="97" t="str">
        <f>+IFERROR(IF(T187="#N/C","#N/C",IF(U187=0,INDEX(Taxonomy_UniqueValues!D:D,MATCH(U187,Taxonomy_UniqueValues!F:F,0)),INDEX(Taxonomy_UniqueValues!D:D,MATCH(T187,Taxonomy_UniqueValues!E:E,0)))),"#N/C")</f>
        <v>#N/C</v>
      </c>
      <c r="T187" s="42" t="s">
        <v>35</v>
      </c>
      <c r="U187" s="42" t="s">
        <v>35</v>
      </c>
      <c r="V187" s="42" t="s">
        <v>35</v>
      </c>
      <c r="W187" s="42" t="s">
        <v>35</v>
      </c>
      <c r="X187" s="28" t="s">
        <v>35</v>
      </c>
      <c r="Y187" s="69" t="str" cm="1">
        <f t="array" ref="Y187">_xlfn.LET(_xlpm.cls,P187, _xlpm.ord,IFERROR(Q187,"#N/C"), _xlpm.subord,IFERROR(R187,"#N/C"), _xlpm.infr,IFERROR(S187,"#N/C"), _xlpm.sf,IFERROR(T187,"#N/C"), _xlpm.fam,IFERROR(U187,"#N/C"), _xlpm.subfam,IF(TRIM(V187)="-","#N/C",IFERROR(V187,"#N/C")),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_xlpm.fallback,IF(IFERROR(Q187,"#N/C")="#N/C",P187,IF(IFERROR(R187,"#N/C")="#N/C",Q187,IF(IFERROR(S187,"#N/C")="#N/C",R187,IF(IFERROR(T187,"#N/C")="#N/C",S187,IF(IFERROR(U187,"#N/C")="#N/C",T187,IF(IFERROR(V187,"#N/C")="#N/C",U187,"#N/C")))))), _xlpm.finalResult,IF(OR(_xlpm.computedResult="",_xlpm.computedResult="#N/C"),_xlpm.fallback,_xlpm.computedResult), INDEX(_xlpm.finalResult,1))</f>
        <v>Brachycera</v>
      </c>
      <c r="Z187" s="116" t="str" cm="1">
        <f t="array" ref="Z187">IF(OR(Y187="Insecta",Y187="Arachnida",Y187="#N/C"),"",IFERROR(_xlfn.LET(_xlpm.fc,IFERROR(_xlfn._xlws.FILTER(ClassificationClasses[],ClassificationClasses[Classification Class]=Y187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187,ClassificationClasses[Key])),0),MATCH(Y187,INDEX(ClassificationClasses[],MATCH(TRUE,ISNUMBER(SEARCH(Y187,ClassificationClasses[Key])),0),0),0)-1)))</f>
        <v>Diptera</v>
      </c>
      <c r="AA187" s="116" t="str" cm="1">
        <f t="array" ref="AA187">IFERROR(IF(OR(Z187="Insecta",Z187="Arachnida",Z187="#N/C"),"",INDEX(ClassificationClasses[[Class]:[Infraorder]],MATCH(TRUE,ISNUMBER(SEARCH(Z187,ClassificationClasses[Key])),0),MATCH(Z187,INDEX(ClassificationClasses[#Data], MATCH(TRUE,ISNUMBER(SEARCH(Z187,ClassificationClasses[Key])),0), 0), 0)-1)),"")</f>
        <v>Insecta</v>
      </c>
      <c r="AB187" s="116" t="str" cm="1">
        <f t="array" ref="AB187">IFERROR(IF(OR(AA187="Insecta",AA187="Arachnida",AA187="#N/C"),"",INDEX(ClassificationClasses[[Class]:[Suborder]],MATCH(TRUE,ISNUMBER(SEARCH(AA187,ClassificationClasses[Key])),0),MATCH(AA187,INDEX(ClassificationClasses[#Data], MATCH(TRUE,ISNUMBER(SEARCH(AA187,ClassificationClasses[Key])),0), 0), 0)-1)),"")</f>
        <v/>
      </c>
      <c r="AC187" s="116" t="str" cm="1">
        <f t="array" ref="AC187">IFERROR(IF(OR(AB187="Insecta",AB187="Arachnida",AB187="#N/C"),"",INDEX(ClassificationClasses[[Class]:[Suborder]],MATCH(TRUE,ISNUMBER(SEARCH(AB187,ClassificationClasses[Key])),0),MATCH(AB187,INDEX(ClassificationClasses[#Data], MATCH(TRUE,ISNUMBER(SEARCH(AB187,ClassificationClasses[Key])),0), 0), 0)-1)),"")</f>
        <v/>
      </c>
      <c r="AD187" s="116" t="str" cm="1">
        <f t="array" ref="AD187">IFERROR(IF(OR(AC187="Insecta",AC187="Arachnida",AC187="#N/C"),"",INDEX(ClassificationClasses[[Class]:[Suborder]],MATCH(TRUE,ISNUMBER(SEARCH(AC187,ClassificationClasses[Key])),0),MATCH(AC187,INDEX(ClassificationClasses[#Data], MATCH(TRUE,ISNUMBER(SEARCH(AC187,ClassificationClasses[Key])),0), 0), 0)-1)),"")</f>
        <v/>
      </c>
      <c r="AE187" s="18" t="str">
        <f t="shared" si="6"/>
        <v>Insecta.Diptera.Brachycera.#N/C.#N/C.#N/C.#N/C.#N/C.#N/C</v>
      </c>
    </row>
    <row r="188" spans="1:31" x14ac:dyDescent="0.3">
      <c r="A188" s="91">
        <v>187</v>
      </c>
      <c r="B188" s="7">
        <v>44398</v>
      </c>
      <c r="C188" s="92" t="s">
        <v>352</v>
      </c>
      <c r="D188" s="93" t="str">
        <f>HYPERLINK(VLOOKUP(C188,Video_List!$F:$J,5),"video")</f>
        <v>video</v>
      </c>
      <c r="E188" s="94" t="str">
        <f>IFERROR(IF(MATCH(C188,Video_List!$F:$F,)&gt;0,"ok",""),"error")</f>
        <v>ok</v>
      </c>
      <c r="F188" s="92" t="s">
        <v>352</v>
      </c>
      <c r="G188" s="93" t="str">
        <f>HYPERLINK(VLOOKUP(F188,Video_List!$F:$J,5),"video")</f>
        <v>video</v>
      </c>
      <c r="H188" s="94" t="str">
        <f>IFERROR(IF(MATCH(F188,Video_List!$F:$F,)&gt;0,"ok",""),"error")</f>
        <v>ok</v>
      </c>
      <c r="I188" s="17">
        <v>44398.820532407408</v>
      </c>
      <c r="J188" s="8">
        <v>44398.821377314816</v>
      </c>
      <c r="K188" s="15">
        <f t="shared" si="5"/>
        <v>8.4490740846376866E-4</v>
      </c>
      <c r="L188" s="95" t="s">
        <v>44</v>
      </c>
      <c r="M188" s="95" t="s">
        <v>33</v>
      </c>
      <c r="N188" s="96" t="str">
        <f>IF(ISBLANK(C188),"",IF(C188=F188, "1 video",CONCATENATE((+COUNTIFS(Video_List!$C:$C,"&lt;=" &amp;Monitoring!J188)-COUNTIFS(Video_List!$C:$C,"&lt;=" &amp;Monitoring!I188))+1," videos")))</f>
        <v>1 video</v>
      </c>
      <c r="O188" s="27" t="s">
        <v>32</v>
      </c>
      <c r="P188" s="42" t="s">
        <v>37</v>
      </c>
      <c r="Q188" s="42" t="s">
        <v>110</v>
      </c>
      <c r="R188" s="42">
        <v>0</v>
      </c>
      <c r="S188" s="97">
        <f>+IFERROR(IF(T188="#N/C","#N/C",IF(U188=0,INDEX(Taxonomy_UniqueValues!D:D,MATCH(U188,Taxonomy_UniqueValues!F:F,0)),INDEX(Taxonomy_UniqueValues!D:D,MATCH(T188,Taxonomy_UniqueValues!E:E,0)))),"#N/C")</f>
        <v>0</v>
      </c>
      <c r="T188" s="42" t="s">
        <v>111</v>
      </c>
      <c r="U188" s="42" t="s">
        <v>112</v>
      </c>
      <c r="V188" s="42">
        <v>0</v>
      </c>
      <c r="W188" s="42" t="s">
        <v>113</v>
      </c>
      <c r="X188" s="28" t="s">
        <v>353</v>
      </c>
      <c r="Y188" s="69" t="str" cm="1">
        <f t="array" ref="Y188">_xlfn.LET(_xlpm.cls,P188, _xlpm.ord,IFERROR(Q188,"#N/C"), _xlpm.subord,IFERROR(R188,"#N/C"), _xlpm.infr,IFERROR(S188,"#N/C"), _xlpm.sf,IFERROR(T188,"#N/C"), _xlpm.fam,IFERROR(U188,"#N/C"), _xlpm.subfam,IF(TRIM(V188)="-","#N/C",IFERROR(V188,"#N/C")),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_xlpm.fallback,IF(IFERROR(Q188,"#N/C")="#N/C",P188,IF(IFERROR(R188,"#N/C")="#N/C",Q188,IF(IFERROR(S188,"#N/C")="#N/C",R188,IF(IFERROR(T188,"#N/C")="#N/C",S188,IF(IFERROR(U188,"#N/C")="#N/C",T188,IF(IFERROR(V188,"#N/C")="#N/C",U188,"#N/C")))))), _xlpm.finalResult,IF(OR(_xlpm.computedResult="",_xlpm.computedResult="#N/C"),_xlpm.fallback,_xlpm.computedResult), INDEX(_xlpm.finalResult,1))</f>
        <v>scorpion_fly</v>
      </c>
      <c r="Z188" s="116" t="str" cm="1">
        <f t="array" ref="Z188">IF(OR(Y188="Insecta",Y188="Arachnida",Y188="#N/C"),"",IFERROR(_xlfn.LET(_xlpm.fc,IFERROR(_xlfn._xlws.FILTER(ClassificationClasses[],ClassificationClasses[Classification Class]=Y188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188,ClassificationClasses[Key])),0),MATCH(Y188,INDEX(ClassificationClasses[],MATCH(TRUE,ISNUMBER(SEARCH(Y188,ClassificationClasses[Key])),0),0),0)-1)))</f>
        <v>Mecoptera</v>
      </c>
      <c r="AA188" s="116" t="str" cm="1">
        <f t="array" ref="AA188">IFERROR(IF(OR(Z188="Insecta",Z188="Arachnida",Z188="#N/C"),"",INDEX(ClassificationClasses[[Class]:[Infraorder]],MATCH(TRUE,ISNUMBER(SEARCH(Z188,ClassificationClasses[Key])),0),MATCH(Z188,INDEX(ClassificationClasses[#Data], MATCH(TRUE,ISNUMBER(SEARCH(Z188,ClassificationClasses[Key])),0), 0), 0)-1)),"")</f>
        <v>Insecta</v>
      </c>
      <c r="AB188" s="116" t="str" cm="1">
        <f t="array" ref="AB188">IFERROR(IF(OR(AA188="Insecta",AA188="Arachnida",AA188="#N/C"),"",INDEX(ClassificationClasses[[Class]:[Suborder]],MATCH(TRUE,ISNUMBER(SEARCH(AA188,ClassificationClasses[Key])),0),MATCH(AA188,INDEX(ClassificationClasses[#Data], MATCH(TRUE,ISNUMBER(SEARCH(AA188,ClassificationClasses[Key])),0), 0), 0)-1)),"")</f>
        <v/>
      </c>
      <c r="AC188" s="116" t="str" cm="1">
        <f t="array" ref="AC188">IFERROR(IF(OR(AB188="Insecta",AB188="Arachnida",AB188="#N/C"),"",INDEX(ClassificationClasses[[Class]:[Suborder]],MATCH(TRUE,ISNUMBER(SEARCH(AB188,ClassificationClasses[Key])),0),MATCH(AB188,INDEX(ClassificationClasses[#Data], MATCH(TRUE,ISNUMBER(SEARCH(AB188,ClassificationClasses[Key])),0), 0), 0)-1)),"")</f>
        <v/>
      </c>
      <c r="AD188" s="116" t="str" cm="1">
        <f t="array" ref="AD188">IFERROR(IF(OR(AC188="Insecta",AC188="Arachnida",AC188="#N/C"),"",INDEX(ClassificationClasses[[Class]:[Suborder]],MATCH(TRUE,ISNUMBER(SEARCH(AC188,ClassificationClasses[Key])),0),MATCH(AC188,INDEX(ClassificationClasses[#Data], MATCH(TRUE,ISNUMBER(SEARCH(AC188,ClassificationClasses[Key])),0), 0), 0)-1)),"")</f>
        <v/>
      </c>
      <c r="AE188" s="18" t="str">
        <f t="shared" si="6"/>
        <v>Insecta.Mecoptera.0.0.Panorpoidea.Panorpidae.0.Panorpa.vulgaris</v>
      </c>
    </row>
    <row r="189" spans="1:31" x14ac:dyDescent="0.3">
      <c r="A189" s="91">
        <v>188</v>
      </c>
      <c r="B189" s="7">
        <v>44398</v>
      </c>
      <c r="C189" s="92" t="s">
        <v>354</v>
      </c>
      <c r="D189" s="93" t="str">
        <f>HYPERLINK(VLOOKUP(C189,Video_List!$F:$J,5),"video")</f>
        <v>video</v>
      </c>
      <c r="E189" s="94" t="str">
        <f>IFERROR(IF(MATCH(C189,Video_List!$F:$F,)&gt;0,"ok",""),"error")</f>
        <v>ok</v>
      </c>
      <c r="F189" s="92" t="s">
        <v>354</v>
      </c>
      <c r="G189" s="93" t="str">
        <f>HYPERLINK(VLOOKUP(F189,Video_List!$F:$J,5),"video")</f>
        <v>video</v>
      </c>
      <c r="H189" s="94" t="str">
        <f>IFERROR(IF(MATCH(F189,Video_List!$F:$F,)&gt;0,"ok",""),"error")</f>
        <v>ok</v>
      </c>
      <c r="I189" s="17">
        <v>44398.827696759261</v>
      </c>
      <c r="J189" s="8">
        <v>44398.829756944448</v>
      </c>
      <c r="K189" s="15">
        <f t="shared" si="5"/>
        <v>2.0601851865649223E-3</v>
      </c>
      <c r="L189" s="95" t="s">
        <v>32</v>
      </c>
      <c r="M189" s="95" t="s">
        <v>33</v>
      </c>
      <c r="N189" s="96" t="str">
        <f>IF(ISBLANK(C189),"",IF(C189=F189, "1 video",CONCATENATE((+COUNTIFS(Video_List!$C:$C,"&lt;=" &amp;Monitoring!J189)-COUNTIFS(Video_List!$C:$C,"&lt;=" &amp;Monitoring!I189))+1," videos")))</f>
        <v>1 video</v>
      </c>
      <c r="O189" s="29" t="s">
        <v>44</v>
      </c>
      <c r="P189" s="42" t="s">
        <v>37</v>
      </c>
      <c r="Q189" s="42" t="s">
        <v>38</v>
      </c>
      <c r="R189" s="42" t="s">
        <v>39</v>
      </c>
      <c r="S189" s="97" t="str">
        <f>+IFERROR(IF(T189="#N/C","#N/C",IF(U189=0,INDEX(Taxonomy_UniqueValues!D:D,MATCH(U189,Taxonomy_UniqueValues!F:F,0)),INDEX(Taxonomy_UniqueValues!D:D,MATCH(T189,Taxonomy_UniqueValues!E:E,0)))),"#N/C")</f>
        <v>Muscomorpha</v>
      </c>
      <c r="T189" s="42" t="s">
        <v>46</v>
      </c>
      <c r="U189" s="42" t="s">
        <v>47</v>
      </c>
      <c r="V189" s="42" t="s">
        <v>48</v>
      </c>
      <c r="W189" s="42" t="s">
        <v>182</v>
      </c>
      <c r="X189" s="28" t="s">
        <v>35</v>
      </c>
      <c r="Y189" s="69" t="str" cm="1">
        <f t="array" ref="Y189">_xlfn.LET(_xlpm.cls,P189, _xlpm.ord,IFERROR(Q189,"#N/C"), _xlpm.subord,IFERROR(R189,"#N/C"), _xlpm.infr,IFERROR(S189,"#N/C"), _xlpm.sf,IFERROR(T189,"#N/C"), _xlpm.fam,IFERROR(U189,"#N/C"), _xlpm.subfam,IF(TRIM(V189)="-","#N/C",IFERROR(V189,"#N/C")),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_xlpm.fallback,IF(IFERROR(Q189,"#N/C")="#N/C",P189,IF(IFERROR(R189,"#N/C")="#N/C",Q189,IF(IFERROR(S189,"#N/C")="#N/C",R189,IF(IFERROR(T189,"#N/C")="#N/C",S189,IF(IFERROR(U189,"#N/C")="#N/C",T189,IF(IFERROR(V189,"#N/C")="#N/C",U189,"#N/C")))))), _xlpm.finalResult,IF(OR(_xlpm.computedResult="",_xlpm.computedResult="#N/C"),_xlpm.fallback,_xlpm.computedResult), INDEX(_xlpm.finalResult,1))</f>
        <v>hoverfly</v>
      </c>
      <c r="Z189" s="116" t="str" cm="1">
        <f t="array" ref="Z189">IF(OR(Y189="Insecta",Y189="Arachnida",Y189="#N/C"),"",IFERROR(_xlfn.LET(_xlpm.fc,IFERROR(_xlfn._xlws.FILTER(ClassificationClasses[],ClassificationClasses[Classification Class]=Y189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189,ClassificationClasses[Key])),0),MATCH(Y189,INDEX(ClassificationClasses[],MATCH(TRUE,ISNUMBER(SEARCH(Y189,ClassificationClasses[Key])),0),0),0)-1)))</f>
        <v>Muscomorpha</v>
      </c>
      <c r="AA189" s="116" t="str" cm="1">
        <f t="array" ref="AA189">IFERROR(IF(OR(Z189="Insecta",Z189="Arachnida",Z189="#N/C"),"",INDEX(ClassificationClasses[[Class]:[Infraorder]],MATCH(TRUE,ISNUMBER(SEARCH(Z189,ClassificationClasses[Key])),0),MATCH(Z189,INDEX(ClassificationClasses[#Data], MATCH(TRUE,ISNUMBER(SEARCH(Z189,ClassificationClasses[Key])),0), 0), 0)-1)),"")</f>
        <v>Brachycera</v>
      </c>
      <c r="AB189" s="116" t="str" cm="1">
        <f t="array" ref="AB189">IFERROR(IF(OR(AA189="Insecta",AA189="Arachnida",AA189="#N/C"),"",INDEX(ClassificationClasses[[Class]:[Suborder]],MATCH(TRUE,ISNUMBER(SEARCH(AA189,ClassificationClasses[Key])),0),MATCH(AA189,INDEX(ClassificationClasses[#Data], MATCH(TRUE,ISNUMBER(SEARCH(AA189,ClassificationClasses[Key])),0), 0), 0)-1)),"")</f>
        <v>Diptera</v>
      </c>
      <c r="AC189" s="116" t="str" cm="1">
        <f t="array" ref="AC189">IFERROR(IF(OR(AB189="Insecta",AB189="Arachnida",AB189="#N/C"),"",INDEX(ClassificationClasses[[Class]:[Suborder]],MATCH(TRUE,ISNUMBER(SEARCH(AB189,ClassificationClasses[Key])),0),MATCH(AB189,INDEX(ClassificationClasses[#Data], MATCH(TRUE,ISNUMBER(SEARCH(AB189,ClassificationClasses[Key])),0), 0), 0)-1)),"")</f>
        <v>Insecta</v>
      </c>
      <c r="AD189" s="116" t="str" cm="1">
        <f t="array" ref="AD189">IFERROR(IF(OR(AC189="Insecta",AC189="Arachnida",AC189="#N/C"),"",INDEX(ClassificationClasses[[Class]:[Suborder]],MATCH(TRUE,ISNUMBER(SEARCH(AC189,ClassificationClasses[Key])),0),MATCH(AC189,INDEX(ClassificationClasses[#Data], MATCH(TRUE,ISNUMBER(SEARCH(AC189,ClassificationClasses[Key])),0), 0), 0)-1)),"")</f>
        <v/>
      </c>
      <c r="AE189" s="18" t="str">
        <f t="shared" si="6"/>
        <v>Insecta.Diptera.Brachycera.Muscomorpha.Syrphoidea.Syrphidae.Syrphinae.Melanostoma.#N/C</v>
      </c>
    </row>
    <row r="190" spans="1:31" x14ac:dyDescent="0.3">
      <c r="A190" s="91">
        <v>189</v>
      </c>
      <c r="B190" s="7">
        <v>44398</v>
      </c>
      <c r="C190" s="92" t="s">
        <v>355</v>
      </c>
      <c r="D190" s="93" t="str">
        <f>HYPERLINK(VLOOKUP(C190,Video_List!$F:$J,5),"video")</f>
        <v>video</v>
      </c>
      <c r="E190" s="94" t="str">
        <f>IFERROR(IF(MATCH(C190,Video_List!$F:$F,)&gt;0,"ok",""),"error")</f>
        <v>ok</v>
      </c>
      <c r="F190" s="92" t="s">
        <v>355</v>
      </c>
      <c r="G190" s="93" t="str">
        <f>HYPERLINK(VLOOKUP(F190,Video_List!$F:$J,5),"video")</f>
        <v>video</v>
      </c>
      <c r="H190" s="94" t="str">
        <f>IFERROR(IF(MATCH(F190,Video_List!$F:$F,)&gt;0,"ok",""),"error")</f>
        <v>ok</v>
      </c>
      <c r="I190" s="17">
        <v>44398.87228009259</v>
      </c>
      <c r="J190" s="8">
        <v>44398.872546296298</v>
      </c>
      <c r="K190" s="15">
        <f t="shared" si="5"/>
        <v>2.6620370772434399E-4</v>
      </c>
      <c r="L190" s="95" t="s">
        <v>32</v>
      </c>
      <c r="M190" s="95" t="s">
        <v>33</v>
      </c>
      <c r="N190" s="96" t="str">
        <f>IF(ISBLANK(C190),"",IF(C190=F190, "1 video",CONCATENATE((+COUNTIFS(Video_List!$C:$C,"&lt;=" &amp;Monitoring!J190)-COUNTIFS(Video_List!$C:$C,"&lt;=" &amp;Monitoring!I190))+1," videos")))</f>
        <v>1 video</v>
      </c>
      <c r="O190" s="29" t="s">
        <v>44</v>
      </c>
      <c r="P190" s="42" t="s">
        <v>37</v>
      </c>
      <c r="Q190" s="42" t="s">
        <v>38</v>
      </c>
      <c r="R190" s="42" t="s">
        <v>39</v>
      </c>
      <c r="S190" s="97" t="str">
        <f>+IFERROR(IF(T190="#N/C","#N/C",IF(U190=0,INDEX(Taxonomy_UniqueValues!D:D,MATCH(U190,Taxonomy_UniqueValues!F:F,0)),INDEX(Taxonomy_UniqueValues!D:D,MATCH(T190,Taxonomy_UniqueValues!E:E,0)))),"#N/C")</f>
        <v>Muscomorpha</v>
      </c>
      <c r="T190" s="42" t="s">
        <v>46</v>
      </c>
      <c r="U190" s="42" t="s">
        <v>47</v>
      </c>
      <c r="V190" s="42" t="s">
        <v>48</v>
      </c>
      <c r="W190" s="42" t="s">
        <v>182</v>
      </c>
      <c r="X190" s="28" t="s">
        <v>35</v>
      </c>
      <c r="Y190" s="69" t="str" cm="1">
        <f t="array" ref="Y190">_xlfn.LET(_xlpm.cls,P190, _xlpm.ord,IFERROR(Q190,"#N/C"), _xlpm.subord,IFERROR(R190,"#N/C"), _xlpm.infr,IFERROR(S190,"#N/C"), _xlpm.sf,IFERROR(T190,"#N/C"), _xlpm.fam,IFERROR(U190,"#N/C"), _xlpm.subfam,IF(TRIM(V190)="-","#N/C",IFERROR(V190,"#N/C")),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_xlpm.fallback,IF(IFERROR(Q190,"#N/C")="#N/C",P190,IF(IFERROR(R190,"#N/C")="#N/C",Q190,IF(IFERROR(S190,"#N/C")="#N/C",R190,IF(IFERROR(T190,"#N/C")="#N/C",S190,IF(IFERROR(U190,"#N/C")="#N/C",T190,IF(IFERROR(V190,"#N/C")="#N/C",U190,"#N/C")))))), _xlpm.finalResult,IF(OR(_xlpm.computedResult="",_xlpm.computedResult="#N/C"),_xlpm.fallback,_xlpm.computedResult), INDEX(_xlpm.finalResult,1))</f>
        <v>hoverfly</v>
      </c>
      <c r="Z190" s="116" t="str" cm="1">
        <f t="array" ref="Z190">IF(OR(Y190="Insecta",Y190="Arachnida",Y190="#N/C"),"",IFERROR(_xlfn.LET(_xlpm.fc,IFERROR(_xlfn._xlws.FILTER(ClassificationClasses[],ClassificationClasses[Classification Class]=Y190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190,ClassificationClasses[Key])),0),MATCH(Y190,INDEX(ClassificationClasses[],MATCH(TRUE,ISNUMBER(SEARCH(Y190,ClassificationClasses[Key])),0),0),0)-1)))</f>
        <v>Muscomorpha</v>
      </c>
      <c r="AA190" s="116" t="str" cm="1">
        <f t="array" ref="AA190">IFERROR(IF(OR(Z190="Insecta",Z190="Arachnida",Z190="#N/C"),"",INDEX(ClassificationClasses[[Class]:[Infraorder]],MATCH(TRUE,ISNUMBER(SEARCH(Z190,ClassificationClasses[Key])),0),MATCH(Z190,INDEX(ClassificationClasses[#Data], MATCH(TRUE,ISNUMBER(SEARCH(Z190,ClassificationClasses[Key])),0), 0), 0)-1)),"")</f>
        <v>Brachycera</v>
      </c>
      <c r="AB190" s="116" t="str" cm="1">
        <f t="array" ref="AB190">IFERROR(IF(OR(AA190="Insecta",AA190="Arachnida",AA190="#N/C"),"",INDEX(ClassificationClasses[[Class]:[Suborder]],MATCH(TRUE,ISNUMBER(SEARCH(AA190,ClassificationClasses[Key])),0),MATCH(AA190,INDEX(ClassificationClasses[#Data], MATCH(TRUE,ISNUMBER(SEARCH(AA190,ClassificationClasses[Key])),0), 0), 0)-1)),"")</f>
        <v>Diptera</v>
      </c>
      <c r="AC190" s="116" t="str" cm="1">
        <f t="array" ref="AC190">IFERROR(IF(OR(AB190="Insecta",AB190="Arachnida",AB190="#N/C"),"",INDEX(ClassificationClasses[[Class]:[Suborder]],MATCH(TRUE,ISNUMBER(SEARCH(AB190,ClassificationClasses[Key])),0),MATCH(AB190,INDEX(ClassificationClasses[#Data], MATCH(TRUE,ISNUMBER(SEARCH(AB190,ClassificationClasses[Key])),0), 0), 0)-1)),"")</f>
        <v>Insecta</v>
      </c>
      <c r="AD190" s="116" t="str" cm="1">
        <f t="array" ref="AD190">IFERROR(IF(OR(AC190="Insecta",AC190="Arachnida",AC190="#N/C"),"",INDEX(ClassificationClasses[[Class]:[Suborder]],MATCH(TRUE,ISNUMBER(SEARCH(AC190,ClassificationClasses[Key])),0),MATCH(AC190,INDEX(ClassificationClasses[#Data], MATCH(TRUE,ISNUMBER(SEARCH(AC190,ClassificationClasses[Key])),0), 0), 0)-1)),"")</f>
        <v/>
      </c>
      <c r="AE190" s="18" t="str">
        <f t="shared" si="6"/>
        <v>Insecta.Diptera.Brachycera.Muscomorpha.Syrphoidea.Syrphidae.Syrphinae.Melanostoma.#N/C</v>
      </c>
    </row>
    <row r="191" spans="1:31" x14ac:dyDescent="0.3">
      <c r="A191" s="91">
        <v>190</v>
      </c>
      <c r="B191" s="7">
        <v>44398</v>
      </c>
      <c r="C191" s="92" t="s">
        <v>356</v>
      </c>
      <c r="D191" s="93" t="str">
        <f>HYPERLINK(VLOOKUP(C191,Video_List!$F:$J,5),"video")</f>
        <v>video</v>
      </c>
      <c r="E191" s="94" t="str">
        <f>IFERROR(IF(MATCH(C191,Video_List!$F:$F,)&gt;0,"ok",""),"error")</f>
        <v>ok</v>
      </c>
      <c r="F191" s="92" t="s">
        <v>356</v>
      </c>
      <c r="G191" s="93" t="str">
        <f>HYPERLINK(VLOOKUP(F191,Video_List!$F:$J,5),"video")</f>
        <v>video</v>
      </c>
      <c r="H191" s="94" t="str">
        <f>IFERROR(IF(MATCH(F191,Video_List!$F:$F,)&gt;0,"ok",""),"error")</f>
        <v>ok</v>
      </c>
      <c r="I191" s="17">
        <v>44398.896006944444</v>
      </c>
      <c r="J191" s="8">
        <v>44398.89607638889</v>
      </c>
      <c r="K191" s="15">
        <f t="shared" si="5"/>
        <v>6.9444446125999093E-5</v>
      </c>
      <c r="L191" s="4" t="s">
        <v>32</v>
      </c>
      <c r="M191" s="4" t="s">
        <v>33</v>
      </c>
      <c r="N191" s="96" t="str">
        <f>IF(ISBLANK(C191),"",IF(C191=F191, "1 video",CONCATENATE((+COUNTIFS(Video_List!$C:$C,"&lt;=" &amp;Monitoring!J191)-COUNTIFS(Video_List!$C:$C,"&lt;=" &amp;Monitoring!I191))+1," videos")))</f>
        <v>1 video</v>
      </c>
      <c r="O191" s="27" t="s">
        <v>32</v>
      </c>
      <c r="P191" s="42" t="s">
        <v>37</v>
      </c>
      <c r="Q191" s="42" t="s">
        <v>38</v>
      </c>
      <c r="R191" s="42" t="s">
        <v>39</v>
      </c>
      <c r="S191" s="97" t="str">
        <f>+IFERROR(IF(T191="#N/C","#N/C",IF(U191=0,INDEX(Taxonomy_UniqueValues!D:D,MATCH(U191,Taxonomy_UniqueValues!F:F,0)),INDEX(Taxonomy_UniqueValues!D:D,MATCH(T191,Taxonomy_UniqueValues!E:E,0)))),"#N/C")</f>
        <v>#N/C</v>
      </c>
      <c r="T191" s="42" t="s">
        <v>35</v>
      </c>
      <c r="U191" s="42" t="s">
        <v>35</v>
      </c>
      <c r="V191" s="42" t="s">
        <v>35</v>
      </c>
      <c r="W191" s="42" t="s">
        <v>35</v>
      </c>
      <c r="X191" s="28" t="s">
        <v>35</v>
      </c>
      <c r="Y191" s="69" t="str" cm="1">
        <f t="array" ref="Y191">_xlfn.LET(_xlpm.cls,P191, _xlpm.ord,IFERROR(Q191,"#N/C"), _xlpm.subord,IFERROR(R191,"#N/C"), _xlpm.infr,IFERROR(S191,"#N/C"), _xlpm.sf,IFERROR(T191,"#N/C"), _xlpm.fam,IFERROR(U191,"#N/C"), _xlpm.subfam,IF(TRIM(V191)="-","#N/C",IFERROR(V191,"#N/C")),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_xlpm.fallback,IF(IFERROR(Q191,"#N/C")="#N/C",P191,IF(IFERROR(R191,"#N/C")="#N/C",Q191,IF(IFERROR(S191,"#N/C")="#N/C",R191,IF(IFERROR(T191,"#N/C")="#N/C",S191,IF(IFERROR(U191,"#N/C")="#N/C",T191,IF(IFERROR(V191,"#N/C")="#N/C",U191,"#N/C")))))), _xlpm.finalResult,IF(OR(_xlpm.computedResult="",_xlpm.computedResult="#N/C"),_xlpm.fallback,_xlpm.computedResult), INDEX(_xlpm.finalResult,1))</f>
        <v>Brachycera</v>
      </c>
      <c r="Z191" s="116" t="str" cm="1">
        <f t="array" ref="Z191">IF(OR(Y191="Insecta",Y191="Arachnida",Y191="#N/C"),"",IFERROR(_xlfn.LET(_xlpm.fc,IFERROR(_xlfn._xlws.FILTER(ClassificationClasses[],ClassificationClasses[Classification Class]=Y191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191,ClassificationClasses[Key])),0),MATCH(Y191,INDEX(ClassificationClasses[],MATCH(TRUE,ISNUMBER(SEARCH(Y191,ClassificationClasses[Key])),0),0),0)-1)))</f>
        <v>Diptera</v>
      </c>
      <c r="AA191" s="116" t="str" cm="1">
        <f t="array" ref="AA191">IFERROR(IF(OR(Z191="Insecta",Z191="Arachnida",Z191="#N/C"),"",INDEX(ClassificationClasses[[Class]:[Infraorder]],MATCH(TRUE,ISNUMBER(SEARCH(Z191,ClassificationClasses[Key])),0),MATCH(Z191,INDEX(ClassificationClasses[#Data], MATCH(TRUE,ISNUMBER(SEARCH(Z191,ClassificationClasses[Key])),0), 0), 0)-1)),"")</f>
        <v>Insecta</v>
      </c>
      <c r="AB191" s="116" t="str" cm="1">
        <f t="array" ref="AB191">IFERROR(IF(OR(AA191="Insecta",AA191="Arachnida",AA191="#N/C"),"",INDEX(ClassificationClasses[[Class]:[Suborder]],MATCH(TRUE,ISNUMBER(SEARCH(AA191,ClassificationClasses[Key])),0),MATCH(AA191,INDEX(ClassificationClasses[#Data], MATCH(TRUE,ISNUMBER(SEARCH(AA191,ClassificationClasses[Key])),0), 0), 0)-1)),"")</f>
        <v/>
      </c>
      <c r="AC191" s="116" t="str" cm="1">
        <f t="array" ref="AC191">IFERROR(IF(OR(AB191="Insecta",AB191="Arachnida",AB191="#N/C"),"",INDEX(ClassificationClasses[[Class]:[Suborder]],MATCH(TRUE,ISNUMBER(SEARCH(AB191,ClassificationClasses[Key])),0),MATCH(AB191,INDEX(ClassificationClasses[#Data], MATCH(TRUE,ISNUMBER(SEARCH(AB191,ClassificationClasses[Key])),0), 0), 0)-1)),"")</f>
        <v/>
      </c>
      <c r="AD191" s="116" t="str" cm="1">
        <f t="array" ref="AD191">IFERROR(IF(OR(AC191="Insecta",AC191="Arachnida",AC191="#N/C"),"",INDEX(ClassificationClasses[[Class]:[Suborder]],MATCH(TRUE,ISNUMBER(SEARCH(AC191,ClassificationClasses[Key])),0),MATCH(AC191,INDEX(ClassificationClasses[#Data], MATCH(TRUE,ISNUMBER(SEARCH(AC191,ClassificationClasses[Key])),0), 0), 0)-1)),"")</f>
        <v/>
      </c>
      <c r="AE191" s="18" t="str">
        <f t="shared" si="6"/>
        <v>Insecta.Diptera.Brachycera.#N/C.#N/C.#N/C.#N/C.#N/C.#N/C</v>
      </c>
    </row>
    <row r="192" spans="1:31" x14ac:dyDescent="0.3">
      <c r="A192" s="91">
        <v>191</v>
      </c>
      <c r="B192" s="7">
        <v>44398</v>
      </c>
      <c r="C192" s="92" t="s">
        <v>204</v>
      </c>
      <c r="D192" s="93" t="str">
        <f>HYPERLINK(VLOOKUP(C192,Video_List!$F:$J,5),"video")</f>
        <v>video</v>
      </c>
      <c r="E192" s="94" t="str">
        <f>IFERROR(IF(MATCH(C192,Video_List!$F:$F,)&gt;0,"ok",""),"error")</f>
        <v>ok</v>
      </c>
      <c r="F192" s="92" t="s">
        <v>204</v>
      </c>
      <c r="G192" s="93" t="str">
        <f>HYPERLINK(VLOOKUP(F192,Video_List!$F:$J,5),"video")</f>
        <v>video</v>
      </c>
      <c r="H192" s="94" t="str">
        <f>IFERROR(IF(MATCH(F192,Video_List!$F:$F,)&gt;0,"ok",""),"error")</f>
        <v>ok</v>
      </c>
      <c r="I192" s="17">
        <v>44398.898796296293</v>
      </c>
      <c r="J192" s="8">
        <v>44398.909282407411</v>
      </c>
      <c r="K192" s="15">
        <f t="shared" si="5"/>
        <v>1.0486111117643304E-2</v>
      </c>
      <c r="L192" s="4" t="s">
        <v>32</v>
      </c>
      <c r="M192" s="4" t="s">
        <v>33</v>
      </c>
      <c r="N192" s="96" t="str">
        <f>IF(ISBLANK(C192),"",IF(C192=F192, "1 video",CONCATENATE((+COUNTIFS(Video_List!$C:$C,"&lt;=" &amp;Monitoring!J192)-COUNTIFS(Video_List!$C:$C,"&lt;=" &amp;Monitoring!I192))+1," videos")))</f>
        <v>1 video</v>
      </c>
      <c r="O192" s="27" t="s">
        <v>32</v>
      </c>
      <c r="P192" s="42" t="s">
        <v>37</v>
      </c>
      <c r="Q192" s="42" t="s">
        <v>38</v>
      </c>
      <c r="R192" s="42" t="s">
        <v>39</v>
      </c>
      <c r="S192" s="97" t="str">
        <f>+IFERROR(IF(T192="#N/C","#N/C",IF(U192=0,INDEX(Taxonomy_UniqueValues!D:D,MATCH(U192,Taxonomy_UniqueValues!F:F,0)),INDEX(Taxonomy_UniqueValues!D:D,MATCH(T192,Taxonomy_UniqueValues!E:E,0)))),"#N/C")</f>
        <v>Muscomorpha</v>
      </c>
      <c r="T192" s="42" t="s">
        <v>46</v>
      </c>
      <c r="U192" s="42" t="s">
        <v>47</v>
      </c>
      <c r="V192" s="42" t="s">
        <v>48</v>
      </c>
      <c r="W192" s="42" t="s">
        <v>49</v>
      </c>
      <c r="X192" s="28" t="s">
        <v>357</v>
      </c>
      <c r="Y192" s="69" t="str" cm="1">
        <f t="array" ref="Y192">_xlfn.LET(_xlpm.cls,P192, _xlpm.ord,IFERROR(Q192,"#N/C"), _xlpm.subord,IFERROR(R192,"#N/C"), _xlpm.infr,IFERROR(S192,"#N/C"), _xlpm.sf,IFERROR(T192,"#N/C"), _xlpm.fam,IFERROR(U192,"#N/C"), _xlpm.subfam,IF(TRIM(V192)="-","#N/C",IFERROR(V192,"#N/C")),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_xlpm.fallback,IF(IFERROR(Q192,"#N/C")="#N/C",P192,IF(IFERROR(R192,"#N/C")="#N/C",Q192,IF(IFERROR(S192,"#N/C")="#N/C",R192,IF(IFERROR(T192,"#N/C")="#N/C",S192,IF(IFERROR(U192,"#N/C")="#N/C",T192,IF(IFERROR(V192,"#N/C")="#N/C",U192,"#N/C")))))), _xlpm.finalResult,IF(OR(_xlpm.computedResult="",_xlpm.computedResult="#N/C"),_xlpm.fallback,_xlpm.computedResult), INDEX(_xlpm.finalResult,1))</f>
        <v>hoverfly</v>
      </c>
      <c r="Z192" s="116" t="str" cm="1">
        <f t="array" ref="Z192">IF(OR(Y192="Insecta",Y192="Arachnida",Y192="#N/C"),"",IFERROR(_xlfn.LET(_xlpm.fc,IFERROR(_xlfn._xlws.FILTER(ClassificationClasses[],ClassificationClasses[Classification Class]=Y192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192,ClassificationClasses[Key])),0),MATCH(Y192,INDEX(ClassificationClasses[],MATCH(TRUE,ISNUMBER(SEARCH(Y192,ClassificationClasses[Key])),0),0),0)-1)))</f>
        <v>Muscomorpha</v>
      </c>
      <c r="AA192" s="116" t="str" cm="1">
        <f t="array" ref="AA192">IFERROR(IF(OR(Z192="Insecta",Z192="Arachnida",Z192="#N/C"),"",INDEX(ClassificationClasses[[Class]:[Infraorder]],MATCH(TRUE,ISNUMBER(SEARCH(Z192,ClassificationClasses[Key])),0),MATCH(Z192,INDEX(ClassificationClasses[#Data], MATCH(TRUE,ISNUMBER(SEARCH(Z192,ClassificationClasses[Key])),0), 0), 0)-1)),"")</f>
        <v>Brachycera</v>
      </c>
      <c r="AB192" s="116" t="str" cm="1">
        <f t="array" ref="AB192">IFERROR(IF(OR(AA192="Insecta",AA192="Arachnida",AA192="#N/C"),"",INDEX(ClassificationClasses[[Class]:[Suborder]],MATCH(TRUE,ISNUMBER(SEARCH(AA192,ClassificationClasses[Key])),0),MATCH(AA192,INDEX(ClassificationClasses[#Data], MATCH(TRUE,ISNUMBER(SEARCH(AA192,ClassificationClasses[Key])),0), 0), 0)-1)),"")</f>
        <v>Diptera</v>
      </c>
      <c r="AC192" s="116" t="str" cm="1">
        <f t="array" ref="AC192">IFERROR(IF(OR(AB192="Insecta",AB192="Arachnida",AB192="#N/C"),"",INDEX(ClassificationClasses[[Class]:[Suborder]],MATCH(TRUE,ISNUMBER(SEARCH(AB192,ClassificationClasses[Key])),0),MATCH(AB192,INDEX(ClassificationClasses[#Data], MATCH(TRUE,ISNUMBER(SEARCH(AB192,ClassificationClasses[Key])),0), 0), 0)-1)),"")</f>
        <v>Insecta</v>
      </c>
      <c r="AD192" s="116" t="str" cm="1">
        <f t="array" ref="AD192">IFERROR(IF(OR(AC192="Insecta",AC192="Arachnida",AC192="#N/C"),"",INDEX(ClassificationClasses[[Class]:[Suborder]],MATCH(TRUE,ISNUMBER(SEARCH(AC192,ClassificationClasses[Key])),0),MATCH(AC192,INDEX(ClassificationClasses[#Data], MATCH(TRUE,ISNUMBER(SEARCH(AC192,ClassificationClasses[Key])),0), 0), 0)-1)),"")</f>
        <v/>
      </c>
      <c r="AE192" s="18" t="str">
        <f t="shared" si="6"/>
        <v>Insecta.Diptera.Brachycera.Muscomorpha.Syrphoidea.Syrphidae.Syrphinae.Sphaerophoria.scripta</v>
      </c>
    </row>
    <row r="193" spans="1:31" x14ac:dyDescent="0.3">
      <c r="A193" s="91">
        <v>176</v>
      </c>
      <c r="B193" s="7">
        <v>44396</v>
      </c>
      <c r="C193" s="92" t="s">
        <v>358</v>
      </c>
      <c r="D193" s="93" t="str">
        <f>HYPERLINK(VLOOKUP(C193,Video_List!$F:$J,5),"video")</f>
        <v>video</v>
      </c>
      <c r="E193" s="94" t="str">
        <f>IFERROR(IF(MATCH(C193,Video_List!$F:$F,)&gt;0,"ok",""),"error")</f>
        <v>ok</v>
      </c>
      <c r="F193" s="92" t="s">
        <v>359</v>
      </c>
      <c r="G193" s="93" t="str">
        <f>HYPERLINK(VLOOKUP(F193,Video_List!$F:$J,5),"video")</f>
        <v>video</v>
      </c>
      <c r="H193" s="94" t="str">
        <f>IFERROR(IF(MATCH(F193,Video_List!$F:$F,)&gt;0,"ok",""),"error")</f>
        <v>ok</v>
      </c>
      <c r="I193" s="17">
        <v>44396.934583333335</v>
      </c>
      <c r="J193" s="8">
        <v>44396.95689814815</v>
      </c>
      <c r="K193" s="15">
        <f t="shared" si="5"/>
        <v>2.2314814814308193E-2</v>
      </c>
      <c r="L193" s="95" t="s">
        <v>55</v>
      </c>
      <c r="M193" s="95" t="s">
        <v>55</v>
      </c>
      <c r="N193" s="96" t="str">
        <f>IF(ISBLANK(C193),"",IF(C193=F193, "1 video",CONCATENATE((+COUNTIFS(Video_List!$C:$C,"&lt;=" &amp;Monitoring!J193)-COUNTIFS(Video_List!$C:$C,"&lt;=" &amp;Monitoring!I193))+1," videos")))</f>
        <v>6 videos</v>
      </c>
      <c r="O193" s="27" t="s">
        <v>32</v>
      </c>
      <c r="P193" s="42" t="s">
        <v>37</v>
      </c>
      <c r="Q193" s="42" t="s">
        <v>360</v>
      </c>
      <c r="R193" s="42" t="s">
        <v>361</v>
      </c>
      <c r="S193" s="97">
        <f>+IFERROR(IF(T193="#N/C","#N/C",IF(U193=0,INDEX(Taxonomy_UniqueValues!D:D,MATCH(U193,Taxonomy_UniqueValues!F:F,0)),INDEX(Taxonomy_UniqueValues!D:D,MATCH(T193,Taxonomy_UniqueValues!E:E,0)))),"#N/C")</f>
        <v>0</v>
      </c>
      <c r="T193" s="42" t="s">
        <v>362</v>
      </c>
      <c r="U193" s="42" t="s">
        <v>363</v>
      </c>
      <c r="V193" s="42" t="s">
        <v>364</v>
      </c>
      <c r="W193" s="42" t="s">
        <v>365</v>
      </c>
      <c r="X193" s="28" t="s">
        <v>366</v>
      </c>
      <c r="Y193" s="69" t="str" cm="1">
        <f t="array" ref="Y193">_xlfn.LET(_xlpm.cls,P193, _xlpm.ord,IFERROR(Q193,"#N/C"), _xlpm.subord,IFERROR(R193,"#N/C"), _xlpm.infr,IFERROR(S193,"#N/C"), _xlpm.sf,IFERROR(T193,"#N/C"), _xlpm.fam,IFERROR(U193,"#N/C"), _xlpm.subfam,IF(TRIM(V193)="-","#N/C",IFERROR(V193,"#N/C")),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_xlpm.fallback,IF(IFERROR(Q193,"#N/C")="#N/C",P193,IF(IFERROR(R193,"#N/C")="#N/C",Q193,IF(IFERROR(S193,"#N/C")="#N/C",R193,IF(IFERROR(T193,"#N/C")="#N/C",S193,IF(IFERROR(U193,"#N/C")="#N/C",T193,IF(IFERROR(V193,"#N/C")="#N/C",U193,"#N/C")))))), _xlpm.finalResult,IF(OR(_xlpm.computedResult="",_xlpm.computedResult="#N/C"),_xlpm.fallback,_xlpm.computedResult), INDEX(_xlpm.finalResult,1))</f>
        <v>lacewing</v>
      </c>
      <c r="Z193" s="116" t="str" cm="1">
        <f t="array" ref="Z193">IF(OR(Y193="Insecta",Y193="Arachnida",Y193="#N/C"),"",IFERROR(_xlfn.LET(_xlpm.fc,IFERROR(_xlfn._xlws.FILTER(ClassificationClasses[],ClassificationClasses[Classification Class]=Y193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193,ClassificationClasses[Key])),0),MATCH(Y193,INDEX(ClassificationClasses[],MATCH(TRUE,ISNUMBER(SEARCH(Y193,ClassificationClasses[Key])),0),0),0)-1)))</f>
        <v>Hemerobiiformia</v>
      </c>
      <c r="AA193" s="116" t="str" cm="1">
        <f t="array" ref="AA193">IFERROR(IF(OR(Z193="Insecta",Z193="Arachnida",Z193="#N/C"),"",INDEX(ClassificationClasses[[Class]:[Infraorder]],MATCH(TRUE,ISNUMBER(SEARCH(Z193,ClassificationClasses[Key])),0),MATCH(Z193,INDEX(ClassificationClasses[#Data], MATCH(TRUE,ISNUMBER(SEARCH(Z193,ClassificationClasses[Key])),0), 0), 0)-1)),"")</f>
        <v>Neuroptera</v>
      </c>
      <c r="AB193" s="116" t="str" cm="1">
        <f t="array" ref="AB193">IFERROR(IF(OR(AA193="Insecta",AA193="Arachnida",AA193="#N/C"),"",INDEX(ClassificationClasses[[Class]:[Suborder]],MATCH(TRUE,ISNUMBER(SEARCH(AA193,ClassificationClasses[Key])),0),MATCH(AA193,INDEX(ClassificationClasses[#Data], MATCH(TRUE,ISNUMBER(SEARCH(AA193,ClassificationClasses[Key])),0), 0), 0)-1)),"")</f>
        <v>Insecta</v>
      </c>
      <c r="AC193" s="116" t="str" cm="1">
        <f t="array" ref="AC193">IFERROR(IF(OR(AB193="Insecta",AB193="Arachnida",AB193="#N/C"),"",INDEX(ClassificationClasses[[Class]:[Suborder]],MATCH(TRUE,ISNUMBER(SEARCH(AB193,ClassificationClasses[Key])),0),MATCH(AB193,INDEX(ClassificationClasses[#Data], MATCH(TRUE,ISNUMBER(SEARCH(AB193,ClassificationClasses[Key])),0), 0), 0)-1)),"")</f>
        <v/>
      </c>
      <c r="AD193" s="116" t="str" cm="1">
        <f t="array" ref="AD193">IFERROR(IF(OR(AC193="Insecta",AC193="Arachnida",AC193="#N/C"),"",INDEX(ClassificationClasses[[Class]:[Suborder]],MATCH(TRUE,ISNUMBER(SEARCH(AC193,ClassificationClasses[Key])),0),MATCH(AC193,INDEX(ClassificationClasses[#Data], MATCH(TRUE,ISNUMBER(SEARCH(AC193,ClassificationClasses[Key])),0), 0), 0)-1)),"")</f>
        <v/>
      </c>
      <c r="AE193" s="18" t="str">
        <f t="shared" si="6"/>
        <v>Insecta.Neuroptera.Hemerobiiformia.0.Hemerobioidea.Chrysopidae.Chrysopinae.Chrysoperla.carnea</v>
      </c>
    </row>
    <row r="194" spans="1:31" x14ac:dyDescent="0.3">
      <c r="A194" s="91">
        <v>193</v>
      </c>
      <c r="B194" s="7">
        <v>44399</v>
      </c>
      <c r="C194" s="92" t="s">
        <v>367</v>
      </c>
      <c r="D194" s="93" t="str">
        <f>HYPERLINK(VLOOKUP(C194,Video_List!$F:$J,5),"video")</f>
        <v>video</v>
      </c>
      <c r="E194" s="94" t="str">
        <f>IFERROR(IF(MATCH(C194,Video_List!$F:$F,)&gt;0,"ok",""),"error")</f>
        <v>ok</v>
      </c>
      <c r="F194" s="92" t="s">
        <v>367</v>
      </c>
      <c r="G194" s="93" t="str">
        <f>HYPERLINK(VLOOKUP(F194,Video_List!$F:$J,5),"video")</f>
        <v>video</v>
      </c>
      <c r="H194" s="94" t="str">
        <f>IFERROR(IF(MATCH(F194,Video_List!$F:$F,)&gt;0,"ok",""),"error")</f>
        <v>ok</v>
      </c>
      <c r="I194" s="17">
        <v>44399.113206018519</v>
      </c>
      <c r="J194" s="8">
        <v>44399.113252314812</v>
      </c>
      <c r="K194" s="15">
        <f t="shared" ref="K194:K257" si="7">J194-I194</f>
        <v>4.6296292566694319E-5</v>
      </c>
      <c r="L194" s="95" t="s">
        <v>32</v>
      </c>
      <c r="M194" s="95" t="s">
        <v>33</v>
      </c>
      <c r="N194" s="96" t="str">
        <f>IF(ISBLANK(C194),"",IF(C194=F194, "1 video",CONCATENATE((+COUNTIFS(Video_List!$C:$C,"&lt;=" &amp;Monitoring!J194)-COUNTIFS(Video_List!$C:$C,"&lt;=" &amp;Monitoring!I194))+1," videos")))</f>
        <v>1 video</v>
      </c>
      <c r="O194" s="29" t="s">
        <v>44</v>
      </c>
      <c r="P194" s="42" t="s">
        <v>37</v>
      </c>
      <c r="Q194" s="42" t="s">
        <v>56</v>
      </c>
      <c r="R194" s="42" t="s">
        <v>57</v>
      </c>
      <c r="S194" s="97" t="str">
        <f>+IFERROR(IF(T194="#N/C","#N/C",IF(U194=0,INDEX(Taxonomy_UniqueValues!D:D,MATCH(U194,Taxonomy_UniqueValues!F:F,0)),INDEX(Taxonomy_UniqueValues!D:D,MATCH(T194,Taxonomy_UniqueValues!E:E,0)))),"#N/C")</f>
        <v>Heterocera</v>
      </c>
      <c r="T194" s="42" t="s">
        <v>257</v>
      </c>
      <c r="U194" s="42" t="s">
        <v>300</v>
      </c>
      <c r="V194" s="42" t="s">
        <v>35</v>
      </c>
      <c r="W194" s="42" t="s">
        <v>35</v>
      </c>
      <c r="X194" s="28" t="s">
        <v>35</v>
      </c>
      <c r="Y194" s="69" t="str" cm="1">
        <f t="array" ref="Y194">_xlfn.LET(_xlpm.cls,P194, _xlpm.ord,IFERROR(Q194,"#N/C"), _xlpm.subord,IFERROR(R194,"#N/C"), _xlpm.infr,IFERROR(S194,"#N/C"), _xlpm.sf,IFERROR(T194,"#N/C"), _xlpm.fam,IFERROR(U194,"#N/C"), _xlpm.subfam,IF(TRIM(V194)="-","#N/C",IFERROR(V194,"#N/C")),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_xlpm.fallback,IF(IFERROR(Q194,"#N/C")="#N/C",P194,IF(IFERROR(R194,"#N/C")="#N/C",Q194,IF(IFERROR(S194,"#N/C")="#N/C",R194,IF(IFERROR(T194,"#N/C")="#N/C",S194,IF(IFERROR(U194,"#N/C")="#N/C",T194,IF(IFERROR(V194,"#N/C")="#N/C",U194,"#N/C")))))), _xlpm.finalResult,IF(OR(_xlpm.computedResult="",_xlpm.computedResult="#N/C"),_xlpm.fallback,_xlpm.computedResult), INDEX(_xlpm.finalResult,1))</f>
        <v>moth</v>
      </c>
      <c r="Z194" s="116" t="str" cm="1">
        <f t="array" ref="Z194">IF(OR(Y194="Insecta",Y194="Arachnida",Y194="#N/C"),"",IFERROR(_xlfn.LET(_xlpm.fc,IFERROR(_xlfn._xlws.FILTER(ClassificationClasses[],ClassificationClasses[Classification Class]=Y194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194,ClassificationClasses[Key])),0),MATCH(Y194,INDEX(ClassificationClasses[],MATCH(TRUE,ISNUMBER(SEARCH(Y194,ClassificationClasses[Key])),0),0),0)-1)))</f>
        <v>Heterocera</v>
      </c>
      <c r="AA194" s="116" t="str" cm="1">
        <f t="array" ref="AA194">IFERROR(IF(OR(Z194="Insecta",Z194="Arachnida",Z194="#N/C"),"",INDEX(ClassificationClasses[[Class]:[Infraorder]],MATCH(TRUE,ISNUMBER(SEARCH(Z194,ClassificationClasses[Key])),0),MATCH(Z194,INDEX(ClassificationClasses[#Data], MATCH(TRUE,ISNUMBER(SEARCH(Z194,ClassificationClasses[Key])),0), 0), 0)-1)),"")</f>
        <v>Glossata</v>
      </c>
      <c r="AB194" s="116" t="str" cm="1">
        <f t="array" ref="AB194">IFERROR(IF(OR(AA194="Insecta",AA194="Arachnida",AA194="#N/C"),"",INDEX(ClassificationClasses[[Class]:[Suborder]],MATCH(TRUE,ISNUMBER(SEARCH(AA194,ClassificationClasses[Key])),0),MATCH(AA194,INDEX(ClassificationClasses[#Data], MATCH(TRUE,ISNUMBER(SEARCH(AA194,ClassificationClasses[Key])),0), 0), 0)-1)),"")</f>
        <v>Lepidoptera</v>
      </c>
      <c r="AC194" s="116" t="str" cm="1">
        <f t="array" ref="AC194">IFERROR(IF(OR(AB194="Insecta",AB194="Arachnida",AB194="#N/C"),"",INDEX(ClassificationClasses[[Class]:[Suborder]],MATCH(TRUE,ISNUMBER(SEARCH(AB194,ClassificationClasses[Key])),0),MATCH(AB194,INDEX(ClassificationClasses[#Data], MATCH(TRUE,ISNUMBER(SEARCH(AB194,ClassificationClasses[Key])),0), 0), 0)-1)),"")</f>
        <v>Insecta</v>
      </c>
      <c r="AD194" s="116" t="str" cm="1">
        <f t="array" ref="AD194">IFERROR(IF(OR(AC194="Insecta",AC194="Arachnida",AC194="#N/C"),"",INDEX(ClassificationClasses[[Class]:[Suborder]],MATCH(TRUE,ISNUMBER(SEARCH(AC194,ClassificationClasses[Key])),0),MATCH(AC194,INDEX(ClassificationClasses[#Data], MATCH(TRUE,ISNUMBER(SEARCH(AC194,ClassificationClasses[Key])),0), 0), 0)-1)),"")</f>
        <v/>
      </c>
      <c r="AE194" s="18" t="str">
        <f t="shared" si="6"/>
        <v>Insecta.Lepidoptera.Glossata.Heterocera.Gelechioidea.Gelechiidae.#N/C.#N/C.#N/C</v>
      </c>
    </row>
    <row r="195" spans="1:31" x14ac:dyDescent="0.3">
      <c r="A195" s="91">
        <v>194</v>
      </c>
      <c r="B195" s="7">
        <v>44399</v>
      </c>
      <c r="C195" s="92" t="s">
        <v>368</v>
      </c>
      <c r="D195" s="93" t="str">
        <f>HYPERLINK(VLOOKUP(C195,Video_List!$F:$J,5),"video")</f>
        <v>video</v>
      </c>
      <c r="E195" s="94" t="str">
        <f>IFERROR(IF(MATCH(C195,Video_List!$F:$F,)&gt;0,"ok",""),"error")</f>
        <v>ok</v>
      </c>
      <c r="F195" s="92" t="s">
        <v>368</v>
      </c>
      <c r="G195" s="93" t="str">
        <f>HYPERLINK(VLOOKUP(F195,Video_List!$F:$J,5),"video")</f>
        <v>video</v>
      </c>
      <c r="H195" s="94" t="str">
        <f>IFERROR(IF(MATCH(F195,Video_List!$F:$F,)&gt;0,"ok",""),"error")</f>
        <v>ok</v>
      </c>
      <c r="I195" s="17">
        <v>44399.176574074074</v>
      </c>
      <c r="J195" s="8">
        <v>44399.176631944443</v>
      </c>
      <c r="K195" s="15">
        <f t="shared" si="7"/>
        <v>5.7870369346346706E-5</v>
      </c>
      <c r="L195" s="4" t="s">
        <v>32</v>
      </c>
      <c r="M195" s="4" t="s">
        <v>33</v>
      </c>
      <c r="N195" s="96" t="str">
        <f>IF(ISBLANK(C195),"",IF(C195=F195, "1 video",CONCATENATE((+COUNTIFS(Video_List!$C:$C,"&lt;=" &amp;Monitoring!J195)-COUNTIFS(Video_List!$C:$C,"&lt;=" &amp;Monitoring!I195))+1," videos")))</f>
        <v>1 video</v>
      </c>
      <c r="O195" s="27" t="s">
        <v>32</v>
      </c>
      <c r="P195" s="42" t="s">
        <v>37</v>
      </c>
      <c r="Q195" s="42" t="s">
        <v>56</v>
      </c>
      <c r="R195" s="42" t="s">
        <v>57</v>
      </c>
      <c r="S195" s="97" t="str">
        <f>+IFERROR(IF(T195="#N/C","#N/C",IF(U195=0,INDEX(Taxonomy_UniqueValues!D:D,MATCH(U195,Taxonomy_UniqueValues!F:F,0)),INDEX(Taxonomy_UniqueValues!D:D,MATCH(T195,Taxonomy_UniqueValues!E:E,0)))),"#N/C")</f>
        <v>Heterocera</v>
      </c>
      <c r="T195" s="42" t="s">
        <v>257</v>
      </c>
      <c r="U195" s="42" t="s">
        <v>35</v>
      </c>
      <c r="V195" s="42" t="s">
        <v>35</v>
      </c>
      <c r="W195" s="42" t="s">
        <v>35</v>
      </c>
      <c r="X195" s="28" t="s">
        <v>35</v>
      </c>
      <c r="Y195" s="69" t="str" cm="1">
        <f t="array" ref="Y195">_xlfn.LET(_xlpm.cls,P195, _xlpm.ord,IFERROR(Q195,"#N/C"), _xlpm.subord,IFERROR(R195,"#N/C"), _xlpm.infr,IFERROR(S195,"#N/C"), _xlpm.sf,IFERROR(T195,"#N/C"), _xlpm.fam,IFERROR(U195,"#N/C"), _xlpm.subfam,IF(TRIM(V195)="-","#N/C",IFERROR(V195,"#N/C")),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_xlpm.fallback,IF(IFERROR(Q195,"#N/C")="#N/C",P195,IF(IFERROR(R195,"#N/C")="#N/C",Q195,IF(IFERROR(S195,"#N/C")="#N/C",R195,IF(IFERROR(T195,"#N/C")="#N/C",S195,IF(IFERROR(U195,"#N/C")="#N/C",T195,IF(IFERROR(V195,"#N/C")="#N/C",U195,"#N/C")))))), _xlpm.finalResult,IF(OR(_xlpm.computedResult="",_xlpm.computedResult="#N/C"),_xlpm.fallback,_xlpm.computedResult), INDEX(_xlpm.finalResult,1))</f>
        <v>Gelechioidea</v>
      </c>
      <c r="Z195" s="116" t="str" cm="1">
        <f t="array" ref="Z195">IF(OR(Y195="Insecta",Y195="Arachnida",Y195="#N/C"),"",IFERROR(_xlfn.LET(_xlpm.fc,IFERROR(_xlfn._xlws.FILTER(ClassificationClasses[],ClassificationClasses[Classification Class]=Y195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195,ClassificationClasses[Key])),0),MATCH(Y195,INDEX(ClassificationClasses[],MATCH(TRUE,ISNUMBER(SEARCH(Y195,ClassificationClasses[Key])),0),0),0)-1)))</f>
        <v>Heterocera</v>
      </c>
      <c r="AA195" s="116" t="str" cm="1">
        <f t="array" ref="AA195">IFERROR(IF(OR(Z195="Insecta",Z195="Arachnida",Z195="#N/C"),"",INDEX(ClassificationClasses[[Class]:[Infraorder]],MATCH(TRUE,ISNUMBER(SEARCH(Z195,ClassificationClasses[Key])),0),MATCH(Z195,INDEX(ClassificationClasses[#Data], MATCH(TRUE,ISNUMBER(SEARCH(Z195,ClassificationClasses[Key])),0), 0), 0)-1)),"")</f>
        <v>Glossata</v>
      </c>
      <c r="AB195" s="116" t="str" cm="1">
        <f t="array" ref="AB195">IFERROR(IF(OR(AA195="Insecta",AA195="Arachnida",AA195="#N/C"),"",INDEX(ClassificationClasses[[Class]:[Suborder]],MATCH(TRUE,ISNUMBER(SEARCH(AA195,ClassificationClasses[Key])),0),MATCH(AA195,INDEX(ClassificationClasses[#Data], MATCH(TRUE,ISNUMBER(SEARCH(AA195,ClassificationClasses[Key])),0), 0), 0)-1)),"")</f>
        <v>Lepidoptera</v>
      </c>
      <c r="AC195" s="116" t="str" cm="1">
        <f t="array" ref="AC195">IFERROR(IF(OR(AB195="Insecta",AB195="Arachnida",AB195="#N/C"),"",INDEX(ClassificationClasses[[Class]:[Suborder]],MATCH(TRUE,ISNUMBER(SEARCH(AB195,ClassificationClasses[Key])),0),MATCH(AB195,INDEX(ClassificationClasses[#Data], MATCH(TRUE,ISNUMBER(SEARCH(AB195,ClassificationClasses[Key])),0), 0), 0)-1)),"")</f>
        <v>Insecta</v>
      </c>
      <c r="AD195" s="116" t="str" cm="1">
        <f t="array" ref="AD195">IFERROR(IF(OR(AC195="Insecta",AC195="Arachnida",AC195="#N/C"),"",INDEX(ClassificationClasses[[Class]:[Suborder]],MATCH(TRUE,ISNUMBER(SEARCH(AC195,ClassificationClasses[Key])),0),MATCH(AC195,INDEX(ClassificationClasses[#Data], MATCH(TRUE,ISNUMBER(SEARCH(AC195,ClassificationClasses[Key])),0), 0), 0)-1)),"")</f>
        <v/>
      </c>
      <c r="AE195" s="18" t="str">
        <f t="shared" si="6"/>
        <v>Insecta.Lepidoptera.Glossata.Heterocera.Gelechioidea.#N/C.#N/C.#N/C.#N/C</v>
      </c>
    </row>
    <row r="196" spans="1:31" x14ac:dyDescent="0.3">
      <c r="A196" s="91">
        <v>195</v>
      </c>
      <c r="B196" s="7">
        <v>44399</v>
      </c>
      <c r="C196" s="92" t="s">
        <v>369</v>
      </c>
      <c r="D196" s="93" t="str">
        <f>HYPERLINK(VLOOKUP(C196,Video_List!$F:$J,5),"video")</f>
        <v>video</v>
      </c>
      <c r="E196" s="94" t="str">
        <f>IFERROR(IF(MATCH(C196,Video_List!$F:$F,)&gt;0,"ok",""),"error")</f>
        <v>ok</v>
      </c>
      <c r="F196" s="92" t="s">
        <v>369</v>
      </c>
      <c r="G196" s="93" t="str">
        <f>HYPERLINK(VLOOKUP(F196,Video_List!$F:$J,5),"video")</f>
        <v>video</v>
      </c>
      <c r="H196" s="94" t="str">
        <f>IFERROR(IF(MATCH(F196,Video_List!$F:$F,)&gt;0,"ok",""),"error")</f>
        <v>ok</v>
      </c>
      <c r="I196" s="17">
        <v>44399.214398148149</v>
      </c>
      <c r="J196" s="8">
        <v>44399.214537037034</v>
      </c>
      <c r="K196" s="15">
        <f t="shared" si="7"/>
        <v>1.3888888497604057E-4</v>
      </c>
      <c r="L196" s="4" t="s">
        <v>44</v>
      </c>
      <c r="M196" s="4" t="s">
        <v>118</v>
      </c>
      <c r="N196" s="96" t="str">
        <f>IF(ISBLANK(C196),"",IF(C196=F196, "1 video",CONCATENATE((+COUNTIFS(Video_List!$C:$C,"&lt;=" &amp;Monitoring!J196)-COUNTIFS(Video_List!$C:$C,"&lt;=" &amp;Monitoring!I196))+1," videos")))</f>
        <v>1 video</v>
      </c>
      <c r="O196" s="27" t="s">
        <v>32</v>
      </c>
      <c r="P196" s="42" t="s">
        <v>37</v>
      </c>
      <c r="Q196" s="42" t="s">
        <v>38</v>
      </c>
      <c r="R196" s="42" t="s">
        <v>39</v>
      </c>
      <c r="S196" s="97" t="str">
        <f>+IFERROR(IF(T196="#N/C","#N/C",IF(U196=0,INDEX(Taxonomy_UniqueValues!D:D,MATCH(U196,Taxonomy_UniqueValues!F:F,0)),INDEX(Taxonomy_UniqueValues!D:D,MATCH(T196,Taxonomy_UniqueValues!E:E,0)))),"#N/C")</f>
        <v>Muscomorpha</v>
      </c>
      <c r="T196" s="42" t="s">
        <v>46</v>
      </c>
      <c r="U196" s="42" t="s">
        <v>47</v>
      </c>
      <c r="V196" s="42" t="s">
        <v>48</v>
      </c>
      <c r="W196" s="42" t="s">
        <v>182</v>
      </c>
      <c r="X196" s="28" t="s">
        <v>35</v>
      </c>
      <c r="Y196" s="69" t="str" cm="1">
        <f t="array" ref="Y196">_xlfn.LET(_xlpm.cls,P196, _xlpm.ord,IFERROR(Q196,"#N/C"), _xlpm.subord,IFERROR(R196,"#N/C"), _xlpm.infr,IFERROR(S196,"#N/C"), _xlpm.sf,IFERROR(T196,"#N/C"), _xlpm.fam,IFERROR(U196,"#N/C"), _xlpm.subfam,IF(TRIM(V196)="-","#N/C",IFERROR(V196,"#N/C")),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_xlpm.fallback,IF(IFERROR(Q196,"#N/C")="#N/C",P196,IF(IFERROR(R196,"#N/C")="#N/C",Q196,IF(IFERROR(S196,"#N/C")="#N/C",R196,IF(IFERROR(T196,"#N/C")="#N/C",S196,IF(IFERROR(U196,"#N/C")="#N/C",T196,IF(IFERROR(V196,"#N/C")="#N/C",U196,"#N/C")))))), _xlpm.finalResult,IF(OR(_xlpm.computedResult="",_xlpm.computedResult="#N/C"),_xlpm.fallback,_xlpm.computedResult), INDEX(_xlpm.finalResult,1))</f>
        <v>hoverfly</v>
      </c>
      <c r="Z196" s="116" t="str" cm="1">
        <f t="array" ref="Z196">IF(OR(Y196="Insecta",Y196="Arachnida",Y196="#N/C"),"",IFERROR(_xlfn.LET(_xlpm.fc,IFERROR(_xlfn._xlws.FILTER(ClassificationClasses[],ClassificationClasses[Classification Class]=Y196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196,ClassificationClasses[Key])),0),MATCH(Y196,INDEX(ClassificationClasses[],MATCH(TRUE,ISNUMBER(SEARCH(Y196,ClassificationClasses[Key])),0),0),0)-1)))</f>
        <v>Muscomorpha</v>
      </c>
      <c r="AA196" s="116" t="str" cm="1">
        <f t="array" ref="AA196">IFERROR(IF(OR(Z196="Insecta",Z196="Arachnida",Z196="#N/C"),"",INDEX(ClassificationClasses[[Class]:[Infraorder]],MATCH(TRUE,ISNUMBER(SEARCH(Z196,ClassificationClasses[Key])),0),MATCH(Z196,INDEX(ClassificationClasses[#Data], MATCH(TRUE,ISNUMBER(SEARCH(Z196,ClassificationClasses[Key])),0), 0), 0)-1)),"")</f>
        <v>Brachycera</v>
      </c>
      <c r="AB196" s="116" t="str" cm="1">
        <f t="array" ref="AB196">IFERROR(IF(OR(AA196="Insecta",AA196="Arachnida",AA196="#N/C"),"",INDEX(ClassificationClasses[[Class]:[Suborder]],MATCH(TRUE,ISNUMBER(SEARCH(AA196,ClassificationClasses[Key])),0),MATCH(AA196,INDEX(ClassificationClasses[#Data], MATCH(TRUE,ISNUMBER(SEARCH(AA196,ClassificationClasses[Key])),0), 0), 0)-1)),"")</f>
        <v>Diptera</v>
      </c>
      <c r="AC196" s="116" t="str" cm="1">
        <f t="array" ref="AC196">IFERROR(IF(OR(AB196="Insecta",AB196="Arachnida",AB196="#N/C"),"",INDEX(ClassificationClasses[[Class]:[Suborder]],MATCH(TRUE,ISNUMBER(SEARCH(AB196,ClassificationClasses[Key])),0),MATCH(AB196,INDEX(ClassificationClasses[#Data], MATCH(TRUE,ISNUMBER(SEARCH(AB196,ClassificationClasses[Key])),0), 0), 0)-1)),"")</f>
        <v>Insecta</v>
      </c>
      <c r="AD196" s="116" t="str" cm="1">
        <f t="array" ref="AD196">IFERROR(IF(OR(AC196="Insecta",AC196="Arachnida",AC196="#N/C"),"",INDEX(ClassificationClasses[[Class]:[Suborder]],MATCH(TRUE,ISNUMBER(SEARCH(AC196,ClassificationClasses[Key])),0),MATCH(AC196,INDEX(ClassificationClasses[#Data], MATCH(TRUE,ISNUMBER(SEARCH(AC196,ClassificationClasses[Key])),0), 0), 0)-1)),"")</f>
        <v/>
      </c>
      <c r="AE196" s="18" t="str">
        <f t="shared" si="6"/>
        <v>Insecta.Diptera.Brachycera.Muscomorpha.Syrphoidea.Syrphidae.Syrphinae.Melanostoma.#N/C</v>
      </c>
    </row>
    <row r="197" spans="1:31" x14ac:dyDescent="0.3">
      <c r="A197" s="91">
        <v>196</v>
      </c>
      <c r="B197" s="7">
        <v>44399</v>
      </c>
      <c r="C197" s="92" t="s">
        <v>370</v>
      </c>
      <c r="D197" s="93" t="str">
        <f>HYPERLINK(VLOOKUP(C197,Video_List!$F:$J,5),"video")</f>
        <v>video</v>
      </c>
      <c r="E197" s="94" t="str">
        <f>IFERROR(IF(MATCH(C197,Video_List!$F:$F,)&gt;0,"ok",""),"error")</f>
        <v>ok</v>
      </c>
      <c r="F197" s="92" t="s">
        <v>370</v>
      </c>
      <c r="G197" s="93" t="str">
        <f>HYPERLINK(VLOOKUP(F197,Video_List!$F:$J,5),"video")</f>
        <v>video</v>
      </c>
      <c r="H197" s="94" t="str">
        <f>IFERROR(IF(MATCH(F197,Video_List!$F:$F,)&gt;0,"ok",""),"error")</f>
        <v>ok</v>
      </c>
      <c r="I197" s="17">
        <v>44399.216157407405</v>
      </c>
      <c r="J197" s="8">
        <v>44399.216296296298</v>
      </c>
      <c r="K197" s="15">
        <f t="shared" si="7"/>
        <v>1.3888889225199819E-4</v>
      </c>
      <c r="L197" s="4" t="s">
        <v>32</v>
      </c>
      <c r="M197" s="4" t="s">
        <v>55</v>
      </c>
      <c r="N197" s="96" t="str">
        <f>IF(ISBLANK(C197),"",IF(C197=F197, "1 video",CONCATENATE((+COUNTIFS(Video_List!$C:$C,"&lt;=" &amp;Monitoring!J197)-COUNTIFS(Video_List!$C:$C,"&lt;=" &amp;Monitoring!I197))+1," videos")))</f>
        <v>1 video</v>
      </c>
      <c r="O197" s="29" t="s">
        <v>44</v>
      </c>
      <c r="P197" s="42" t="s">
        <v>37</v>
      </c>
      <c r="Q197" s="42" t="s">
        <v>38</v>
      </c>
      <c r="R197" s="42" t="s">
        <v>39</v>
      </c>
      <c r="S197" s="97" t="str">
        <f>+IFERROR(IF(T197="#N/C","#N/C",IF(U197=0,INDEX(Taxonomy_UniqueValues!D:D,MATCH(U197,Taxonomy_UniqueValues!F:F,0)),INDEX(Taxonomy_UniqueValues!D:D,MATCH(T197,Taxonomy_UniqueValues!E:E,0)))),"#N/C")</f>
        <v>Muscomorpha</v>
      </c>
      <c r="T197" s="42" t="s">
        <v>46</v>
      </c>
      <c r="U197" s="42" t="s">
        <v>47</v>
      </c>
      <c r="V197" s="42" t="s">
        <v>48</v>
      </c>
      <c r="W197" s="42" t="s">
        <v>182</v>
      </c>
      <c r="X197" s="28" t="s">
        <v>35</v>
      </c>
      <c r="Y197" s="69" t="str" cm="1">
        <f t="array" ref="Y197">_xlfn.LET(_xlpm.cls,P197, _xlpm.ord,IFERROR(Q197,"#N/C"), _xlpm.subord,IFERROR(R197,"#N/C"), _xlpm.infr,IFERROR(S197,"#N/C"), _xlpm.sf,IFERROR(T197,"#N/C"), _xlpm.fam,IFERROR(U197,"#N/C"), _xlpm.subfam,IF(TRIM(V197)="-","#N/C",IFERROR(V197,"#N/C")),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_xlpm.fallback,IF(IFERROR(Q197,"#N/C")="#N/C",P197,IF(IFERROR(R197,"#N/C")="#N/C",Q197,IF(IFERROR(S197,"#N/C")="#N/C",R197,IF(IFERROR(T197,"#N/C")="#N/C",S197,IF(IFERROR(U197,"#N/C")="#N/C",T197,IF(IFERROR(V197,"#N/C")="#N/C",U197,"#N/C")))))), _xlpm.finalResult,IF(OR(_xlpm.computedResult="",_xlpm.computedResult="#N/C"),_xlpm.fallback,_xlpm.computedResult), INDEX(_xlpm.finalResult,1))</f>
        <v>hoverfly</v>
      </c>
      <c r="Z197" s="116" t="str" cm="1">
        <f t="array" ref="Z197">IF(OR(Y197="Insecta",Y197="Arachnida",Y197="#N/C"),"",IFERROR(_xlfn.LET(_xlpm.fc,IFERROR(_xlfn._xlws.FILTER(ClassificationClasses[],ClassificationClasses[Classification Class]=Y197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197,ClassificationClasses[Key])),0),MATCH(Y197,INDEX(ClassificationClasses[],MATCH(TRUE,ISNUMBER(SEARCH(Y197,ClassificationClasses[Key])),0),0),0)-1)))</f>
        <v>Muscomorpha</v>
      </c>
      <c r="AA197" s="116" t="str" cm="1">
        <f t="array" ref="AA197">IFERROR(IF(OR(Z197="Insecta",Z197="Arachnida",Z197="#N/C"),"",INDEX(ClassificationClasses[[Class]:[Infraorder]],MATCH(TRUE,ISNUMBER(SEARCH(Z197,ClassificationClasses[Key])),0),MATCH(Z197,INDEX(ClassificationClasses[#Data], MATCH(TRUE,ISNUMBER(SEARCH(Z197,ClassificationClasses[Key])),0), 0), 0)-1)),"")</f>
        <v>Brachycera</v>
      </c>
      <c r="AB197" s="116" t="str" cm="1">
        <f t="array" ref="AB197">IFERROR(IF(OR(AA197="Insecta",AA197="Arachnida",AA197="#N/C"),"",INDEX(ClassificationClasses[[Class]:[Suborder]],MATCH(TRUE,ISNUMBER(SEARCH(AA197,ClassificationClasses[Key])),0),MATCH(AA197,INDEX(ClassificationClasses[#Data], MATCH(TRUE,ISNUMBER(SEARCH(AA197,ClassificationClasses[Key])),0), 0), 0)-1)),"")</f>
        <v>Diptera</v>
      </c>
      <c r="AC197" s="116" t="str" cm="1">
        <f t="array" ref="AC197">IFERROR(IF(OR(AB197="Insecta",AB197="Arachnida",AB197="#N/C"),"",INDEX(ClassificationClasses[[Class]:[Suborder]],MATCH(TRUE,ISNUMBER(SEARCH(AB197,ClassificationClasses[Key])),0),MATCH(AB197,INDEX(ClassificationClasses[#Data], MATCH(TRUE,ISNUMBER(SEARCH(AB197,ClassificationClasses[Key])),0), 0), 0)-1)),"")</f>
        <v>Insecta</v>
      </c>
      <c r="AD197" s="116" t="str" cm="1">
        <f t="array" ref="AD197">IFERROR(IF(OR(AC197="Insecta",AC197="Arachnida",AC197="#N/C"),"",INDEX(ClassificationClasses[[Class]:[Suborder]],MATCH(TRUE,ISNUMBER(SEARCH(AC197,ClassificationClasses[Key])),0),MATCH(AC197,INDEX(ClassificationClasses[#Data], MATCH(TRUE,ISNUMBER(SEARCH(AC197,ClassificationClasses[Key])),0), 0), 0)-1)),"")</f>
        <v/>
      </c>
      <c r="AE197" s="18" t="str">
        <f t="shared" si="6"/>
        <v>Insecta.Diptera.Brachycera.Muscomorpha.Syrphoidea.Syrphidae.Syrphinae.Melanostoma.#N/C</v>
      </c>
    </row>
    <row r="198" spans="1:31" x14ac:dyDescent="0.3">
      <c r="A198" s="91">
        <v>197</v>
      </c>
      <c r="B198" s="7">
        <v>44399</v>
      </c>
      <c r="C198" s="92" t="s">
        <v>371</v>
      </c>
      <c r="D198" s="93" t="str">
        <f>HYPERLINK(VLOOKUP(C198,Video_List!$F:$J,5),"video")</f>
        <v>video</v>
      </c>
      <c r="E198" s="94" t="str">
        <f>IFERROR(IF(MATCH(C198,Video_List!$F:$F,)&gt;0,"ok",""),"error")</f>
        <v>ok</v>
      </c>
      <c r="F198" s="92" t="s">
        <v>371</v>
      </c>
      <c r="G198" s="93" t="str">
        <f>HYPERLINK(VLOOKUP(F198,Video_List!$F:$J,5),"video")</f>
        <v>video</v>
      </c>
      <c r="H198" s="94" t="str">
        <f>IFERROR(IF(MATCH(F198,Video_List!$F:$F,)&gt;0,"ok",""),"error")</f>
        <v>ok</v>
      </c>
      <c r="I198" s="17">
        <v>44399.463703703703</v>
      </c>
      <c r="J198" s="8">
        <v>44399.467083333337</v>
      </c>
      <c r="K198" s="15">
        <f t="shared" si="7"/>
        <v>3.3796296338550746E-3</v>
      </c>
      <c r="L198" s="95" t="s">
        <v>32</v>
      </c>
      <c r="M198" s="95" t="s">
        <v>33</v>
      </c>
      <c r="N198" s="96" t="str">
        <f>IF(ISBLANK(C198),"",IF(C198=F198, "1 video",CONCATENATE((+COUNTIFS(Video_List!$C:$C,"&lt;=" &amp;Monitoring!J198)-COUNTIFS(Video_List!$C:$C,"&lt;=" &amp;Monitoring!I198))+1," videos")))</f>
        <v>1 video</v>
      </c>
      <c r="O198" s="29" t="s">
        <v>44</v>
      </c>
      <c r="P198" s="42" t="s">
        <v>37</v>
      </c>
      <c r="Q198" s="42" t="s">
        <v>38</v>
      </c>
      <c r="R198" s="42" t="s">
        <v>39</v>
      </c>
      <c r="S198" s="97" t="str">
        <f>+IFERROR(IF(T198="#N/C","#N/C",IF(U198=0,INDEX(Taxonomy_UniqueValues!D:D,MATCH(U198,Taxonomy_UniqueValues!F:F,0)),INDEX(Taxonomy_UniqueValues!D:D,MATCH(T198,Taxonomy_UniqueValues!E:E,0)))),"#N/C")</f>
        <v>Muscomorpha</v>
      </c>
      <c r="T198" s="42" t="s">
        <v>46</v>
      </c>
      <c r="U198" s="42" t="s">
        <v>47</v>
      </c>
      <c r="V198" s="42" t="s">
        <v>48</v>
      </c>
      <c r="W198" s="42" t="s">
        <v>182</v>
      </c>
      <c r="X198" s="28" t="s">
        <v>35</v>
      </c>
      <c r="Y198" s="69" t="str" cm="1">
        <f t="array" ref="Y198">_xlfn.LET(_xlpm.cls,P198, _xlpm.ord,IFERROR(Q198,"#N/C"), _xlpm.subord,IFERROR(R198,"#N/C"), _xlpm.infr,IFERROR(S198,"#N/C"), _xlpm.sf,IFERROR(T198,"#N/C"), _xlpm.fam,IFERROR(U198,"#N/C"), _xlpm.subfam,IF(TRIM(V198)="-","#N/C",IFERROR(V198,"#N/C")),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_xlpm.fallback,IF(IFERROR(Q198,"#N/C")="#N/C",P198,IF(IFERROR(R198,"#N/C")="#N/C",Q198,IF(IFERROR(S198,"#N/C")="#N/C",R198,IF(IFERROR(T198,"#N/C")="#N/C",S198,IF(IFERROR(U198,"#N/C")="#N/C",T198,IF(IFERROR(V198,"#N/C")="#N/C",U198,"#N/C")))))), _xlpm.finalResult,IF(OR(_xlpm.computedResult="",_xlpm.computedResult="#N/C"),_xlpm.fallback,_xlpm.computedResult), INDEX(_xlpm.finalResult,1))</f>
        <v>hoverfly</v>
      </c>
      <c r="Z198" s="116" t="str" cm="1">
        <f t="array" ref="Z198">IF(OR(Y198="Insecta",Y198="Arachnida",Y198="#N/C"),"",IFERROR(_xlfn.LET(_xlpm.fc,IFERROR(_xlfn._xlws.FILTER(ClassificationClasses[],ClassificationClasses[Classification Class]=Y198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198,ClassificationClasses[Key])),0),MATCH(Y198,INDEX(ClassificationClasses[],MATCH(TRUE,ISNUMBER(SEARCH(Y198,ClassificationClasses[Key])),0),0),0)-1)))</f>
        <v>Muscomorpha</v>
      </c>
      <c r="AA198" s="116" t="str" cm="1">
        <f t="array" ref="AA198">IFERROR(IF(OR(Z198="Insecta",Z198="Arachnida",Z198="#N/C"),"",INDEX(ClassificationClasses[[Class]:[Infraorder]],MATCH(TRUE,ISNUMBER(SEARCH(Z198,ClassificationClasses[Key])),0),MATCH(Z198,INDEX(ClassificationClasses[#Data], MATCH(TRUE,ISNUMBER(SEARCH(Z198,ClassificationClasses[Key])),0), 0), 0)-1)),"")</f>
        <v>Brachycera</v>
      </c>
      <c r="AB198" s="116" t="str" cm="1">
        <f t="array" ref="AB198">IFERROR(IF(OR(AA198="Insecta",AA198="Arachnida",AA198="#N/C"),"",INDEX(ClassificationClasses[[Class]:[Suborder]],MATCH(TRUE,ISNUMBER(SEARCH(AA198,ClassificationClasses[Key])),0),MATCH(AA198,INDEX(ClassificationClasses[#Data], MATCH(TRUE,ISNUMBER(SEARCH(AA198,ClassificationClasses[Key])),0), 0), 0)-1)),"")</f>
        <v>Diptera</v>
      </c>
      <c r="AC198" s="116" t="str" cm="1">
        <f t="array" ref="AC198">IFERROR(IF(OR(AB198="Insecta",AB198="Arachnida",AB198="#N/C"),"",INDEX(ClassificationClasses[[Class]:[Suborder]],MATCH(TRUE,ISNUMBER(SEARCH(AB198,ClassificationClasses[Key])),0),MATCH(AB198,INDEX(ClassificationClasses[#Data], MATCH(TRUE,ISNUMBER(SEARCH(AB198,ClassificationClasses[Key])),0), 0), 0)-1)),"")</f>
        <v>Insecta</v>
      </c>
      <c r="AD198" s="116" t="str" cm="1">
        <f t="array" ref="AD198">IFERROR(IF(OR(AC198="Insecta",AC198="Arachnida",AC198="#N/C"),"",INDEX(ClassificationClasses[[Class]:[Suborder]],MATCH(TRUE,ISNUMBER(SEARCH(AC198,ClassificationClasses[Key])),0),MATCH(AC198,INDEX(ClassificationClasses[#Data], MATCH(TRUE,ISNUMBER(SEARCH(AC198,ClassificationClasses[Key])),0), 0), 0)-1)),"")</f>
        <v/>
      </c>
      <c r="AE198" s="18" t="str">
        <f t="shared" si="6"/>
        <v>Insecta.Diptera.Brachycera.Muscomorpha.Syrphoidea.Syrphidae.Syrphinae.Melanostoma.#N/C</v>
      </c>
    </row>
    <row r="199" spans="1:31" x14ac:dyDescent="0.3">
      <c r="A199" s="91">
        <v>198</v>
      </c>
      <c r="B199" s="7">
        <v>44399</v>
      </c>
      <c r="C199" s="92" t="s">
        <v>372</v>
      </c>
      <c r="D199" s="93" t="str">
        <f>HYPERLINK(VLOOKUP(C199,Video_List!$F:$J,5),"video")</f>
        <v>video</v>
      </c>
      <c r="E199" s="94" t="str">
        <f>IFERROR(IF(MATCH(C199,Video_List!$F:$F,)&gt;0,"ok",""),"error")</f>
        <v>ok</v>
      </c>
      <c r="F199" s="92" t="s">
        <v>372</v>
      </c>
      <c r="G199" s="93" t="str">
        <f>HYPERLINK(VLOOKUP(F199,Video_List!$F:$J,5),"video")</f>
        <v>video</v>
      </c>
      <c r="H199" s="94" t="str">
        <f>IFERROR(IF(MATCH(F199,Video_List!$F:$F,)&gt;0,"ok",""),"error")</f>
        <v>ok</v>
      </c>
      <c r="I199" s="17">
        <v>44399.608796296299</v>
      </c>
      <c r="J199" s="8">
        <v>44399.608888888892</v>
      </c>
      <c r="K199" s="15">
        <f t="shared" si="7"/>
        <v>9.2592592409346253E-5</v>
      </c>
      <c r="L199" s="95" t="s">
        <v>32</v>
      </c>
      <c r="M199" s="95" t="s">
        <v>33</v>
      </c>
      <c r="N199" s="96" t="str">
        <f>IF(ISBLANK(C199),"",IF(C199=F199, "1 video",CONCATENATE((+COUNTIFS(Video_List!$C:$C,"&lt;=" &amp;Monitoring!J199)-COUNTIFS(Video_List!$C:$C,"&lt;=" &amp;Monitoring!I199))+1," videos")))</f>
        <v>1 video</v>
      </c>
      <c r="O199" s="29" t="s">
        <v>44</v>
      </c>
      <c r="P199" s="42" t="s">
        <v>37</v>
      </c>
      <c r="Q199" s="42" t="s">
        <v>38</v>
      </c>
      <c r="R199" s="42" t="s">
        <v>39</v>
      </c>
      <c r="S199" s="97" t="str">
        <f>+IFERROR(IF(T199="#N/C","#N/C",IF(U199=0,INDEX(Taxonomy_UniqueValues!D:D,MATCH(U199,Taxonomy_UniqueValues!F:F,0)),INDEX(Taxonomy_UniqueValues!D:D,MATCH(T199,Taxonomy_UniqueValues!E:E,0)))),"#N/C")</f>
        <v>Muscomorpha</v>
      </c>
      <c r="T199" s="42" t="s">
        <v>46</v>
      </c>
      <c r="U199" s="42" t="s">
        <v>47</v>
      </c>
      <c r="V199" s="42" t="s">
        <v>48</v>
      </c>
      <c r="W199" s="42" t="s">
        <v>182</v>
      </c>
      <c r="X199" s="28" t="s">
        <v>35</v>
      </c>
      <c r="Y199" s="69" t="str" cm="1">
        <f t="array" ref="Y199">_xlfn.LET(_xlpm.cls,P199, _xlpm.ord,IFERROR(Q199,"#N/C"), _xlpm.subord,IFERROR(R199,"#N/C"), _xlpm.infr,IFERROR(S199,"#N/C"), _xlpm.sf,IFERROR(T199,"#N/C"), _xlpm.fam,IFERROR(U199,"#N/C"), _xlpm.subfam,IF(TRIM(V199)="-","#N/C",IFERROR(V199,"#N/C")),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_xlpm.fallback,IF(IFERROR(Q199,"#N/C")="#N/C",P199,IF(IFERROR(R199,"#N/C")="#N/C",Q199,IF(IFERROR(S199,"#N/C")="#N/C",R199,IF(IFERROR(T199,"#N/C")="#N/C",S199,IF(IFERROR(U199,"#N/C")="#N/C",T199,IF(IFERROR(V199,"#N/C")="#N/C",U199,"#N/C")))))), _xlpm.finalResult,IF(OR(_xlpm.computedResult="",_xlpm.computedResult="#N/C"),_xlpm.fallback,_xlpm.computedResult), INDEX(_xlpm.finalResult,1))</f>
        <v>hoverfly</v>
      </c>
      <c r="Z199" s="116" t="str" cm="1">
        <f t="array" ref="Z199">IF(OR(Y199="Insecta",Y199="Arachnida",Y199="#N/C"),"",IFERROR(_xlfn.LET(_xlpm.fc,IFERROR(_xlfn._xlws.FILTER(ClassificationClasses[],ClassificationClasses[Classification Class]=Y199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199,ClassificationClasses[Key])),0),MATCH(Y199,INDEX(ClassificationClasses[],MATCH(TRUE,ISNUMBER(SEARCH(Y199,ClassificationClasses[Key])),0),0),0)-1)))</f>
        <v>Muscomorpha</v>
      </c>
      <c r="AA199" s="116" t="str" cm="1">
        <f t="array" ref="AA199">IFERROR(IF(OR(Z199="Insecta",Z199="Arachnida",Z199="#N/C"),"",INDEX(ClassificationClasses[[Class]:[Infraorder]],MATCH(TRUE,ISNUMBER(SEARCH(Z199,ClassificationClasses[Key])),0),MATCH(Z199,INDEX(ClassificationClasses[#Data], MATCH(TRUE,ISNUMBER(SEARCH(Z199,ClassificationClasses[Key])),0), 0), 0)-1)),"")</f>
        <v>Brachycera</v>
      </c>
      <c r="AB199" s="116" t="str" cm="1">
        <f t="array" ref="AB199">IFERROR(IF(OR(AA199="Insecta",AA199="Arachnida",AA199="#N/C"),"",INDEX(ClassificationClasses[[Class]:[Suborder]],MATCH(TRUE,ISNUMBER(SEARCH(AA199,ClassificationClasses[Key])),0),MATCH(AA199,INDEX(ClassificationClasses[#Data], MATCH(TRUE,ISNUMBER(SEARCH(AA199,ClassificationClasses[Key])),0), 0), 0)-1)),"")</f>
        <v>Diptera</v>
      </c>
      <c r="AC199" s="116" t="str" cm="1">
        <f t="array" ref="AC199">IFERROR(IF(OR(AB199="Insecta",AB199="Arachnida",AB199="#N/C"),"",INDEX(ClassificationClasses[[Class]:[Suborder]],MATCH(TRUE,ISNUMBER(SEARCH(AB199,ClassificationClasses[Key])),0),MATCH(AB199,INDEX(ClassificationClasses[#Data], MATCH(TRUE,ISNUMBER(SEARCH(AB199,ClassificationClasses[Key])),0), 0), 0)-1)),"")</f>
        <v>Insecta</v>
      </c>
      <c r="AD199" s="116" t="str" cm="1">
        <f t="array" ref="AD199">IFERROR(IF(OR(AC199="Insecta",AC199="Arachnida",AC199="#N/C"),"",INDEX(ClassificationClasses[[Class]:[Suborder]],MATCH(TRUE,ISNUMBER(SEARCH(AC199,ClassificationClasses[Key])),0),MATCH(AC199,INDEX(ClassificationClasses[#Data], MATCH(TRUE,ISNUMBER(SEARCH(AC199,ClassificationClasses[Key])),0), 0), 0)-1)),"")</f>
        <v/>
      </c>
      <c r="AE199" s="18" t="str">
        <f t="shared" si="6"/>
        <v>Insecta.Diptera.Brachycera.Muscomorpha.Syrphoidea.Syrphidae.Syrphinae.Melanostoma.#N/C</v>
      </c>
    </row>
    <row r="200" spans="1:31" x14ac:dyDescent="0.3">
      <c r="A200" s="91">
        <v>199</v>
      </c>
      <c r="B200" s="7">
        <v>44399</v>
      </c>
      <c r="C200" s="92" t="s">
        <v>373</v>
      </c>
      <c r="D200" s="93" t="str">
        <f>HYPERLINK(VLOOKUP(C200,Video_List!$F:$J,5),"video")</f>
        <v>video</v>
      </c>
      <c r="E200" s="94" t="str">
        <f>IFERROR(IF(MATCH(C200,Video_List!$F:$F,)&gt;0,"ok",""),"error")</f>
        <v>ok</v>
      </c>
      <c r="F200" s="92" t="s">
        <v>374</v>
      </c>
      <c r="G200" s="93" t="str">
        <f>HYPERLINK(VLOOKUP(F200,Video_List!$F:$J,5),"video")</f>
        <v>video</v>
      </c>
      <c r="H200" s="94" t="str">
        <f>IFERROR(IF(MATCH(F200,Video_List!$F:$F,)&gt;0,"ok",""),"error")</f>
        <v>ok</v>
      </c>
      <c r="I200" s="17">
        <v>44399.628298611111</v>
      </c>
      <c r="J200" s="8">
        <v>44399.658576388887</v>
      </c>
      <c r="K200" s="15">
        <f t="shared" si="7"/>
        <v>3.0277777776063886E-2</v>
      </c>
      <c r="L200" s="95" t="s">
        <v>32</v>
      </c>
      <c r="M200" s="95" t="s">
        <v>33</v>
      </c>
      <c r="N200" s="96" t="str">
        <f>IF(ISBLANK(C200),"",IF(C200=F200, "1 video",CONCATENATE((+COUNTIFS(Video_List!$C:$C,"&lt;=" &amp;Monitoring!J200)-COUNTIFS(Video_List!$C:$C,"&lt;=" &amp;Monitoring!I200))+1," videos")))</f>
        <v>2 videos</v>
      </c>
      <c r="O200" s="29" t="s">
        <v>44</v>
      </c>
      <c r="P200" s="42" t="s">
        <v>37</v>
      </c>
      <c r="Q200" s="42" t="s">
        <v>38</v>
      </c>
      <c r="R200" s="42" t="s">
        <v>39</v>
      </c>
      <c r="S200" s="97" t="str">
        <f>+IFERROR(IF(T200="#N/C","#N/C",IF(U200=0,INDEX(Taxonomy_UniqueValues!D:D,MATCH(U200,Taxonomy_UniqueValues!F:F,0)),INDEX(Taxonomy_UniqueValues!D:D,MATCH(T200,Taxonomy_UniqueValues!E:E,0)))),"#N/C")</f>
        <v>Muscomorpha</v>
      </c>
      <c r="T200" s="42" t="s">
        <v>46</v>
      </c>
      <c r="U200" s="42" t="s">
        <v>47</v>
      </c>
      <c r="V200" s="42" t="s">
        <v>48</v>
      </c>
      <c r="W200" s="42" t="s">
        <v>49</v>
      </c>
      <c r="X200" s="28" t="s">
        <v>357</v>
      </c>
      <c r="Y200" s="69" t="str" cm="1">
        <f t="array" ref="Y200">_xlfn.LET(_xlpm.cls,P200, _xlpm.ord,IFERROR(Q200,"#N/C"), _xlpm.subord,IFERROR(R200,"#N/C"), _xlpm.infr,IFERROR(S200,"#N/C"), _xlpm.sf,IFERROR(T200,"#N/C"), _xlpm.fam,IFERROR(U200,"#N/C"), _xlpm.subfam,IF(TRIM(V200)="-","#N/C",IFERROR(V200,"#N/C")),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_xlpm.fallback,IF(IFERROR(Q200,"#N/C")="#N/C",P200,IF(IFERROR(R200,"#N/C")="#N/C",Q200,IF(IFERROR(S200,"#N/C")="#N/C",R200,IF(IFERROR(T200,"#N/C")="#N/C",S200,IF(IFERROR(U200,"#N/C")="#N/C",T200,IF(IFERROR(V200,"#N/C")="#N/C",U200,"#N/C")))))), _xlpm.finalResult,IF(OR(_xlpm.computedResult="",_xlpm.computedResult="#N/C"),_xlpm.fallback,_xlpm.computedResult), INDEX(_xlpm.finalResult,1))</f>
        <v>hoverfly</v>
      </c>
      <c r="Z200" s="116" t="str" cm="1">
        <f t="array" ref="Z200">IF(OR(Y200="Insecta",Y200="Arachnida",Y200="#N/C"),"",IFERROR(_xlfn.LET(_xlpm.fc,IFERROR(_xlfn._xlws.FILTER(ClassificationClasses[],ClassificationClasses[Classification Class]=Y200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200,ClassificationClasses[Key])),0),MATCH(Y200,INDEX(ClassificationClasses[],MATCH(TRUE,ISNUMBER(SEARCH(Y200,ClassificationClasses[Key])),0),0),0)-1)))</f>
        <v>Muscomorpha</v>
      </c>
      <c r="AA200" s="116" t="str" cm="1">
        <f t="array" ref="AA200">IFERROR(IF(OR(Z200="Insecta",Z200="Arachnida",Z200="#N/C"),"",INDEX(ClassificationClasses[[Class]:[Infraorder]],MATCH(TRUE,ISNUMBER(SEARCH(Z200,ClassificationClasses[Key])),0),MATCH(Z200,INDEX(ClassificationClasses[#Data], MATCH(TRUE,ISNUMBER(SEARCH(Z200,ClassificationClasses[Key])),0), 0), 0)-1)),"")</f>
        <v>Brachycera</v>
      </c>
      <c r="AB200" s="116" t="str" cm="1">
        <f t="array" ref="AB200">IFERROR(IF(OR(AA200="Insecta",AA200="Arachnida",AA200="#N/C"),"",INDEX(ClassificationClasses[[Class]:[Suborder]],MATCH(TRUE,ISNUMBER(SEARCH(AA200,ClassificationClasses[Key])),0),MATCH(AA200,INDEX(ClassificationClasses[#Data], MATCH(TRUE,ISNUMBER(SEARCH(AA200,ClassificationClasses[Key])),0), 0), 0)-1)),"")</f>
        <v>Diptera</v>
      </c>
      <c r="AC200" s="116" t="str" cm="1">
        <f t="array" ref="AC200">IFERROR(IF(OR(AB200="Insecta",AB200="Arachnida",AB200="#N/C"),"",INDEX(ClassificationClasses[[Class]:[Suborder]],MATCH(TRUE,ISNUMBER(SEARCH(AB200,ClassificationClasses[Key])),0),MATCH(AB200,INDEX(ClassificationClasses[#Data], MATCH(TRUE,ISNUMBER(SEARCH(AB200,ClassificationClasses[Key])),0), 0), 0)-1)),"")</f>
        <v>Insecta</v>
      </c>
      <c r="AD200" s="116" t="str" cm="1">
        <f t="array" ref="AD200">IFERROR(IF(OR(AC200="Insecta",AC200="Arachnida",AC200="#N/C"),"",INDEX(ClassificationClasses[[Class]:[Suborder]],MATCH(TRUE,ISNUMBER(SEARCH(AC200,ClassificationClasses[Key])),0),MATCH(AC200,INDEX(ClassificationClasses[#Data], MATCH(TRUE,ISNUMBER(SEARCH(AC200,ClassificationClasses[Key])),0), 0), 0)-1)),"")</f>
        <v/>
      </c>
      <c r="AE200" s="18" t="str">
        <f t="shared" ref="AE200:AE263" si="8">+CONCATENATE(P200,".",Q200,".",R200,".",S200,".",T200,".",U200,".",V200,".",W200,".",X200)</f>
        <v>Insecta.Diptera.Brachycera.Muscomorpha.Syrphoidea.Syrphidae.Syrphinae.Sphaerophoria.scripta</v>
      </c>
    </row>
    <row r="201" spans="1:31" x14ac:dyDescent="0.3">
      <c r="A201" s="91">
        <v>200</v>
      </c>
      <c r="B201" s="7">
        <v>44399</v>
      </c>
      <c r="C201" s="92" t="s">
        <v>373</v>
      </c>
      <c r="D201" s="93" t="str">
        <f>HYPERLINK(VLOOKUP(C201,Video_List!$F:$J,5),"video")</f>
        <v>video</v>
      </c>
      <c r="E201" s="94" t="str">
        <f>IFERROR(IF(MATCH(C201,Video_List!$F:$F,)&gt;0,"ok",""),"error")</f>
        <v>ok</v>
      </c>
      <c r="F201" s="92" t="s">
        <v>373</v>
      </c>
      <c r="G201" s="93" t="str">
        <f>HYPERLINK(VLOOKUP(F201,Video_List!$F:$J,5),"video")</f>
        <v>video</v>
      </c>
      <c r="H201" s="94" t="str">
        <f>IFERROR(IF(MATCH(F201,Video_List!$F:$F,)&gt;0,"ok",""),"error")</f>
        <v>ok</v>
      </c>
      <c r="I201" s="17">
        <v>44399.628333333334</v>
      </c>
      <c r="J201" s="8">
        <v>44399.628368055557</v>
      </c>
      <c r="K201" s="15">
        <f t="shared" si="7"/>
        <v>3.4722223062999547E-5</v>
      </c>
      <c r="L201" s="95" t="s">
        <v>32</v>
      </c>
      <c r="M201" s="95" t="s">
        <v>33</v>
      </c>
      <c r="N201" s="96" t="str">
        <f>IF(ISBLANK(C201),"",IF(C201=F201, "1 video",CONCATENATE((+COUNTIFS(Video_List!$C:$C,"&lt;=" &amp;Monitoring!J201)-COUNTIFS(Video_List!$C:$C,"&lt;=" &amp;Monitoring!I201))+1," videos")))</f>
        <v>1 video</v>
      </c>
      <c r="O201" s="29" t="s">
        <v>44</v>
      </c>
      <c r="P201" s="42" t="s">
        <v>37</v>
      </c>
      <c r="Q201" s="42" t="s">
        <v>38</v>
      </c>
      <c r="R201" s="42" t="s">
        <v>39</v>
      </c>
      <c r="S201" s="97" t="str">
        <f>+IFERROR(IF(T201="#N/C","#N/C",IF(U201=0,INDEX(Taxonomy_UniqueValues!D:D,MATCH(U201,Taxonomy_UniqueValues!F:F,0)),INDEX(Taxonomy_UniqueValues!D:D,MATCH(T201,Taxonomy_UniqueValues!E:E,0)))),"#N/C")</f>
        <v>Muscomorpha</v>
      </c>
      <c r="T201" s="42" t="s">
        <v>335</v>
      </c>
      <c r="U201" s="42" t="s">
        <v>375</v>
      </c>
      <c r="V201" s="42" t="s">
        <v>376</v>
      </c>
      <c r="W201" s="42" t="s">
        <v>377</v>
      </c>
      <c r="X201" s="28" t="s">
        <v>35</v>
      </c>
      <c r="Y201" s="69" t="str" cm="1">
        <f t="array" ref="Y201">_xlfn.LET(_xlpm.cls,P201, _xlpm.ord,IFERROR(Q201,"#N/C"), _xlpm.subord,IFERROR(R201,"#N/C"), _xlpm.infr,IFERROR(S201,"#N/C"), _xlpm.sf,IFERROR(T201,"#N/C"), _xlpm.fam,IFERROR(U201,"#N/C"), _xlpm.subfam,IF(TRIM(V201)="-","#N/C",IFERROR(V201,"#N/C")),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_xlpm.fallback,IF(IFERROR(Q201,"#N/C")="#N/C",P201,IF(IFERROR(R201,"#N/C")="#N/C",Q201,IF(IFERROR(S201,"#N/C")="#N/C",R201,IF(IFERROR(T201,"#N/C")="#N/C",S201,IF(IFERROR(U201,"#N/C")="#N/C",T201,IF(IFERROR(V201,"#N/C")="#N/C",U201,"#N/C")))))), _xlpm.finalResult,IF(OR(_xlpm.computedResult="",_xlpm.computedResult="#N/C"),_xlpm.fallback,_xlpm.computedResult), INDEX(_xlpm.finalResult,1))</f>
        <v>flesh_fly</v>
      </c>
      <c r="Z201" s="116" t="str" cm="1">
        <f t="array" ref="Z201">IF(OR(Y201="Insecta",Y201="Arachnida",Y201="#N/C"),"",IFERROR(_xlfn.LET(_xlpm.fc,IFERROR(_xlfn._xlws.FILTER(ClassificationClasses[],ClassificationClasses[Classification Class]=Y201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201,ClassificationClasses[Key])),0),MATCH(Y201,INDEX(ClassificationClasses[],MATCH(TRUE,ISNUMBER(SEARCH(Y201,ClassificationClasses[Key])),0),0),0)-1)))</f>
        <v>Muscomorpha</v>
      </c>
      <c r="AA201" s="116" t="str" cm="1">
        <f t="array" ref="AA201">IFERROR(IF(OR(Z201="Insecta",Z201="Arachnida",Z201="#N/C"),"",INDEX(ClassificationClasses[[Class]:[Infraorder]],MATCH(TRUE,ISNUMBER(SEARCH(Z201,ClassificationClasses[Key])),0),MATCH(Z201,INDEX(ClassificationClasses[#Data], MATCH(TRUE,ISNUMBER(SEARCH(Z201,ClassificationClasses[Key])),0), 0), 0)-1)),"")</f>
        <v>Brachycera</v>
      </c>
      <c r="AB201" s="116" t="str" cm="1">
        <f t="array" ref="AB201">IFERROR(IF(OR(AA201="Insecta",AA201="Arachnida",AA201="#N/C"),"",INDEX(ClassificationClasses[[Class]:[Suborder]],MATCH(TRUE,ISNUMBER(SEARCH(AA201,ClassificationClasses[Key])),0),MATCH(AA201,INDEX(ClassificationClasses[#Data], MATCH(TRUE,ISNUMBER(SEARCH(AA201,ClassificationClasses[Key])),0), 0), 0)-1)),"")</f>
        <v>Diptera</v>
      </c>
      <c r="AC201" s="116" t="str" cm="1">
        <f t="array" ref="AC201">IFERROR(IF(OR(AB201="Insecta",AB201="Arachnida",AB201="#N/C"),"",INDEX(ClassificationClasses[[Class]:[Suborder]],MATCH(TRUE,ISNUMBER(SEARCH(AB201,ClassificationClasses[Key])),0),MATCH(AB201,INDEX(ClassificationClasses[#Data], MATCH(TRUE,ISNUMBER(SEARCH(AB201,ClassificationClasses[Key])),0), 0), 0)-1)),"")</f>
        <v>Insecta</v>
      </c>
      <c r="AD201" s="116" t="str" cm="1">
        <f t="array" ref="AD201">IFERROR(IF(OR(AC201="Insecta",AC201="Arachnida",AC201="#N/C"),"",INDEX(ClassificationClasses[[Class]:[Suborder]],MATCH(TRUE,ISNUMBER(SEARCH(AC201,ClassificationClasses[Key])),0),MATCH(AC201,INDEX(ClassificationClasses[#Data], MATCH(TRUE,ISNUMBER(SEARCH(AC201,ClassificationClasses[Key])),0), 0), 0)-1)),"")</f>
        <v/>
      </c>
      <c r="AE201" s="18" t="str">
        <f t="shared" si="8"/>
        <v>Insecta.Diptera.Brachycera.Muscomorpha.Oestroidea.Sarcophagidae.Sarcophaginae.Sarcophaga.#N/C</v>
      </c>
    </row>
    <row r="202" spans="1:31" x14ac:dyDescent="0.3">
      <c r="A202" s="91">
        <v>201</v>
      </c>
      <c r="B202" s="7">
        <v>44399</v>
      </c>
      <c r="C202" s="92" t="s">
        <v>374</v>
      </c>
      <c r="D202" s="93" t="str">
        <f>HYPERLINK(VLOOKUP(C202,Video_List!$F:$J,5),"video")</f>
        <v>video</v>
      </c>
      <c r="E202" s="94" t="str">
        <f>IFERROR(IF(MATCH(C202,Video_List!$F:$F,)&gt;0,"ok",""),"error")</f>
        <v>ok</v>
      </c>
      <c r="F202" s="92" t="s">
        <v>374</v>
      </c>
      <c r="G202" s="93" t="str">
        <f>HYPERLINK(VLOOKUP(F202,Video_List!$F:$J,5),"video")</f>
        <v>video</v>
      </c>
      <c r="H202" s="94" t="str">
        <f>IFERROR(IF(MATCH(F202,Video_List!$F:$F,)&gt;0,"ok",""),"error")</f>
        <v>ok</v>
      </c>
      <c r="I202" s="17">
        <v>44399.658171296294</v>
      </c>
      <c r="J202" s="8">
        <v>44399.658935185187</v>
      </c>
      <c r="K202" s="15">
        <f t="shared" si="7"/>
        <v>7.638888928340748E-4</v>
      </c>
      <c r="L202" s="95" t="s">
        <v>32</v>
      </c>
      <c r="M202" s="95" t="s">
        <v>33</v>
      </c>
      <c r="N202" s="96" t="str">
        <f>IF(ISBLANK(C202),"",IF(C202=F202, "1 video",CONCATENATE((+COUNTIFS(Video_List!$C:$C,"&lt;=" &amp;Monitoring!J202)-COUNTIFS(Video_List!$C:$C,"&lt;=" &amp;Monitoring!I202))+1," videos")))</f>
        <v>1 video</v>
      </c>
      <c r="O202" s="29" t="s">
        <v>44</v>
      </c>
      <c r="P202" s="42" t="s">
        <v>37</v>
      </c>
      <c r="Q202" s="42" t="s">
        <v>38</v>
      </c>
      <c r="R202" s="42" t="s">
        <v>39</v>
      </c>
      <c r="S202" s="97" t="str">
        <f>+IFERROR(IF(T202="#N/C","#N/C",IF(U202=0,INDEX(Taxonomy_UniqueValues!D:D,MATCH(U202,Taxonomy_UniqueValues!F:F,0)),INDEX(Taxonomy_UniqueValues!D:D,MATCH(T202,Taxonomy_UniqueValues!E:E,0)))),"#N/C")</f>
        <v>Muscomorpha</v>
      </c>
      <c r="T202" s="42" t="s">
        <v>46</v>
      </c>
      <c r="U202" s="42" t="s">
        <v>47</v>
      </c>
      <c r="V202" s="42" t="s">
        <v>48</v>
      </c>
      <c r="W202" s="42" t="s">
        <v>182</v>
      </c>
      <c r="X202" s="28" t="s">
        <v>35</v>
      </c>
      <c r="Y202" s="69" t="str" cm="1">
        <f t="array" ref="Y202">_xlfn.LET(_xlpm.cls,P202, _xlpm.ord,IFERROR(Q202,"#N/C"), _xlpm.subord,IFERROR(R202,"#N/C"), _xlpm.infr,IFERROR(S202,"#N/C"), _xlpm.sf,IFERROR(T202,"#N/C"), _xlpm.fam,IFERROR(U202,"#N/C"), _xlpm.subfam,IF(TRIM(V202)="-","#N/C",IFERROR(V202,"#N/C")),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_xlpm.fallback,IF(IFERROR(Q202,"#N/C")="#N/C",P202,IF(IFERROR(R202,"#N/C")="#N/C",Q202,IF(IFERROR(S202,"#N/C")="#N/C",R202,IF(IFERROR(T202,"#N/C")="#N/C",S202,IF(IFERROR(U202,"#N/C")="#N/C",T202,IF(IFERROR(V202,"#N/C")="#N/C",U202,"#N/C")))))), _xlpm.finalResult,IF(OR(_xlpm.computedResult="",_xlpm.computedResult="#N/C"),_xlpm.fallback,_xlpm.computedResult), INDEX(_xlpm.finalResult,1))</f>
        <v>hoverfly</v>
      </c>
      <c r="Z202" s="116" t="str" cm="1">
        <f t="array" ref="Z202">IF(OR(Y202="Insecta",Y202="Arachnida",Y202="#N/C"),"",IFERROR(_xlfn.LET(_xlpm.fc,IFERROR(_xlfn._xlws.FILTER(ClassificationClasses[],ClassificationClasses[Classification Class]=Y202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202,ClassificationClasses[Key])),0),MATCH(Y202,INDEX(ClassificationClasses[],MATCH(TRUE,ISNUMBER(SEARCH(Y202,ClassificationClasses[Key])),0),0),0)-1)))</f>
        <v>Muscomorpha</v>
      </c>
      <c r="AA202" s="116" t="str" cm="1">
        <f t="array" ref="AA202">IFERROR(IF(OR(Z202="Insecta",Z202="Arachnida",Z202="#N/C"),"",INDEX(ClassificationClasses[[Class]:[Infraorder]],MATCH(TRUE,ISNUMBER(SEARCH(Z202,ClassificationClasses[Key])),0),MATCH(Z202,INDEX(ClassificationClasses[#Data], MATCH(TRUE,ISNUMBER(SEARCH(Z202,ClassificationClasses[Key])),0), 0), 0)-1)),"")</f>
        <v>Brachycera</v>
      </c>
      <c r="AB202" s="116" t="str" cm="1">
        <f t="array" ref="AB202">IFERROR(IF(OR(AA202="Insecta",AA202="Arachnida",AA202="#N/C"),"",INDEX(ClassificationClasses[[Class]:[Suborder]],MATCH(TRUE,ISNUMBER(SEARCH(AA202,ClassificationClasses[Key])),0),MATCH(AA202,INDEX(ClassificationClasses[#Data], MATCH(TRUE,ISNUMBER(SEARCH(AA202,ClassificationClasses[Key])),0), 0), 0)-1)),"")</f>
        <v>Diptera</v>
      </c>
      <c r="AC202" s="116" t="str" cm="1">
        <f t="array" ref="AC202">IFERROR(IF(OR(AB202="Insecta",AB202="Arachnida",AB202="#N/C"),"",INDEX(ClassificationClasses[[Class]:[Suborder]],MATCH(TRUE,ISNUMBER(SEARCH(AB202,ClassificationClasses[Key])),0),MATCH(AB202,INDEX(ClassificationClasses[#Data], MATCH(TRUE,ISNUMBER(SEARCH(AB202,ClassificationClasses[Key])),0), 0), 0)-1)),"")</f>
        <v>Insecta</v>
      </c>
      <c r="AD202" s="116" t="str" cm="1">
        <f t="array" ref="AD202">IFERROR(IF(OR(AC202="Insecta",AC202="Arachnida",AC202="#N/C"),"",INDEX(ClassificationClasses[[Class]:[Suborder]],MATCH(TRUE,ISNUMBER(SEARCH(AC202,ClassificationClasses[Key])),0),MATCH(AC202,INDEX(ClassificationClasses[#Data], MATCH(TRUE,ISNUMBER(SEARCH(AC202,ClassificationClasses[Key])),0), 0), 0)-1)),"")</f>
        <v/>
      </c>
      <c r="AE202" s="18" t="str">
        <f t="shared" si="8"/>
        <v>Insecta.Diptera.Brachycera.Muscomorpha.Syrphoidea.Syrphidae.Syrphinae.Melanostoma.#N/C</v>
      </c>
    </row>
    <row r="203" spans="1:31" x14ac:dyDescent="0.3">
      <c r="A203" s="91">
        <v>202</v>
      </c>
      <c r="B203" s="7">
        <v>44399</v>
      </c>
      <c r="C203" s="92" t="s">
        <v>378</v>
      </c>
      <c r="D203" s="93" t="str">
        <f>HYPERLINK(VLOOKUP(C203,Video_List!$F:$J,5),"video")</f>
        <v>video</v>
      </c>
      <c r="E203" s="94" t="str">
        <f>IFERROR(IF(MATCH(C203,Video_List!$F:$F,)&gt;0,"ok",""),"error")</f>
        <v>ok</v>
      </c>
      <c r="F203" s="92" t="s">
        <v>378</v>
      </c>
      <c r="G203" s="93" t="str">
        <f>HYPERLINK(VLOOKUP(F203,Video_List!$F:$J,5),"video")</f>
        <v>video</v>
      </c>
      <c r="H203" s="94" t="str">
        <f>IFERROR(IF(MATCH(F203,Video_List!$F:$F,)&gt;0,"ok",""),"error")</f>
        <v>ok</v>
      </c>
      <c r="I203" s="17">
        <v>44399.724641203706</v>
      </c>
      <c r="J203" s="8">
        <v>44399.725023148145</v>
      </c>
      <c r="K203" s="15">
        <f t="shared" si="7"/>
        <v>3.8194443914107978E-4</v>
      </c>
      <c r="L203" s="95" t="s">
        <v>32</v>
      </c>
      <c r="M203" s="95" t="s">
        <v>33</v>
      </c>
      <c r="N203" s="96" t="str">
        <f>IF(ISBLANK(C203),"",IF(C203=F203, "1 video",CONCATENATE((+COUNTIFS(Video_List!$C:$C,"&lt;=" &amp;Monitoring!J203)-COUNTIFS(Video_List!$C:$C,"&lt;=" &amp;Monitoring!I203))+1," videos")))</f>
        <v>1 video</v>
      </c>
      <c r="O203" s="27" t="s">
        <v>32</v>
      </c>
      <c r="P203" s="42" t="s">
        <v>37</v>
      </c>
      <c r="Q203" s="42" t="s">
        <v>38</v>
      </c>
      <c r="R203" s="42" t="s">
        <v>39</v>
      </c>
      <c r="S203" s="97" t="str">
        <f>+IFERROR(IF(T203="#N/C","#N/C",IF(U203=0,INDEX(Taxonomy_UniqueValues!D:D,MATCH(U203,Taxonomy_UniqueValues!F:F,0)),INDEX(Taxonomy_UniqueValues!D:D,MATCH(T203,Taxonomy_UniqueValues!E:E,0)))),"#N/C")</f>
        <v>Asilomorpha</v>
      </c>
      <c r="T203" s="42" t="s">
        <v>149</v>
      </c>
      <c r="U203" s="42" t="s">
        <v>150</v>
      </c>
      <c r="V203" s="42" t="s">
        <v>151</v>
      </c>
      <c r="W203" s="42" t="s">
        <v>35</v>
      </c>
      <c r="X203" s="28" t="s">
        <v>35</v>
      </c>
      <c r="Y203" s="69" t="str" cm="1">
        <f t="array" ref="Y203">_xlfn.LET(_xlpm.cls,P203, _xlpm.ord,IFERROR(Q203,"#N/C"), _xlpm.subord,IFERROR(R203,"#N/C"), _xlpm.infr,IFERROR(S203,"#N/C"), _xlpm.sf,IFERROR(T203,"#N/C"), _xlpm.fam,IFERROR(U203,"#N/C"), _xlpm.subfam,IF(TRIM(V203)="-","#N/C",IFERROR(V203,"#N/C")),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_xlpm.fallback,IF(IFERROR(Q203,"#N/C")="#N/C",P203,IF(IFERROR(R203,"#N/C")="#N/C",Q203,IF(IFERROR(S203,"#N/C")="#N/C",R203,IF(IFERROR(T203,"#N/C")="#N/C",S203,IF(IFERROR(U203,"#N/C")="#N/C",T203,IF(IFERROR(V203,"#N/C")="#N/C",U203,"#N/C")))))), _xlpm.finalResult,IF(OR(_xlpm.computedResult="",_xlpm.computedResult="#N/C"),_xlpm.fallback,_xlpm.computedResult), INDEX(_xlpm.finalResult,1))</f>
        <v>robber_fly</v>
      </c>
      <c r="Z203" s="116" t="str" cm="1">
        <f t="array" ref="Z203">IF(OR(Y203="Insecta",Y203="Arachnida",Y203="#N/C"),"",IFERROR(_xlfn.LET(_xlpm.fc,IFERROR(_xlfn._xlws.FILTER(ClassificationClasses[],ClassificationClasses[Classification Class]=Y203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203,ClassificationClasses[Key])),0),MATCH(Y203,INDEX(ClassificationClasses[],MATCH(TRUE,ISNUMBER(SEARCH(Y203,ClassificationClasses[Key])),0),0),0)-1)))</f>
        <v>Asilomorpha</v>
      </c>
      <c r="AA203" s="116" t="str" cm="1">
        <f t="array" ref="AA203">IFERROR(IF(OR(Z203="Insecta",Z203="Arachnida",Z203="#N/C"),"",INDEX(ClassificationClasses[[Class]:[Infraorder]],MATCH(TRUE,ISNUMBER(SEARCH(Z203,ClassificationClasses[Key])),0),MATCH(Z203,INDEX(ClassificationClasses[#Data], MATCH(TRUE,ISNUMBER(SEARCH(Z203,ClassificationClasses[Key])),0), 0), 0)-1)),"")</f>
        <v>Brachycera</v>
      </c>
      <c r="AB203" s="116" t="str" cm="1">
        <f t="array" ref="AB203">IFERROR(IF(OR(AA203="Insecta",AA203="Arachnida",AA203="#N/C"),"",INDEX(ClassificationClasses[[Class]:[Suborder]],MATCH(TRUE,ISNUMBER(SEARCH(AA203,ClassificationClasses[Key])),0),MATCH(AA203,INDEX(ClassificationClasses[#Data], MATCH(TRUE,ISNUMBER(SEARCH(AA203,ClassificationClasses[Key])),0), 0), 0)-1)),"")</f>
        <v>Diptera</v>
      </c>
      <c r="AC203" s="116" t="str" cm="1">
        <f t="array" ref="AC203">IFERROR(IF(OR(AB203="Insecta",AB203="Arachnida",AB203="#N/C"),"",INDEX(ClassificationClasses[[Class]:[Suborder]],MATCH(TRUE,ISNUMBER(SEARCH(AB203,ClassificationClasses[Key])),0),MATCH(AB203,INDEX(ClassificationClasses[#Data], MATCH(TRUE,ISNUMBER(SEARCH(AB203,ClassificationClasses[Key])),0), 0), 0)-1)),"")</f>
        <v>Insecta</v>
      </c>
      <c r="AD203" s="116" t="str" cm="1">
        <f t="array" ref="AD203">IFERROR(IF(OR(AC203="Insecta",AC203="Arachnida",AC203="#N/C"),"",INDEX(ClassificationClasses[[Class]:[Suborder]],MATCH(TRUE,ISNUMBER(SEARCH(AC203,ClassificationClasses[Key])),0),MATCH(AC203,INDEX(ClassificationClasses[#Data], MATCH(TRUE,ISNUMBER(SEARCH(AC203,ClassificationClasses[Key])),0), 0), 0)-1)),"")</f>
        <v/>
      </c>
      <c r="AE203" s="18" t="str">
        <f t="shared" si="8"/>
        <v>Insecta.Diptera.Brachycera.Asilomorpha.Asiloidea.Asilidae.Asilinae.#N/C.#N/C</v>
      </c>
    </row>
    <row r="204" spans="1:31" x14ac:dyDescent="0.3">
      <c r="A204" s="91">
        <v>203</v>
      </c>
      <c r="B204" s="7">
        <v>44399</v>
      </c>
      <c r="C204" s="92" t="s">
        <v>379</v>
      </c>
      <c r="D204" s="93" t="str">
        <f>HYPERLINK(VLOOKUP(C204,Video_List!$F:$J,5),"video")</f>
        <v>video</v>
      </c>
      <c r="E204" s="94" t="str">
        <f>IFERROR(IF(MATCH(C204,Video_List!$F:$F,)&gt;0,"ok",""),"error")</f>
        <v>ok</v>
      </c>
      <c r="F204" s="92" t="s">
        <v>379</v>
      </c>
      <c r="G204" s="93" t="str">
        <f>HYPERLINK(VLOOKUP(F204,Video_List!$F:$J,5),"video")</f>
        <v>video</v>
      </c>
      <c r="H204" s="94" t="str">
        <f>IFERROR(IF(MATCH(F204,Video_List!$F:$F,)&gt;0,"ok",""),"error")</f>
        <v>ok</v>
      </c>
      <c r="I204" s="17">
        <v>44399.77070601852</v>
      </c>
      <c r="J204" s="8">
        <v>44399.77076388889</v>
      </c>
      <c r="K204" s="15">
        <f t="shared" si="7"/>
        <v>5.7870369346346706E-5</v>
      </c>
      <c r="L204" s="95" t="s">
        <v>32</v>
      </c>
      <c r="M204" s="95" t="s">
        <v>33</v>
      </c>
      <c r="N204" s="96" t="str">
        <f>IF(ISBLANK(C204),"",IF(C204=F204, "1 video",CONCATENATE((+COUNTIFS(Video_List!$C:$C,"&lt;=" &amp;Monitoring!J204)-COUNTIFS(Video_List!$C:$C,"&lt;=" &amp;Monitoring!I204))+1," videos")))</f>
        <v>1 video</v>
      </c>
      <c r="O204" s="29" t="s">
        <v>44</v>
      </c>
      <c r="P204" s="42" t="s">
        <v>37</v>
      </c>
      <c r="Q204" s="42" t="s">
        <v>38</v>
      </c>
      <c r="R204" s="42" t="s">
        <v>39</v>
      </c>
      <c r="S204" s="97" t="str">
        <f>+IFERROR(IF(T204="#N/C","#N/C",IF(U204=0,INDEX(Taxonomy_UniqueValues!D:D,MATCH(U204,Taxonomy_UniqueValues!F:F,0)),INDEX(Taxonomy_UniqueValues!D:D,MATCH(T204,Taxonomy_UniqueValues!E:E,0)))),"#N/C")</f>
        <v>Asilomorpha</v>
      </c>
      <c r="T204" s="42" t="s">
        <v>149</v>
      </c>
      <c r="U204" s="42" t="s">
        <v>150</v>
      </c>
      <c r="V204" s="42" t="s">
        <v>151</v>
      </c>
      <c r="W204" s="42" t="s">
        <v>35</v>
      </c>
      <c r="X204" s="28" t="s">
        <v>35</v>
      </c>
      <c r="Y204" s="69" t="str" cm="1">
        <f t="array" ref="Y204">_xlfn.LET(_xlpm.cls,P204, _xlpm.ord,IFERROR(Q204,"#N/C"), _xlpm.subord,IFERROR(R204,"#N/C"), _xlpm.infr,IFERROR(S204,"#N/C"), _xlpm.sf,IFERROR(T204,"#N/C"), _xlpm.fam,IFERROR(U204,"#N/C"), _xlpm.subfam,IF(TRIM(V204)="-","#N/C",IFERROR(V204,"#N/C")),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_xlpm.fallback,IF(IFERROR(Q204,"#N/C")="#N/C",P204,IF(IFERROR(R204,"#N/C")="#N/C",Q204,IF(IFERROR(S204,"#N/C")="#N/C",R204,IF(IFERROR(T204,"#N/C")="#N/C",S204,IF(IFERROR(U204,"#N/C")="#N/C",T204,IF(IFERROR(V204,"#N/C")="#N/C",U204,"#N/C")))))), _xlpm.finalResult,IF(OR(_xlpm.computedResult="",_xlpm.computedResult="#N/C"),_xlpm.fallback,_xlpm.computedResult), INDEX(_xlpm.finalResult,1))</f>
        <v>robber_fly</v>
      </c>
      <c r="Z204" s="116" t="str" cm="1">
        <f t="array" ref="Z204">IF(OR(Y204="Insecta",Y204="Arachnida",Y204="#N/C"),"",IFERROR(_xlfn.LET(_xlpm.fc,IFERROR(_xlfn._xlws.FILTER(ClassificationClasses[],ClassificationClasses[Classification Class]=Y204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204,ClassificationClasses[Key])),0),MATCH(Y204,INDEX(ClassificationClasses[],MATCH(TRUE,ISNUMBER(SEARCH(Y204,ClassificationClasses[Key])),0),0),0)-1)))</f>
        <v>Asilomorpha</v>
      </c>
      <c r="AA204" s="116" t="str" cm="1">
        <f t="array" ref="AA204">IFERROR(IF(OR(Z204="Insecta",Z204="Arachnida",Z204="#N/C"),"",INDEX(ClassificationClasses[[Class]:[Infraorder]],MATCH(TRUE,ISNUMBER(SEARCH(Z204,ClassificationClasses[Key])),0),MATCH(Z204,INDEX(ClassificationClasses[#Data], MATCH(TRUE,ISNUMBER(SEARCH(Z204,ClassificationClasses[Key])),0), 0), 0)-1)),"")</f>
        <v>Brachycera</v>
      </c>
      <c r="AB204" s="116" t="str" cm="1">
        <f t="array" ref="AB204">IFERROR(IF(OR(AA204="Insecta",AA204="Arachnida",AA204="#N/C"),"",INDEX(ClassificationClasses[[Class]:[Suborder]],MATCH(TRUE,ISNUMBER(SEARCH(AA204,ClassificationClasses[Key])),0),MATCH(AA204,INDEX(ClassificationClasses[#Data], MATCH(TRUE,ISNUMBER(SEARCH(AA204,ClassificationClasses[Key])),0), 0), 0)-1)),"")</f>
        <v>Diptera</v>
      </c>
      <c r="AC204" s="116" t="str" cm="1">
        <f t="array" ref="AC204">IFERROR(IF(OR(AB204="Insecta",AB204="Arachnida",AB204="#N/C"),"",INDEX(ClassificationClasses[[Class]:[Suborder]],MATCH(TRUE,ISNUMBER(SEARCH(AB204,ClassificationClasses[Key])),0),MATCH(AB204,INDEX(ClassificationClasses[#Data], MATCH(TRUE,ISNUMBER(SEARCH(AB204,ClassificationClasses[Key])),0), 0), 0)-1)),"")</f>
        <v>Insecta</v>
      </c>
      <c r="AD204" s="116" t="str" cm="1">
        <f t="array" ref="AD204">IFERROR(IF(OR(AC204="Insecta",AC204="Arachnida",AC204="#N/C"),"",INDEX(ClassificationClasses[[Class]:[Suborder]],MATCH(TRUE,ISNUMBER(SEARCH(AC204,ClassificationClasses[Key])),0),MATCH(AC204,INDEX(ClassificationClasses[#Data], MATCH(TRUE,ISNUMBER(SEARCH(AC204,ClassificationClasses[Key])),0), 0), 0)-1)),"")</f>
        <v/>
      </c>
      <c r="AE204" s="18" t="str">
        <f t="shared" si="8"/>
        <v>Insecta.Diptera.Brachycera.Asilomorpha.Asiloidea.Asilidae.Asilinae.#N/C.#N/C</v>
      </c>
    </row>
    <row r="205" spans="1:31" x14ac:dyDescent="0.3">
      <c r="A205" s="91">
        <v>204</v>
      </c>
      <c r="B205" s="7">
        <v>44400</v>
      </c>
      <c r="C205" s="92" t="s">
        <v>380</v>
      </c>
      <c r="D205" s="93" t="str">
        <f>HYPERLINK(VLOOKUP(C205,Video_List!$F:$J,5),"video")</f>
        <v>video</v>
      </c>
      <c r="E205" s="94" t="str">
        <f>IFERROR(IF(MATCH(C205,Video_List!$F:$F,)&gt;0,"ok",""),"error")</f>
        <v>ok</v>
      </c>
      <c r="F205" s="92" t="s">
        <v>380</v>
      </c>
      <c r="G205" s="93" t="str">
        <f>HYPERLINK(VLOOKUP(F205,Video_List!$F:$J,5),"video")</f>
        <v>video</v>
      </c>
      <c r="H205" s="94" t="str">
        <f>IFERROR(IF(MATCH(F205,Video_List!$F:$F,)&gt;0,"ok",""),"error")</f>
        <v>ok</v>
      </c>
      <c r="I205" s="17">
        <v>44399.904131944444</v>
      </c>
      <c r="J205" s="8">
        <v>44400.015740740739</v>
      </c>
      <c r="K205" s="15">
        <f t="shared" si="7"/>
        <v>0.11160879629460396</v>
      </c>
      <c r="L205" s="95" t="s">
        <v>55</v>
      </c>
      <c r="M205" s="95" t="s">
        <v>55</v>
      </c>
      <c r="N205" s="96" t="str">
        <f>IF(ISBLANK(C205),"",IF(C205=F205, "1 video",CONCATENATE((+COUNTIFS(Video_List!$C:$C,"&lt;=" &amp;Monitoring!J205)-COUNTIFS(Video_List!$C:$C,"&lt;=" &amp;Monitoring!I205))+1," videos")))</f>
        <v>1 video</v>
      </c>
      <c r="O205" s="29" t="s">
        <v>44</v>
      </c>
      <c r="P205" s="42" t="s">
        <v>37</v>
      </c>
      <c r="Q205" s="42" t="s">
        <v>38</v>
      </c>
      <c r="R205" s="42" t="s">
        <v>39</v>
      </c>
      <c r="S205" s="97" t="str">
        <f>+IFERROR(IF(T205="#N/C","#N/C",IF(U205=0,INDEX(Taxonomy_UniqueValues!D:D,MATCH(U205,Taxonomy_UniqueValues!F:F,0)),INDEX(Taxonomy_UniqueValues!D:D,MATCH(T205,Taxonomy_UniqueValues!E:E,0)))),"#N/C")</f>
        <v>Muscomorpha</v>
      </c>
      <c r="T205" s="42" t="s">
        <v>46</v>
      </c>
      <c r="U205" s="42" t="s">
        <v>47</v>
      </c>
      <c r="V205" s="42" t="s">
        <v>48</v>
      </c>
      <c r="W205" s="42" t="s">
        <v>49</v>
      </c>
      <c r="X205" s="28" t="s">
        <v>35</v>
      </c>
      <c r="Y205" s="69" t="str" cm="1">
        <f t="array" ref="Y205">_xlfn.LET(_xlpm.cls,P205, _xlpm.ord,IFERROR(Q205,"#N/C"), _xlpm.subord,IFERROR(R205,"#N/C"), _xlpm.infr,IFERROR(S205,"#N/C"), _xlpm.sf,IFERROR(T205,"#N/C"), _xlpm.fam,IFERROR(U205,"#N/C"), _xlpm.subfam,IF(TRIM(V205)="-","#N/C",IFERROR(V205,"#N/C")),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_xlpm.fallback,IF(IFERROR(Q205,"#N/C")="#N/C",P205,IF(IFERROR(R205,"#N/C")="#N/C",Q205,IF(IFERROR(S205,"#N/C")="#N/C",R205,IF(IFERROR(T205,"#N/C")="#N/C",S205,IF(IFERROR(U205,"#N/C")="#N/C",T205,IF(IFERROR(V205,"#N/C")="#N/C",U205,"#N/C")))))), _xlpm.finalResult,IF(OR(_xlpm.computedResult="",_xlpm.computedResult="#N/C"),_xlpm.fallback,_xlpm.computedResult), INDEX(_xlpm.finalResult,1))</f>
        <v>hoverfly</v>
      </c>
      <c r="Z205" s="116" t="str" cm="1">
        <f t="array" ref="Z205">IF(OR(Y205="Insecta",Y205="Arachnida",Y205="#N/C"),"",IFERROR(_xlfn.LET(_xlpm.fc,IFERROR(_xlfn._xlws.FILTER(ClassificationClasses[],ClassificationClasses[Classification Class]=Y205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205,ClassificationClasses[Key])),0),MATCH(Y205,INDEX(ClassificationClasses[],MATCH(TRUE,ISNUMBER(SEARCH(Y205,ClassificationClasses[Key])),0),0),0)-1)))</f>
        <v>Muscomorpha</v>
      </c>
      <c r="AA205" s="116" t="str" cm="1">
        <f t="array" ref="AA205">IFERROR(IF(OR(Z205="Insecta",Z205="Arachnida",Z205="#N/C"),"",INDEX(ClassificationClasses[[Class]:[Infraorder]],MATCH(TRUE,ISNUMBER(SEARCH(Z205,ClassificationClasses[Key])),0),MATCH(Z205,INDEX(ClassificationClasses[#Data], MATCH(TRUE,ISNUMBER(SEARCH(Z205,ClassificationClasses[Key])),0), 0), 0)-1)),"")</f>
        <v>Brachycera</v>
      </c>
      <c r="AB205" s="116" t="str" cm="1">
        <f t="array" ref="AB205">IFERROR(IF(OR(AA205="Insecta",AA205="Arachnida",AA205="#N/C"),"",INDEX(ClassificationClasses[[Class]:[Suborder]],MATCH(TRUE,ISNUMBER(SEARCH(AA205,ClassificationClasses[Key])),0),MATCH(AA205,INDEX(ClassificationClasses[#Data], MATCH(TRUE,ISNUMBER(SEARCH(AA205,ClassificationClasses[Key])),0), 0), 0)-1)),"")</f>
        <v>Diptera</v>
      </c>
      <c r="AC205" s="116" t="str" cm="1">
        <f t="array" ref="AC205">IFERROR(IF(OR(AB205="Insecta",AB205="Arachnida",AB205="#N/C"),"",INDEX(ClassificationClasses[[Class]:[Suborder]],MATCH(TRUE,ISNUMBER(SEARCH(AB205,ClassificationClasses[Key])),0),MATCH(AB205,INDEX(ClassificationClasses[#Data], MATCH(TRUE,ISNUMBER(SEARCH(AB205,ClassificationClasses[Key])),0), 0), 0)-1)),"")</f>
        <v>Insecta</v>
      </c>
      <c r="AD205" s="116" t="str" cm="1">
        <f t="array" ref="AD205">IFERROR(IF(OR(AC205="Insecta",AC205="Arachnida",AC205="#N/C"),"",INDEX(ClassificationClasses[[Class]:[Suborder]],MATCH(TRUE,ISNUMBER(SEARCH(AC205,ClassificationClasses[Key])),0),MATCH(AC205,INDEX(ClassificationClasses[#Data], MATCH(TRUE,ISNUMBER(SEARCH(AC205,ClassificationClasses[Key])),0), 0), 0)-1)),"")</f>
        <v/>
      </c>
      <c r="AE205" s="18" t="str">
        <f t="shared" si="8"/>
        <v>Insecta.Diptera.Brachycera.Muscomorpha.Syrphoidea.Syrphidae.Syrphinae.Sphaerophoria.#N/C</v>
      </c>
    </row>
    <row r="206" spans="1:31" x14ac:dyDescent="0.3">
      <c r="A206" s="91">
        <v>205</v>
      </c>
      <c r="B206" s="7">
        <v>44400</v>
      </c>
      <c r="C206" s="92" t="s">
        <v>381</v>
      </c>
      <c r="D206" s="93" t="str">
        <f>HYPERLINK(VLOOKUP(C206,Video_List!$F:$J,5),"video")</f>
        <v>video</v>
      </c>
      <c r="E206" s="94" t="str">
        <f>IFERROR(IF(MATCH(C206,Video_List!$F:$F,)&gt;0,"ok",""),"error")</f>
        <v>ok</v>
      </c>
      <c r="F206" s="92" t="s">
        <v>381</v>
      </c>
      <c r="G206" s="93" t="str">
        <f>HYPERLINK(VLOOKUP(F206,Video_List!$F:$J,5),"video")</f>
        <v>video</v>
      </c>
      <c r="H206" s="94" t="str">
        <f>IFERROR(IF(MATCH(F206,Video_List!$F:$F,)&gt;0,"ok",""),"error")</f>
        <v>ok</v>
      </c>
      <c r="I206" s="17">
        <v>44400.385671296295</v>
      </c>
      <c r="J206" s="8">
        <v>44400.385752314818</v>
      </c>
      <c r="K206" s="15">
        <f t="shared" si="7"/>
        <v>8.101852290565148E-5</v>
      </c>
      <c r="L206" s="4" t="s">
        <v>32</v>
      </c>
      <c r="M206" s="4" t="s">
        <v>33</v>
      </c>
      <c r="N206" s="96" t="str">
        <f>IF(ISBLANK(C206),"",IF(C206=F206, "1 video",CONCATENATE((+COUNTIFS(Video_List!$C:$C,"&lt;=" &amp;Monitoring!J206)-COUNTIFS(Video_List!$C:$C,"&lt;=" &amp;Monitoring!I206))+1," videos")))</f>
        <v>1 video</v>
      </c>
      <c r="O206" s="29" t="s">
        <v>44</v>
      </c>
      <c r="P206" s="42" t="s">
        <v>37</v>
      </c>
      <c r="Q206" s="42" t="s">
        <v>38</v>
      </c>
      <c r="R206" s="42" t="s">
        <v>39</v>
      </c>
      <c r="S206" s="97" t="str">
        <f>+IFERROR(IF(T206="#N/C","#N/C",IF(U206=0,INDEX(Taxonomy_UniqueValues!D:D,MATCH(U206,Taxonomy_UniqueValues!F:F,0)),INDEX(Taxonomy_UniqueValues!D:D,MATCH(T206,Taxonomy_UniqueValues!E:E,0)))),"#N/C")</f>
        <v>Muscomorpha</v>
      </c>
      <c r="T206" s="42" t="s">
        <v>335</v>
      </c>
      <c r="U206" s="42" t="s">
        <v>375</v>
      </c>
      <c r="V206" s="42" t="s">
        <v>376</v>
      </c>
      <c r="W206" s="42" t="s">
        <v>377</v>
      </c>
      <c r="X206" s="28" t="s">
        <v>35</v>
      </c>
      <c r="Y206" s="69" t="str" cm="1">
        <f t="array" ref="Y206">_xlfn.LET(_xlpm.cls,P206, _xlpm.ord,IFERROR(Q206,"#N/C"), _xlpm.subord,IFERROR(R206,"#N/C"), _xlpm.infr,IFERROR(S206,"#N/C"), _xlpm.sf,IFERROR(T206,"#N/C"), _xlpm.fam,IFERROR(U206,"#N/C"), _xlpm.subfam,IF(TRIM(V206)="-","#N/C",IFERROR(V206,"#N/C")),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_xlpm.fallback,IF(IFERROR(Q206,"#N/C")="#N/C",P206,IF(IFERROR(R206,"#N/C")="#N/C",Q206,IF(IFERROR(S206,"#N/C")="#N/C",R206,IF(IFERROR(T206,"#N/C")="#N/C",S206,IF(IFERROR(U206,"#N/C")="#N/C",T206,IF(IFERROR(V206,"#N/C")="#N/C",U206,"#N/C")))))), _xlpm.finalResult,IF(OR(_xlpm.computedResult="",_xlpm.computedResult="#N/C"),_xlpm.fallback,_xlpm.computedResult), INDEX(_xlpm.finalResult,1))</f>
        <v>flesh_fly</v>
      </c>
      <c r="Z206" s="116" t="str" cm="1">
        <f t="array" ref="Z206">IF(OR(Y206="Insecta",Y206="Arachnida",Y206="#N/C"),"",IFERROR(_xlfn.LET(_xlpm.fc,IFERROR(_xlfn._xlws.FILTER(ClassificationClasses[],ClassificationClasses[Classification Class]=Y206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206,ClassificationClasses[Key])),0),MATCH(Y206,INDEX(ClassificationClasses[],MATCH(TRUE,ISNUMBER(SEARCH(Y206,ClassificationClasses[Key])),0),0),0)-1)))</f>
        <v>Muscomorpha</v>
      </c>
      <c r="AA206" s="116" t="str" cm="1">
        <f t="array" ref="AA206">IFERROR(IF(OR(Z206="Insecta",Z206="Arachnida",Z206="#N/C"),"",INDEX(ClassificationClasses[[Class]:[Infraorder]],MATCH(TRUE,ISNUMBER(SEARCH(Z206,ClassificationClasses[Key])),0),MATCH(Z206,INDEX(ClassificationClasses[#Data], MATCH(TRUE,ISNUMBER(SEARCH(Z206,ClassificationClasses[Key])),0), 0), 0)-1)),"")</f>
        <v>Brachycera</v>
      </c>
      <c r="AB206" s="116" t="str" cm="1">
        <f t="array" ref="AB206">IFERROR(IF(OR(AA206="Insecta",AA206="Arachnida",AA206="#N/C"),"",INDEX(ClassificationClasses[[Class]:[Suborder]],MATCH(TRUE,ISNUMBER(SEARCH(AA206,ClassificationClasses[Key])),0),MATCH(AA206,INDEX(ClassificationClasses[#Data], MATCH(TRUE,ISNUMBER(SEARCH(AA206,ClassificationClasses[Key])),0), 0), 0)-1)),"")</f>
        <v>Diptera</v>
      </c>
      <c r="AC206" s="116" t="str" cm="1">
        <f t="array" ref="AC206">IFERROR(IF(OR(AB206="Insecta",AB206="Arachnida",AB206="#N/C"),"",INDEX(ClassificationClasses[[Class]:[Suborder]],MATCH(TRUE,ISNUMBER(SEARCH(AB206,ClassificationClasses[Key])),0),MATCH(AB206,INDEX(ClassificationClasses[#Data], MATCH(TRUE,ISNUMBER(SEARCH(AB206,ClassificationClasses[Key])),0), 0), 0)-1)),"")</f>
        <v>Insecta</v>
      </c>
      <c r="AD206" s="116" t="str" cm="1">
        <f t="array" ref="AD206">IFERROR(IF(OR(AC206="Insecta",AC206="Arachnida",AC206="#N/C"),"",INDEX(ClassificationClasses[[Class]:[Suborder]],MATCH(TRUE,ISNUMBER(SEARCH(AC206,ClassificationClasses[Key])),0),MATCH(AC206,INDEX(ClassificationClasses[#Data], MATCH(TRUE,ISNUMBER(SEARCH(AC206,ClassificationClasses[Key])),0), 0), 0)-1)),"")</f>
        <v/>
      </c>
      <c r="AE206" s="18" t="str">
        <f t="shared" si="8"/>
        <v>Insecta.Diptera.Brachycera.Muscomorpha.Oestroidea.Sarcophagidae.Sarcophaginae.Sarcophaga.#N/C</v>
      </c>
    </row>
    <row r="207" spans="1:31" x14ac:dyDescent="0.3">
      <c r="A207" s="91">
        <v>206</v>
      </c>
      <c r="B207" s="7">
        <v>44400</v>
      </c>
      <c r="C207" s="92" t="s">
        <v>382</v>
      </c>
      <c r="D207" s="93" t="str">
        <f>HYPERLINK(VLOOKUP(C207,Video_List!$F:$J,5),"video")</f>
        <v>video</v>
      </c>
      <c r="E207" s="94" t="str">
        <f>IFERROR(IF(MATCH(C207,Video_List!$F:$F,)&gt;0,"ok",""),"error")</f>
        <v>ok</v>
      </c>
      <c r="F207" s="92" t="s">
        <v>382</v>
      </c>
      <c r="G207" s="93" t="str">
        <f>HYPERLINK(VLOOKUP(F207,Video_List!$F:$J,5),"video")</f>
        <v>video</v>
      </c>
      <c r="H207" s="94" t="str">
        <f>IFERROR(IF(MATCH(F207,Video_List!$F:$F,)&gt;0,"ok",""),"error")</f>
        <v>ok</v>
      </c>
      <c r="I207" s="17">
        <v>44400.40729166667</v>
      </c>
      <c r="J207" s="8">
        <v>44400.407361111109</v>
      </c>
      <c r="K207" s="15">
        <f t="shared" si="7"/>
        <v>6.9444438850041479E-5</v>
      </c>
      <c r="L207" s="95" t="s">
        <v>44</v>
      </c>
      <c r="M207" s="95" t="s">
        <v>33</v>
      </c>
      <c r="N207" s="96" t="str">
        <f>IF(ISBLANK(C207),"",IF(C207=F207, "1 video",CONCATENATE((+COUNTIFS(Video_List!$C:$C,"&lt;=" &amp;Monitoring!J207)-COUNTIFS(Video_List!$C:$C,"&lt;=" &amp;Monitoring!I207))+1," videos")))</f>
        <v>1 video</v>
      </c>
      <c r="O207" s="29" t="s">
        <v>44</v>
      </c>
      <c r="P207" s="42" t="s">
        <v>37</v>
      </c>
      <c r="Q207" s="42" t="s">
        <v>38</v>
      </c>
      <c r="R207" s="42" t="s">
        <v>39</v>
      </c>
      <c r="S207" s="97" t="str">
        <f>+IFERROR(IF(T207="#N/C","#N/C",IF(U207=0,INDEX(Taxonomy_UniqueValues!D:D,MATCH(U207,Taxonomy_UniqueValues!F:F,0)),INDEX(Taxonomy_UniqueValues!D:D,MATCH(T207,Taxonomy_UniqueValues!E:E,0)))),"#N/C")</f>
        <v>Asilomorpha</v>
      </c>
      <c r="T207" s="42" t="s">
        <v>149</v>
      </c>
      <c r="U207" s="42" t="s">
        <v>150</v>
      </c>
      <c r="V207" s="42" t="s">
        <v>151</v>
      </c>
      <c r="W207" s="42" t="s">
        <v>35</v>
      </c>
      <c r="X207" s="28" t="s">
        <v>35</v>
      </c>
      <c r="Y207" s="69" t="str" cm="1">
        <f t="array" ref="Y207">_xlfn.LET(_xlpm.cls,P207, _xlpm.ord,IFERROR(Q207,"#N/C"), _xlpm.subord,IFERROR(R207,"#N/C"), _xlpm.infr,IFERROR(S207,"#N/C"), _xlpm.sf,IFERROR(T207,"#N/C"), _xlpm.fam,IFERROR(U207,"#N/C"), _xlpm.subfam,IF(TRIM(V207)="-","#N/C",IFERROR(V207,"#N/C")),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_xlpm.fallback,IF(IFERROR(Q207,"#N/C")="#N/C",P207,IF(IFERROR(R207,"#N/C")="#N/C",Q207,IF(IFERROR(S207,"#N/C")="#N/C",R207,IF(IFERROR(T207,"#N/C")="#N/C",S207,IF(IFERROR(U207,"#N/C")="#N/C",T207,IF(IFERROR(V207,"#N/C")="#N/C",U207,"#N/C")))))), _xlpm.finalResult,IF(OR(_xlpm.computedResult="",_xlpm.computedResult="#N/C"),_xlpm.fallback,_xlpm.computedResult), INDEX(_xlpm.finalResult,1))</f>
        <v>robber_fly</v>
      </c>
      <c r="Z207" s="116" t="str" cm="1">
        <f t="array" ref="Z207">IF(OR(Y207="Insecta",Y207="Arachnida",Y207="#N/C"),"",IFERROR(_xlfn.LET(_xlpm.fc,IFERROR(_xlfn._xlws.FILTER(ClassificationClasses[],ClassificationClasses[Classification Class]=Y207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207,ClassificationClasses[Key])),0),MATCH(Y207,INDEX(ClassificationClasses[],MATCH(TRUE,ISNUMBER(SEARCH(Y207,ClassificationClasses[Key])),0),0),0)-1)))</f>
        <v>Asilomorpha</v>
      </c>
      <c r="AA207" s="116" t="str" cm="1">
        <f t="array" ref="AA207">IFERROR(IF(OR(Z207="Insecta",Z207="Arachnida",Z207="#N/C"),"",INDEX(ClassificationClasses[[Class]:[Infraorder]],MATCH(TRUE,ISNUMBER(SEARCH(Z207,ClassificationClasses[Key])),0),MATCH(Z207,INDEX(ClassificationClasses[#Data], MATCH(TRUE,ISNUMBER(SEARCH(Z207,ClassificationClasses[Key])),0), 0), 0)-1)),"")</f>
        <v>Brachycera</v>
      </c>
      <c r="AB207" s="116" t="str" cm="1">
        <f t="array" ref="AB207">IFERROR(IF(OR(AA207="Insecta",AA207="Arachnida",AA207="#N/C"),"",INDEX(ClassificationClasses[[Class]:[Suborder]],MATCH(TRUE,ISNUMBER(SEARCH(AA207,ClassificationClasses[Key])),0),MATCH(AA207,INDEX(ClassificationClasses[#Data], MATCH(TRUE,ISNUMBER(SEARCH(AA207,ClassificationClasses[Key])),0), 0), 0)-1)),"")</f>
        <v>Diptera</v>
      </c>
      <c r="AC207" s="116" t="str" cm="1">
        <f t="array" ref="AC207">IFERROR(IF(OR(AB207="Insecta",AB207="Arachnida",AB207="#N/C"),"",INDEX(ClassificationClasses[[Class]:[Suborder]],MATCH(TRUE,ISNUMBER(SEARCH(AB207,ClassificationClasses[Key])),0),MATCH(AB207,INDEX(ClassificationClasses[#Data], MATCH(TRUE,ISNUMBER(SEARCH(AB207,ClassificationClasses[Key])),0), 0), 0)-1)),"")</f>
        <v>Insecta</v>
      </c>
      <c r="AD207" s="116" t="str" cm="1">
        <f t="array" ref="AD207">IFERROR(IF(OR(AC207="Insecta",AC207="Arachnida",AC207="#N/C"),"",INDEX(ClassificationClasses[[Class]:[Suborder]],MATCH(TRUE,ISNUMBER(SEARCH(AC207,ClassificationClasses[Key])),0),MATCH(AC207,INDEX(ClassificationClasses[#Data], MATCH(TRUE,ISNUMBER(SEARCH(AC207,ClassificationClasses[Key])),0), 0), 0)-1)),"")</f>
        <v/>
      </c>
      <c r="AE207" s="18" t="str">
        <f t="shared" si="8"/>
        <v>Insecta.Diptera.Brachycera.Asilomorpha.Asiloidea.Asilidae.Asilinae.#N/C.#N/C</v>
      </c>
    </row>
    <row r="208" spans="1:31" x14ac:dyDescent="0.3">
      <c r="A208" s="91">
        <v>207</v>
      </c>
      <c r="B208" s="7">
        <v>44400</v>
      </c>
      <c r="C208" s="92" t="s">
        <v>383</v>
      </c>
      <c r="D208" s="93" t="str">
        <f>HYPERLINK(VLOOKUP(C208,Video_List!$F:$J,5),"video")</f>
        <v>video</v>
      </c>
      <c r="E208" s="94" t="str">
        <f>IFERROR(IF(MATCH(C208,Video_List!$F:$F,)&gt;0,"ok",""),"error")</f>
        <v>ok</v>
      </c>
      <c r="F208" s="92" t="s">
        <v>383</v>
      </c>
      <c r="G208" s="93" t="str">
        <f>HYPERLINK(VLOOKUP(F208,Video_List!$F:$J,5),"video")</f>
        <v>video</v>
      </c>
      <c r="H208" s="94" t="str">
        <f>IFERROR(IF(MATCH(F208,Video_List!$F:$F,)&gt;0,"ok",""),"error")</f>
        <v>ok</v>
      </c>
      <c r="I208" s="17">
        <v>44400.693182870367</v>
      </c>
      <c r="J208" s="8">
        <v>44400.693356481483</v>
      </c>
      <c r="K208" s="15">
        <f t="shared" si="7"/>
        <v>1.7361111531499773E-4</v>
      </c>
      <c r="L208" s="95" t="s">
        <v>44</v>
      </c>
      <c r="M208" s="95" t="s">
        <v>118</v>
      </c>
      <c r="N208" s="96" t="str">
        <f>IF(ISBLANK(C208),"",IF(C208=F208, "1 video",CONCATENATE((+COUNTIFS(Video_List!$C:$C,"&lt;=" &amp;Monitoring!J208)-COUNTIFS(Video_List!$C:$C,"&lt;=" &amp;Monitoring!I208))+1," videos")))</f>
        <v>1 video</v>
      </c>
      <c r="O208" s="29" t="s">
        <v>44</v>
      </c>
      <c r="P208" s="42" t="s">
        <v>37</v>
      </c>
      <c r="Q208" s="42" t="s">
        <v>110</v>
      </c>
      <c r="R208" s="42">
        <v>0</v>
      </c>
      <c r="S208" s="97">
        <f>+IFERROR(IF(T208="#N/C","#N/C",IF(U208=0,INDEX(Taxonomy_UniqueValues!D:D,MATCH(U208,Taxonomy_UniqueValues!F:F,0)),INDEX(Taxonomy_UniqueValues!D:D,MATCH(T208,Taxonomy_UniqueValues!E:E,0)))),"#N/C")</f>
        <v>0</v>
      </c>
      <c r="T208" s="42" t="s">
        <v>111</v>
      </c>
      <c r="U208" s="42" t="s">
        <v>112</v>
      </c>
      <c r="V208" s="42">
        <v>0</v>
      </c>
      <c r="W208" s="42" t="s">
        <v>113</v>
      </c>
      <c r="X208" s="28" t="s">
        <v>35</v>
      </c>
      <c r="Y208" s="69" t="str" cm="1">
        <f t="array" ref="Y208">_xlfn.LET(_xlpm.cls,P208, _xlpm.ord,IFERROR(Q208,"#N/C"), _xlpm.subord,IFERROR(R208,"#N/C"), _xlpm.infr,IFERROR(S208,"#N/C"), _xlpm.sf,IFERROR(T208,"#N/C"), _xlpm.fam,IFERROR(U208,"#N/C"), _xlpm.subfam,IF(TRIM(V208)="-","#N/C",IFERROR(V208,"#N/C")),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_xlpm.fallback,IF(IFERROR(Q208,"#N/C")="#N/C",P208,IF(IFERROR(R208,"#N/C")="#N/C",Q208,IF(IFERROR(S208,"#N/C")="#N/C",R208,IF(IFERROR(T208,"#N/C")="#N/C",S208,IF(IFERROR(U208,"#N/C")="#N/C",T208,IF(IFERROR(V208,"#N/C")="#N/C",U208,"#N/C")))))), _xlpm.finalResult,IF(OR(_xlpm.computedResult="",_xlpm.computedResult="#N/C"),_xlpm.fallback,_xlpm.computedResult), INDEX(_xlpm.finalResult,1))</f>
        <v>scorpion_fly</v>
      </c>
      <c r="Z208" s="116" t="str" cm="1">
        <f t="array" ref="Z208">IF(OR(Y208="Insecta",Y208="Arachnida",Y208="#N/C"),"",IFERROR(_xlfn.LET(_xlpm.fc,IFERROR(_xlfn._xlws.FILTER(ClassificationClasses[],ClassificationClasses[Classification Class]=Y208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208,ClassificationClasses[Key])),0),MATCH(Y208,INDEX(ClassificationClasses[],MATCH(TRUE,ISNUMBER(SEARCH(Y208,ClassificationClasses[Key])),0),0),0)-1)))</f>
        <v>Mecoptera</v>
      </c>
      <c r="AA208" s="116" t="str" cm="1">
        <f t="array" ref="AA208">IFERROR(IF(OR(Z208="Insecta",Z208="Arachnida",Z208="#N/C"),"",INDEX(ClassificationClasses[[Class]:[Infraorder]],MATCH(TRUE,ISNUMBER(SEARCH(Z208,ClassificationClasses[Key])),0),MATCH(Z208,INDEX(ClassificationClasses[#Data], MATCH(TRUE,ISNUMBER(SEARCH(Z208,ClassificationClasses[Key])),0), 0), 0)-1)),"")</f>
        <v>Insecta</v>
      </c>
      <c r="AB208" s="116" t="str" cm="1">
        <f t="array" ref="AB208">IFERROR(IF(OR(AA208="Insecta",AA208="Arachnida",AA208="#N/C"),"",INDEX(ClassificationClasses[[Class]:[Suborder]],MATCH(TRUE,ISNUMBER(SEARCH(AA208,ClassificationClasses[Key])),0),MATCH(AA208,INDEX(ClassificationClasses[#Data], MATCH(TRUE,ISNUMBER(SEARCH(AA208,ClassificationClasses[Key])),0), 0), 0)-1)),"")</f>
        <v/>
      </c>
      <c r="AC208" s="116" t="str" cm="1">
        <f t="array" ref="AC208">IFERROR(IF(OR(AB208="Insecta",AB208="Arachnida",AB208="#N/C"),"",INDEX(ClassificationClasses[[Class]:[Suborder]],MATCH(TRUE,ISNUMBER(SEARCH(AB208,ClassificationClasses[Key])),0),MATCH(AB208,INDEX(ClassificationClasses[#Data], MATCH(TRUE,ISNUMBER(SEARCH(AB208,ClassificationClasses[Key])),0), 0), 0)-1)),"")</f>
        <v/>
      </c>
      <c r="AD208" s="116" t="str" cm="1">
        <f t="array" ref="AD208">IFERROR(IF(OR(AC208="Insecta",AC208="Arachnida",AC208="#N/C"),"",INDEX(ClassificationClasses[[Class]:[Suborder]],MATCH(TRUE,ISNUMBER(SEARCH(AC208,ClassificationClasses[Key])),0),MATCH(AC208,INDEX(ClassificationClasses[#Data], MATCH(TRUE,ISNUMBER(SEARCH(AC208,ClassificationClasses[Key])),0), 0), 0)-1)),"")</f>
        <v/>
      </c>
      <c r="AE208" s="18" t="str">
        <f t="shared" si="8"/>
        <v>Insecta.Mecoptera.0.0.Panorpoidea.Panorpidae.0.Panorpa.#N/C</v>
      </c>
    </row>
    <row r="209" spans="1:31" x14ac:dyDescent="0.3">
      <c r="A209" s="91">
        <v>208</v>
      </c>
      <c r="B209" s="7">
        <v>44400</v>
      </c>
      <c r="C209" s="92" t="s">
        <v>384</v>
      </c>
      <c r="D209" s="93" t="str">
        <f>HYPERLINK(VLOOKUP(C209,Video_List!$F:$J,5),"video")</f>
        <v>video</v>
      </c>
      <c r="E209" s="94" t="str">
        <f>IFERROR(IF(MATCH(C209,Video_List!$F:$F,)&gt;0,"ok",""),"error")</f>
        <v>ok</v>
      </c>
      <c r="F209" s="92" t="s">
        <v>384</v>
      </c>
      <c r="G209" s="93" t="str">
        <f>HYPERLINK(VLOOKUP(F209,Video_List!$F:$J,5),"video")</f>
        <v>video</v>
      </c>
      <c r="H209" s="94" t="str">
        <f>IFERROR(IF(MATCH(F209,Video_List!$F:$F,)&gt;0,"ok",""),"error")</f>
        <v>ok</v>
      </c>
      <c r="I209" s="17">
        <v>44400.694421296299</v>
      </c>
      <c r="J209" s="8">
        <v>44400.694803240738</v>
      </c>
      <c r="K209" s="15">
        <f t="shared" si="7"/>
        <v>3.8194443914107978E-4</v>
      </c>
      <c r="L209" s="95" t="s">
        <v>32</v>
      </c>
      <c r="M209" s="95" t="s">
        <v>33</v>
      </c>
      <c r="N209" s="96" t="str">
        <f>IF(ISBLANK(C209),"",IF(C209=F209, "1 video",CONCATENATE((+COUNTIFS(Video_List!$C:$C,"&lt;=" &amp;Monitoring!J209)-COUNTIFS(Video_List!$C:$C,"&lt;=" &amp;Monitoring!I209))+1," videos")))</f>
        <v>1 video</v>
      </c>
      <c r="O209" s="29" t="s">
        <v>44</v>
      </c>
      <c r="P209" s="42" t="s">
        <v>37</v>
      </c>
      <c r="Q209" s="42" t="s">
        <v>110</v>
      </c>
      <c r="R209" s="42">
        <v>0</v>
      </c>
      <c r="S209" s="97">
        <f>+IFERROR(IF(T209="#N/C","#N/C",IF(U209=0,INDEX(Taxonomy_UniqueValues!D:D,MATCH(U209,Taxonomy_UniqueValues!F:F,0)),INDEX(Taxonomy_UniqueValues!D:D,MATCH(T209,Taxonomy_UniqueValues!E:E,0)))),"#N/C")</f>
        <v>0</v>
      </c>
      <c r="T209" s="42" t="s">
        <v>111</v>
      </c>
      <c r="U209" s="42" t="s">
        <v>112</v>
      </c>
      <c r="V209" s="42">
        <v>0</v>
      </c>
      <c r="W209" s="42" t="s">
        <v>113</v>
      </c>
      <c r="X209" s="28" t="s">
        <v>35</v>
      </c>
      <c r="Y209" s="69" t="str" cm="1">
        <f t="array" ref="Y209">_xlfn.LET(_xlpm.cls,P209, _xlpm.ord,IFERROR(Q209,"#N/C"), _xlpm.subord,IFERROR(R209,"#N/C"), _xlpm.infr,IFERROR(S209,"#N/C"), _xlpm.sf,IFERROR(T209,"#N/C"), _xlpm.fam,IFERROR(U209,"#N/C"), _xlpm.subfam,IF(TRIM(V209)="-","#N/C",IFERROR(V209,"#N/C")),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_xlpm.fallback,IF(IFERROR(Q209,"#N/C")="#N/C",P209,IF(IFERROR(R209,"#N/C")="#N/C",Q209,IF(IFERROR(S209,"#N/C")="#N/C",R209,IF(IFERROR(T209,"#N/C")="#N/C",S209,IF(IFERROR(U209,"#N/C")="#N/C",T209,IF(IFERROR(V209,"#N/C")="#N/C",U209,"#N/C")))))), _xlpm.finalResult,IF(OR(_xlpm.computedResult="",_xlpm.computedResult="#N/C"),_xlpm.fallback,_xlpm.computedResult), INDEX(_xlpm.finalResult,1))</f>
        <v>scorpion_fly</v>
      </c>
      <c r="Z209" s="116" t="str" cm="1">
        <f t="array" ref="Z209">IF(OR(Y209="Insecta",Y209="Arachnida",Y209="#N/C"),"",IFERROR(_xlfn.LET(_xlpm.fc,IFERROR(_xlfn._xlws.FILTER(ClassificationClasses[],ClassificationClasses[Classification Class]=Y209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209,ClassificationClasses[Key])),0),MATCH(Y209,INDEX(ClassificationClasses[],MATCH(TRUE,ISNUMBER(SEARCH(Y209,ClassificationClasses[Key])),0),0),0)-1)))</f>
        <v>Mecoptera</v>
      </c>
      <c r="AA209" s="116" t="str" cm="1">
        <f t="array" ref="AA209">IFERROR(IF(OR(Z209="Insecta",Z209="Arachnida",Z209="#N/C"),"",INDEX(ClassificationClasses[[Class]:[Infraorder]],MATCH(TRUE,ISNUMBER(SEARCH(Z209,ClassificationClasses[Key])),0),MATCH(Z209,INDEX(ClassificationClasses[#Data], MATCH(TRUE,ISNUMBER(SEARCH(Z209,ClassificationClasses[Key])),0), 0), 0)-1)),"")</f>
        <v>Insecta</v>
      </c>
      <c r="AB209" s="116" t="str" cm="1">
        <f t="array" ref="AB209">IFERROR(IF(OR(AA209="Insecta",AA209="Arachnida",AA209="#N/C"),"",INDEX(ClassificationClasses[[Class]:[Suborder]],MATCH(TRUE,ISNUMBER(SEARCH(AA209,ClassificationClasses[Key])),0),MATCH(AA209,INDEX(ClassificationClasses[#Data], MATCH(TRUE,ISNUMBER(SEARCH(AA209,ClassificationClasses[Key])),0), 0), 0)-1)),"")</f>
        <v/>
      </c>
      <c r="AC209" s="116" t="str" cm="1">
        <f t="array" ref="AC209">IFERROR(IF(OR(AB209="Insecta",AB209="Arachnida",AB209="#N/C"),"",INDEX(ClassificationClasses[[Class]:[Suborder]],MATCH(TRUE,ISNUMBER(SEARCH(AB209,ClassificationClasses[Key])),0),MATCH(AB209,INDEX(ClassificationClasses[#Data], MATCH(TRUE,ISNUMBER(SEARCH(AB209,ClassificationClasses[Key])),0), 0), 0)-1)),"")</f>
        <v/>
      </c>
      <c r="AD209" s="116" t="str" cm="1">
        <f t="array" ref="AD209">IFERROR(IF(OR(AC209="Insecta",AC209="Arachnida",AC209="#N/C"),"",INDEX(ClassificationClasses[[Class]:[Suborder]],MATCH(TRUE,ISNUMBER(SEARCH(AC209,ClassificationClasses[Key])),0),MATCH(AC209,INDEX(ClassificationClasses[#Data], MATCH(TRUE,ISNUMBER(SEARCH(AC209,ClassificationClasses[Key])),0), 0), 0)-1)),"")</f>
        <v/>
      </c>
      <c r="AE209" s="18" t="str">
        <f t="shared" si="8"/>
        <v>Insecta.Mecoptera.0.0.Panorpoidea.Panorpidae.0.Panorpa.#N/C</v>
      </c>
    </row>
    <row r="210" spans="1:31" x14ac:dyDescent="0.3">
      <c r="A210" s="91">
        <v>209</v>
      </c>
      <c r="B210" s="7">
        <v>44400</v>
      </c>
      <c r="C210" s="92" t="s">
        <v>385</v>
      </c>
      <c r="D210" s="93" t="str">
        <f>HYPERLINK(VLOOKUP(C210,Video_List!$F:$J,5),"video")</f>
        <v>video</v>
      </c>
      <c r="E210" s="94" t="str">
        <f>IFERROR(IF(MATCH(C210,Video_List!$F:$F,)&gt;0,"ok",""),"error")</f>
        <v>ok</v>
      </c>
      <c r="F210" s="92" t="s">
        <v>385</v>
      </c>
      <c r="G210" s="93" t="str">
        <f>HYPERLINK(VLOOKUP(F210,Video_List!$F:$J,5),"video")</f>
        <v>video</v>
      </c>
      <c r="H210" s="94" t="str">
        <f>IFERROR(IF(MATCH(F210,Video_List!$F:$F,)&gt;0,"ok",""),"error")</f>
        <v>ok</v>
      </c>
      <c r="I210" s="17">
        <v>44400.729189814818</v>
      </c>
      <c r="J210" s="8">
        <v>44400.729444444441</v>
      </c>
      <c r="K210" s="15">
        <f t="shared" si="7"/>
        <v>2.5462962366873398E-4</v>
      </c>
      <c r="L210" s="95" t="s">
        <v>32</v>
      </c>
      <c r="M210" s="95" t="s">
        <v>33</v>
      </c>
      <c r="N210" s="96" t="str">
        <f>IF(ISBLANK(C210),"",IF(C210=F210, "1 video",CONCATENATE((+COUNTIFS(Video_List!$C:$C,"&lt;=" &amp;Monitoring!J210)-COUNTIFS(Video_List!$C:$C,"&lt;=" &amp;Monitoring!I210))+1," videos")))</f>
        <v>1 video</v>
      </c>
      <c r="O210" s="29" t="s">
        <v>44</v>
      </c>
      <c r="P210" s="42" t="s">
        <v>37</v>
      </c>
      <c r="Q210" s="42" t="s">
        <v>38</v>
      </c>
      <c r="R210" s="42" t="s">
        <v>39</v>
      </c>
      <c r="S210" s="97" t="str">
        <f>+IFERROR(IF(T210="#N/C","#N/C",IF(U210=0,INDEX(Taxonomy_UniqueValues!D:D,MATCH(U210,Taxonomy_UniqueValues!F:F,0)),INDEX(Taxonomy_UniqueValues!D:D,MATCH(T210,Taxonomy_UniqueValues!E:E,0)))),"#N/C")</f>
        <v>Asilomorpha</v>
      </c>
      <c r="T210" s="42" t="s">
        <v>149</v>
      </c>
      <c r="U210" s="42" t="s">
        <v>150</v>
      </c>
      <c r="V210" s="42" t="s">
        <v>151</v>
      </c>
      <c r="W210" s="42" t="s">
        <v>35</v>
      </c>
      <c r="X210" s="28" t="s">
        <v>35</v>
      </c>
      <c r="Y210" s="69" t="str" cm="1">
        <f t="array" ref="Y210">_xlfn.LET(_xlpm.cls,P210, _xlpm.ord,IFERROR(Q210,"#N/C"), _xlpm.subord,IFERROR(R210,"#N/C"), _xlpm.infr,IFERROR(S210,"#N/C"), _xlpm.sf,IFERROR(T210,"#N/C"), _xlpm.fam,IFERROR(U210,"#N/C"), _xlpm.subfam,IF(TRIM(V210)="-","#N/C",IFERROR(V210,"#N/C")),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_xlpm.fallback,IF(IFERROR(Q210,"#N/C")="#N/C",P210,IF(IFERROR(R210,"#N/C")="#N/C",Q210,IF(IFERROR(S210,"#N/C")="#N/C",R210,IF(IFERROR(T210,"#N/C")="#N/C",S210,IF(IFERROR(U210,"#N/C")="#N/C",T210,IF(IFERROR(V210,"#N/C")="#N/C",U210,"#N/C")))))), _xlpm.finalResult,IF(OR(_xlpm.computedResult="",_xlpm.computedResult="#N/C"),_xlpm.fallback,_xlpm.computedResult), INDEX(_xlpm.finalResult,1))</f>
        <v>robber_fly</v>
      </c>
      <c r="Z210" s="116" t="str" cm="1">
        <f t="array" ref="Z210">IF(OR(Y210="Insecta",Y210="Arachnida",Y210="#N/C"),"",IFERROR(_xlfn.LET(_xlpm.fc,IFERROR(_xlfn._xlws.FILTER(ClassificationClasses[],ClassificationClasses[Classification Class]=Y210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210,ClassificationClasses[Key])),0),MATCH(Y210,INDEX(ClassificationClasses[],MATCH(TRUE,ISNUMBER(SEARCH(Y210,ClassificationClasses[Key])),0),0),0)-1)))</f>
        <v>Asilomorpha</v>
      </c>
      <c r="AA210" s="116" t="str" cm="1">
        <f t="array" ref="AA210">IFERROR(IF(OR(Z210="Insecta",Z210="Arachnida",Z210="#N/C"),"",INDEX(ClassificationClasses[[Class]:[Infraorder]],MATCH(TRUE,ISNUMBER(SEARCH(Z210,ClassificationClasses[Key])),0),MATCH(Z210,INDEX(ClassificationClasses[#Data], MATCH(TRUE,ISNUMBER(SEARCH(Z210,ClassificationClasses[Key])),0), 0), 0)-1)),"")</f>
        <v>Brachycera</v>
      </c>
      <c r="AB210" s="116" t="str" cm="1">
        <f t="array" ref="AB210">IFERROR(IF(OR(AA210="Insecta",AA210="Arachnida",AA210="#N/C"),"",INDEX(ClassificationClasses[[Class]:[Suborder]],MATCH(TRUE,ISNUMBER(SEARCH(AA210,ClassificationClasses[Key])),0),MATCH(AA210,INDEX(ClassificationClasses[#Data], MATCH(TRUE,ISNUMBER(SEARCH(AA210,ClassificationClasses[Key])),0), 0), 0)-1)),"")</f>
        <v>Diptera</v>
      </c>
      <c r="AC210" s="116" t="str" cm="1">
        <f t="array" ref="AC210">IFERROR(IF(OR(AB210="Insecta",AB210="Arachnida",AB210="#N/C"),"",INDEX(ClassificationClasses[[Class]:[Suborder]],MATCH(TRUE,ISNUMBER(SEARCH(AB210,ClassificationClasses[Key])),0),MATCH(AB210,INDEX(ClassificationClasses[#Data], MATCH(TRUE,ISNUMBER(SEARCH(AB210,ClassificationClasses[Key])),0), 0), 0)-1)),"")</f>
        <v>Insecta</v>
      </c>
      <c r="AD210" s="116" t="str" cm="1">
        <f t="array" ref="AD210">IFERROR(IF(OR(AC210="Insecta",AC210="Arachnida",AC210="#N/C"),"",INDEX(ClassificationClasses[[Class]:[Suborder]],MATCH(TRUE,ISNUMBER(SEARCH(AC210,ClassificationClasses[Key])),0),MATCH(AC210,INDEX(ClassificationClasses[#Data], MATCH(TRUE,ISNUMBER(SEARCH(AC210,ClassificationClasses[Key])),0), 0), 0)-1)),"")</f>
        <v/>
      </c>
      <c r="AE210" s="18" t="str">
        <f t="shared" si="8"/>
        <v>Insecta.Diptera.Brachycera.Asilomorpha.Asiloidea.Asilidae.Asilinae.#N/C.#N/C</v>
      </c>
    </row>
    <row r="211" spans="1:31" x14ac:dyDescent="0.3">
      <c r="A211" s="91">
        <v>210</v>
      </c>
      <c r="B211" s="7">
        <v>44400</v>
      </c>
      <c r="C211" s="92" t="s">
        <v>386</v>
      </c>
      <c r="D211" s="93" t="str">
        <f>HYPERLINK(VLOOKUP(C211,Video_List!$F:$J,5),"video")</f>
        <v>video</v>
      </c>
      <c r="E211" s="94" t="str">
        <f>IFERROR(IF(MATCH(C211,Video_List!$F:$F,)&gt;0,"ok",""),"error")</f>
        <v>ok</v>
      </c>
      <c r="F211" s="92" t="s">
        <v>386</v>
      </c>
      <c r="G211" s="93" t="str">
        <f>HYPERLINK(VLOOKUP(F211,Video_List!$F:$J,5),"video")</f>
        <v>video</v>
      </c>
      <c r="H211" s="94" t="str">
        <f>IFERROR(IF(MATCH(F211,Video_List!$F:$F,)&gt;0,"ok",""),"error")</f>
        <v>ok</v>
      </c>
      <c r="I211" s="17">
        <v>44400.766087962962</v>
      </c>
      <c r="J211" s="8">
        <v>44400.766134259262</v>
      </c>
      <c r="K211" s="15">
        <f t="shared" si="7"/>
        <v>4.6296299842651933E-5</v>
      </c>
      <c r="L211" s="4" t="s">
        <v>32</v>
      </c>
      <c r="M211" s="4" t="s">
        <v>33</v>
      </c>
      <c r="N211" s="96" t="str">
        <f>IF(ISBLANK(C211),"",IF(C211=F211, "1 video",CONCATENATE((+COUNTIFS(Video_List!$C:$C,"&lt;=" &amp;Monitoring!J211)-COUNTIFS(Video_List!$C:$C,"&lt;=" &amp;Monitoring!I211))+1," videos")))</f>
        <v>1 video</v>
      </c>
      <c r="O211" s="27" t="s">
        <v>32</v>
      </c>
      <c r="P211" s="42" t="s">
        <v>37</v>
      </c>
      <c r="Q211" s="42" t="s">
        <v>38</v>
      </c>
      <c r="R211" s="42" t="s">
        <v>185</v>
      </c>
      <c r="S211" s="97" t="str">
        <f>+IFERROR(IF(T211="#N/C","#N/C",IF(U211=0,INDEX(Taxonomy_UniqueValues!D:D,MATCH(U211,Taxonomy_UniqueValues!F:F,0)),INDEX(Taxonomy_UniqueValues!D:D,MATCH(T211,Taxonomy_UniqueValues!E:E,0)))),"#N/C")</f>
        <v>Bibionomorpha</v>
      </c>
      <c r="T211" s="42" t="s">
        <v>186</v>
      </c>
      <c r="U211" s="42" t="s">
        <v>187</v>
      </c>
      <c r="V211" s="42" t="s">
        <v>188</v>
      </c>
      <c r="W211" s="42" t="s">
        <v>189</v>
      </c>
      <c r="X211" s="28" t="s">
        <v>35</v>
      </c>
      <c r="Y211" s="69" t="str" cm="1">
        <f t="array" ref="Y211">_xlfn.LET(_xlpm.cls,P211, _xlpm.ord,IFERROR(Q211,"#N/C"), _xlpm.subord,IFERROR(R211,"#N/C"), _xlpm.infr,IFERROR(S211,"#N/C"), _xlpm.sf,IFERROR(T211,"#N/C"), _xlpm.fam,IFERROR(U211,"#N/C"), _xlpm.subfam,IF(TRIM(V211)="-","#N/C",IFERROR(V211,"#N/C")),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_xlpm.fallback,IF(IFERROR(Q211,"#N/C")="#N/C",P211,IF(IFERROR(R211,"#N/C")="#N/C",Q211,IF(IFERROR(S211,"#N/C")="#N/C",R211,IF(IFERROR(T211,"#N/C")="#N/C",S211,IF(IFERROR(U211,"#N/C")="#N/C",T211,IF(IFERROR(V211,"#N/C")="#N/C",U211,"#N/C")))))), _xlpm.finalResult,IF(OR(_xlpm.computedResult="",_xlpm.computedResult="#N/C"),_xlpm.fallback,_xlpm.computedResult), INDEX(_xlpm.finalResult,1))</f>
        <v>Sciaroidea</v>
      </c>
      <c r="Z211" s="116" t="str" cm="1">
        <f t="array" ref="Z211">IF(OR(Y211="Insecta",Y211="Arachnida",Y211="#N/C"),"",IFERROR(_xlfn.LET(_xlpm.fc,IFERROR(_xlfn._xlws.FILTER(ClassificationClasses[],ClassificationClasses[Classification Class]=Y211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211,ClassificationClasses[Key])),0),MATCH(Y211,INDEX(ClassificationClasses[],MATCH(TRUE,ISNUMBER(SEARCH(Y211,ClassificationClasses[Key])),0),0),0)-1)))</f>
        <v>Bibionomorpha</v>
      </c>
      <c r="AA211" s="116" t="str" cm="1">
        <f t="array" ref="AA211">IFERROR(IF(OR(Z211="Insecta",Z211="Arachnida",Z211="#N/C"),"",INDEX(ClassificationClasses[[Class]:[Infraorder]],MATCH(TRUE,ISNUMBER(SEARCH(Z211,ClassificationClasses[Key])),0),MATCH(Z211,INDEX(ClassificationClasses[#Data], MATCH(TRUE,ISNUMBER(SEARCH(Z211,ClassificationClasses[Key])),0), 0), 0)-1)),"")</f>
        <v>Nematocera</v>
      </c>
      <c r="AB211" s="116" t="str" cm="1">
        <f t="array" ref="AB211">IFERROR(IF(OR(AA211="Insecta",AA211="Arachnida",AA211="#N/C"),"",INDEX(ClassificationClasses[[Class]:[Suborder]],MATCH(TRUE,ISNUMBER(SEARCH(AA211,ClassificationClasses[Key])),0),MATCH(AA211,INDEX(ClassificationClasses[#Data], MATCH(TRUE,ISNUMBER(SEARCH(AA211,ClassificationClasses[Key])),0), 0), 0)-1)),"")</f>
        <v>Diptera</v>
      </c>
      <c r="AC211" s="116" t="str" cm="1">
        <f t="array" ref="AC211">IFERROR(IF(OR(AB211="Insecta",AB211="Arachnida",AB211="#N/C"),"",INDEX(ClassificationClasses[[Class]:[Suborder]],MATCH(TRUE,ISNUMBER(SEARCH(AB211,ClassificationClasses[Key])),0),MATCH(AB211,INDEX(ClassificationClasses[#Data], MATCH(TRUE,ISNUMBER(SEARCH(AB211,ClassificationClasses[Key])),0), 0), 0)-1)),"")</f>
        <v>Insecta</v>
      </c>
      <c r="AD211" s="116" t="str" cm="1">
        <f t="array" ref="AD211">IFERROR(IF(OR(AC211="Insecta",AC211="Arachnida",AC211="#N/C"),"",INDEX(ClassificationClasses[[Class]:[Suborder]],MATCH(TRUE,ISNUMBER(SEARCH(AC211,ClassificationClasses[Key])),0),MATCH(AC211,INDEX(ClassificationClasses[#Data], MATCH(TRUE,ISNUMBER(SEARCH(AC211,ClassificationClasses[Key])),0), 0), 0)-1)),"")</f>
        <v/>
      </c>
      <c r="AE211" s="18" t="str">
        <f t="shared" si="8"/>
        <v>Insecta.Diptera.Nematocera.Bibionomorpha.Sciaroidea.Keroplatidae.Macrocerinae.Macrocera.#N/C</v>
      </c>
    </row>
    <row r="212" spans="1:31" x14ac:dyDescent="0.3">
      <c r="A212" s="91">
        <v>211</v>
      </c>
      <c r="B212" s="7">
        <v>44401</v>
      </c>
      <c r="C212" s="92" t="s">
        <v>387</v>
      </c>
      <c r="D212" s="93" t="str">
        <f>HYPERLINK(VLOOKUP(C212,Video_List!$F:$J,5),"video")</f>
        <v>video</v>
      </c>
      <c r="E212" s="94" t="str">
        <f>IFERROR(IF(MATCH(C212,Video_List!$F:$F,)&gt;0,"ok",""),"error")</f>
        <v>ok</v>
      </c>
      <c r="F212" s="92" t="s">
        <v>387</v>
      </c>
      <c r="G212" s="93" t="str">
        <f>HYPERLINK(VLOOKUP(F212,Video_List!$F:$J,5),"video")</f>
        <v>video</v>
      </c>
      <c r="H212" s="94" t="str">
        <f>IFERROR(IF(MATCH(F212,Video_List!$F:$F,)&gt;0,"ok",""),"error")</f>
        <v>ok</v>
      </c>
      <c r="I212" s="17">
        <v>44401.420046296298</v>
      </c>
      <c r="J212" s="8">
        <v>44401.420127314814</v>
      </c>
      <c r="K212" s="15">
        <f t="shared" si="7"/>
        <v>8.1018515629693866E-5</v>
      </c>
      <c r="L212" s="4" t="s">
        <v>32</v>
      </c>
      <c r="M212" s="4" t="s">
        <v>33</v>
      </c>
      <c r="N212" s="96" t="str">
        <f>IF(ISBLANK(C212),"",IF(C212=F212, "1 video",CONCATENATE((+COUNTIFS(Video_List!$C:$C,"&lt;=" &amp;Monitoring!J212)-COUNTIFS(Video_List!$C:$C,"&lt;=" &amp;Monitoring!I212))+1," videos")))</f>
        <v>1 video</v>
      </c>
      <c r="O212" s="27" t="s">
        <v>32</v>
      </c>
      <c r="P212" s="42" t="s">
        <v>37</v>
      </c>
      <c r="Q212" s="42" t="s">
        <v>38</v>
      </c>
      <c r="R212" s="42" t="s">
        <v>39</v>
      </c>
      <c r="S212" s="97" t="str">
        <f>+IFERROR(IF(T212="#N/C","#N/C",IF(U212=0,INDEX(Taxonomy_UniqueValues!D:D,MATCH(U212,Taxonomy_UniqueValues!F:F,0)),INDEX(Taxonomy_UniqueValues!D:D,MATCH(T212,Taxonomy_UniqueValues!E:E,0)))),"#N/C")</f>
        <v>Muscomorpha</v>
      </c>
      <c r="T212" s="42" t="s">
        <v>335</v>
      </c>
      <c r="U212" s="42" t="s">
        <v>35</v>
      </c>
      <c r="V212" s="42" t="s">
        <v>35</v>
      </c>
      <c r="W212" s="42" t="s">
        <v>35</v>
      </c>
      <c r="X212" s="28" t="s">
        <v>35</v>
      </c>
      <c r="Y212" s="69" t="str" cm="1">
        <f t="array" ref="Y212">_xlfn.LET(_xlpm.cls,P212, _xlpm.ord,IFERROR(Q212,"#N/C"), _xlpm.subord,IFERROR(R212,"#N/C"), _xlpm.infr,IFERROR(S212,"#N/C"), _xlpm.sf,IFERROR(T212,"#N/C"), _xlpm.fam,IFERROR(U212,"#N/C"), _xlpm.subfam,IF(TRIM(V212)="-","#N/C",IFERROR(V212,"#N/C")),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_xlpm.fallback,IF(IFERROR(Q212,"#N/C")="#N/C",P212,IF(IFERROR(R212,"#N/C")="#N/C",Q212,IF(IFERROR(S212,"#N/C")="#N/C",R212,IF(IFERROR(T212,"#N/C")="#N/C",S212,IF(IFERROR(U212,"#N/C")="#N/C",T212,IF(IFERROR(V212,"#N/C")="#N/C",U212,"#N/C")))))), _xlpm.finalResult,IF(OR(_xlpm.computedResult="",_xlpm.computedResult="#N/C"),_xlpm.fallback,_xlpm.computedResult), INDEX(_xlpm.finalResult,1))</f>
        <v>Oestroidea</v>
      </c>
      <c r="Z212" s="116" t="str" cm="1">
        <f t="array" ref="Z212">IF(OR(Y212="Insecta",Y212="Arachnida",Y212="#N/C"),"",IFERROR(_xlfn.LET(_xlpm.fc,IFERROR(_xlfn._xlws.FILTER(ClassificationClasses[],ClassificationClasses[Classification Class]=Y212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212,ClassificationClasses[Key])),0),MATCH(Y212,INDEX(ClassificationClasses[],MATCH(TRUE,ISNUMBER(SEARCH(Y212,ClassificationClasses[Key])),0),0),0)-1)))</f>
        <v>Muscomorpha</v>
      </c>
      <c r="AA212" s="116" t="str" cm="1">
        <f t="array" ref="AA212">IFERROR(IF(OR(Z212="Insecta",Z212="Arachnida",Z212="#N/C"),"",INDEX(ClassificationClasses[[Class]:[Infraorder]],MATCH(TRUE,ISNUMBER(SEARCH(Z212,ClassificationClasses[Key])),0),MATCH(Z212,INDEX(ClassificationClasses[#Data], MATCH(TRUE,ISNUMBER(SEARCH(Z212,ClassificationClasses[Key])),0), 0), 0)-1)),"")</f>
        <v>Brachycera</v>
      </c>
      <c r="AB212" s="116" t="str" cm="1">
        <f t="array" ref="AB212">IFERROR(IF(OR(AA212="Insecta",AA212="Arachnida",AA212="#N/C"),"",INDEX(ClassificationClasses[[Class]:[Suborder]],MATCH(TRUE,ISNUMBER(SEARCH(AA212,ClassificationClasses[Key])),0),MATCH(AA212,INDEX(ClassificationClasses[#Data], MATCH(TRUE,ISNUMBER(SEARCH(AA212,ClassificationClasses[Key])),0), 0), 0)-1)),"")</f>
        <v>Diptera</v>
      </c>
      <c r="AC212" s="116" t="str" cm="1">
        <f t="array" ref="AC212">IFERROR(IF(OR(AB212="Insecta",AB212="Arachnida",AB212="#N/C"),"",INDEX(ClassificationClasses[[Class]:[Suborder]],MATCH(TRUE,ISNUMBER(SEARCH(AB212,ClassificationClasses[Key])),0),MATCH(AB212,INDEX(ClassificationClasses[#Data], MATCH(TRUE,ISNUMBER(SEARCH(AB212,ClassificationClasses[Key])),0), 0), 0)-1)),"")</f>
        <v>Insecta</v>
      </c>
      <c r="AD212" s="116" t="str" cm="1">
        <f t="array" ref="AD212">IFERROR(IF(OR(AC212="Insecta",AC212="Arachnida",AC212="#N/C"),"",INDEX(ClassificationClasses[[Class]:[Suborder]],MATCH(TRUE,ISNUMBER(SEARCH(AC212,ClassificationClasses[Key])),0),MATCH(AC212,INDEX(ClassificationClasses[#Data], MATCH(TRUE,ISNUMBER(SEARCH(AC212,ClassificationClasses[Key])),0), 0), 0)-1)),"")</f>
        <v/>
      </c>
      <c r="AE212" s="18" t="str">
        <f t="shared" si="8"/>
        <v>Insecta.Diptera.Brachycera.Muscomorpha.Oestroidea.#N/C.#N/C.#N/C.#N/C</v>
      </c>
    </row>
    <row r="213" spans="1:31" x14ac:dyDescent="0.3">
      <c r="A213" s="91">
        <v>212</v>
      </c>
      <c r="B213" s="7">
        <v>44401</v>
      </c>
      <c r="C213" s="92" t="s">
        <v>388</v>
      </c>
      <c r="D213" s="93" t="str">
        <f>HYPERLINK(VLOOKUP(C213,Video_List!$F:$J,5),"video")</f>
        <v>video</v>
      </c>
      <c r="E213" s="94" t="str">
        <f>IFERROR(IF(MATCH(C213,Video_List!$F:$F,)&gt;0,"ok",""),"error")</f>
        <v>ok</v>
      </c>
      <c r="F213" s="92" t="s">
        <v>389</v>
      </c>
      <c r="G213" s="93" t="str">
        <f>HYPERLINK(VLOOKUP(F213,Video_List!$F:$J,5),"video")</f>
        <v>video</v>
      </c>
      <c r="H213" s="94" t="str">
        <f>IFERROR(IF(MATCH(F213,Video_List!$F:$F,)&gt;0,"ok",""),"error")</f>
        <v>ok</v>
      </c>
      <c r="I213" s="17">
        <v>44401.427986111114</v>
      </c>
      <c r="J213" s="8">
        <v>44401.428842592592</v>
      </c>
      <c r="K213" s="15">
        <f t="shared" si="7"/>
        <v>8.5648147796746343E-4</v>
      </c>
      <c r="L213" s="4" t="s">
        <v>32</v>
      </c>
      <c r="M213" s="4" t="s">
        <v>33</v>
      </c>
      <c r="N213" s="96" t="str">
        <f>IF(ISBLANK(C213),"",IF(C213=F213, "1 video",CONCATENATE((+COUNTIFS(Video_List!$C:$C,"&lt;=" &amp;Monitoring!J213)-COUNTIFS(Video_List!$C:$C,"&lt;=" &amp;Monitoring!I213))+1," videos")))</f>
        <v>2 videos</v>
      </c>
      <c r="O213" s="29" t="s">
        <v>44</v>
      </c>
      <c r="P213" s="42" t="s">
        <v>37</v>
      </c>
      <c r="Q213" s="42" t="s">
        <v>38</v>
      </c>
      <c r="R213" s="42" t="s">
        <v>39</v>
      </c>
      <c r="S213" s="97" t="str">
        <f>+IFERROR(IF(T213="#N/C","#N/C",IF(U213=0,INDEX(Taxonomy_UniqueValues!D:D,MATCH(U213,Taxonomy_UniqueValues!F:F,0)),INDEX(Taxonomy_UniqueValues!D:D,MATCH(T213,Taxonomy_UniqueValues!E:E,0)))),"#N/C")</f>
        <v>Asilomorpha</v>
      </c>
      <c r="T213" s="42" t="s">
        <v>149</v>
      </c>
      <c r="U213" s="42" t="s">
        <v>150</v>
      </c>
      <c r="V213" s="42" t="s">
        <v>151</v>
      </c>
      <c r="W213" s="42" t="s">
        <v>35</v>
      </c>
      <c r="X213" s="28" t="s">
        <v>35</v>
      </c>
      <c r="Y213" s="69" t="str" cm="1">
        <f t="array" ref="Y213">_xlfn.LET(_xlpm.cls,P213, _xlpm.ord,IFERROR(Q213,"#N/C"), _xlpm.subord,IFERROR(R213,"#N/C"), _xlpm.infr,IFERROR(S213,"#N/C"), _xlpm.sf,IFERROR(T213,"#N/C"), _xlpm.fam,IFERROR(U213,"#N/C"), _xlpm.subfam,IF(TRIM(V213)="-","#N/C",IFERROR(V213,"#N/C")),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_xlpm.fallback,IF(IFERROR(Q213,"#N/C")="#N/C",P213,IF(IFERROR(R213,"#N/C")="#N/C",Q213,IF(IFERROR(S213,"#N/C")="#N/C",R213,IF(IFERROR(T213,"#N/C")="#N/C",S213,IF(IFERROR(U213,"#N/C")="#N/C",T213,IF(IFERROR(V213,"#N/C")="#N/C",U213,"#N/C")))))), _xlpm.finalResult,IF(OR(_xlpm.computedResult="",_xlpm.computedResult="#N/C"),_xlpm.fallback,_xlpm.computedResult), INDEX(_xlpm.finalResult,1))</f>
        <v>robber_fly</v>
      </c>
      <c r="Z213" s="116" t="str" cm="1">
        <f t="array" ref="Z213">IF(OR(Y213="Insecta",Y213="Arachnida",Y213="#N/C"),"",IFERROR(_xlfn.LET(_xlpm.fc,IFERROR(_xlfn._xlws.FILTER(ClassificationClasses[],ClassificationClasses[Classification Class]=Y213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213,ClassificationClasses[Key])),0),MATCH(Y213,INDEX(ClassificationClasses[],MATCH(TRUE,ISNUMBER(SEARCH(Y213,ClassificationClasses[Key])),0),0),0)-1)))</f>
        <v>Asilomorpha</v>
      </c>
      <c r="AA213" s="116" t="str" cm="1">
        <f t="array" ref="AA213">IFERROR(IF(OR(Z213="Insecta",Z213="Arachnida",Z213="#N/C"),"",INDEX(ClassificationClasses[[Class]:[Infraorder]],MATCH(TRUE,ISNUMBER(SEARCH(Z213,ClassificationClasses[Key])),0),MATCH(Z213,INDEX(ClassificationClasses[#Data], MATCH(TRUE,ISNUMBER(SEARCH(Z213,ClassificationClasses[Key])),0), 0), 0)-1)),"")</f>
        <v>Brachycera</v>
      </c>
      <c r="AB213" s="116" t="str" cm="1">
        <f t="array" ref="AB213">IFERROR(IF(OR(AA213="Insecta",AA213="Arachnida",AA213="#N/C"),"",INDEX(ClassificationClasses[[Class]:[Suborder]],MATCH(TRUE,ISNUMBER(SEARCH(AA213,ClassificationClasses[Key])),0),MATCH(AA213,INDEX(ClassificationClasses[#Data], MATCH(TRUE,ISNUMBER(SEARCH(AA213,ClassificationClasses[Key])),0), 0), 0)-1)),"")</f>
        <v>Diptera</v>
      </c>
      <c r="AC213" s="116" t="str" cm="1">
        <f t="array" ref="AC213">IFERROR(IF(OR(AB213="Insecta",AB213="Arachnida",AB213="#N/C"),"",INDEX(ClassificationClasses[[Class]:[Suborder]],MATCH(TRUE,ISNUMBER(SEARCH(AB213,ClassificationClasses[Key])),0),MATCH(AB213,INDEX(ClassificationClasses[#Data], MATCH(TRUE,ISNUMBER(SEARCH(AB213,ClassificationClasses[Key])),0), 0), 0)-1)),"")</f>
        <v>Insecta</v>
      </c>
      <c r="AD213" s="116" t="str" cm="1">
        <f t="array" ref="AD213">IFERROR(IF(OR(AC213="Insecta",AC213="Arachnida",AC213="#N/C"),"",INDEX(ClassificationClasses[[Class]:[Suborder]],MATCH(TRUE,ISNUMBER(SEARCH(AC213,ClassificationClasses[Key])),0),MATCH(AC213,INDEX(ClassificationClasses[#Data], MATCH(TRUE,ISNUMBER(SEARCH(AC213,ClassificationClasses[Key])),0), 0), 0)-1)),"")</f>
        <v/>
      </c>
      <c r="AE213" s="18" t="str">
        <f t="shared" si="8"/>
        <v>Insecta.Diptera.Brachycera.Asilomorpha.Asiloidea.Asilidae.Asilinae.#N/C.#N/C</v>
      </c>
    </row>
    <row r="214" spans="1:31" x14ac:dyDescent="0.3">
      <c r="A214" s="91">
        <v>213</v>
      </c>
      <c r="B214" s="7">
        <v>44401</v>
      </c>
      <c r="C214" s="92" t="s">
        <v>390</v>
      </c>
      <c r="D214" s="93" t="str">
        <f>HYPERLINK(VLOOKUP(C214,Video_List!$F:$J,5),"video")</f>
        <v>video</v>
      </c>
      <c r="E214" s="94" t="str">
        <f>IFERROR(IF(MATCH(C214,Video_List!$F:$F,)&gt;0,"ok",""),"error")</f>
        <v>ok</v>
      </c>
      <c r="F214" s="92" t="s">
        <v>390</v>
      </c>
      <c r="G214" s="93" t="str">
        <f>HYPERLINK(VLOOKUP(F214,Video_List!$F:$J,5),"video")</f>
        <v>video</v>
      </c>
      <c r="H214" s="94" t="str">
        <f>IFERROR(IF(MATCH(F214,Video_List!$F:$F,)&gt;0,"ok",""),"error")</f>
        <v>ok</v>
      </c>
      <c r="I214" s="17">
        <v>44401.439097222225</v>
      </c>
      <c r="J214" s="8">
        <v>44401.439131944448</v>
      </c>
      <c r="K214" s="15">
        <f t="shared" si="7"/>
        <v>3.4722223062999547E-5</v>
      </c>
      <c r="L214" s="4" t="s">
        <v>32</v>
      </c>
      <c r="M214" s="4" t="s">
        <v>33</v>
      </c>
      <c r="N214" s="96" t="str">
        <f>IF(ISBLANK(C214),"",IF(C214=F214, "1 video",CONCATENATE((+COUNTIFS(Video_List!$C:$C,"&lt;=" &amp;Monitoring!J214)-COUNTIFS(Video_List!$C:$C,"&lt;=" &amp;Monitoring!I214))+1," videos")))</f>
        <v>1 video</v>
      </c>
      <c r="O214" s="29" t="s">
        <v>44</v>
      </c>
      <c r="P214" s="42" t="s">
        <v>37</v>
      </c>
      <c r="Q214" s="42" t="s">
        <v>38</v>
      </c>
      <c r="R214" s="42" t="s">
        <v>39</v>
      </c>
      <c r="S214" s="97" t="str">
        <f>+IFERROR(IF(T214="#N/C","#N/C",IF(U214=0,INDEX(Taxonomy_UniqueValues!D:D,MATCH(U214,Taxonomy_UniqueValues!F:F,0)),INDEX(Taxonomy_UniqueValues!D:D,MATCH(T214,Taxonomy_UniqueValues!E:E,0)))),"#N/C")</f>
        <v>Asilomorpha</v>
      </c>
      <c r="T214" s="42" t="s">
        <v>149</v>
      </c>
      <c r="U214" s="42" t="s">
        <v>150</v>
      </c>
      <c r="V214" s="42" t="s">
        <v>151</v>
      </c>
      <c r="W214" s="42" t="s">
        <v>35</v>
      </c>
      <c r="X214" s="28" t="s">
        <v>35</v>
      </c>
      <c r="Y214" s="69" t="str" cm="1">
        <f t="array" ref="Y214">_xlfn.LET(_xlpm.cls,P214, _xlpm.ord,IFERROR(Q214,"#N/C"), _xlpm.subord,IFERROR(R214,"#N/C"), _xlpm.infr,IFERROR(S214,"#N/C"), _xlpm.sf,IFERROR(T214,"#N/C"), _xlpm.fam,IFERROR(U214,"#N/C"), _xlpm.subfam,IF(TRIM(V214)="-","#N/C",IFERROR(V214,"#N/C")),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_xlpm.fallback,IF(IFERROR(Q214,"#N/C")="#N/C",P214,IF(IFERROR(R214,"#N/C")="#N/C",Q214,IF(IFERROR(S214,"#N/C")="#N/C",R214,IF(IFERROR(T214,"#N/C")="#N/C",S214,IF(IFERROR(U214,"#N/C")="#N/C",T214,IF(IFERROR(V214,"#N/C")="#N/C",U214,"#N/C")))))), _xlpm.finalResult,IF(OR(_xlpm.computedResult="",_xlpm.computedResult="#N/C"),_xlpm.fallback,_xlpm.computedResult), INDEX(_xlpm.finalResult,1))</f>
        <v>robber_fly</v>
      </c>
      <c r="Z214" s="116" t="str" cm="1">
        <f t="array" ref="Z214">IF(OR(Y214="Insecta",Y214="Arachnida",Y214="#N/C"),"",IFERROR(_xlfn.LET(_xlpm.fc,IFERROR(_xlfn._xlws.FILTER(ClassificationClasses[],ClassificationClasses[Classification Class]=Y214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214,ClassificationClasses[Key])),0),MATCH(Y214,INDEX(ClassificationClasses[],MATCH(TRUE,ISNUMBER(SEARCH(Y214,ClassificationClasses[Key])),0),0),0)-1)))</f>
        <v>Asilomorpha</v>
      </c>
      <c r="AA214" s="116" t="str" cm="1">
        <f t="array" ref="AA214">IFERROR(IF(OR(Z214="Insecta",Z214="Arachnida",Z214="#N/C"),"",INDEX(ClassificationClasses[[Class]:[Infraorder]],MATCH(TRUE,ISNUMBER(SEARCH(Z214,ClassificationClasses[Key])),0),MATCH(Z214,INDEX(ClassificationClasses[#Data], MATCH(TRUE,ISNUMBER(SEARCH(Z214,ClassificationClasses[Key])),0), 0), 0)-1)),"")</f>
        <v>Brachycera</v>
      </c>
      <c r="AB214" s="116" t="str" cm="1">
        <f t="array" ref="AB214">IFERROR(IF(OR(AA214="Insecta",AA214="Arachnida",AA214="#N/C"),"",INDEX(ClassificationClasses[[Class]:[Suborder]],MATCH(TRUE,ISNUMBER(SEARCH(AA214,ClassificationClasses[Key])),0),MATCH(AA214,INDEX(ClassificationClasses[#Data], MATCH(TRUE,ISNUMBER(SEARCH(AA214,ClassificationClasses[Key])),0), 0), 0)-1)),"")</f>
        <v>Diptera</v>
      </c>
      <c r="AC214" s="116" t="str" cm="1">
        <f t="array" ref="AC214">IFERROR(IF(OR(AB214="Insecta",AB214="Arachnida",AB214="#N/C"),"",INDEX(ClassificationClasses[[Class]:[Suborder]],MATCH(TRUE,ISNUMBER(SEARCH(AB214,ClassificationClasses[Key])),0),MATCH(AB214,INDEX(ClassificationClasses[#Data], MATCH(TRUE,ISNUMBER(SEARCH(AB214,ClassificationClasses[Key])),0), 0), 0)-1)),"")</f>
        <v>Insecta</v>
      </c>
      <c r="AD214" s="116" t="str" cm="1">
        <f t="array" ref="AD214">IFERROR(IF(OR(AC214="Insecta",AC214="Arachnida",AC214="#N/C"),"",INDEX(ClassificationClasses[[Class]:[Suborder]],MATCH(TRUE,ISNUMBER(SEARCH(AC214,ClassificationClasses[Key])),0),MATCH(AC214,INDEX(ClassificationClasses[#Data], MATCH(TRUE,ISNUMBER(SEARCH(AC214,ClassificationClasses[Key])),0), 0), 0)-1)),"")</f>
        <v/>
      </c>
      <c r="AE214" s="18" t="str">
        <f t="shared" si="8"/>
        <v>Insecta.Diptera.Brachycera.Asilomorpha.Asiloidea.Asilidae.Asilinae.#N/C.#N/C</v>
      </c>
    </row>
    <row r="215" spans="1:31" x14ac:dyDescent="0.3">
      <c r="A215" s="91">
        <v>214</v>
      </c>
      <c r="B215" s="7">
        <v>44401</v>
      </c>
      <c r="C215" s="92" t="s">
        <v>391</v>
      </c>
      <c r="D215" s="93" t="str">
        <f>HYPERLINK(VLOOKUP(C215,Video_List!$F:$J,5),"video")</f>
        <v>video</v>
      </c>
      <c r="E215" s="94" t="str">
        <f>IFERROR(IF(MATCH(C215,Video_List!$F:$F,)&gt;0,"ok",""),"error")</f>
        <v>ok</v>
      </c>
      <c r="F215" s="92" t="s">
        <v>391</v>
      </c>
      <c r="G215" s="93" t="str">
        <f>HYPERLINK(VLOOKUP(F215,Video_List!$F:$J,5),"video")</f>
        <v>video</v>
      </c>
      <c r="H215" s="94" t="str">
        <f>IFERROR(IF(MATCH(F215,Video_List!$F:$F,)&gt;0,"ok",""),"error")</f>
        <v>ok</v>
      </c>
      <c r="I215" s="17">
        <v>44401.451493055552</v>
      </c>
      <c r="J215" s="8">
        <v>44401.451550925929</v>
      </c>
      <c r="K215" s="15">
        <f t="shared" si="7"/>
        <v>5.787037662230432E-5</v>
      </c>
      <c r="L215" s="95" t="s">
        <v>44</v>
      </c>
      <c r="M215" s="95" t="s">
        <v>118</v>
      </c>
      <c r="N215" s="96" t="str">
        <f>IF(ISBLANK(C215),"",IF(C215=F215, "1 video",CONCATENATE((+COUNTIFS(Video_List!$C:$C,"&lt;=" &amp;Monitoring!J215)-COUNTIFS(Video_List!$C:$C,"&lt;=" &amp;Monitoring!I215))+1," videos")))</f>
        <v>1 video</v>
      </c>
      <c r="O215" s="29" t="s">
        <v>44</v>
      </c>
      <c r="P215" s="42" t="s">
        <v>37</v>
      </c>
      <c r="Q215" s="42" t="s">
        <v>38</v>
      </c>
      <c r="R215" s="42" t="s">
        <v>39</v>
      </c>
      <c r="S215" s="97" t="str">
        <f>+IFERROR(IF(T215="#N/C","#N/C",IF(U215=0,INDEX(Taxonomy_UniqueValues!D:D,MATCH(U215,Taxonomy_UniqueValues!F:F,0)),INDEX(Taxonomy_UniqueValues!D:D,MATCH(T215,Taxonomy_UniqueValues!E:E,0)))),"#N/C")</f>
        <v>Asilomorpha</v>
      </c>
      <c r="T215" s="42" t="s">
        <v>149</v>
      </c>
      <c r="U215" s="42" t="s">
        <v>150</v>
      </c>
      <c r="V215" s="42" t="s">
        <v>151</v>
      </c>
      <c r="W215" s="42" t="s">
        <v>35</v>
      </c>
      <c r="X215" s="28" t="s">
        <v>35</v>
      </c>
      <c r="Y215" s="69" t="str" cm="1">
        <f t="array" ref="Y215">_xlfn.LET(_xlpm.cls,P215, _xlpm.ord,IFERROR(Q215,"#N/C"), _xlpm.subord,IFERROR(R215,"#N/C"), _xlpm.infr,IFERROR(S215,"#N/C"), _xlpm.sf,IFERROR(T215,"#N/C"), _xlpm.fam,IFERROR(U215,"#N/C"), _xlpm.subfam,IF(TRIM(V215)="-","#N/C",IFERROR(V215,"#N/C")),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_xlpm.fallback,IF(IFERROR(Q215,"#N/C")="#N/C",P215,IF(IFERROR(R215,"#N/C")="#N/C",Q215,IF(IFERROR(S215,"#N/C")="#N/C",R215,IF(IFERROR(T215,"#N/C")="#N/C",S215,IF(IFERROR(U215,"#N/C")="#N/C",T215,IF(IFERROR(V215,"#N/C")="#N/C",U215,"#N/C")))))), _xlpm.finalResult,IF(OR(_xlpm.computedResult="",_xlpm.computedResult="#N/C"),_xlpm.fallback,_xlpm.computedResult), INDEX(_xlpm.finalResult,1))</f>
        <v>robber_fly</v>
      </c>
      <c r="Z215" s="116" t="str" cm="1">
        <f t="array" ref="Z215">IF(OR(Y215="Insecta",Y215="Arachnida",Y215="#N/C"),"",IFERROR(_xlfn.LET(_xlpm.fc,IFERROR(_xlfn._xlws.FILTER(ClassificationClasses[],ClassificationClasses[Classification Class]=Y215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215,ClassificationClasses[Key])),0),MATCH(Y215,INDEX(ClassificationClasses[],MATCH(TRUE,ISNUMBER(SEARCH(Y215,ClassificationClasses[Key])),0),0),0)-1)))</f>
        <v>Asilomorpha</v>
      </c>
      <c r="AA215" s="116" t="str" cm="1">
        <f t="array" ref="AA215">IFERROR(IF(OR(Z215="Insecta",Z215="Arachnida",Z215="#N/C"),"",INDEX(ClassificationClasses[[Class]:[Infraorder]],MATCH(TRUE,ISNUMBER(SEARCH(Z215,ClassificationClasses[Key])),0),MATCH(Z215,INDEX(ClassificationClasses[#Data], MATCH(TRUE,ISNUMBER(SEARCH(Z215,ClassificationClasses[Key])),0), 0), 0)-1)),"")</f>
        <v>Brachycera</v>
      </c>
      <c r="AB215" s="116" t="str" cm="1">
        <f t="array" ref="AB215">IFERROR(IF(OR(AA215="Insecta",AA215="Arachnida",AA215="#N/C"),"",INDEX(ClassificationClasses[[Class]:[Suborder]],MATCH(TRUE,ISNUMBER(SEARCH(AA215,ClassificationClasses[Key])),0),MATCH(AA215,INDEX(ClassificationClasses[#Data], MATCH(TRUE,ISNUMBER(SEARCH(AA215,ClassificationClasses[Key])),0), 0), 0)-1)),"")</f>
        <v>Diptera</v>
      </c>
      <c r="AC215" s="116" t="str" cm="1">
        <f t="array" ref="AC215">IFERROR(IF(OR(AB215="Insecta",AB215="Arachnida",AB215="#N/C"),"",INDEX(ClassificationClasses[[Class]:[Suborder]],MATCH(TRUE,ISNUMBER(SEARCH(AB215,ClassificationClasses[Key])),0),MATCH(AB215,INDEX(ClassificationClasses[#Data], MATCH(TRUE,ISNUMBER(SEARCH(AB215,ClassificationClasses[Key])),0), 0), 0)-1)),"")</f>
        <v>Insecta</v>
      </c>
      <c r="AD215" s="116" t="str" cm="1">
        <f t="array" ref="AD215">IFERROR(IF(OR(AC215="Insecta",AC215="Arachnida",AC215="#N/C"),"",INDEX(ClassificationClasses[[Class]:[Suborder]],MATCH(TRUE,ISNUMBER(SEARCH(AC215,ClassificationClasses[Key])),0),MATCH(AC215,INDEX(ClassificationClasses[#Data], MATCH(TRUE,ISNUMBER(SEARCH(AC215,ClassificationClasses[Key])),0), 0), 0)-1)),"")</f>
        <v/>
      </c>
      <c r="AE215" s="18" t="str">
        <f t="shared" si="8"/>
        <v>Insecta.Diptera.Brachycera.Asilomorpha.Asiloidea.Asilidae.Asilinae.#N/C.#N/C</v>
      </c>
    </row>
    <row r="216" spans="1:31" x14ac:dyDescent="0.3">
      <c r="A216" s="91">
        <v>215</v>
      </c>
      <c r="B216" s="7">
        <v>44401</v>
      </c>
      <c r="C216" s="92" t="s">
        <v>392</v>
      </c>
      <c r="D216" s="93" t="str">
        <f>HYPERLINK(VLOOKUP(C216,Video_List!$F:$J,5),"video")</f>
        <v>video</v>
      </c>
      <c r="E216" s="94" t="str">
        <f>IFERROR(IF(MATCH(C216,Video_List!$F:$F,)&gt;0,"ok",""),"error")</f>
        <v>ok</v>
      </c>
      <c r="F216" s="92" t="s">
        <v>392</v>
      </c>
      <c r="G216" s="93" t="str">
        <f>HYPERLINK(VLOOKUP(F216,Video_List!$F:$J,5),"video")</f>
        <v>video</v>
      </c>
      <c r="H216" s="94" t="str">
        <f>IFERROR(IF(MATCH(F216,Video_List!$F:$F,)&gt;0,"ok",""),"error")</f>
        <v>ok</v>
      </c>
      <c r="I216" s="17">
        <v>44401.459131944444</v>
      </c>
      <c r="J216" s="8">
        <v>44401.459849537037</v>
      </c>
      <c r="K216" s="15">
        <f t="shared" si="7"/>
        <v>7.1759259299142286E-4</v>
      </c>
      <c r="L216" s="95" t="s">
        <v>32</v>
      </c>
      <c r="M216" s="95" t="s">
        <v>33</v>
      </c>
      <c r="N216" s="96" t="str">
        <f>IF(ISBLANK(C216),"",IF(C216=F216, "1 video",CONCATENATE((+COUNTIFS(Video_List!$C:$C,"&lt;=" &amp;Monitoring!J216)-COUNTIFS(Video_List!$C:$C,"&lt;=" &amp;Monitoring!I216))+1," videos")))</f>
        <v>1 video</v>
      </c>
      <c r="O216" s="29" t="s">
        <v>44</v>
      </c>
      <c r="P216" s="42" t="s">
        <v>37</v>
      </c>
      <c r="Q216" s="42" t="s">
        <v>38</v>
      </c>
      <c r="R216" s="42" t="s">
        <v>39</v>
      </c>
      <c r="S216" s="97" t="str">
        <f>+IFERROR(IF(T216="#N/C","#N/C",IF(U216=0,INDEX(Taxonomy_UniqueValues!D:D,MATCH(U216,Taxonomy_UniqueValues!F:F,0)),INDEX(Taxonomy_UniqueValues!D:D,MATCH(T216,Taxonomy_UniqueValues!E:E,0)))),"#N/C")</f>
        <v>Muscomorpha</v>
      </c>
      <c r="T216" s="42" t="s">
        <v>46</v>
      </c>
      <c r="U216" s="42" t="s">
        <v>47</v>
      </c>
      <c r="V216" s="42" t="s">
        <v>48</v>
      </c>
      <c r="W216" s="42" t="s">
        <v>35</v>
      </c>
      <c r="X216" s="28" t="s">
        <v>35</v>
      </c>
      <c r="Y216" s="69" t="str" cm="1">
        <f t="array" ref="Y216">_xlfn.LET(_xlpm.cls,P216, _xlpm.ord,IFERROR(Q216,"#N/C"), _xlpm.subord,IFERROR(R216,"#N/C"), _xlpm.infr,IFERROR(S216,"#N/C"), _xlpm.sf,IFERROR(T216,"#N/C"), _xlpm.fam,IFERROR(U216,"#N/C"), _xlpm.subfam,IF(TRIM(V216)="-","#N/C",IFERROR(V216,"#N/C")),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_xlpm.fallback,IF(IFERROR(Q216,"#N/C")="#N/C",P216,IF(IFERROR(R216,"#N/C")="#N/C",Q216,IF(IFERROR(S216,"#N/C")="#N/C",R216,IF(IFERROR(T216,"#N/C")="#N/C",S216,IF(IFERROR(U216,"#N/C")="#N/C",T216,IF(IFERROR(V216,"#N/C")="#N/C",U216,"#N/C")))))), _xlpm.finalResult,IF(OR(_xlpm.computedResult="",_xlpm.computedResult="#N/C"),_xlpm.fallback,_xlpm.computedResult), INDEX(_xlpm.finalResult,1))</f>
        <v>hoverfly</v>
      </c>
      <c r="Z216" s="116" t="str" cm="1">
        <f t="array" ref="Z216">IF(OR(Y216="Insecta",Y216="Arachnida",Y216="#N/C"),"",IFERROR(_xlfn.LET(_xlpm.fc,IFERROR(_xlfn._xlws.FILTER(ClassificationClasses[],ClassificationClasses[Classification Class]=Y216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216,ClassificationClasses[Key])),0),MATCH(Y216,INDEX(ClassificationClasses[],MATCH(TRUE,ISNUMBER(SEARCH(Y216,ClassificationClasses[Key])),0),0),0)-1)))</f>
        <v>Muscomorpha</v>
      </c>
      <c r="AA216" s="116" t="str" cm="1">
        <f t="array" ref="AA216">IFERROR(IF(OR(Z216="Insecta",Z216="Arachnida",Z216="#N/C"),"",INDEX(ClassificationClasses[[Class]:[Infraorder]],MATCH(TRUE,ISNUMBER(SEARCH(Z216,ClassificationClasses[Key])),0),MATCH(Z216,INDEX(ClassificationClasses[#Data], MATCH(TRUE,ISNUMBER(SEARCH(Z216,ClassificationClasses[Key])),0), 0), 0)-1)),"")</f>
        <v>Brachycera</v>
      </c>
      <c r="AB216" s="116" t="str" cm="1">
        <f t="array" ref="AB216">IFERROR(IF(OR(AA216="Insecta",AA216="Arachnida",AA216="#N/C"),"",INDEX(ClassificationClasses[[Class]:[Suborder]],MATCH(TRUE,ISNUMBER(SEARCH(AA216,ClassificationClasses[Key])),0),MATCH(AA216,INDEX(ClassificationClasses[#Data], MATCH(TRUE,ISNUMBER(SEARCH(AA216,ClassificationClasses[Key])),0), 0), 0)-1)),"")</f>
        <v>Diptera</v>
      </c>
      <c r="AC216" s="116" t="str" cm="1">
        <f t="array" ref="AC216">IFERROR(IF(OR(AB216="Insecta",AB216="Arachnida",AB216="#N/C"),"",INDEX(ClassificationClasses[[Class]:[Suborder]],MATCH(TRUE,ISNUMBER(SEARCH(AB216,ClassificationClasses[Key])),0),MATCH(AB216,INDEX(ClassificationClasses[#Data], MATCH(TRUE,ISNUMBER(SEARCH(AB216,ClassificationClasses[Key])),0), 0), 0)-1)),"")</f>
        <v>Insecta</v>
      </c>
      <c r="AD216" s="116" t="str" cm="1">
        <f t="array" ref="AD216">IFERROR(IF(OR(AC216="Insecta",AC216="Arachnida",AC216="#N/C"),"",INDEX(ClassificationClasses[[Class]:[Suborder]],MATCH(TRUE,ISNUMBER(SEARCH(AC216,ClassificationClasses[Key])),0),MATCH(AC216,INDEX(ClassificationClasses[#Data], MATCH(TRUE,ISNUMBER(SEARCH(AC216,ClassificationClasses[Key])),0), 0), 0)-1)),"")</f>
        <v/>
      </c>
      <c r="AE216" s="18" t="str">
        <f t="shared" si="8"/>
        <v>Insecta.Diptera.Brachycera.Muscomorpha.Syrphoidea.Syrphidae.Syrphinae.#N/C.#N/C</v>
      </c>
    </row>
    <row r="217" spans="1:31" x14ac:dyDescent="0.3">
      <c r="A217" s="91">
        <v>216</v>
      </c>
      <c r="B217" s="7">
        <v>44401</v>
      </c>
      <c r="C217" s="92" t="s">
        <v>393</v>
      </c>
      <c r="D217" s="93" t="str">
        <f>HYPERLINK(VLOOKUP(C217,Video_List!$F:$J,5),"video")</f>
        <v>video</v>
      </c>
      <c r="E217" s="94" t="str">
        <f>IFERROR(IF(MATCH(C217,Video_List!$F:$F,)&gt;0,"ok",""),"error")</f>
        <v>ok</v>
      </c>
      <c r="F217" s="92" t="s">
        <v>393</v>
      </c>
      <c r="G217" s="93" t="str">
        <f>HYPERLINK(VLOOKUP(F217,Video_List!$F:$J,5),"video")</f>
        <v>video</v>
      </c>
      <c r="H217" s="94" t="str">
        <f>IFERROR(IF(MATCH(F217,Video_List!$F:$F,)&gt;0,"ok",""),"error")</f>
        <v>ok</v>
      </c>
      <c r="I217" s="17">
        <v>44401.467118055552</v>
      </c>
      <c r="J217" s="8">
        <v>44401.467534722222</v>
      </c>
      <c r="K217" s="15">
        <f t="shared" si="7"/>
        <v>4.1666666948003694E-4</v>
      </c>
      <c r="L217" s="95" t="s">
        <v>32</v>
      </c>
      <c r="M217" s="95" t="s">
        <v>33</v>
      </c>
      <c r="N217" s="96" t="str">
        <f>IF(ISBLANK(C217),"",IF(C217=F217, "1 video",CONCATENATE((+COUNTIFS(Video_List!$C:$C,"&lt;=" &amp;Monitoring!J217)-COUNTIFS(Video_List!$C:$C,"&lt;=" &amp;Monitoring!I217))+1," videos")))</f>
        <v>1 video</v>
      </c>
      <c r="O217" s="27" t="s">
        <v>32</v>
      </c>
      <c r="P217" s="42" t="s">
        <v>37</v>
      </c>
      <c r="Q217" s="42" t="s">
        <v>38</v>
      </c>
      <c r="R217" s="42" t="s">
        <v>39</v>
      </c>
      <c r="S217" s="97" t="str">
        <f>+IFERROR(IF(T217="#N/C","#N/C",IF(U217=0,INDEX(Taxonomy_UniqueValues!D:D,MATCH(U217,Taxonomy_UniqueValues!F:F,0)),INDEX(Taxonomy_UniqueValues!D:D,MATCH(T217,Taxonomy_UniqueValues!E:E,0)))),"#N/C")</f>
        <v>Asilomorpha</v>
      </c>
      <c r="T217" s="42" t="s">
        <v>149</v>
      </c>
      <c r="U217" s="42" t="s">
        <v>150</v>
      </c>
      <c r="V217" s="42" t="s">
        <v>151</v>
      </c>
      <c r="W217" s="42" t="s">
        <v>34</v>
      </c>
      <c r="X217" s="28" t="s">
        <v>35</v>
      </c>
      <c r="Y217" s="69" t="str" cm="1">
        <f t="array" ref="Y217">_xlfn.LET(_xlpm.cls,P217, _xlpm.ord,IFERROR(Q217,"#N/C"), _xlpm.subord,IFERROR(R217,"#N/C"), _xlpm.infr,IFERROR(S217,"#N/C"), _xlpm.sf,IFERROR(T217,"#N/C"), _xlpm.fam,IFERROR(U217,"#N/C"), _xlpm.subfam,IF(TRIM(V217)="-","#N/C",IFERROR(V217,"#N/C")),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_xlpm.fallback,IF(IFERROR(Q217,"#N/C")="#N/C",P217,IF(IFERROR(R217,"#N/C")="#N/C",Q217,IF(IFERROR(S217,"#N/C")="#N/C",R217,IF(IFERROR(T217,"#N/C")="#N/C",S217,IF(IFERROR(U217,"#N/C")="#N/C",T217,IF(IFERROR(V217,"#N/C")="#N/C",U217,"#N/C")))))), _xlpm.finalResult,IF(OR(_xlpm.computedResult="",_xlpm.computedResult="#N/C"),_xlpm.fallback,_xlpm.computedResult), INDEX(_xlpm.finalResult,1))</f>
        <v>robber_fly</v>
      </c>
      <c r="Z217" s="116" t="str" cm="1">
        <f t="array" ref="Z217">IF(OR(Y217="Insecta",Y217="Arachnida",Y217="#N/C"),"",IFERROR(_xlfn.LET(_xlpm.fc,IFERROR(_xlfn._xlws.FILTER(ClassificationClasses[],ClassificationClasses[Classification Class]=Y217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217,ClassificationClasses[Key])),0),MATCH(Y217,INDEX(ClassificationClasses[],MATCH(TRUE,ISNUMBER(SEARCH(Y217,ClassificationClasses[Key])),0),0),0)-1)))</f>
        <v>Asilomorpha</v>
      </c>
      <c r="AA217" s="116" t="str" cm="1">
        <f t="array" ref="AA217">IFERROR(IF(OR(Z217="Insecta",Z217="Arachnida",Z217="#N/C"),"",INDEX(ClassificationClasses[[Class]:[Infraorder]],MATCH(TRUE,ISNUMBER(SEARCH(Z217,ClassificationClasses[Key])),0),MATCH(Z217,INDEX(ClassificationClasses[#Data], MATCH(TRUE,ISNUMBER(SEARCH(Z217,ClassificationClasses[Key])),0), 0), 0)-1)),"")</f>
        <v>Brachycera</v>
      </c>
      <c r="AB217" s="116" t="str" cm="1">
        <f t="array" ref="AB217">IFERROR(IF(OR(AA217="Insecta",AA217="Arachnida",AA217="#N/C"),"",INDEX(ClassificationClasses[[Class]:[Suborder]],MATCH(TRUE,ISNUMBER(SEARCH(AA217,ClassificationClasses[Key])),0),MATCH(AA217,INDEX(ClassificationClasses[#Data], MATCH(TRUE,ISNUMBER(SEARCH(AA217,ClassificationClasses[Key])),0), 0), 0)-1)),"")</f>
        <v>Diptera</v>
      </c>
      <c r="AC217" s="116" t="str" cm="1">
        <f t="array" ref="AC217">IFERROR(IF(OR(AB217="Insecta",AB217="Arachnida",AB217="#N/C"),"",INDEX(ClassificationClasses[[Class]:[Suborder]],MATCH(TRUE,ISNUMBER(SEARCH(AB217,ClassificationClasses[Key])),0),MATCH(AB217,INDEX(ClassificationClasses[#Data], MATCH(TRUE,ISNUMBER(SEARCH(AB217,ClassificationClasses[Key])),0), 0), 0)-1)),"")</f>
        <v>Insecta</v>
      </c>
      <c r="AD217" s="116" t="str" cm="1">
        <f t="array" ref="AD217">IFERROR(IF(OR(AC217="Insecta",AC217="Arachnida",AC217="#N/C"),"",INDEX(ClassificationClasses[[Class]:[Suborder]],MATCH(TRUE,ISNUMBER(SEARCH(AC217,ClassificationClasses[Key])),0),MATCH(AC217,INDEX(ClassificationClasses[#Data], MATCH(TRUE,ISNUMBER(SEARCH(AC217,ClassificationClasses[Key])),0), 0), 0)-1)),"")</f>
        <v/>
      </c>
      <c r="AE217" s="18" t="str">
        <f t="shared" si="8"/>
        <v>Insecta.Diptera.Brachycera.Asilomorpha.Asiloidea.Asilidae.Asilinae.Tolmerus.#N/C</v>
      </c>
    </row>
    <row r="218" spans="1:31" x14ac:dyDescent="0.3">
      <c r="A218" s="91">
        <v>217</v>
      </c>
      <c r="B218" s="7">
        <v>44401</v>
      </c>
      <c r="C218" s="92" t="s">
        <v>394</v>
      </c>
      <c r="D218" s="93" t="str">
        <f>HYPERLINK(VLOOKUP(C218,Video_List!$F:$J,5),"video")</f>
        <v>video</v>
      </c>
      <c r="E218" s="94" t="str">
        <f>IFERROR(IF(MATCH(C218,Video_List!$F:$F,)&gt;0,"ok",""),"error")</f>
        <v>ok</v>
      </c>
      <c r="F218" s="92" t="s">
        <v>394</v>
      </c>
      <c r="G218" s="93" t="str">
        <f>HYPERLINK(VLOOKUP(F218,Video_List!$F:$J,5),"video")</f>
        <v>video</v>
      </c>
      <c r="H218" s="94" t="str">
        <f>IFERROR(IF(MATCH(F218,Video_List!$F:$F,)&gt;0,"ok",""),"error")</f>
        <v>ok</v>
      </c>
      <c r="I218" s="17">
        <v>44401.511331018519</v>
      </c>
      <c r="J218" s="8">
        <v>44401.511817129627</v>
      </c>
      <c r="K218" s="15">
        <f t="shared" si="7"/>
        <v>4.8611110833007842E-4</v>
      </c>
      <c r="L218" s="95" t="s">
        <v>32</v>
      </c>
      <c r="M218" s="95" t="s">
        <v>33</v>
      </c>
      <c r="N218" s="96" t="str">
        <f>IF(ISBLANK(C218),"",IF(C218=F218, "1 video",CONCATENATE((+COUNTIFS(Video_List!$C:$C,"&lt;=" &amp;Monitoring!J218)-COUNTIFS(Video_List!$C:$C,"&lt;=" &amp;Monitoring!I218))+1," videos")))</f>
        <v>1 video</v>
      </c>
      <c r="O218" s="29" t="s">
        <v>44</v>
      </c>
      <c r="P218" s="42" t="s">
        <v>37</v>
      </c>
      <c r="Q218" s="42" t="s">
        <v>38</v>
      </c>
      <c r="R218" s="42" t="s">
        <v>39</v>
      </c>
      <c r="S218" s="97" t="str">
        <f>+IFERROR(IF(T218="#N/C","#N/C",IF(U218=0,INDEX(Taxonomy_UniqueValues!D:D,MATCH(U218,Taxonomy_UniqueValues!F:F,0)),INDEX(Taxonomy_UniqueValues!D:D,MATCH(T218,Taxonomy_UniqueValues!E:E,0)))),"#N/C")</f>
        <v>Asilomorpha</v>
      </c>
      <c r="T218" s="42" t="s">
        <v>149</v>
      </c>
      <c r="U218" s="42" t="s">
        <v>150</v>
      </c>
      <c r="V218" s="42" t="s">
        <v>151</v>
      </c>
      <c r="W218" s="42" t="s">
        <v>35</v>
      </c>
      <c r="X218" s="28" t="s">
        <v>35</v>
      </c>
      <c r="Y218" s="69" t="str" cm="1">
        <f t="array" ref="Y218">_xlfn.LET(_xlpm.cls,P218, _xlpm.ord,IFERROR(Q218,"#N/C"), _xlpm.subord,IFERROR(R218,"#N/C"), _xlpm.infr,IFERROR(S218,"#N/C"), _xlpm.sf,IFERROR(T218,"#N/C"), _xlpm.fam,IFERROR(U218,"#N/C"), _xlpm.subfam,IF(TRIM(V218)="-","#N/C",IFERROR(V218,"#N/C")),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_xlpm.fallback,IF(IFERROR(Q218,"#N/C")="#N/C",P218,IF(IFERROR(R218,"#N/C")="#N/C",Q218,IF(IFERROR(S218,"#N/C")="#N/C",R218,IF(IFERROR(T218,"#N/C")="#N/C",S218,IF(IFERROR(U218,"#N/C")="#N/C",T218,IF(IFERROR(V218,"#N/C")="#N/C",U218,"#N/C")))))), _xlpm.finalResult,IF(OR(_xlpm.computedResult="",_xlpm.computedResult="#N/C"),_xlpm.fallback,_xlpm.computedResult), INDEX(_xlpm.finalResult,1))</f>
        <v>robber_fly</v>
      </c>
      <c r="Z218" s="116" t="str" cm="1">
        <f t="array" ref="Z218">IF(OR(Y218="Insecta",Y218="Arachnida",Y218="#N/C"),"",IFERROR(_xlfn.LET(_xlpm.fc,IFERROR(_xlfn._xlws.FILTER(ClassificationClasses[],ClassificationClasses[Classification Class]=Y218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218,ClassificationClasses[Key])),0),MATCH(Y218,INDEX(ClassificationClasses[],MATCH(TRUE,ISNUMBER(SEARCH(Y218,ClassificationClasses[Key])),0),0),0)-1)))</f>
        <v>Asilomorpha</v>
      </c>
      <c r="AA218" s="116" t="str" cm="1">
        <f t="array" ref="AA218">IFERROR(IF(OR(Z218="Insecta",Z218="Arachnida",Z218="#N/C"),"",INDEX(ClassificationClasses[[Class]:[Infraorder]],MATCH(TRUE,ISNUMBER(SEARCH(Z218,ClassificationClasses[Key])),0),MATCH(Z218,INDEX(ClassificationClasses[#Data], MATCH(TRUE,ISNUMBER(SEARCH(Z218,ClassificationClasses[Key])),0), 0), 0)-1)),"")</f>
        <v>Brachycera</v>
      </c>
      <c r="AB218" s="116" t="str" cm="1">
        <f t="array" ref="AB218">IFERROR(IF(OR(AA218="Insecta",AA218="Arachnida",AA218="#N/C"),"",INDEX(ClassificationClasses[[Class]:[Suborder]],MATCH(TRUE,ISNUMBER(SEARCH(AA218,ClassificationClasses[Key])),0),MATCH(AA218,INDEX(ClassificationClasses[#Data], MATCH(TRUE,ISNUMBER(SEARCH(AA218,ClassificationClasses[Key])),0), 0), 0)-1)),"")</f>
        <v>Diptera</v>
      </c>
      <c r="AC218" s="116" t="str" cm="1">
        <f t="array" ref="AC218">IFERROR(IF(OR(AB218="Insecta",AB218="Arachnida",AB218="#N/C"),"",INDEX(ClassificationClasses[[Class]:[Suborder]],MATCH(TRUE,ISNUMBER(SEARCH(AB218,ClassificationClasses[Key])),0),MATCH(AB218,INDEX(ClassificationClasses[#Data], MATCH(TRUE,ISNUMBER(SEARCH(AB218,ClassificationClasses[Key])),0), 0), 0)-1)),"")</f>
        <v>Insecta</v>
      </c>
      <c r="AD218" s="116" t="str" cm="1">
        <f t="array" ref="AD218">IFERROR(IF(OR(AC218="Insecta",AC218="Arachnida",AC218="#N/C"),"",INDEX(ClassificationClasses[[Class]:[Suborder]],MATCH(TRUE,ISNUMBER(SEARCH(AC218,ClassificationClasses[Key])),0),MATCH(AC218,INDEX(ClassificationClasses[#Data], MATCH(TRUE,ISNUMBER(SEARCH(AC218,ClassificationClasses[Key])),0), 0), 0)-1)),"")</f>
        <v/>
      </c>
      <c r="AE218" s="18" t="str">
        <f t="shared" si="8"/>
        <v>Insecta.Diptera.Brachycera.Asilomorpha.Asiloidea.Asilidae.Asilinae.#N/C.#N/C</v>
      </c>
    </row>
    <row r="219" spans="1:31" x14ac:dyDescent="0.3">
      <c r="A219" s="91">
        <v>218</v>
      </c>
      <c r="B219" s="7">
        <v>44401</v>
      </c>
      <c r="C219" s="92" t="s">
        <v>395</v>
      </c>
      <c r="D219" s="93" t="str">
        <f>HYPERLINK(VLOOKUP(C219,Video_List!$F:$J,5),"video")</f>
        <v>video</v>
      </c>
      <c r="E219" s="94" t="str">
        <f>IFERROR(IF(MATCH(C219,Video_List!$F:$F,)&gt;0,"ok",""),"error")</f>
        <v>ok</v>
      </c>
      <c r="F219" s="92" t="s">
        <v>395</v>
      </c>
      <c r="G219" s="93" t="str">
        <f>HYPERLINK(VLOOKUP(F219,Video_List!$F:$J,5),"video")</f>
        <v>video</v>
      </c>
      <c r="H219" s="94" t="str">
        <f>IFERROR(IF(MATCH(F219,Video_List!$F:$F,)&gt;0,"ok",""),"error")</f>
        <v>ok</v>
      </c>
      <c r="I219" s="17">
        <v>44401.528182870374</v>
      </c>
      <c r="J219" s="8">
        <v>44401.528321759259</v>
      </c>
      <c r="K219" s="15">
        <f t="shared" si="7"/>
        <v>1.3888888497604057E-4</v>
      </c>
      <c r="L219" s="4" t="s">
        <v>44</v>
      </c>
      <c r="M219" s="4" t="s">
        <v>33</v>
      </c>
      <c r="N219" s="96" t="str">
        <f>IF(ISBLANK(C219),"",IF(C219=F219, "1 video",CONCATENATE((+COUNTIFS(Video_List!$C:$C,"&lt;=" &amp;Monitoring!J219)-COUNTIFS(Video_List!$C:$C,"&lt;=" &amp;Monitoring!I219))+1," videos")))</f>
        <v>1 video</v>
      </c>
      <c r="O219" s="27" t="s">
        <v>32</v>
      </c>
      <c r="P219" s="42" t="s">
        <v>37</v>
      </c>
      <c r="Q219" s="42" t="s">
        <v>41</v>
      </c>
      <c r="R219" s="42" t="s">
        <v>42</v>
      </c>
      <c r="S219" s="97" t="str">
        <f>+IFERROR(IF(T219="#N/C","#N/C",IF(U219=0,INDEX(Taxonomy_UniqueValues!D:D,MATCH(U219,Taxonomy_UniqueValues!F:F,0)),INDEX(Taxonomy_UniqueValues!D:D,MATCH(T219,Taxonomy_UniqueValues!E:E,0)))),"#N/C")</f>
        <v>Aculeata</v>
      </c>
      <c r="T219" s="42" t="s">
        <v>131</v>
      </c>
      <c r="U219" s="42" t="s">
        <v>396</v>
      </c>
      <c r="V219" s="42" t="s">
        <v>397</v>
      </c>
      <c r="W219" s="42" t="s">
        <v>398</v>
      </c>
      <c r="X219" s="28" t="s">
        <v>35</v>
      </c>
      <c r="Y219" s="69" t="str" cm="1">
        <f t="array" ref="Y219">_xlfn.LET(_xlpm.cls,P219, _xlpm.ord,IFERROR(Q219,"#N/C"), _xlpm.subord,IFERROR(R219,"#N/C"), _xlpm.infr,IFERROR(S219,"#N/C"), _xlpm.sf,IFERROR(T219,"#N/C"), _xlpm.fam,IFERROR(U219,"#N/C"), _xlpm.subfam,IF(TRIM(V219)="-","#N/C",IFERROR(V219,"#N/C")),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_xlpm.fallback,IF(IFERROR(Q219,"#N/C")="#N/C",P219,IF(IFERROR(R219,"#N/C")="#N/C",Q219,IF(IFERROR(S219,"#N/C")="#N/C",R219,IF(IFERROR(T219,"#N/C")="#N/C",S219,IF(IFERROR(U219,"#N/C")="#N/C",T219,IF(IFERROR(V219,"#N/C")="#N/C",U219,"#N/C")))))), _xlpm.finalResult,IF(OR(_xlpm.computedResult="",_xlpm.computedResult="#N/C"),_xlpm.fallback,_xlpm.computedResult), INDEX(_xlpm.finalResult,1))</f>
        <v>Apoidea</v>
      </c>
      <c r="Z219" s="116" t="str" cm="1">
        <f t="array" ref="Z219">IF(OR(Y219="Insecta",Y219="Arachnida",Y219="#N/C"),"",IFERROR(_xlfn.LET(_xlpm.fc,IFERROR(_xlfn._xlws.FILTER(ClassificationClasses[],ClassificationClasses[Classification Class]=Y219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219,ClassificationClasses[Key])),0),MATCH(Y219,INDEX(ClassificationClasses[],MATCH(TRUE,ISNUMBER(SEARCH(Y219,ClassificationClasses[Key])),0),0),0)-1)))</f>
        <v>Aculeata</v>
      </c>
      <c r="AA219" s="116" t="str" cm="1">
        <f t="array" ref="AA219">IFERROR(IF(OR(Z219="Insecta",Z219="Arachnida",Z219="#N/C"),"",INDEX(ClassificationClasses[[Class]:[Infraorder]],MATCH(TRUE,ISNUMBER(SEARCH(Z219,ClassificationClasses[Key])),0),MATCH(Z219,INDEX(ClassificationClasses[#Data], MATCH(TRUE,ISNUMBER(SEARCH(Z219,ClassificationClasses[Key])),0), 0), 0)-1)),"")</f>
        <v>Apocrita</v>
      </c>
      <c r="AB219" s="116" t="str" cm="1">
        <f t="array" ref="AB219">IFERROR(IF(OR(AA219="Insecta",AA219="Arachnida",AA219="#N/C"),"",INDEX(ClassificationClasses[[Class]:[Suborder]],MATCH(TRUE,ISNUMBER(SEARCH(AA219,ClassificationClasses[Key])),0),MATCH(AA219,INDEX(ClassificationClasses[#Data], MATCH(TRUE,ISNUMBER(SEARCH(AA219,ClassificationClasses[Key])),0), 0), 0)-1)),"")</f>
        <v>Hymenoptera</v>
      </c>
      <c r="AC219" s="116" t="str" cm="1">
        <f t="array" ref="AC219">IFERROR(IF(OR(AB219="Insecta",AB219="Arachnida",AB219="#N/C"),"",INDEX(ClassificationClasses[[Class]:[Suborder]],MATCH(TRUE,ISNUMBER(SEARCH(AB219,ClassificationClasses[Key])),0),MATCH(AB219,INDEX(ClassificationClasses[#Data], MATCH(TRUE,ISNUMBER(SEARCH(AB219,ClassificationClasses[Key])),0), 0), 0)-1)),"")</f>
        <v>Insecta</v>
      </c>
      <c r="AD219" s="116" t="str" cm="1">
        <f t="array" ref="AD219">IFERROR(IF(OR(AC219="Insecta",AC219="Arachnida",AC219="#N/C"),"",INDEX(ClassificationClasses[[Class]:[Suborder]],MATCH(TRUE,ISNUMBER(SEARCH(AC219,ClassificationClasses[Key])),0),MATCH(AC219,INDEX(ClassificationClasses[#Data], MATCH(TRUE,ISNUMBER(SEARCH(AC219,ClassificationClasses[Key])),0), 0), 0)-1)),"")</f>
        <v/>
      </c>
      <c r="AE219" s="18" t="str">
        <f t="shared" si="8"/>
        <v>Insecta.Hymenoptera.Apocrita.Aculeata.Apoidea.Crabronidae.Astatinae.Astata.#N/C</v>
      </c>
    </row>
    <row r="220" spans="1:31" x14ac:dyDescent="0.3">
      <c r="A220" s="91">
        <v>219</v>
      </c>
      <c r="B220" s="7">
        <v>44401</v>
      </c>
      <c r="C220" s="92" t="s">
        <v>399</v>
      </c>
      <c r="D220" s="93" t="str">
        <f>HYPERLINK(VLOOKUP(C220,Video_List!$F:$J,5),"video")</f>
        <v>video</v>
      </c>
      <c r="E220" s="94" t="str">
        <f>IFERROR(IF(MATCH(C220,Video_List!$F:$F,)&gt;0,"ok",""),"error")</f>
        <v>ok</v>
      </c>
      <c r="F220" s="92" t="s">
        <v>399</v>
      </c>
      <c r="G220" s="93" t="str">
        <f>HYPERLINK(VLOOKUP(F220,Video_List!$F:$J,5),"video")</f>
        <v>video</v>
      </c>
      <c r="H220" s="94" t="str">
        <f>IFERROR(IF(MATCH(F220,Video_List!$F:$F,)&gt;0,"ok",""),"error")</f>
        <v>ok</v>
      </c>
      <c r="I220" s="17">
        <v>44401.538969907408</v>
      </c>
      <c r="J220" s="8">
        <v>44401.539074074077</v>
      </c>
      <c r="K220" s="15">
        <f t="shared" si="7"/>
        <v>1.0416666918899864E-4</v>
      </c>
      <c r="L220" s="95" t="s">
        <v>32</v>
      </c>
      <c r="M220" s="95" t="s">
        <v>33</v>
      </c>
      <c r="N220" s="96" t="str">
        <f>IF(ISBLANK(C220),"",IF(C220=F220, "1 video",CONCATENATE((+COUNTIFS(Video_List!$C:$C,"&lt;=" &amp;Monitoring!J220)-COUNTIFS(Video_List!$C:$C,"&lt;=" &amp;Monitoring!I220))+1," videos")))</f>
        <v>1 video</v>
      </c>
      <c r="O220" s="27" t="s">
        <v>32</v>
      </c>
      <c r="P220" s="42" t="s">
        <v>37</v>
      </c>
      <c r="Q220" s="42" t="s">
        <v>38</v>
      </c>
      <c r="R220" s="42" t="s">
        <v>39</v>
      </c>
      <c r="S220" s="97" t="str">
        <f>+IFERROR(IF(T220="#N/C","#N/C",IF(U220=0,INDEX(Taxonomy_UniqueValues!D:D,MATCH(U220,Taxonomy_UniqueValues!F:F,0)),INDEX(Taxonomy_UniqueValues!D:D,MATCH(T220,Taxonomy_UniqueValues!E:E,0)))),"#N/C")</f>
        <v>Muscomorpha</v>
      </c>
      <c r="T220" s="42" t="s">
        <v>46</v>
      </c>
      <c r="U220" s="42" t="s">
        <v>47</v>
      </c>
      <c r="V220" s="42" t="s">
        <v>48</v>
      </c>
      <c r="W220" s="42" t="s">
        <v>400</v>
      </c>
      <c r="X220" s="28" t="s">
        <v>401</v>
      </c>
      <c r="Y220" s="69" t="str" cm="1">
        <f t="array" ref="Y220">_xlfn.LET(_xlpm.cls,P220, _xlpm.ord,IFERROR(Q220,"#N/C"), _xlpm.subord,IFERROR(R220,"#N/C"), _xlpm.infr,IFERROR(S220,"#N/C"), _xlpm.sf,IFERROR(T220,"#N/C"), _xlpm.fam,IFERROR(U220,"#N/C"), _xlpm.subfam,IF(TRIM(V220)="-","#N/C",IFERROR(V220,"#N/C")),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_xlpm.fallback,IF(IFERROR(Q220,"#N/C")="#N/C",P220,IF(IFERROR(R220,"#N/C")="#N/C",Q220,IF(IFERROR(S220,"#N/C")="#N/C",R220,IF(IFERROR(T220,"#N/C")="#N/C",S220,IF(IFERROR(U220,"#N/C")="#N/C",T220,IF(IFERROR(V220,"#N/C")="#N/C",U220,"#N/C")))))), _xlpm.finalResult,IF(OR(_xlpm.computedResult="",_xlpm.computedResult="#N/C"),_xlpm.fallback,_xlpm.computedResult), INDEX(_xlpm.finalResult,1))</f>
        <v>hoverfly</v>
      </c>
      <c r="Z220" s="116" t="str" cm="1">
        <f t="array" ref="Z220">IF(OR(Y220="Insecta",Y220="Arachnida",Y220="#N/C"),"",IFERROR(_xlfn.LET(_xlpm.fc,IFERROR(_xlfn._xlws.FILTER(ClassificationClasses[],ClassificationClasses[Classification Class]=Y220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220,ClassificationClasses[Key])),0),MATCH(Y220,INDEX(ClassificationClasses[],MATCH(TRUE,ISNUMBER(SEARCH(Y220,ClassificationClasses[Key])),0),0),0)-1)))</f>
        <v>Muscomorpha</v>
      </c>
      <c r="AA220" s="116" t="str" cm="1">
        <f t="array" ref="AA220">IFERROR(IF(OR(Z220="Insecta",Z220="Arachnida",Z220="#N/C"),"",INDEX(ClassificationClasses[[Class]:[Infraorder]],MATCH(TRUE,ISNUMBER(SEARCH(Z220,ClassificationClasses[Key])),0),MATCH(Z220,INDEX(ClassificationClasses[#Data], MATCH(TRUE,ISNUMBER(SEARCH(Z220,ClassificationClasses[Key])),0), 0), 0)-1)),"")</f>
        <v>Brachycera</v>
      </c>
      <c r="AB220" s="116" t="str" cm="1">
        <f t="array" ref="AB220">IFERROR(IF(OR(AA220="Insecta",AA220="Arachnida",AA220="#N/C"),"",INDEX(ClassificationClasses[[Class]:[Suborder]],MATCH(TRUE,ISNUMBER(SEARCH(AA220,ClassificationClasses[Key])),0),MATCH(AA220,INDEX(ClassificationClasses[#Data], MATCH(TRUE,ISNUMBER(SEARCH(AA220,ClassificationClasses[Key])),0), 0), 0)-1)),"")</f>
        <v>Diptera</v>
      </c>
      <c r="AC220" s="116" t="str" cm="1">
        <f t="array" ref="AC220">IFERROR(IF(OR(AB220="Insecta",AB220="Arachnida",AB220="#N/C"),"",INDEX(ClassificationClasses[[Class]:[Suborder]],MATCH(TRUE,ISNUMBER(SEARCH(AB220,ClassificationClasses[Key])),0),MATCH(AB220,INDEX(ClassificationClasses[#Data], MATCH(TRUE,ISNUMBER(SEARCH(AB220,ClassificationClasses[Key])),0), 0), 0)-1)),"")</f>
        <v>Insecta</v>
      </c>
      <c r="AD220" s="116" t="str" cm="1">
        <f t="array" ref="AD220">IFERROR(IF(OR(AC220="Insecta",AC220="Arachnida",AC220="#N/C"),"",INDEX(ClassificationClasses[[Class]:[Suborder]],MATCH(TRUE,ISNUMBER(SEARCH(AC220,ClassificationClasses[Key])),0),MATCH(AC220,INDEX(ClassificationClasses[#Data], MATCH(TRUE,ISNUMBER(SEARCH(AC220,ClassificationClasses[Key])),0), 0), 0)-1)),"")</f>
        <v/>
      </c>
      <c r="AE220" s="18" t="str">
        <f t="shared" si="8"/>
        <v>Insecta.Diptera.Brachycera.Muscomorpha.Syrphoidea.Syrphidae.Syrphinae.Xanthogramma.dives</v>
      </c>
    </row>
    <row r="221" spans="1:31" x14ac:dyDescent="0.3">
      <c r="A221" s="91">
        <v>220</v>
      </c>
      <c r="B221" s="7">
        <v>44401</v>
      </c>
      <c r="C221" s="92" t="s">
        <v>402</v>
      </c>
      <c r="D221" s="93" t="str">
        <f>HYPERLINK(VLOOKUP(C221,Video_List!$F:$J,5),"video")</f>
        <v>video</v>
      </c>
      <c r="E221" s="94" t="str">
        <f>IFERROR(IF(MATCH(C221,Video_List!$F:$F,)&gt;0,"ok",""),"error")</f>
        <v>ok</v>
      </c>
      <c r="F221" s="92" t="s">
        <v>402</v>
      </c>
      <c r="G221" s="93" t="str">
        <f>HYPERLINK(VLOOKUP(F221,Video_List!$F:$J,5),"video")</f>
        <v>video</v>
      </c>
      <c r="H221" s="94" t="str">
        <f>IFERROR(IF(MATCH(F221,Video_List!$F:$F,)&gt;0,"ok",""),"error")</f>
        <v>ok</v>
      </c>
      <c r="I221" s="17">
        <v>44401.54828703704</v>
      </c>
      <c r="J221" s="8">
        <v>44401.548414351855</v>
      </c>
      <c r="K221" s="15">
        <f t="shared" si="7"/>
        <v>1.273148154723458E-4</v>
      </c>
      <c r="L221" s="95" t="s">
        <v>32</v>
      </c>
      <c r="M221" s="95" t="s">
        <v>33</v>
      </c>
      <c r="N221" s="96" t="str">
        <f>IF(ISBLANK(C221),"",IF(C221=F221, "1 video",CONCATENATE((+COUNTIFS(Video_List!$C:$C,"&lt;=" &amp;Monitoring!J221)-COUNTIFS(Video_List!$C:$C,"&lt;=" &amp;Monitoring!I221))+1," videos")))</f>
        <v>1 video</v>
      </c>
      <c r="O221" s="29" t="s">
        <v>44</v>
      </c>
      <c r="P221" s="42" t="s">
        <v>37</v>
      </c>
      <c r="Q221" s="42" t="s">
        <v>38</v>
      </c>
      <c r="R221" s="42" t="s">
        <v>39</v>
      </c>
      <c r="S221" s="97" t="str">
        <f>+IFERROR(IF(T221="#N/C","#N/C",IF(U221=0,INDEX(Taxonomy_UniqueValues!D:D,MATCH(U221,Taxonomy_UniqueValues!F:F,0)),INDEX(Taxonomy_UniqueValues!D:D,MATCH(T221,Taxonomy_UniqueValues!E:E,0)))),"#N/C")</f>
        <v>Asilomorpha</v>
      </c>
      <c r="T221" s="42" t="s">
        <v>149</v>
      </c>
      <c r="U221" s="42" t="s">
        <v>150</v>
      </c>
      <c r="V221" s="42" t="s">
        <v>151</v>
      </c>
      <c r="W221" s="42" t="s">
        <v>35</v>
      </c>
      <c r="X221" s="28" t="s">
        <v>35</v>
      </c>
      <c r="Y221" s="69" t="str" cm="1">
        <f t="array" ref="Y221">_xlfn.LET(_xlpm.cls,P221, _xlpm.ord,IFERROR(Q221,"#N/C"), _xlpm.subord,IFERROR(R221,"#N/C"), _xlpm.infr,IFERROR(S221,"#N/C"), _xlpm.sf,IFERROR(T221,"#N/C"), _xlpm.fam,IFERROR(U221,"#N/C"), _xlpm.subfam,IF(TRIM(V221)="-","#N/C",IFERROR(V221,"#N/C")),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_xlpm.fallback,IF(IFERROR(Q221,"#N/C")="#N/C",P221,IF(IFERROR(R221,"#N/C")="#N/C",Q221,IF(IFERROR(S221,"#N/C")="#N/C",R221,IF(IFERROR(T221,"#N/C")="#N/C",S221,IF(IFERROR(U221,"#N/C")="#N/C",T221,IF(IFERROR(V221,"#N/C")="#N/C",U221,"#N/C")))))), _xlpm.finalResult,IF(OR(_xlpm.computedResult="",_xlpm.computedResult="#N/C"),_xlpm.fallback,_xlpm.computedResult), INDEX(_xlpm.finalResult,1))</f>
        <v>robber_fly</v>
      </c>
      <c r="Z221" s="116" t="str" cm="1">
        <f t="array" ref="Z221">IF(OR(Y221="Insecta",Y221="Arachnida",Y221="#N/C"),"",IFERROR(_xlfn.LET(_xlpm.fc,IFERROR(_xlfn._xlws.FILTER(ClassificationClasses[],ClassificationClasses[Classification Class]=Y221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221,ClassificationClasses[Key])),0),MATCH(Y221,INDEX(ClassificationClasses[],MATCH(TRUE,ISNUMBER(SEARCH(Y221,ClassificationClasses[Key])),0),0),0)-1)))</f>
        <v>Asilomorpha</v>
      </c>
      <c r="AA221" s="116" t="str" cm="1">
        <f t="array" ref="AA221">IFERROR(IF(OR(Z221="Insecta",Z221="Arachnida",Z221="#N/C"),"",INDEX(ClassificationClasses[[Class]:[Infraorder]],MATCH(TRUE,ISNUMBER(SEARCH(Z221,ClassificationClasses[Key])),0),MATCH(Z221,INDEX(ClassificationClasses[#Data], MATCH(TRUE,ISNUMBER(SEARCH(Z221,ClassificationClasses[Key])),0), 0), 0)-1)),"")</f>
        <v>Brachycera</v>
      </c>
      <c r="AB221" s="116" t="str" cm="1">
        <f t="array" ref="AB221">IFERROR(IF(OR(AA221="Insecta",AA221="Arachnida",AA221="#N/C"),"",INDEX(ClassificationClasses[[Class]:[Suborder]],MATCH(TRUE,ISNUMBER(SEARCH(AA221,ClassificationClasses[Key])),0),MATCH(AA221,INDEX(ClassificationClasses[#Data], MATCH(TRUE,ISNUMBER(SEARCH(AA221,ClassificationClasses[Key])),0), 0), 0)-1)),"")</f>
        <v>Diptera</v>
      </c>
      <c r="AC221" s="116" t="str" cm="1">
        <f t="array" ref="AC221">IFERROR(IF(OR(AB221="Insecta",AB221="Arachnida",AB221="#N/C"),"",INDEX(ClassificationClasses[[Class]:[Suborder]],MATCH(TRUE,ISNUMBER(SEARCH(AB221,ClassificationClasses[Key])),0),MATCH(AB221,INDEX(ClassificationClasses[#Data], MATCH(TRUE,ISNUMBER(SEARCH(AB221,ClassificationClasses[Key])),0), 0), 0)-1)),"")</f>
        <v>Insecta</v>
      </c>
      <c r="AD221" s="116" t="str" cm="1">
        <f t="array" ref="AD221">IFERROR(IF(OR(AC221="Insecta",AC221="Arachnida",AC221="#N/C"),"",INDEX(ClassificationClasses[[Class]:[Suborder]],MATCH(TRUE,ISNUMBER(SEARCH(AC221,ClassificationClasses[Key])),0),MATCH(AC221,INDEX(ClassificationClasses[#Data], MATCH(TRUE,ISNUMBER(SEARCH(AC221,ClassificationClasses[Key])),0), 0), 0)-1)),"")</f>
        <v/>
      </c>
      <c r="AE221" s="18" t="str">
        <f t="shared" si="8"/>
        <v>Insecta.Diptera.Brachycera.Asilomorpha.Asiloidea.Asilidae.Asilinae.#N/C.#N/C</v>
      </c>
    </row>
    <row r="222" spans="1:31" x14ac:dyDescent="0.3">
      <c r="A222" s="91">
        <v>221</v>
      </c>
      <c r="B222" s="7">
        <v>44401</v>
      </c>
      <c r="C222" s="92" t="s">
        <v>403</v>
      </c>
      <c r="D222" s="93" t="str">
        <f>HYPERLINK(VLOOKUP(C222,Video_List!$F:$J,5),"video")</f>
        <v>video</v>
      </c>
      <c r="E222" s="94" t="str">
        <f>IFERROR(IF(MATCH(C222,Video_List!$F:$F,)&gt;0,"ok",""),"error")</f>
        <v>ok</v>
      </c>
      <c r="F222" s="92" t="s">
        <v>403</v>
      </c>
      <c r="G222" s="93" t="str">
        <f>HYPERLINK(VLOOKUP(F222,Video_List!$F:$J,5),"video")</f>
        <v>video</v>
      </c>
      <c r="H222" s="94" t="str">
        <f>IFERROR(IF(MATCH(F222,Video_List!$F:$F,)&gt;0,"ok",""),"error")</f>
        <v>ok</v>
      </c>
      <c r="I222" s="17">
        <v>44401.580324074072</v>
      </c>
      <c r="J222" s="8">
        <v>44401.580381944441</v>
      </c>
      <c r="K222" s="15">
        <f t="shared" si="7"/>
        <v>5.7870369346346706E-5</v>
      </c>
      <c r="L222" s="95" t="s">
        <v>32</v>
      </c>
      <c r="M222" s="95" t="s">
        <v>33</v>
      </c>
      <c r="N222" s="96" t="str">
        <f>IF(ISBLANK(C222),"",IF(C222=F222, "1 video",CONCATENATE((+COUNTIFS(Video_List!$C:$C,"&lt;=" &amp;Monitoring!J222)-COUNTIFS(Video_List!$C:$C,"&lt;=" &amp;Monitoring!I222))+1," videos")))</f>
        <v>1 video</v>
      </c>
      <c r="O222" s="27" t="s">
        <v>32</v>
      </c>
      <c r="P222" s="42" t="s">
        <v>37</v>
      </c>
      <c r="Q222" s="42" t="s">
        <v>38</v>
      </c>
      <c r="R222" s="42" t="s">
        <v>39</v>
      </c>
      <c r="S222" s="97" t="str">
        <f>+IFERROR(IF(T222="#N/C","#N/C",IF(U222=0,INDEX(Taxonomy_UniqueValues!D:D,MATCH(U222,Taxonomy_UniqueValues!F:F,0)),INDEX(Taxonomy_UniqueValues!D:D,MATCH(T222,Taxonomy_UniqueValues!E:E,0)))),"#N/C")</f>
        <v>Muscomorpha</v>
      </c>
      <c r="T222" s="42" t="s">
        <v>46</v>
      </c>
      <c r="U222" s="42" t="s">
        <v>47</v>
      </c>
      <c r="V222" s="42" t="s">
        <v>48</v>
      </c>
      <c r="W222" s="42" t="s">
        <v>49</v>
      </c>
      <c r="X222" s="28" t="s">
        <v>35</v>
      </c>
      <c r="Y222" s="69" t="str" cm="1">
        <f t="array" ref="Y222">_xlfn.LET(_xlpm.cls,P222, _xlpm.ord,IFERROR(Q222,"#N/C"), _xlpm.subord,IFERROR(R222,"#N/C"), _xlpm.infr,IFERROR(S222,"#N/C"), _xlpm.sf,IFERROR(T222,"#N/C"), _xlpm.fam,IFERROR(U222,"#N/C"), _xlpm.subfam,IF(TRIM(V222)="-","#N/C",IFERROR(V222,"#N/C")),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_xlpm.fallback,IF(IFERROR(Q222,"#N/C")="#N/C",P222,IF(IFERROR(R222,"#N/C")="#N/C",Q222,IF(IFERROR(S222,"#N/C")="#N/C",R222,IF(IFERROR(T222,"#N/C")="#N/C",S222,IF(IFERROR(U222,"#N/C")="#N/C",T222,IF(IFERROR(V222,"#N/C")="#N/C",U222,"#N/C")))))), _xlpm.finalResult,IF(OR(_xlpm.computedResult="",_xlpm.computedResult="#N/C"),_xlpm.fallback,_xlpm.computedResult), INDEX(_xlpm.finalResult,1))</f>
        <v>hoverfly</v>
      </c>
      <c r="Z222" s="116" t="str" cm="1">
        <f t="array" ref="Z222">IF(OR(Y222="Insecta",Y222="Arachnida",Y222="#N/C"),"",IFERROR(_xlfn.LET(_xlpm.fc,IFERROR(_xlfn._xlws.FILTER(ClassificationClasses[],ClassificationClasses[Classification Class]=Y222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222,ClassificationClasses[Key])),0),MATCH(Y222,INDEX(ClassificationClasses[],MATCH(TRUE,ISNUMBER(SEARCH(Y222,ClassificationClasses[Key])),0),0),0)-1)))</f>
        <v>Muscomorpha</v>
      </c>
      <c r="AA222" s="116" t="str" cm="1">
        <f t="array" ref="AA222">IFERROR(IF(OR(Z222="Insecta",Z222="Arachnida",Z222="#N/C"),"",INDEX(ClassificationClasses[[Class]:[Infraorder]],MATCH(TRUE,ISNUMBER(SEARCH(Z222,ClassificationClasses[Key])),0),MATCH(Z222,INDEX(ClassificationClasses[#Data], MATCH(TRUE,ISNUMBER(SEARCH(Z222,ClassificationClasses[Key])),0), 0), 0)-1)),"")</f>
        <v>Brachycera</v>
      </c>
      <c r="AB222" s="116" t="str" cm="1">
        <f t="array" ref="AB222">IFERROR(IF(OR(AA222="Insecta",AA222="Arachnida",AA222="#N/C"),"",INDEX(ClassificationClasses[[Class]:[Suborder]],MATCH(TRUE,ISNUMBER(SEARCH(AA222,ClassificationClasses[Key])),0),MATCH(AA222,INDEX(ClassificationClasses[#Data], MATCH(TRUE,ISNUMBER(SEARCH(AA222,ClassificationClasses[Key])),0), 0), 0)-1)),"")</f>
        <v>Diptera</v>
      </c>
      <c r="AC222" s="116" t="str" cm="1">
        <f t="array" ref="AC222">IFERROR(IF(OR(AB222="Insecta",AB222="Arachnida",AB222="#N/C"),"",INDEX(ClassificationClasses[[Class]:[Suborder]],MATCH(TRUE,ISNUMBER(SEARCH(AB222,ClassificationClasses[Key])),0),MATCH(AB222,INDEX(ClassificationClasses[#Data], MATCH(TRUE,ISNUMBER(SEARCH(AB222,ClassificationClasses[Key])),0), 0), 0)-1)),"")</f>
        <v>Insecta</v>
      </c>
      <c r="AD222" s="116" t="str" cm="1">
        <f t="array" ref="AD222">IFERROR(IF(OR(AC222="Insecta",AC222="Arachnida",AC222="#N/C"),"",INDEX(ClassificationClasses[[Class]:[Suborder]],MATCH(TRUE,ISNUMBER(SEARCH(AC222,ClassificationClasses[Key])),0),MATCH(AC222,INDEX(ClassificationClasses[#Data], MATCH(TRUE,ISNUMBER(SEARCH(AC222,ClassificationClasses[Key])),0), 0), 0)-1)),"")</f>
        <v/>
      </c>
      <c r="AE222" s="18" t="str">
        <f t="shared" si="8"/>
        <v>Insecta.Diptera.Brachycera.Muscomorpha.Syrphoidea.Syrphidae.Syrphinae.Sphaerophoria.#N/C</v>
      </c>
    </row>
    <row r="223" spans="1:31" x14ac:dyDescent="0.3">
      <c r="A223" s="91">
        <v>222</v>
      </c>
      <c r="B223" s="7">
        <v>44401</v>
      </c>
      <c r="C223" s="92" t="s">
        <v>404</v>
      </c>
      <c r="D223" s="93" t="str">
        <f>HYPERLINK(VLOOKUP(C223,Video_List!$F:$J,5),"video")</f>
        <v>video</v>
      </c>
      <c r="E223" s="94" t="str">
        <f>IFERROR(IF(MATCH(C223,Video_List!$F:$F,)&gt;0,"ok",""),"error")</f>
        <v>ok</v>
      </c>
      <c r="F223" s="92" t="s">
        <v>404</v>
      </c>
      <c r="G223" s="93" t="str">
        <f>HYPERLINK(VLOOKUP(F223,Video_List!$F:$J,5),"video")</f>
        <v>video</v>
      </c>
      <c r="H223" s="94" t="str">
        <f>IFERROR(IF(MATCH(F223,Video_List!$F:$F,)&gt;0,"ok",""),"error")</f>
        <v>ok</v>
      </c>
      <c r="I223" s="17">
        <v>44401.613981481481</v>
      </c>
      <c r="J223" s="8">
        <v>44401.61409722222</v>
      </c>
      <c r="K223" s="15">
        <f t="shared" si="7"/>
        <v>1.1574073869269341E-4</v>
      </c>
      <c r="L223" s="95" t="s">
        <v>32</v>
      </c>
      <c r="M223" s="95" t="s">
        <v>33</v>
      </c>
      <c r="N223" s="96" t="str">
        <f>IF(ISBLANK(C223),"",IF(C223=F223, "1 video",CONCATENATE((+COUNTIFS(Video_List!$C:$C,"&lt;=" &amp;Monitoring!J223)-COUNTIFS(Video_List!$C:$C,"&lt;=" &amp;Monitoring!I223))+1," videos")))</f>
        <v>1 video</v>
      </c>
      <c r="O223" s="27" t="s">
        <v>32</v>
      </c>
      <c r="P223" s="42" t="s">
        <v>37</v>
      </c>
      <c r="Q223" s="42" t="s">
        <v>38</v>
      </c>
      <c r="R223" s="42" t="s">
        <v>39</v>
      </c>
      <c r="S223" s="97" t="str">
        <f>+IFERROR(IF(T223="#N/C","#N/C",IF(U223=0,INDEX(Taxonomy_UniqueValues!D:D,MATCH(U223,Taxonomy_UniqueValues!F:F,0)),INDEX(Taxonomy_UniqueValues!D:D,MATCH(T223,Taxonomy_UniqueValues!E:E,0)))),"#N/C")</f>
        <v>Stratiomyomorpha</v>
      </c>
      <c r="T223" s="42" t="s">
        <v>405</v>
      </c>
      <c r="U223" s="42" t="s">
        <v>406</v>
      </c>
      <c r="V223" s="42">
        <v>0</v>
      </c>
      <c r="W223" s="42" t="s">
        <v>407</v>
      </c>
      <c r="X223" s="28" t="s">
        <v>408</v>
      </c>
      <c r="Y223" s="69" t="str" cm="1">
        <f t="array" ref="Y223">_xlfn.LET(_xlpm.cls,P223, _xlpm.ord,IFERROR(Q223,"#N/C"), _xlpm.subord,IFERROR(R223,"#N/C"), _xlpm.infr,IFERROR(S223,"#N/C"), _xlpm.sf,IFERROR(T223,"#N/C"), _xlpm.fam,IFERROR(U223,"#N/C"), _xlpm.subfam,IF(TRIM(V223)="-","#N/C",IFERROR(V223,"#N/C")),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_xlpm.fallback,IF(IFERROR(Q223,"#N/C")="#N/C",P223,IF(IFERROR(R223,"#N/C")="#N/C",Q223,IF(IFERROR(S223,"#N/C")="#N/C",R223,IF(IFERROR(T223,"#N/C")="#N/C",S223,IF(IFERROR(U223,"#N/C")="#N/C",T223,IF(IFERROR(V223,"#N/C")="#N/C",U223,"#N/C")))))), _xlpm.finalResult,IF(OR(_xlpm.computedResult="",_xlpm.computedResult="#N/C"),_xlpm.fallback,_xlpm.computedResult), INDEX(_xlpm.finalResult,1))</f>
        <v>soldier_fly</v>
      </c>
      <c r="Z223" s="116" t="str" cm="1">
        <f t="array" ref="Z223">IF(OR(Y223="Insecta",Y223="Arachnida",Y223="#N/C"),"",IFERROR(_xlfn.LET(_xlpm.fc,IFERROR(_xlfn._xlws.FILTER(ClassificationClasses[],ClassificationClasses[Classification Class]=Y223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223,ClassificationClasses[Key])),0),MATCH(Y223,INDEX(ClassificationClasses[],MATCH(TRUE,ISNUMBER(SEARCH(Y223,ClassificationClasses[Key])),0),0),0)-1)))</f>
        <v>Stratiomyomorpha</v>
      </c>
      <c r="AA223" s="116" t="str" cm="1">
        <f t="array" ref="AA223">IFERROR(IF(OR(Z223="Insecta",Z223="Arachnida",Z223="#N/C"),"",INDEX(ClassificationClasses[[Class]:[Infraorder]],MATCH(TRUE,ISNUMBER(SEARCH(Z223,ClassificationClasses[Key])),0),MATCH(Z223,INDEX(ClassificationClasses[#Data], MATCH(TRUE,ISNUMBER(SEARCH(Z223,ClassificationClasses[Key])),0), 0), 0)-1)),"")</f>
        <v>Brachycera</v>
      </c>
      <c r="AB223" s="116" t="str" cm="1">
        <f t="array" ref="AB223">IFERROR(IF(OR(AA223="Insecta",AA223="Arachnida",AA223="#N/C"),"",INDEX(ClassificationClasses[[Class]:[Suborder]],MATCH(TRUE,ISNUMBER(SEARCH(AA223,ClassificationClasses[Key])),0),MATCH(AA223,INDEX(ClassificationClasses[#Data], MATCH(TRUE,ISNUMBER(SEARCH(AA223,ClassificationClasses[Key])),0), 0), 0)-1)),"")</f>
        <v>Diptera</v>
      </c>
      <c r="AC223" s="116" t="str" cm="1">
        <f t="array" ref="AC223">IFERROR(IF(OR(AB223="Insecta",AB223="Arachnida",AB223="#N/C"),"",INDEX(ClassificationClasses[[Class]:[Suborder]],MATCH(TRUE,ISNUMBER(SEARCH(AB223,ClassificationClasses[Key])),0),MATCH(AB223,INDEX(ClassificationClasses[#Data], MATCH(TRUE,ISNUMBER(SEARCH(AB223,ClassificationClasses[Key])),0), 0), 0)-1)),"")</f>
        <v>Insecta</v>
      </c>
      <c r="AD223" s="116" t="str" cm="1">
        <f t="array" ref="AD223">IFERROR(IF(OR(AC223="Insecta",AC223="Arachnida",AC223="#N/C"),"",INDEX(ClassificationClasses[[Class]:[Suborder]],MATCH(TRUE,ISNUMBER(SEARCH(AC223,ClassificationClasses[Key])),0),MATCH(AC223,INDEX(ClassificationClasses[#Data], MATCH(TRUE,ISNUMBER(SEARCH(AC223,ClassificationClasses[Key])),0), 0), 0)-1)),"")</f>
        <v/>
      </c>
      <c r="AE223" s="18" t="str">
        <f t="shared" si="8"/>
        <v>Insecta.Diptera.Brachycera.Stratiomyomorpha.Stratiomyoidea.Xylomyidae.0.Solva.marginata</v>
      </c>
    </row>
    <row r="224" spans="1:31" x14ac:dyDescent="0.3">
      <c r="A224" s="91">
        <v>223</v>
      </c>
      <c r="B224" s="7">
        <v>44401</v>
      </c>
      <c r="C224" s="92" t="s">
        <v>409</v>
      </c>
      <c r="D224" s="93" t="str">
        <f>HYPERLINK(VLOOKUP(C224,Video_List!$F:$J,5),"video")</f>
        <v>video</v>
      </c>
      <c r="E224" s="94" t="str">
        <f>IFERROR(IF(MATCH(C224,Video_List!$F:$F,)&gt;0,"ok",""),"error")</f>
        <v>ok</v>
      </c>
      <c r="F224" s="92" t="s">
        <v>409</v>
      </c>
      <c r="G224" s="93" t="str">
        <f>HYPERLINK(VLOOKUP(F224,Video_List!$F:$J,5),"video")</f>
        <v>video</v>
      </c>
      <c r="H224" s="94" t="str">
        <f>IFERROR(IF(MATCH(F224,Video_List!$F:$F,)&gt;0,"ok",""),"error")</f>
        <v>ok</v>
      </c>
      <c r="I224" s="17">
        <v>44401.648784722223</v>
      </c>
      <c r="J224" s="8">
        <v>44401.648935185185</v>
      </c>
      <c r="K224" s="15">
        <f t="shared" si="7"/>
        <v>1.5046296175569296E-4</v>
      </c>
      <c r="L224" s="95" t="s">
        <v>32</v>
      </c>
      <c r="M224" s="95" t="s">
        <v>33</v>
      </c>
      <c r="N224" s="96" t="str">
        <f>IF(ISBLANK(C224),"",IF(C224=F224, "1 video",CONCATENATE((+COUNTIFS(Video_List!$C:$C,"&lt;=" &amp;Monitoring!J224)-COUNTIFS(Video_List!$C:$C,"&lt;=" &amp;Monitoring!I224))+1," videos")))</f>
        <v>1 video</v>
      </c>
      <c r="O224" s="29" t="s">
        <v>44</v>
      </c>
      <c r="P224" s="42" t="s">
        <v>37</v>
      </c>
      <c r="Q224" s="42" t="s">
        <v>38</v>
      </c>
      <c r="R224" s="42" t="s">
        <v>39</v>
      </c>
      <c r="S224" s="97" t="str">
        <f>+IFERROR(IF(T224="#N/C","#N/C",IF(U224=0,INDEX(Taxonomy_UniqueValues!D:D,MATCH(U224,Taxonomy_UniqueValues!F:F,0)),INDEX(Taxonomy_UniqueValues!D:D,MATCH(T224,Taxonomy_UniqueValues!E:E,0)))),"#N/C")</f>
        <v>Muscomorpha</v>
      </c>
      <c r="T224" s="42" t="s">
        <v>46</v>
      </c>
      <c r="U224" s="42" t="s">
        <v>47</v>
      </c>
      <c r="V224" s="42" t="s">
        <v>48</v>
      </c>
      <c r="W224" s="42" t="s">
        <v>49</v>
      </c>
      <c r="X224" s="28" t="s">
        <v>35</v>
      </c>
      <c r="Y224" s="69" t="str" cm="1">
        <f t="array" ref="Y224">_xlfn.LET(_xlpm.cls,P224, _xlpm.ord,IFERROR(Q224,"#N/C"), _xlpm.subord,IFERROR(R224,"#N/C"), _xlpm.infr,IFERROR(S224,"#N/C"), _xlpm.sf,IFERROR(T224,"#N/C"), _xlpm.fam,IFERROR(U224,"#N/C"), _xlpm.subfam,IF(TRIM(V224)="-","#N/C",IFERROR(V224,"#N/C")),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_xlpm.fallback,IF(IFERROR(Q224,"#N/C")="#N/C",P224,IF(IFERROR(R224,"#N/C")="#N/C",Q224,IF(IFERROR(S224,"#N/C")="#N/C",R224,IF(IFERROR(T224,"#N/C")="#N/C",S224,IF(IFERROR(U224,"#N/C")="#N/C",T224,IF(IFERROR(V224,"#N/C")="#N/C",U224,"#N/C")))))), _xlpm.finalResult,IF(OR(_xlpm.computedResult="",_xlpm.computedResult="#N/C"),_xlpm.fallback,_xlpm.computedResult), INDEX(_xlpm.finalResult,1))</f>
        <v>hoverfly</v>
      </c>
      <c r="Z224" s="116" t="str" cm="1">
        <f t="array" ref="Z224">IF(OR(Y224="Insecta",Y224="Arachnida",Y224="#N/C"),"",IFERROR(_xlfn.LET(_xlpm.fc,IFERROR(_xlfn._xlws.FILTER(ClassificationClasses[],ClassificationClasses[Classification Class]=Y224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224,ClassificationClasses[Key])),0),MATCH(Y224,INDEX(ClassificationClasses[],MATCH(TRUE,ISNUMBER(SEARCH(Y224,ClassificationClasses[Key])),0),0),0)-1)))</f>
        <v>Muscomorpha</v>
      </c>
      <c r="AA224" s="116" t="str" cm="1">
        <f t="array" ref="AA224">IFERROR(IF(OR(Z224="Insecta",Z224="Arachnida",Z224="#N/C"),"",INDEX(ClassificationClasses[[Class]:[Infraorder]],MATCH(TRUE,ISNUMBER(SEARCH(Z224,ClassificationClasses[Key])),0),MATCH(Z224,INDEX(ClassificationClasses[#Data], MATCH(TRUE,ISNUMBER(SEARCH(Z224,ClassificationClasses[Key])),0), 0), 0)-1)),"")</f>
        <v>Brachycera</v>
      </c>
      <c r="AB224" s="116" t="str" cm="1">
        <f t="array" ref="AB224">IFERROR(IF(OR(AA224="Insecta",AA224="Arachnida",AA224="#N/C"),"",INDEX(ClassificationClasses[[Class]:[Suborder]],MATCH(TRUE,ISNUMBER(SEARCH(AA224,ClassificationClasses[Key])),0),MATCH(AA224,INDEX(ClassificationClasses[#Data], MATCH(TRUE,ISNUMBER(SEARCH(AA224,ClassificationClasses[Key])),0), 0), 0)-1)),"")</f>
        <v>Diptera</v>
      </c>
      <c r="AC224" s="116" t="str" cm="1">
        <f t="array" ref="AC224">IFERROR(IF(OR(AB224="Insecta",AB224="Arachnida",AB224="#N/C"),"",INDEX(ClassificationClasses[[Class]:[Suborder]],MATCH(TRUE,ISNUMBER(SEARCH(AB224,ClassificationClasses[Key])),0),MATCH(AB224,INDEX(ClassificationClasses[#Data], MATCH(TRUE,ISNUMBER(SEARCH(AB224,ClassificationClasses[Key])),0), 0), 0)-1)),"")</f>
        <v>Insecta</v>
      </c>
      <c r="AD224" s="116" t="str" cm="1">
        <f t="array" ref="AD224">IFERROR(IF(OR(AC224="Insecta",AC224="Arachnida",AC224="#N/C"),"",INDEX(ClassificationClasses[[Class]:[Suborder]],MATCH(TRUE,ISNUMBER(SEARCH(AC224,ClassificationClasses[Key])),0),MATCH(AC224,INDEX(ClassificationClasses[#Data], MATCH(TRUE,ISNUMBER(SEARCH(AC224,ClassificationClasses[Key])),0), 0), 0)-1)),"")</f>
        <v/>
      </c>
      <c r="AE224" s="18" t="str">
        <f t="shared" si="8"/>
        <v>Insecta.Diptera.Brachycera.Muscomorpha.Syrphoidea.Syrphidae.Syrphinae.Sphaerophoria.#N/C</v>
      </c>
    </row>
    <row r="225" spans="1:31" x14ac:dyDescent="0.3">
      <c r="A225" s="91">
        <v>224</v>
      </c>
      <c r="B225" s="7">
        <v>44401</v>
      </c>
      <c r="C225" s="92" t="s">
        <v>409</v>
      </c>
      <c r="D225" s="93" t="str">
        <f>HYPERLINK(VLOOKUP(C225,Video_List!$F:$J,5),"video")</f>
        <v>video</v>
      </c>
      <c r="E225" s="94" t="str">
        <f>IFERROR(IF(MATCH(C225,Video_List!$F:$F,)&gt;0,"ok",""),"error")</f>
        <v>ok</v>
      </c>
      <c r="F225" s="92" t="s">
        <v>409</v>
      </c>
      <c r="G225" s="93" t="str">
        <f>HYPERLINK(VLOOKUP(F225,Video_List!$F:$J,5),"video")</f>
        <v>video</v>
      </c>
      <c r="H225" s="94" t="str">
        <f>IFERROR(IF(MATCH(F225,Video_List!$F:$F,)&gt;0,"ok",""),"error")</f>
        <v>ok</v>
      </c>
      <c r="I225" s="17">
        <v>44401.648784722223</v>
      </c>
      <c r="J225" s="8">
        <v>44401.649594907409</v>
      </c>
      <c r="K225" s="15">
        <f t="shared" si="7"/>
        <v>8.1018518540076911E-4</v>
      </c>
      <c r="L225" s="4" t="s">
        <v>44</v>
      </c>
      <c r="M225" s="4" t="s">
        <v>33</v>
      </c>
      <c r="N225" s="96" t="str">
        <f>IF(ISBLANK(C225),"",IF(C225=F225, "1 video",CONCATENATE((+COUNTIFS(Video_List!$C:$C,"&lt;=" &amp;Monitoring!J225)-COUNTIFS(Video_List!$C:$C,"&lt;=" &amp;Monitoring!I225))+1," videos")))</f>
        <v>1 video</v>
      </c>
      <c r="O225" s="27" t="s">
        <v>32</v>
      </c>
      <c r="P225" s="42" t="s">
        <v>37</v>
      </c>
      <c r="Q225" s="42" t="s">
        <v>123</v>
      </c>
      <c r="R225" s="42" t="s">
        <v>124</v>
      </c>
      <c r="S225" s="97" t="str">
        <f>+IFERROR(IF(T225="#N/C","#N/C",IF(U225=0,INDEX(Taxonomy_UniqueValues!D:D,MATCH(U225,Taxonomy_UniqueValues!F:F,0)),INDEX(Taxonomy_UniqueValues!D:D,MATCH(T225,Taxonomy_UniqueValues!E:E,0)))),"#N/C")</f>
        <v>Acrididea</v>
      </c>
      <c r="T225" s="42" t="s">
        <v>125</v>
      </c>
      <c r="U225" s="42" t="s">
        <v>126</v>
      </c>
      <c r="V225" s="42" t="s">
        <v>173</v>
      </c>
      <c r="W225" s="42" t="s">
        <v>271</v>
      </c>
      <c r="X225" s="28" t="s">
        <v>272</v>
      </c>
      <c r="Y225" s="69" t="str" cm="1">
        <f t="array" ref="Y225">_xlfn.LET(_xlpm.cls,P225, _xlpm.ord,IFERROR(Q225,"#N/C"), _xlpm.subord,IFERROR(R225,"#N/C"), _xlpm.infr,IFERROR(S225,"#N/C"), _xlpm.sf,IFERROR(T225,"#N/C"), _xlpm.fam,IFERROR(U225,"#N/C"), _xlpm.subfam,IF(TRIM(V225)="-","#N/C",IFERROR(V225,"#N/C")),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_xlpm.fallback,IF(IFERROR(Q225,"#N/C")="#N/C",P225,IF(IFERROR(R225,"#N/C")="#N/C",Q225,IF(IFERROR(S225,"#N/C")="#N/C",R225,IF(IFERROR(T225,"#N/C")="#N/C",S225,IF(IFERROR(U225,"#N/C")="#N/C",T225,IF(IFERROR(V225,"#N/C")="#N/C",U225,"#N/C")))))), _xlpm.finalResult,IF(OR(_xlpm.computedResult="",_xlpm.computedResult="#N/C"),_xlpm.fallback,_xlpm.computedResult), INDEX(_xlpm.finalResult,1))</f>
        <v>grasshopper</v>
      </c>
      <c r="Z225" s="116" t="str" cm="1">
        <f t="array" ref="Z225">IF(OR(Y225="Insecta",Y225="Arachnida",Y225="#N/C"),"",IFERROR(_xlfn.LET(_xlpm.fc,IFERROR(_xlfn._xlws.FILTER(ClassificationClasses[],ClassificationClasses[Classification Class]=Y225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225,ClassificationClasses[Key])),0),MATCH(Y225,INDEX(ClassificationClasses[],MATCH(TRUE,ISNUMBER(SEARCH(Y225,ClassificationClasses[Key])),0),0),0)-1)))</f>
        <v>Orthoptera</v>
      </c>
      <c r="AA225" s="116" t="str" cm="1">
        <f t="array" ref="AA225">IFERROR(IF(OR(Z225="Insecta",Z225="Arachnida",Z225="#N/C"),"",INDEX(ClassificationClasses[[Class]:[Infraorder]],MATCH(TRUE,ISNUMBER(SEARCH(Z225,ClassificationClasses[Key])),0),MATCH(Z225,INDEX(ClassificationClasses[#Data], MATCH(TRUE,ISNUMBER(SEARCH(Z225,ClassificationClasses[Key])),0), 0), 0)-1)),"")</f>
        <v>Insecta</v>
      </c>
      <c r="AB225" s="116" t="str" cm="1">
        <f t="array" ref="AB225">IFERROR(IF(OR(AA225="Insecta",AA225="Arachnida",AA225="#N/C"),"",INDEX(ClassificationClasses[[Class]:[Suborder]],MATCH(TRUE,ISNUMBER(SEARCH(AA225,ClassificationClasses[Key])),0),MATCH(AA225,INDEX(ClassificationClasses[#Data], MATCH(TRUE,ISNUMBER(SEARCH(AA225,ClassificationClasses[Key])),0), 0), 0)-1)),"")</f>
        <v/>
      </c>
      <c r="AC225" s="116" t="str" cm="1">
        <f t="array" ref="AC225">IFERROR(IF(OR(AB225="Insecta",AB225="Arachnida",AB225="#N/C"),"",INDEX(ClassificationClasses[[Class]:[Suborder]],MATCH(TRUE,ISNUMBER(SEARCH(AB225,ClassificationClasses[Key])),0),MATCH(AB225,INDEX(ClassificationClasses[#Data], MATCH(TRUE,ISNUMBER(SEARCH(AB225,ClassificationClasses[Key])),0), 0), 0)-1)),"")</f>
        <v/>
      </c>
      <c r="AD225" s="116" t="str" cm="1">
        <f t="array" ref="AD225">IFERROR(IF(OR(AC225="Insecta",AC225="Arachnida",AC225="#N/C"),"",INDEX(ClassificationClasses[[Class]:[Suborder]],MATCH(TRUE,ISNUMBER(SEARCH(AC225,ClassificationClasses[Key])),0),MATCH(AC225,INDEX(ClassificationClasses[#Data], MATCH(TRUE,ISNUMBER(SEARCH(AC225,ClassificationClasses[Key])),0), 0), 0)-1)),"")</f>
        <v/>
      </c>
      <c r="AE225" s="18" t="str">
        <f t="shared" si="8"/>
        <v>Insecta.Orthoptera.Caelifera.Acrididea.Acridoidea.Acrididae.Gomphocerinae.Pseudochorthippus.parallelus</v>
      </c>
    </row>
    <row r="226" spans="1:31" x14ac:dyDescent="0.3">
      <c r="A226" s="91">
        <v>225</v>
      </c>
      <c r="B226" s="7">
        <v>44401</v>
      </c>
      <c r="C226" s="92" t="s">
        <v>410</v>
      </c>
      <c r="D226" s="93" t="str">
        <f>HYPERLINK(VLOOKUP(C226,Video_List!$F:$J,5),"video")</f>
        <v>video</v>
      </c>
      <c r="E226" s="94" t="str">
        <f>IFERROR(IF(MATCH(C226,Video_List!$F:$F,)&gt;0,"ok",""),"error")</f>
        <v>ok</v>
      </c>
      <c r="F226" s="92" t="s">
        <v>410</v>
      </c>
      <c r="G226" s="93" t="str">
        <f>HYPERLINK(VLOOKUP(F226,Video_List!$F:$J,5),"video")</f>
        <v>video</v>
      </c>
      <c r="H226" s="94" t="str">
        <f>IFERROR(IF(MATCH(F226,Video_List!$F:$F,)&gt;0,"ok",""),"error")</f>
        <v>ok</v>
      </c>
      <c r="I226" s="17">
        <v>44401.664004629631</v>
      </c>
      <c r="J226" s="8">
        <v>44401.664166666669</v>
      </c>
      <c r="K226" s="15">
        <f t="shared" si="7"/>
        <v>1.6203703853534535E-4</v>
      </c>
      <c r="L226" s="95" t="s">
        <v>32</v>
      </c>
      <c r="M226" s="95" t="s">
        <v>33</v>
      </c>
      <c r="N226" s="96" t="str">
        <f>IF(ISBLANK(C226),"",IF(C226=F226, "1 video",CONCATENATE((+COUNTIFS(Video_List!$C:$C,"&lt;=" &amp;Monitoring!J226)-COUNTIFS(Video_List!$C:$C,"&lt;=" &amp;Monitoring!I226))+1," videos")))</f>
        <v>1 video</v>
      </c>
      <c r="O226" s="29" t="s">
        <v>44</v>
      </c>
      <c r="P226" s="42" t="s">
        <v>37</v>
      </c>
      <c r="Q226" s="42" t="s">
        <v>38</v>
      </c>
      <c r="R226" s="42" t="s">
        <v>39</v>
      </c>
      <c r="S226" s="97" t="str">
        <f>+IFERROR(IF(T226="#N/C","#N/C",IF(U226=0,INDEX(Taxonomy_UniqueValues!D:D,MATCH(U226,Taxonomy_UniqueValues!F:F,0)),INDEX(Taxonomy_UniqueValues!D:D,MATCH(T226,Taxonomy_UniqueValues!E:E,0)))),"#N/C")</f>
        <v>Asilomorpha</v>
      </c>
      <c r="T226" s="42" t="s">
        <v>149</v>
      </c>
      <c r="U226" s="42" t="s">
        <v>150</v>
      </c>
      <c r="V226" s="42" t="s">
        <v>151</v>
      </c>
      <c r="W226" s="42" t="s">
        <v>35</v>
      </c>
      <c r="X226" s="28" t="s">
        <v>35</v>
      </c>
      <c r="Y226" s="69" t="str" cm="1">
        <f t="array" ref="Y226">_xlfn.LET(_xlpm.cls,P226, _xlpm.ord,IFERROR(Q226,"#N/C"), _xlpm.subord,IFERROR(R226,"#N/C"), _xlpm.infr,IFERROR(S226,"#N/C"), _xlpm.sf,IFERROR(T226,"#N/C"), _xlpm.fam,IFERROR(U226,"#N/C"), _xlpm.subfam,IF(TRIM(V226)="-","#N/C",IFERROR(V226,"#N/C")),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_xlpm.fallback,IF(IFERROR(Q226,"#N/C")="#N/C",P226,IF(IFERROR(R226,"#N/C")="#N/C",Q226,IF(IFERROR(S226,"#N/C")="#N/C",R226,IF(IFERROR(T226,"#N/C")="#N/C",S226,IF(IFERROR(U226,"#N/C")="#N/C",T226,IF(IFERROR(V226,"#N/C")="#N/C",U226,"#N/C")))))), _xlpm.finalResult,IF(OR(_xlpm.computedResult="",_xlpm.computedResult="#N/C"),_xlpm.fallback,_xlpm.computedResult), INDEX(_xlpm.finalResult,1))</f>
        <v>robber_fly</v>
      </c>
      <c r="Z226" s="116" t="str" cm="1">
        <f t="array" ref="Z226">IF(OR(Y226="Insecta",Y226="Arachnida",Y226="#N/C"),"",IFERROR(_xlfn.LET(_xlpm.fc,IFERROR(_xlfn._xlws.FILTER(ClassificationClasses[],ClassificationClasses[Classification Class]=Y226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226,ClassificationClasses[Key])),0),MATCH(Y226,INDEX(ClassificationClasses[],MATCH(TRUE,ISNUMBER(SEARCH(Y226,ClassificationClasses[Key])),0),0),0)-1)))</f>
        <v>Asilomorpha</v>
      </c>
      <c r="AA226" s="116" t="str" cm="1">
        <f t="array" ref="AA226">IFERROR(IF(OR(Z226="Insecta",Z226="Arachnida",Z226="#N/C"),"",INDEX(ClassificationClasses[[Class]:[Infraorder]],MATCH(TRUE,ISNUMBER(SEARCH(Z226,ClassificationClasses[Key])),0),MATCH(Z226,INDEX(ClassificationClasses[#Data], MATCH(TRUE,ISNUMBER(SEARCH(Z226,ClassificationClasses[Key])),0), 0), 0)-1)),"")</f>
        <v>Brachycera</v>
      </c>
      <c r="AB226" s="116" t="str" cm="1">
        <f t="array" ref="AB226">IFERROR(IF(OR(AA226="Insecta",AA226="Arachnida",AA226="#N/C"),"",INDEX(ClassificationClasses[[Class]:[Suborder]],MATCH(TRUE,ISNUMBER(SEARCH(AA226,ClassificationClasses[Key])),0),MATCH(AA226,INDEX(ClassificationClasses[#Data], MATCH(TRUE,ISNUMBER(SEARCH(AA226,ClassificationClasses[Key])),0), 0), 0)-1)),"")</f>
        <v>Diptera</v>
      </c>
      <c r="AC226" s="116" t="str" cm="1">
        <f t="array" ref="AC226">IFERROR(IF(OR(AB226="Insecta",AB226="Arachnida",AB226="#N/C"),"",INDEX(ClassificationClasses[[Class]:[Suborder]],MATCH(TRUE,ISNUMBER(SEARCH(AB226,ClassificationClasses[Key])),0),MATCH(AB226,INDEX(ClassificationClasses[#Data], MATCH(TRUE,ISNUMBER(SEARCH(AB226,ClassificationClasses[Key])),0), 0), 0)-1)),"")</f>
        <v>Insecta</v>
      </c>
      <c r="AD226" s="116" t="str" cm="1">
        <f t="array" ref="AD226">IFERROR(IF(OR(AC226="Insecta",AC226="Arachnida",AC226="#N/C"),"",INDEX(ClassificationClasses[[Class]:[Suborder]],MATCH(TRUE,ISNUMBER(SEARCH(AC226,ClassificationClasses[Key])),0),MATCH(AC226,INDEX(ClassificationClasses[#Data], MATCH(TRUE,ISNUMBER(SEARCH(AC226,ClassificationClasses[Key])),0), 0), 0)-1)),"")</f>
        <v/>
      </c>
      <c r="AE226" s="18" t="str">
        <f t="shared" si="8"/>
        <v>Insecta.Diptera.Brachycera.Asilomorpha.Asiloidea.Asilidae.Asilinae.#N/C.#N/C</v>
      </c>
    </row>
    <row r="227" spans="1:31" x14ac:dyDescent="0.3">
      <c r="A227" s="91">
        <v>226</v>
      </c>
      <c r="B227" s="7">
        <v>44401</v>
      </c>
      <c r="C227" s="92" t="s">
        <v>411</v>
      </c>
      <c r="D227" s="93" t="str">
        <f>HYPERLINK(VLOOKUP(C227,Video_List!$F:$J,5),"video")</f>
        <v>video</v>
      </c>
      <c r="E227" s="94" t="str">
        <f>IFERROR(IF(MATCH(C227,Video_List!$F:$F,)&gt;0,"ok",""),"error")</f>
        <v>ok</v>
      </c>
      <c r="F227" s="92" t="s">
        <v>412</v>
      </c>
      <c r="G227" s="93" t="str">
        <f>HYPERLINK(VLOOKUP(F227,Video_List!$F:$J,5),"video")</f>
        <v>video</v>
      </c>
      <c r="H227" s="94" t="str">
        <f>IFERROR(IF(MATCH(F227,Video_List!$F:$F,)&gt;0,"ok",""),"error")</f>
        <v>ok</v>
      </c>
      <c r="I227" s="17">
        <v>44401.753831018519</v>
      </c>
      <c r="J227" s="8">
        <v>44401.755162037036</v>
      </c>
      <c r="K227" s="15">
        <f t="shared" si="7"/>
        <v>1.3310185167938471E-3</v>
      </c>
      <c r="L227" s="95" t="s">
        <v>32</v>
      </c>
      <c r="M227" s="95" t="s">
        <v>33</v>
      </c>
      <c r="N227" s="96" t="str">
        <f>IF(ISBLANK(C227),"",IF(C227=F227, "1 video",CONCATENATE((+COUNTIFS(Video_List!$C:$C,"&lt;=" &amp;Monitoring!J227)-COUNTIFS(Video_List!$C:$C,"&lt;=" &amp;Monitoring!I227))+1," videos")))</f>
        <v>2 videos</v>
      </c>
      <c r="O227" s="29" t="s">
        <v>44</v>
      </c>
      <c r="P227" s="42" t="s">
        <v>37</v>
      </c>
      <c r="Q227" s="42" t="s">
        <v>38</v>
      </c>
      <c r="R227" s="42" t="s">
        <v>39</v>
      </c>
      <c r="S227" s="97" t="str">
        <f>+IFERROR(IF(T227="#N/C","#N/C",IF(U227=0,INDEX(Taxonomy_UniqueValues!D:D,MATCH(U227,Taxonomy_UniqueValues!F:F,0)),INDEX(Taxonomy_UniqueValues!D:D,MATCH(T227,Taxonomy_UniqueValues!E:E,0)))),"#N/C")</f>
        <v>Asilomorpha</v>
      </c>
      <c r="T227" s="42" t="s">
        <v>149</v>
      </c>
      <c r="U227" s="42" t="s">
        <v>150</v>
      </c>
      <c r="V227" s="42" t="s">
        <v>151</v>
      </c>
      <c r="W227" s="42" t="s">
        <v>35</v>
      </c>
      <c r="X227" s="28" t="s">
        <v>35</v>
      </c>
      <c r="Y227" s="69" t="str" cm="1">
        <f t="array" ref="Y227">_xlfn.LET(_xlpm.cls,P227, _xlpm.ord,IFERROR(Q227,"#N/C"), _xlpm.subord,IFERROR(R227,"#N/C"), _xlpm.infr,IFERROR(S227,"#N/C"), _xlpm.sf,IFERROR(T227,"#N/C"), _xlpm.fam,IFERROR(U227,"#N/C"), _xlpm.subfam,IF(TRIM(V227)="-","#N/C",IFERROR(V227,"#N/C")),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_xlpm.fallback,IF(IFERROR(Q227,"#N/C")="#N/C",P227,IF(IFERROR(R227,"#N/C")="#N/C",Q227,IF(IFERROR(S227,"#N/C")="#N/C",R227,IF(IFERROR(T227,"#N/C")="#N/C",S227,IF(IFERROR(U227,"#N/C")="#N/C",T227,IF(IFERROR(V227,"#N/C")="#N/C",U227,"#N/C")))))), _xlpm.finalResult,IF(OR(_xlpm.computedResult="",_xlpm.computedResult="#N/C"),_xlpm.fallback,_xlpm.computedResult), INDEX(_xlpm.finalResult,1))</f>
        <v>robber_fly</v>
      </c>
      <c r="Z227" s="116" t="str" cm="1">
        <f t="array" ref="Z227">IF(OR(Y227="Insecta",Y227="Arachnida",Y227="#N/C"),"",IFERROR(_xlfn.LET(_xlpm.fc,IFERROR(_xlfn._xlws.FILTER(ClassificationClasses[],ClassificationClasses[Classification Class]=Y227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227,ClassificationClasses[Key])),0),MATCH(Y227,INDEX(ClassificationClasses[],MATCH(TRUE,ISNUMBER(SEARCH(Y227,ClassificationClasses[Key])),0),0),0)-1)))</f>
        <v>Asilomorpha</v>
      </c>
      <c r="AA227" s="116" t="str" cm="1">
        <f t="array" ref="AA227">IFERROR(IF(OR(Z227="Insecta",Z227="Arachnida",Z227="#N/C"),"",INDEX(ClassificationClasses[[Class]:[Infraorder]],MATCH(TRUE,ISNUMBER(SEARCH(Z227,ClassificationClasses[Key])),0),MATCH(Z227,INDEX(ClassificationClasses[#Data], MATCH(TRUE,ISNUMBER(SEARCH(Z227,ClassificationClasses[Key])),0), 0), 0)-1)),"")</f>
        <v>Brachycera</v>
      </c>
      <c r="AB227" s="116" t="str" cm="1">
        <f t="array" ref="AB227">IFERROR(IF(OR(AA227="Insecta",AA227="Arachnida",AA227="#N/C"),"",INDEX(ClassificationClasses[[Class]:[Suborder]],MATCH(TRUE,ISNUMBER(SEARCH(AA227,ClassificationClasses[Key])),0),MATCH(AA227,INDEX(ClassificationClasses[#Data], MATCH(TRUE,ISNUMBER(SEARCH(AA227,ClassificationClasses[Key])),0), 0), 0)-1)),"")</f>
        <v>Diptera</v>
      </c>
      <c r="AC227" s="116" t="str" cm="1">
        <f t="array" ref="AC227">IFERROR(IF(OR(AB227="Insecta",AB227="Arachnida",AB227="#N/C"),"",INDEX(ClassificationClasses[[Class]:[Suborder]],MATCH(TRUE,ISNUMBER(SEARCH(AB227,ClassificationClasses[Key])),0),MATCH(AB227,INDEX(ClassificationClasses[#Data], MATCH(TRUE,ISNUMBER(SEARCH(AB227,ClassificationClasses[Key])),0), 0), 0)-1)),"")</f>
        <v>Insecta</v>
      </c>
      <c r="AD227" s="116" t="str" cm="1">
        <f t="array" ref="AD227">IFERROR(IF(OR(AC227="Insecta",AC227="Arachnida",AC227="#N/C"),"",INDEX(ClassificationClasses[[Class]:[Suborder]],MATCH(TRUE,ISNUMBER(SEARCH(AC227,ClassificationClasses[Key])),0),MATCH(AC227,INDEX(ClassificationClasses[#Data], MATCH(TRUE,ISNUMBER(SEARCH(AC227,ClassificationClasses[Key])),0), 0), 0)-1)),"")</f>
        <v/>
      </c>
      <c r="AE227" s="18" t="str">
        <f t="shared" si="8"/>
        <v>Insecta.Diptera.Brachycera.Asilomorpha.Asiloidea.Asilidae.Asilinae.#N/C.#N/C</v>
      </c>
    </row>
    <row r="228" spans="1:31" x14ac:dyDescent="0.3">
      <c r="A228" s="91">
        <v>227</v>
      </c>
      <c r="B228" s="7">
        <v>44402</v>
      </c>
      <c r="C228" s="92" t="s">
        <v>413</v>
      </c>
      <c r="D228" s="93" t="str">
        <f>HYPERLINK(VLOOKUP(C228,Video_List!$F:$J,5),"video")</f>
        <v>video</v>
      </c>
      <c r="E228" s="94" t="str">
        <f>IFERROR(IF(MATCH(C228,Video_List!$F:$F,)&gt;0,"ok",""),"error")</f>
        <v>ok</v>
      </c>
      <c r="F228" s="92" t="s">
        <v>413</v>
      </c>
      <c r="G228" s="93" t="str">
        <f>HYPERLINK(VLOOKUP(F228,Video_List!$F:$J,5),"video")</f>
        <v>video</v>
      </c>
      <c r="H228" s="94" t="str">
        <f>IFERROR(IF(MATCH(F228,Video_List!$F:$F,)&gt;0,"ok",""),"error")</f>
        <v>ok</v>
      </c>
      <c r="I228" s="17">
        <v>44402.315046296295</v>
      </c>
      <c r="J228" s="8">
        <v>44402.315254629626</v>
      </c>
      <c r="K228" s="15">
        <f t="shared" si="7"/>
        <v>2.0833333110203966E-4</v>
      </c>
      <c r="L228" s="95" t="s">
        <v>32</v>
      </c>
      <c r="M228" s="95" t="s">
        <v>33</v>
      </c>
      <c r="N228" s="96" t="str">
        <f>IF(ISBLANK(C228),"",IF(C228=F228, "1 video",CONCATENATE((+COUNTIFS(Video_List!$C:$C,"&lt;=" &amp;Monitoring!J228)-COUNTIFS(Video_List!$C:$C,"&lt;=" &amp;Monitoring!I228))+1," videos")))</f>
        <v>1 video</v>
      </c>
      <c r="O228" s="27" t="s">
        <v>32</v>
      </c>
      <c r="P228" s="42" t="s">
        <v>37</v>
      </c>
      <c r="Q228" s="42" t="s">
        <v>38</v>
      </c>
      <c r="R228" s="42" t="s">
        <v>39</v>
      </c>
      <c r="S228" s="97" t="str">
        <f>+IFERROR(IF(T228="#N/C","#N/C",IF(U228=0,INDEX(Taxonomy_UniqueValues!D:D,MATCH(U228,Taxonomy_UniqueValues!F:F,0)),INDEX(Taxonomy_UniqueValues!D:D,MATCH(T228,Taxonomy_UniqueValues!E:E,0)))),"#N/C")</f>
        <v>Muscomorpha</v>
      </c>
      <c r="T228" s="42" t="s">
        <v>330</v>
      </c>
      <c r="U228" s="42" t="s">
        <v>331</v>
      </c>
      <c r="V228" s="42" t="s">
        <v>332</v>
      </c>
      <c r="W228" s="42" t="s">
        <v>333</v>
      </c>
      <c r="X228" s="28" t="s">
        <v>35</v>
      </c>
      <c r="Y228" s="69" t="str" cm="1">
        <f t="array" ref="Y228">_xlfn.LET(_xlpm.cls,P228, _xlpm.ord,IFERROR(Q228,"#N/C"), _xlpm.subord,IFERROR(R228,"#N/C"), _xlpm.infr,IFERROR(S228,"#N/C"), _xlpm.sf,IFERROR(T228,"#N/C"), _xlpm.fam,IFERROR(U228,"#N/C"), _xlpm.subfam,IF(TRIM(V228)="-","#N/C",IFERROR(V228,"#N/C")),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_xlpm.fallback,IF(IFERROR(Q228,"#N/C")="#N/C",P228,IF(IFERROR(R228,"#N/C")="#N/C",Q228,IF(IFERROR(S228,"#N/C")="#N/C",R228,IF(IFERROR(T228,"#N/C")="#N/C",S228,IF(IFERROR(U228,"#N/C")="#N/C",T228,IF(IFERROR(V228,"#N/C")="#N/C",U228,"#N/C")))))), _xlpm.finalResult,IF(OR(_xlpm.computedResult="",_xlpm.computedResult="#N/C"),_xlpm.fallback,_xlpm.computedResult), INDEX(_xlpm.finalResult,1))</f>
        <v>fruit_fly</v>
      </c>
      <c r="Z228" s="116" t="str" cm="1">
        <f t="array" ref="Z228">IF(OR(Y228="Insecta",Y228="Arachnida",Y228="#N/C"),"",IFERROR(_xlfn.LET(_xlpm.fc,IFERROR(_xlfn._xlws.FILTER(ClassificationClasses[],ClassificationClasses[Classification Class]=Y228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228,ClassificationClasses[Key])),0),MATCH(Y228,INDEX(ClassificationClasses[],MATCH(TRUE,ISNUMBER(SEARCH(Y228,ClassificationClasses[Key])),0),0),0)-1)))</f>
        <v>Muscomorpha</v>
      </c>
      <c r="AA228" s="116" t="str" cm="1">
        <f t="array" ref="AA228">IFERROR(IF(OR(Z228="Insecta",Z228="Arachnida",Z228="#N/C"),"",INDEX(ClassificationClasses[[Class]:[Infraorder]],MATCH(TRUE,ISNUMBER(SEARCH(Z228,ClassificationClasses[Key])),0),MATCH(Z228,INDEX(ClassificationClasses[#Data], MATCH(TRUE,ISNUMBER(SEARCH(Z228,ClassificationClasses[Key])),0), 0), 0)-1)),"")</f>
        <v>Brachycera</v>
      </c>
      <c r="AB228" s="116" t="str" cm="1">
        <f t="array" ref="AB228">IFERROR(IF(OR(AA228="Insecta",AA228="Arachnida",AA228="#N/C"),"",INDEX(ClassificationClasses[[Class]:[Suborder]],MATCH(TRUE,ISNUMBER(SEARCH(AA228,ClassificationClasses[Key])),0),MATCH(AA228,INDEX(ClassificationClasses[#Data], MATCH(TRUE,ISNUMBER(SEARCH(AA228,ClassificationClasses[Key])),0), 0), 0)-1)),"")</f>
        <v>Diptera</v>
      </c>
      <c r="AC228" s="116" t="str" cm="1">
        <f t="array" ref="AC228">IFERROR(IF(OR(AB228="Insecta",AB228="Arachnida",AB228="#N/C"),"",INDEX(ClassificationClasses[[Class]:[Suborder]],MATCH(TRUE,ISNUMBER(SEARCH(AB228,ClassificationClasses[Key])),0),MATCH(AB228,INDEX(ClassificationClasses[#Data], MATCH(TRUE,ISNUMBER(SEARCH(AB228,ClassificationClasses[Key])),0), 0), 0)-1)),"")</f>
        <v>Insecta</v>
      </c>
      <c r="AD228" s="116" t="str" cm="1">
        <f t="array" ref="AD228">IFERROR(IF(OR(AC228="Insecta",AC228="Arachnida",AC228="#N/C"),"",INDEX(ClassificationClasses[[Class]:[Suborder]],MATCH(TRUE,ISNUMBER(SEARCH(AC228,ClassificationClasses[Key])),0),MATCH(AC228,INDEX(ClassificationClasses[#Data], MATCH(TRUE,ISNUMBER(SEARCH(AC228,ClassificationClasses[Key])),0), 0), 0)-1)),"")</f>
        <v/>
      </c>
      <c r="AE228" s="18" t="str">
        <f t="shared" si="8"/>
        <v>Insecta.Diptera.Brachycera.Muscomorpha.Lauxanioidea.Lauxaniidae.Lauxaniinae.Sapromyza.#N/C</v>
      </c>
    </row>
    <row r="229" spans="1:31" x14ac:dyDescent="0.3">
      <c r="A229" s="91">
        <v>228</v>
      </c>
      <c r="B229" s="7">
        <v>44402</v>
      </c>
      <c r="C229" s="92" t="s">
        <v>414</v>
      </c>
      <c r="D229" s="93" t="str">
        <f>HYPERLINK(VLOOKUP(C229,Video_List!$F:$J,5),"video")</f>
        <v>video</v>
      </c>
      <c r="E229" s="94" t="str">
        <f>IFERROR(IF(MATCH(C229,Video_List!$F:$F,)&gt;0,"ok",""),"error")</f>
        <v>ok</v>
      </c>
      <c r="F229" s="92" t="s">
        <v>414</v>
      </c>
      <c r="G229" s="93" t="str">
        <f>HYPERLINK(VLOOKUP(F229,Video_List!$F:$J,5),"video")</f>
        <v>video</v>
      </c>
      <c r="H229" s="94" t="str">
        <f>IFERROR(IF(MATCH(F229,Video_List!$F:$F,)&gt;0,"ok",""),"error")</f>
        <v>ok</v>
      </c>
      <c r="I229" s="17">
        <v>44402.342615740738</v>
      </c>
      <c r="J229" s="8">
        <v>44402.343136574076</v>
      </c>
      <c r="K229" s="15">
        <f t="shared" si="7"/>
        <v>5.2083333866903558E-4</v>
      </c>
      <c r="L229" s="95" t="s">
        <v>32</v>
      </c>
      <c r="M229" s="95" t="s">
        <v>33</v>
      </c>
      <c r="N229" s="96" t="str">
        <f>IF(ISBLANK(C229),"",IF(C229=F229, "1 video",CONCATENATE((+COUNTIFS(Video_List!$C:$C,"&lt;=" &amp;Monitoring!J229)-COUNTIFS(Video_List!$C:$C,"&lt;=" &amp;Monitoring!I229))+1," videos")))</f>
        <v>1 video</v>
      </c>
      <c r="O229" s="27" t="s">
        <v>32</v>
      </c>
      <c r="P229" s="42" t="s">
        <v>37</v>
      </c>
      <c r="Q229" s="42" t="s">
        <v>38</v>
      </c>
      <c r="R229" s="42" t="s">
        <v>39</v>
      </c>
      <c r="S229" s="97" t="str">
        <f>+IFERROR(IF(T229="#N/C","#N/C",IF(U229=0,INDEX(Taxonomy_UniqueValues!D:D,MATCH(U229,Taxonomy_UniqueValues!F:F,0)),INDEX(Taxonomy_UniqueValues!D:D,MATCH(T229,Taxonomy_UniqueValues!E:E,0)))),"#N/C")</f>
        <v>Muscomorpha</v>
      </c>
      <c r="T229" s="42" t="s">
        <v>46</v>
      </c>
      <c r="U229" s="42" t="s">
        <v>47</v>
      </c>
      <c r="V229" s="42" t="s">
        <v>48</v>
      </c>
      <c r="W229" s="42" t="s">
        <v>182</v>
      </c>
      <c r="X229" s="28" t="s">
        <v>35</v>
      </c>
      <c r="Y229" s="69" t="str" cm="1">
        <f t="array" ref="Y229">_xlfn.LET(_xlpm.cls,P229, _xlpm.ord,IFERROR(Q229,"#N/C"), _xlpm.subord,IFERROR(R229,"#N/C"), _xlpm.infr,IFERROR(S229,"#N/C"), _xlpm.sf,IFERROR(T229,"#N/C"), _xlpm.fam,IFERROR(U229,"#N/C"), _xlpm.subfam,IF(TRIM(V229)="-","#N/C",IFERROR(V229,"#N/C")),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_xlpm.fallback,IF(IFERROR(Q229,"#N/C")="#N/C",P229,IF(IFERROR(R229,"#N/C")="#N/C",Q229,IF(IFERROR(S229,"#N/C")="#N/C",R229,IF(IFERROR(T229,"#N/C")="#N/C",S229,IF(IFERROR(U229,"#N/C")="#N/C",T229,IF(IFERROR(V229,"#N/C")="#N/C",U229,"#N/C")))))), _xlpm.finalResult,IF(OR(_xlpm.computedResult="",_xlpm.computedResult="#N/C"),_xlpm.fallback,_xlpm.computedResult), INDEX(_xlpm.finalResult,1))</f>
        <v>hoverfly</v>
      </c>
      <c r="Z229" s="116" t="str" cm="1">
        <f t="array" ref="Z229">IF(OR(Y229="Insecta",Y229="Arachnida",Y229="#N/C"),"",IFERROR(_xlfn.LET(_xlpm.fc,IFERROR(_xlfn._xlws.FILTER(ClassificationClasses[],ClassificationClasses[Classification Class]=Y229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229,ClassificationClasses[Key])),0),MATCH(Y229,INDEX(ClassificationClasses[],MATCH(TRUE,ISNUMBER(SEARCH(Y229,ClassificationClasses[Key])),0),0),0)-1)))</f>
        <v>Muscomorpha</v>
      </c>
      <c r="AA229" s="116" t="str" cm="1">
        <f t="array" ref="AA229">IFERROR(IF(OR(Z229="Insecta",Z229="Arachnida",Z229="#N/C"),"",INDEX(ClassificationClasses[[Class]:[Infraorder]],MATCH(TRUE,ISNUMBER(SEARCH(Z229,ClassificationClasses[Key])),0),MATCH(Z229,INDEX(ClassificationClasses[#Data], MATCH(TRUE,ISNUMBER(SEARCH(Z229,ClassificationClasses[Key])),0), 0), 0)-1)),"")</f>
        <v>Brachycera</v>
      </c>
      <c r="AB229" s="116" t="str" cm="1">
        <f t="array" ref="AB229">IFERROR(IF(OR(AA229="Insecta",AA229="Arachnida",AA229="#N/C"),"",INDEX(ClassificationClasses[[Class]:[Suborder]],MATCH(TRUE,ISNUMBER(SEARCH(AA229,ClassificationClasses[Key])),0),MATCH(AA229,INDEX(ClassificationClasses[#Data], MATCH(TRUE,ISNUMBER(SEARCH(AA229,ClassificationClasses[Key])),0), 0), 0)-1)),"")</f>
        <v>Diptera</v>
      </c>
      <c r="AC229" s="116" t="str" cm="1">
        <f t="array" ref="AC229">IFERROR(IF(OR(AB229="Insecta",AB229="Arachnida",AB229="#N/C"),"",INDEX(ClassificationClasses[[Class]:[Suborder]],MATCH(TRUE,ISNUMBER(SEARCH(AB229,ClassificationClasses[Key])),0),MATCH(AB229,INDEX(ClassificationClasses[#Data], MATCH(TRUE,ISNUMBER(SEARCH(AB229,ClassificationClasses[Key])),0), 0), 0)-1)),"")</f>
        <v>Insecta</v>
      </c>
      <c r="AD229" s="116" t="str" cm="1">
        <f t="array" ref="AD229">IFERROR(IF(OR(AC229="Insecta",AC229="Arachnida",AC229="#N/C"),"",INDEX(ClassificationClasses[[Class]:[Suborder]],MATCH(TRUE,ISNUMBER(SEARCH(AC229,ClassificationClasses[Key])),0),MATCH(AC229,INDEX(ClassificationClasses[#Data], MATCH(TRUE,ISNUMBER(SEARCH(AC229,ClassificationClasses[Key])),0), 0), 0)-1)),"")</f>
        <v/>
      </c>
      <c r="AE229" s="18" t="str">
        <f t="shared" si="8"/>
        <v>Insecta.Diptera.Brachycera.Muscomorpha.Syrphoidea.Syrphidae.Syrphinae.Melanostoma.#N/C</v>
      </c>
    </row>
    <row r="230" spans="1:31" x14ac:dyDescent="0.3">
      <c r="A230" s="91">
        <v>229</v>
      </c>
      <c r="B230" s="7">
        <v>44402</v>
      </c>
      <c r="C230" s="92" t="s">
        <v>415</v>
      </c>
      <c r="D230" s="93" t="str">
        <f>HYPERLINK(VLOOKUP(C230,Video_List!$F:$J,5),"video")</f>
        <v>video</v>
      </c>
      <c r="E230" s="94" t="str">
        <f>IFERROR(IF(MATCH(C230,Video_List!$F:$F,)&gt;0,"ok",""),"error")</f>
        <v>ok</v>
      </c>
      <c r="F230" s="92" t="s">
        <v>415</v>
      </c>
      <c r="G230" s="93" t="str">
        <f>HYPERLINK(VLOOKUP(F230,Video_List!$F:$J,5),"video")</f>
        <v>video</v>
      </c>
      <c r="H230" s="94" t="str">
        <f>IFERROR(IF(MATCH(F230,Video_List!$F:$F,)&gt;0,"ok",""),"error")</f>
        <v>ok</v>
      </c>
      <c r="I230" s="17">
        <v>44402.35050925926</v>
      </c>
      <c r="J230" s="8">
        <v>44402.350682870368</v>
      </c>
      <c r="K230" s="15">
        <f t="shared" si="7"/>
        <v>1.7361110803904012E-4</v>
      </c>
      <c r="L230" s="4" t="s">
        <v>44</v>
      </c>
      <c r="M230" s="4" t="s">
        <v>118</v>
      </c>
      <c r="N230" s="96" t="str">
        <f>IF(ISBLANK(C230),"",IF(C230=F230, "1 video",CONCATENATE((+COUNTIFS(Video_List!$C:$C,"&lt;=" &amp;Monitoring!J230)-COUNTIFS(Video_List!$C:$C,"&lt;=" &amp;Monitoring!I230))+1," videos")))</f>
        <v>1 video</v>
      </c>
      <c r="O230" s="27" t="s">
        <v>32</v>
      </c>
      <c r="P230" s="42" t="s">
        <v>37</v>
      </c>
      <c r="Q230" s="42" t="s">
        <v>38</v>
      </c>
      <c r="R230" s="42" t="s">
        <v>39</v>
      </c>
      <c r="S230" s="97" t="str">
        <f>+IFERROR(IF(T230="#N/C","#N/C",IF(U230=0,INDEX(Taxonomy_UniqueValues!D:D,MATCH(U230,Taxonomy_UniqueValues!F:F,0)),INDEX(Taxonomy_UniqueValues!D:D,MATCH(T230,Taxonomy_UniqueValues!E:E,0)))),"#N/C")</f>
        <v>Muscomorpha</v>
      </c>
      <c r="T230" s="42" t="s">
        <v>335</v>
      </c>
      <c r="U230" s="42" t="s">
        <v>375</v>
      </c>
      <c r="V230" s="42" t="s">
        <v>376</v>
      </c>
      <c r="W230" s="42" t="s">
        <v>377</v>
      </c>
      <c r="X230" s="28" t="s">
        <v>35</v>
      </c>
      <c r="Y230" s="69" t="str" cm="1">
        <f t="array" ref="Y230">_xlfn.LET(_xlpm.cls,P230, _xlpm.ord,IFERROR(Q230,"#N/C"), _xlpm.subord,IFERROR(R230,"#N/C"), _xlpm.infr,IFERROR(S230,"#N/C"), _xlpm.sf,IFERROR(T230,"#N/C"), _xlpm.fam,IFERROR(U230,"#N/C"), _xlpm.subfam,IF(TRIM(V230)="-","#N/C",IFERROR(V230,"#N/C")),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_xlpm.fallback,IF(IFERROR(Q230,"#N/C")="#N/C",P230,IF(IFERROR(R230,"#N/C")="#N/C",Q230,IF(IFERROR(S230,"#N/C")="#N/C",R230,IF(IFERROR(T230,"#N/C")="#N/C",S230,IF(IFERROR(U230,"#N/C")="#N/C",T230,IF(IFERROR(V230,"#N/C")="#N/C",U230,"#N/C")))))), _xlpm.finalResult,IF(OR(_xlpm.computedResult="",_xlpm.computedResult="#N/C"),_xlpm.fallback,_xlpm.computedResult), INDEX(_xlpm.finalResult,1))</f>
        <v>flesh_fly</v>
      </c>
      <c r="Z230" s="116" t="str" cm="1">
        <f t="array" ref="Z230">IF(OR(Y230="Insecta",Y230="Arachnida",Y230="#N/C"),"",IFERROR(_xlfn.LET(_xlpm.fc,IFERROR(_xlfn._xlws.FILTER(ClassificationClasses[],ClassificationClasses[Classification Class]=Y230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230,ClassificationClasses[Key])),0),MATCH(Y230,INDEX(ClassificationClasses[],MATCH(TRUE,ISNUMBER(SEARCH(Y230,ClassificationClasses[Key])),0),0),0)-1)))</f>
        <v>Muscomorpha</v>
      </c>
      <c r="AA230" s="116" t="str" cm="1">
        <f t="array" ref="AA230">IFERROR(IF(OR(Z230="Insecta",Z230="Arachnida",Z230="#N/C"),"",INDEX(ClassificationClasses[[Class]:[Infraorder]],MATCH(TRUE,ISNUMBER(SEARCH(Z230,ClassificationClasses[Key])),0),MATCH(Z230,INDEX(ClassificationClasses[#Data], MATCH(TRUE,ISNUMBER(SEARCH(Z230,ClassificationClasses[Key])),0), 0), 0)-1)),"")</f>
        <v>Brachycera</v>
      </c>
      <c r="AB230" s="116" t="str" cm="1">
        <f t="array" ref="AB230">IFERROR(IF(OR(AA230="Insecta",AA230="Arachnida",AA230="#N/C"),"",INDEX(ClassificationClasses[[Class]:[Suborder]],MATCH(TRUE,ISNUMBER(SEARCH(AA230,ClassificationClasses[Key])),0),MATCH(AA230,INDEX(ClassificationClasses[#Data], MATCH(TRUE,ISNUMBER(SEARCH(AA230,ClassificationClasses[Key])),0), 0), 0)-1)),"")</f>
        <v>Diptera</v>
      </c>
      <c r="AC230" s="116" t="str" cm="1">
        <f t="array" ref="AC230">IFERROR(IF(OR(AB230="Insecta",AB230="Arachnida",AB230="#N/C"),"",INDEX(ClassificationClasses[[Class]:[Suborder]],MATCH(TRUE,ISNUMBER(SEARCH(AB230,ClassificationClasses[Key])),0),MATCH(AB230,INDEX(ClassificationClasses[#Data], MATCH(TRUE,ISNUMBER(SEARCH(AB230,ClassificationClasses[Key])),0), 0), 0)-1)),"")</f>
        <v>Insecta</v>
      </c>
      <c r="AD230" s="116" t="str" cm="1">
        <f t="array" ref="AD230">IFERROR(IF(OR(AC230="Insecta",AC230="Arachnida",AC230="#N/C"),"",INDEX(ClassificationClasses[[Class]:[Suborder]],MATCH(TRUE,ISNUMBER(SEARCH(AC230,ClassificationClasses[Key])),0),MATCH(AC230,INDEX(ClassificationClasses[#Data], MATCH(TRUE,ISNUMBER(SEARCH(AC230,ClassificationClasses[Key])),0), 0), 0)-1)),"")</f>
        <v/>
      </c>
      <c r="AE230" s="18" t="str">
        <f t="shared" si="8"/>
        <v>Insecta.Diptera.Brachycera.Muscomorpha.Oestroidea.Sarcophagidae.Sarcophaginae.Sarcophaga.#N/C</v>
      </c>
    </row>
    <row r="231" spans="1:31" x14ac:dyDescent="0.3">
      <c r="A231" s="91">
        <v>230</v>
      </c>
      <c r="B231" s="7">
        <v>44402</v>
      </c>
      <c r="C231" s="92" t="s">
        <v>416</v>
      </c>
      <c r="D231" s="93" t="str">
        <f>HYPERLINK(VLOOKUP(C231,Video_List!$F:$J,5),"video")</f>
        <v>video</v>
      </c>
      <c r="E231" s="94" t="str">
        <f>IFERROR(IF(MATCH(C231,Video_List!$F:$F,)&gt;0,"ok",""),"error")</f>
        <v>ok</v>
      </c>
      <c r="F231" s="92" t="s">
        <v>416</v>
      </c>
      <c r="G231" s="93" t="str">
        <f>HYPERLINK(VLOOKUP(F231,Video_List!$F:$J,5),"video")</f>
        <v>video</v>
      </c>
      <c r="H231" s="94" t="str">
        <f>IFERROR(IF(MATCH(F231,Video_List!$F:$F,)&gt;0,"ok",""),"error")</f>
        <v>ok</v>
      </c>
      <c r="I231" s="17">
        <v>44402.474432870367</v>
      </c>
      <c r="J231" s="8">
        <v>44402.47483796296</v>
      </c>
      <c r="K231" s="15">
        <f t="shared" si="7"/>
        <v>4.0509259270038456E-4</v>
      </c>
      <c r="L231" s="4" t="s">
        <v>55</v>
      </c>
      <c r="M231" s="4" t="s">
        <v>33</v>
      </c>
      <c r="N231" s="96" t="str">
        <f>IF(ISBLANK(C231),"",IF(C231=F231, "1 video",CONCATENATE((+COUNTIFS(Video_List!$C:$C,"&lt;=" &amp;Monitoring!J231)-COUNTIFS(Video_List!$C:$C,"&lt;=" &amp;Monitoring!I231))+1," videos")))</f>
        <v>1 video</v>
      </c>
      <c r="O231" s="27" t="s">
        <v>32</v>
      </c>
      <c r="P231" s="42" t="s">
        <v>37</v>
      </c>
      <c r="Q231" s="42" t="s">
        <v>38</v>
      </c>
      <c r="R231" s="42" t="s">
        <v>39</v>
      </c>
      <c r="S231" s="97" t="str">
        <f>+IFERROR(IF(T231="#N/C","#N/C",IF(U231=0,INDEX(Taxonomy_UniqueValues!D:D,MATCH(U231,Taxonomy_UniqueValues!F:F,0)),INDEX(Taxonomy_UniqueValues!D:D,MATCH(T231,Taxonomy_UniqueValues!E:E,0)))),"#N/C")</f>
        <v>Muscomorpha</v>
      </c>
      <c r="T231" s="42" t="s">
        <v>175</v>
      </c>
      <c r="U231" s="42" t="s">
        <v>35</v>
      </c>
      <c r="V231" s="42" t="s">
        <v>35</v>
      </c>
      <c r="W231" s="42" t="s">
        <v>35</v>
      </c>
      <c r="X231" s="28" t="s">
        <v>35</v>
      </c>
      <c r="Y231" s="69" t="str" cm="1">
        <f t="array" ref="Y231">_xlfn.LET(_xlpm.cls,P231, _xlpm.ord,IFERROR(Q231,"#N/C"), _xlpm.subord,IFERROR(R231,"#N/C"), _xlpm.infr,IFERROR(S231,"#N/C"), _xlpm.sf,IFERROR(T231,"#N/C"), _xlpm.fam,IFERROR(U231,"#N/C"), _xlpm.subfam,IF(TRIM(V231)="-","#N/C",IFERROR(V231,"#N/C")),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_xlpm.fallback,IF(IFERROR(Q231,"#N/C")="#N/C",P231,IF(IFERROR(R231,"#N/C")="#N/C",Q231,IF(IFERROR(S231,"#N/C")="#N/C",R231,IF(IFERROR(T231,"#N/C")="#N/C",S231,IF(IFERROR(U231,"#N/C")="#N/C",T231,IF(IFERROR(V231,"#N/C")="#N/C",U231,"#N/C")))))), _xlpm.finalResult,IF(OR(_xlpm.computedResult="",_xlpm.computedResult="#N/C"),_xlpm.fallback,_xlpm.computedResult), INDEX(_xlpm.finalResult,1))</f>
        <v>Muscoidea</v>
      </c>
      <c r="Z231" s="116" t="str" cm="1">
        <f t="array" ref="Z231">IF(OR(Y231="Insecta",Y231="Arachnida",Y231="#N/C"),"",IFERROR(_xlfn.LET(_xlpm.fc,IFERROR(_xlfn._xlws.FILTER(ClassificationClasses[],ClassificationClasses[Classification Class]=Y231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231,ClassificationClasses[Key])),0),MATCH(Y231,INDEX(ClassificationClasses[],MATCH(TRUE,ISNUMBER(SEARCH(Y231,ClassificationClasses[Key])),0),0),0)-1)))</f>
        <v>Muscomorpha</v>
      </c>
      <c r="AA231" s="116" t="str" cm="1">
        <f t="array" ref="AA231">IFERROR(IF(OR(Z231="Insecta",Z231="Arachnida",Z231="#N/C"),"",INDEX(ClassificationClasses[[Class]:[Infraorder]],MATCH(TRUE,ISNUMBER(SEARCH(Z231,ClassificationClasses[Key])),0),MATCH(Z231,INDEX(ClassificationClasses[#Data], MATCH(TRUE,ISNUMBER(SEARCH(Z231,ClassificationClasses[Key])),0), 0), 0)-1)),"")</f>
        <v>Brachycera</v>
      </c>
      <c r="AB231" s="116" t="str" cm="1">
        <f t="array" ref="AB231">IFERROR(IF(OR(AA231="Insecta",AA231="Arachnida",AA231="#N/C"),"",INDEX(ClassificationClasses[[Class]:[Suborder]],MATCH(TRUE,ISNUMBER(SEARCH(AA231,ClassificationClasses[Key])),0),MATCH(AA231,INDEX(ClassificationClasses[#Data], MATCH(TRUE,ISNUMBER(SEARCH(AA231,ClassificationClasses[Key])),0), 0), 0)-1)),"")</f>
        <v>Diptera</v>
      </c>
      <c r="AC231" s="116" t="str" cm="1">
        <f t="array" ref="AC231">IFERROR(IF(OR(AB231="Insecta",AB231="Arachnida",AB231="#N/C"),"",INDEX(ClassificationClasses[[Class]:[Suborder]],MATCH(TRUE,ISNUMBER(SEARCH(AB231,ClassificationClasses[Key])),0),MATCH(AB231,INDEX(ClassificationClasses[#Data], MATCH(TRUE,ISNUMBER(SEARCH(AB231,ClassificationClasses[Key])),0), 0), 0)-1)),"")</f>
        <v>Insecta</v>
      </c>
      <c r="AD231" s="116" t="str" cm="1">
        <f t="array" ref="AD231">IFERROR(IF(OR(AC231="Insecta",AC231="Arachnida",AC231="#N/C"),"",INDEX(ClassificationClasses[[Class]:[Suborder]],MATCH(TRUE,ISNUMBER(SEARCH(AC231,ClassificationClasses[Key])),0),MATCH(AC231,INDEX(ClassificationClasses[#Data], MATCH(TRUE,ISNUMBER(SEARCH(AC231,ClassificationClasses[Key])),0), 0), 0)-1)),"")</f>
        <v/>
      </c>
      <c r="AE231" s="18" t="str">
        <f t="shared" si="8"/>
        <v>Insecta.Diptera.Brachycera.Muscomorpha.Muscoidea.#N/C.#N/C.#N/C.#N/C</v>
      </c>
    </row>
    <row r="232" spans="1:31" x14ac:dyDescent="0.3">
      <c r="A232" s="91">
        <v>231</v>
      </c>
      <c r="B232" s="7">
        <v>44402</v>
      </c>
      <c r="C232" s="92" t="s">
        <v>417</v>
      </c>
      <c r="D232" s="93" t="str">
        <f>HYPERLINK(VLOOKUP(C232,Video_List!$F:$J,5),"video")</f>
        <v>video</v>
      </c>
      <c r="E232" s="94" t="str">
        <f>IFERROR(IF(MATCH(C232,Video_List!$F:$F,)&gt;0,"ok",""),"error")</f>
        <v>ok</v>
      </c>
      <c r="F232" s="92" t="s">
        <v>417</v>
      </c>
      <c r="G232" s="93" t="str">
        <f>HYPERLINK(VLOOKUP(F232,Video_List!$F:$J,5),"video")</f>
        <v>video</v>
      </c>
      <c r="H232" s="94" t="str">
        <f>IFERROR(IF(MATCH(F232,Video_List!$F:$F,)&gt;0,"ok",""),"error")</f>
        <v>ok</v>
      </c>
      <c r="I232" s="17">
        <v>44402.475868055553</v>
      </c>
      <c r="J232" s="8">
        <v>44402.476087962961</v>
      </c>
      <c r="K232" s="15">
        <f t="shared" si="7"/>
        <v>2.1990740788169205E-4</v>
      </c>
      <c r="L232" s="95" t="s">
        <v>32</v>
      </c>
      <c r="M232" s="95" t="s">
        <v>33</v>
      </c>
      <c r="N232" s="96" t="str">
        <f>IF(ISBLANK(C232),"",IF(C232=F232, "1 video",CONCATENATE((+COUNTIFS(Video_List!$C:$C,"&lt;=" &amp;Monitoring!J232)-COUNTIFS(Video_List!$C:$C,"&lt;=" &amp;Monitoring!I232))+1," videos")))</f>
        <v>1 video</v>
      </c>
      <c r="O232" s="29" t="s">
        <v>44</v>
      </c>
      <c r="P232" s="42" t="s">
        <v>37</v>
      </c>
      <c r="Q232" s="42" t="s">
        <v>38</v>
      </c>
      <c r="R232" s="42" t="s">
        <v>39</v>
      </c>
      <c r="S232" s="97" t="str">
        <f>+IFERROR(IF(T232="#N/C","#N/C",IF(U232=0,INDEX(Taxonomy_UniqueValues!D:D,MATCH(U232,Taxonomy_UniqueValues!F:F,0)),INDEX(Taxonomy_UniqueValues!D:D,MATCH(T232,Taxonomy_UniqueValues!E:E,0)))),"#N/C")</f>
        <v>Asilomorpha</v>
      </c>
      <c r="T232" s="42" t="s">
        <v>149</v>
      </c>
      <c r="U232" s="42" t="s">
        <v>150</v>
      </c>
      <c r="V232" s="42" t="s">
        <v>151</v>
      </c>
      <c r="W232" s="42" t="s">
        <v>35</v>
      </c>
      <c r="X232" s="28" t="s">
        <v>35</v>
      </c>
      <c r="Y232" s="69" t="str" cm="1">
        <f t="array" ref="Y232">_xlfn.LET(_xlpm.cls,P232, _xlpm.ord,IFERROR(Q232,"#N/C"), _xlpm.subord,IFERROR(R232,"#N/C"), _xlpm.infr,IFERROR(S232,"#N/C"), _xlpm.sf,IFERROR(T232,"#N/C"), _xlpm.fam,IFERROR(U232,"#N/C"), _xlpm.subfam,IF(TRIM(V232)="-","#N/C",IFERROR(V232,"#N/C")),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_xlpm.fallback,IF(IFERROR(Q232,"#N/C")="#N/C",P232,IF(IFERROR(R232,"#N/C")="#N/C",Q232,IF(IFERROR(S232,"#N/C")="#N/C",R232,IF(IFERROR(T232,"#N/C")="#N/C",S232,IF(IFERROR(U232,"#N/C")="#N/C",T232,IF(IFERROR(V232,"#N/C")="#N/C",U232,"#N/C")))))), _xlpm.finalResult,IF(OR(_xlpm.computedResult="",_xlpm.computedResult="#N/C"),_xlpm.fallback,_xlpm.computedResult), INDEX(_xlpm.finalResult,1))</f>
        <v>robber_fly</v>
      </c>
      <c r="Z232" s="116" t="str" cm="1">
        <f t="array" ref="Z232">IF(OR(Y232="Insecta",Y232="Arachnida",Y232="#N/C"),"",IFERROR(_xlfn.LET(_xlpm.fc,IFERROR(_xlfn._xlws.FILTER(ClassificationClasses[],ClassificationClasses[Classification Class]=Y232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232,ClassificationClasses[Key])),0),MATCH(Y232,INDEX(ClassificationClasses[],MATCH(TRUE,ISNUMBER(SEARCH(Y232,ClassificationClasses[Key])),0),0),0)-1)))</f>
        <v>Asilomorpha</v>
      </c>
      <c r="AA232" s="116" t="str" cm="1">
        <f t="array" ref="AA232">IFERROR(IF(OR(Z232="Insecta",Z232="Arachnida",Z232="#N/C"),"",INDEX(ClassificationClasses[[Class]:[Infraorder]],MATCH(TRUE,ISNUMBER(SEARCH(Z232,ClassificationClasses[Key])),0),MATCH(Z232,INDEX(ClassificationClasses[#Data], MATCH(TRUE,ISNUMBER(SEARCH(Z232,ClassificationClasses[Key])),0), 0), 0)-1)),"")</f>
        <v>Brachycera</v>
      </c>
      <c r="AB232" s="116" t="str" cm="1">
        <f t="array" ref="AB232">IFERROR(IF(OR(AA232="Insecta",AA232="Arachnida",AA232="#N/C"),"",INDEX(ClassificationClasses[[Class]:[Suborder]],MATCH(TRUE,ISNUMBER(SEARCH(AA232,ClassificationClasses[Key])),0),MATCH(AA232,INDEX(ClassificationClasses[#Data], MATCH(TRUE,ISNUMBER(SEARCH(AA232,ClassificationClasses[Key])),0), 0), 0)-1)),"")</f>
        <v>Diptera</v>
      </c>
      <c r="AC232" s="116" t="str" cm="1">
        <f t="array" ref="AC232">IFERROR(IF(OR(AB232="Insecta",AB232="Arachnida",AB232="#N/C"),"",INDEX(ClassificationClasses[[Class]:[Suborder]],MATCH(TRUE,ISNUMBER(SEARCH(AB232,ClassificationClasses[Key])),0),MATCH(AB232,INDEX(ClassificationClasses[#Data], MATCH(TRUE,ISNUMBER(SEARCH(AB232,ClassificationClasses[Key])),0), 0), 0)-1)),"")</f>
        <v>Insecta</v>
      </c>
      <c r="AD232" s="116" t="str" cm="1">
        <f t="array" ref="AD232">IFERROR(IF(OR(AC232="Insecta",AC232="Arachnida",AC232="#N/C"),"",INDEX(ClassificationClasses[[Class]:[Suborder]],MATCH(TRUE,ISNUMBER(SEARCH(AC232,ClassificationClasses[Key])),0),MATCH(AC232,INDEX(ClassificationClasses[#Data], MATCH(TRUE,ISNUMBER(SEARCH(AC232,ClassificationClasses[Key])),0), 0), 0)-1)),"")</f>
        <v/>
      </c>
      <c r="AE232" s="18" t="str">
        <f t="shared" si="8"/>
        <v>Insecta.Diptera.Brachycera.Asilomorpha.Asiloidea.Asilidae.Asilinae.#N/C.#N/C</v>
      </c>
    </row>
    <row r="233" spans="1:31" x14ac:dyDescent="0.3">
      <c r="A233" s="91">
        <v>232</v>
      </c>
      <c r="B233" s="7">
        <v>44402</v>
      </c>
      <c r="C233" s="92" t="s">
        <v>418</v>
      </c>
      <c r="D233" s="93" t="str">
        <f>HYPERLINK(VLOOKUP(C233,Video_List!$F:$J,5),"video")</f>
        <v>video</v>
      </c>
      <c r="E233" s="94" t="str">
        <f>IFERROR(IF(MATCH(C233,Video_List!$F:$F,)&gt;0,"ok",""),"error")</f>
        <v>ok</v>
      </c>
      <c r="F233" s="92" t="s">
        <v>418</v>
      </c>
      <c r="G233" s="93" t="str">
        <f>HYPERLINK(VLOOKUP(F233,Video_List!$F:$J,5),"video")</f>
        <v>video</v>
      </c>
      <c r="H233" s="94" t="str">
        <f>IFERROR(IF(MATCH(F233,Video_List!$F:$F,)&gt;0,"ok",""),"error")</f>
        <v>ok</v>
      </c>
      <c r="I233" s="17">
        <v>44402.54215277778</v>
      </c>
      <c r="J233" s="8">
        <v>44402.542453703703</v>
      </c>
      <c r="K233" s="15">
        <f t="shared" si="7"/>
        <v>3.0092592351138592E-4</v>
      </c>
      <c r="L233" s="4" t="s">
        <v>32</v>
      </c>
      <c r="M233" s="4" t="s">
        <v>33</v>
      </c>
      <c r="N233" s="96" t="str">
        <f>IF(ISBLANK(C233),"",IF(C233=F233, "1 video",CONCATENATE((+COUNTIFS(Video_List!$C:$C,"&lt;=" &amp;Monitoring!J233)-COUNTIFS(Video_List!$C:$C,"&lt;=" &amp;Monitoring!I233))+1," videos")))</f>
        <v>1 video</v>
      </c>
      <c r="O233" s="29" t="s">
        <v>44</v>
      </c>
      <c r="P233" s="42" t="s">
        <v>37</v>
      </c>
      <c r="Q233" s="42" t="s">
        <v>38</v>
      </c>
      <c r="R233" s="42" t="s">
        <v>185</v>
      </c>
      <c r="S233" s="97" t="str">
        <f>+IFERROR(IF(T233="#N/C","#N/C",IF(U233=0,INDEX(Taxonomy_UniqueValues!D:D,MATCH(U233,Taxonomy_UniqueValues!F:F,0)),INDEX(Taxonomy_UniqueValues!D:D,MATCH(T233,Taxonomy_UniqueValues!E:E,0)))),"#N/C")</f>
        <v>Bibionomorpha</v>
      </c>
      <c r="T233" s="42" t="s">
        <v>186</v>
      </c>
      <c r="U233" s="42" t="s">
        <v>419</v>
      </c>
      <c r="V233" s="42" t="s">
        <v>35</v>
      </c>
      <c r="W233" s="42" t="s">
        <v>35</v>
      </c>
      <c r="X233" s="28" t="s">
        <v>35</v>
      </c>
      <c r="Y233" s="69" t="str" cm="1">
        <f t="array" ref="Y233">_xlfn.LET(_xlpm.cls,P233, _xlpm.ord,IFERROR(Q233,"#N/C"), _xlpm.subord,IFERROR(R233,"#N/C"), _xlpm.infr,IFERROR(S233,"#N/C"), _xlpm.sf,IFERROR(T233,"#N/C"), _xlpm.fam,IFERROR(U233,"#N/C"), _xlpm.subfam,IF(TRIM(V233)="-","#N/C",IFERROR(V233,"#N/C")),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_xlpm.fallback,IF(IFERROR(Q233,"#N/C")="#N/C",P233,IF(IFERROR(R233,"#N/C")="#N/C",Q233,IF(IFERROR(S233,"#N/C")="#N/C",R233,IF(IFERROR(T233,"#N/C")="#N/C",S233,IF(IFERROR(U233,"#N/C")="#N/C",T233,IF(IFERROR(V233,"#N/C")="#N/C",U233,"#N/C")))))), _xlpm.finalResult,IF(OR(_xlpm.computedResult="",_xlpm.computedResult="#N/C"),_xlpm.fallback,_xlpm.computedResult), INDEX(_xlpm.finalResult,1))</f>
        <v>Sciaroidea</v>
      </c>
      <c r="Z233" s="116" t="str" cm="1">
        <f t="array" ref="Z233">IF(OR(Y233="Insecta",Y233="Arachnida",Y233="#N/C"),"",IFERROR(_xlfn.LET(_xlpm.fc,IFERROR(_xlfn._xlws.FILTER(ClassificationClasses[],ClassificationClasses[Classification Class]=Y233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233,ClassificationClasses[Key])),0),MATCH(Y233,INDEX(ClassificationClasses[],MATCH(TRUE,ISNUMBER(SEARCH(Y233,ClassificationClasses[Key])),0),0),0)-1)))</f>
        <v>Bibionomorpha</v>
      </c>
      <c r="AA233" s="116" t="str" cm="1">
        <f t="array" ref="AA233">IFERROR(IF(OR(Z233="Insecta",Z233="Arachnida",Z233="#N/C"),"",INDEX(ClassificationClasses[[Class]:[Infraorder]],MATCH(TRUE,ISNUMBER(SEARCH(Z233,ClassificationClasses[Key])),0),MATCH(Z233,INDEX(ClassificationClasses[#Data], MATCH(TRUE,ISNUMBER(SEARCH(Z233,ClassificationClasses[Key])),0), 0), 0)-1)),"")</f>
        <v>Nematocera</v>
      </c>
      <c r="AB233" s="116" t="str" cm="1">
        <f t="array" ref="AB233">IFERROR(IF(OR(AA233="Insecta",AA233="Arachnida",AA233="#N/C"),"",INDEX(ClassificationClasses[[Class]:[Suborder]],MATCH(TRUE,ISNUMBER(SEARCH(AA233,ClassificationClasses[Key])),0),MATCH(AA233,INDEX(ClassificationClasses[#Data], MATCH(TRUE,ISNUMBER(SEARCH(AA233,ClassificationClasses[Key])),0), 0), 0)-1)),"")</f>
        <v>Diptera</v>
      </c>
      <c r="AC233" s="116" t="str" cm="1">
        <f t="array" ref="AC233">IFERROR(IF(OR(AB233="Insecta",AB233="Arachnida",AB233="#N/C"),"",INDEX(ClassificationClasses[[Class]:[Suborder]],MATCH(TRUE,ISNUMBER(SEARCH(AB233,ClassificationClasses[Key])),0),MATCH(AB233,INDEX(ClassificationClasses[#Data], MATCH(TRUE,ISNUMBER(SEARCH(AB233,ClassificationClasses[Key])),0), 0), 0)-1)),"")</f>
        <v>Insecta</v>
      </c>
      <c r="AD233" s="116" t="str" cm="1">
        <f t="array" ref="AD233">IFERROR(IF(OR(AC233="Insecta",AC233="Arachnida",AC233="#N/C"),"",INDEX(ClassificationClasses[[Class]:[Suborder]],MATCH(TRUE,ISNUMBER(SEARCH(AC233,ClassificationClasses[Key])),0),MATCH(AC233,INDEX(ClassificationClasses[#Data], MATCH(TRUE,ISNUMBER(SEARCH(AC233,ClassificationClasses[Key])),0), 0), 0)-1)),"")</f>
        <v/>
      </c>
      <c r="AE233" s="18" t="str">
        <f t="shared" si="8"/>
        <v>Insecta.Diptera.Nematocera.Bibionomorpha.Sciaroidea.Mycetophilidae.#N/C.#N/C.#N/C</v>
      </c>
    </row>
    <row r="234" spans="1:31" x14ac:dyDescent="0.3">
      <c r="A234" s="91">
        <v>233</v>
      </c>
      <c r="B234" s="7">
        <v>44402</v>
      </c>
      <c r="C234" s="92" t="s">
        <v>418</v>
      </c>
      <c r="D234" s="93" t="str">
        <f>HYPERLINK(VLOOKUP(C234,Video_List!$F:$J,5),"video")</f>
        <v>video</v>
      </c>
      <c r="E234" s="94" t="str">
        <f>IFERROR(IF(MATCH(C234,Video_List!$F:$F,)&gt;0,"ok",""),"error")</f>
        <v>ok</v>
      </c>
      <c r="F234" s="92" t="s">
        <v>418</v>
      </c>
      <c r="G234" s="93" t="str">
        <f>HYPERLINK(VLOOKUP(F234,Video_List!$F:$J,5),"video")</f>
        <v>video</v>
      </c>
      <c r="H234" s="94" t="str">
        <f>IFERROR(IF(MATCH(F234,Video_List!$F:$F,)&gt;0,"ok",""),"error")</f>
        <v>ok</v>
      </c>
      <c r="I234" s="17">
        <v>44402.54241898148</v>
      </c>
      <c r="J234" s="8">
        <v>44402.542569444442</v>
      </c>
      <c r="K234" s="15">
        <f t="shared" si="7"/>
        <v>1.5046296175569296E-4</v>
      </c>
      <c r="L234" s="95" t="s">
        <v>32</v>
      </c>
      <c r="M234" s="95" t="s">
        <v>33</v>
      </c>
      <c r="N234" s="96" t="str">
        <f>IF(ISBLANK(C234),"",IF(C234=F234, "1 video",CONCATENATE((+COUNTIFS(Video_List!$C:$C,"&lt;=" &amp;Monitoring!J234)-COUNTIFS(Video_List!$C:$C,"&lt;=" &amp;Monitoring!I234))+1," videos")))</f>
        <v>1 video</v>
      </c>
      <c r="O234" s="29" t="s">
        <v>44</v>
      </c>
      <c r="P234" s="42" t="s">
        <v>37</v>
      </c>
      <c r="Q234" s="42" t="s">
        <v>38</v>
      </c>
      <c r="R234" s="42" t="s">
        <v>39</v>
      </c>
      <c r="S234" s="97" t="str">
        <f>+IFERROR(IF(T234="#N/C","#N/C",IF(U234=0,INDEX(Taxonomy_UniqueValues!D:D,MATCH(U234,Taxonomy_UniqueValues!F:F,0)),INDEX(Taxonomy_UniqueValues!D:D,MATCH(T234,Taxonomy_UniqueValues!E:E,0)))),"#N/C")</f>
        <v>Asilomorpha</v>
      </c>
      <c r="T234" s="42" t="s">
        <v>149</v>
      </c>
      <c r="U234" s="42" t="s">
        <v>150</v>
      </c>
      <c r="V234" s="42" t="s">
        <v>151</v>
      </c>
      <c r="W234" s="42" t="s">
        <v>34</v>
      </c>
      <c r="X234" s="28" t="s">
        <v>35</v>
      </c>
      <c r="Y234" s="69" t="str" cm="1">
        <f t="array" ref="Y234">_xlfn.LET(_xlpm.cls,P234, _xlpm.ord,IFERROR(Q234,"#N/C"), _xlpm.subord,IFERROR(R234,"#N/C"), _xlpm.infr,IFERROR(S234,"#N/C"), _xlpm.sf,IFERROR(T234,"#N/C"), _xlpm.fam,IFERROR(U234,"#N/C"), _xlpm.subfam,IF(TRIM(V234)="-","#N/C",IFERROR(V234,"#N/C")),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_xlpm.fallback,IF(IFERROR(Q234,"#N/C")="#N/C",P234,IF(IFERROR(R234,"#N/C")="#N/C",Q234,IF(IFERROR(S234,"#N/C")="#N/C",R234,IF(IFERROR(T234,"#N/C")="#N/C",S234,IF(IFERROR(U234,"#N/C")="#N/C",T234,IF(IFERROR(V234,"#N/C")="#N/C",U234,"#N/C")))))), _xlpm.finalResult,IF(OR(_xlpm.computedResult="",_xlpm.computedResult="#N/C"),_xlpm.fallback,_xlpm.computedResult), INDEX(_xlpm.finalResult,1))</f>
        <v>robber_fly</v>
      </c>
      <c r="Z234" s="116" t="str" cm="1">
        <f t="array" ref="Z234">IF(OR(Y234="Insecta",Y234="Arachnida",Y234="#N/C"),"",IFERROR(_xlfn.LET(_xlpm.fc,IFERROR(_xlfn._xlws.FILTER(ClassificationClasses[],ClassificationClasses[Classification Class]=Y234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234,ClassificationClasses[Key])),0),MATCH(Y234,INDEX(ClassificationClasses[],MATCH(TRUE,ISNUMBER(SEARCH(Y234,ClassificationClasses[Key])),0),0),0)-1)))</f>
        <v>Asilomorpha</v>
      </c>
      <c r="AA234" s="116" t="str" cm="1">
        <f t="array" ref="AA234">IFERROR(IF(OR(Z234="Insecta",Z234="Arachnida",Z234="#N/C"),"",INDEX(ClassificationClasses[[Class]:[Infraorder]],MATCH(TRUE,ISNUMBER(SEARCH(Z234,ClassificationClasses[Key])),0),MATCH(Z234,INDEX(ClassificationClasses[#Data], MATCH(TRUE,ISNUMBER(SEARCH(Z234,ClassificationClasses[Key])),0), 0), 0)-1)),"")</f>
        <v>Brachycera</v>
      </c>
      <c r="AB234" s="116" t="str" cm="1">
        <f t="array" ref="AB234">IFERROR(IF(OR(AA234="Insecta",AA234="Arachnida",AA234="#N/C"),"",INDEX(ClassificationClasses[[Class]:[Suborder]],MATCH(TRUE,ISNUMBER(SEARCH(AA234,ClassificationClasses[Key])),0),MATCH(AA234,INDEX(ClassificationClasses[#Data], MATCH(TRUE,ISNUMBER(SEARCH(AA234,ClassificationClasses[Key])),0), 0), 0)-1)),"")</f>
        <v>Diptera</v>
      </c>
      <c r="AC234" s="116" t="str" cm="1">
        <f t="array" ref="AC234">IFERROR(IF(OR(AB234="Insecta",AB234="Arachnida",AB234="#N/C"),"",INDEX(ClassificationClasses[[Class]:[Suborder]],MATCH(TRUE,ISNUMBER(SEARCH(AB234,ClassificationClasses[Key])),0),MATCH(AB234,INDEX(ClassificationClasses[#Data], MATCH(TRUE,ISNUMBER(SEARCH(AB234,ClassificationClasses[Key])),0), 0), 0)-1)),"")</f>
        <v>Insecta</v>
      </c>
      <c r="AD234" s="116" t="str" cm="1">
        <f t="array" ref="AD234">IFERROR(IF(OR(AC234="Insecta",AC234="Arachnida",AC234="#N/C"),"",INDEX(ClassificationClasses[[Class]:[Suborder]],MATCH(TRUE,ISNUMBER(SEARCH(AC234,ClassificationClasses[Key])),0),MATCH(AC234,INDEX(ClassificationClasses[#Data], MATCH(TRUE,ISNUMBER(SEARCH(AC234,ClassificationClasses[Key])),0), 0), 0)-1)),"")</f>
        <v/>
      </c>
      <c r="AE234" s="18" t="str">
        <f t="shared" si="8"/>
        <v>Insecta.Diptera.Brachycera.Asilomorpha.Asiloidea.Asilidae.Asilinae.Tolmerus.#N/C</v>
      </c>
    </row>
    <row r="235" spans="1:31" x14ac:dyDescent="0.3">
      <c r="A235" s="91">
        <v>234</v>
      </c>
      <c r="B235" s="7">
        <v>44402</v>
      </c>
      <c r="C235" s="92" t="s">
        <v>420</v>
      </c>
      <c r="D235" s="93" t="str">
        <f>HYPERLINK(VLOOKUP(C235,Video_List!$F:$J,5),"video")</f>
        <v>video</v>
      </c>
      <c r="E235" s="94" t="str">
        <f>IFERROR(IF(MATCH(C235,Video_List!$F:$F,)&gt;0,"ok",""),"error")</f>
        <v>ok</v>
      </c>
      <c r="F235" s="92" t="s">
        <v>420</v>
      </c>
      <c r="G235" s="93" t="str">
        <f>HYPERLINK(VLOOKUP(F235,Video_List!$F:$J,5),"video")</f>
        <v>video</v>
      </c>
      <c r="H235" s="94" t="str">
        <f>IFERROR(IF(MATCH(F235,Video_List!$F:$F,)&gt;0,"ok",""),"error")</f>
        <v>ok</v>
      </c>
      <c r="I235" s="17">
        <v>44402.596851851849</v>
      </c>
      <c r="J235" s="8">
        <v>44402.601064814815</v>
      </c>
      <c r="K235" s="15">
        <f t="shared" si="7"/>
        <v>4.2129629655391909E-3</v>
      </c>
      <c r="L235" s="95" t="s">
        <v>44</v>
      </c>
      <c r="M235" s="95" t="s">
        <v>118</v>
      </c>
      <c r="N235" s="96" t="str">
        <f>IF(ISBLANK(C235),"",IF(C235=F235, "1 video",CONCATENATE((+COUNTIFS(Video_List!$C:$C,"&lt;=" &amp;Monitoring!J235)-COUNTIFS(Video_List!$C:$C,"&lt;=" &amp;Monitoring!I235))+1," videos")))</f>
        <v>1 video</v>
      </c>
      <c r="O235" s="27" t="s">
        <v>32</v>
      </c>
      <c r="P235" s="42" t="s">
        <v>37</v>
      </c>
      <c r="Q235" s="42" t="s">
        <v>76</v>
      </c>
      <c r="R235" s="42" t="s">
        <v>77</v>
      </c>
      <c r="S235" s="97" t="str">
        <f>+IFERROR(IF(T235="#N/C","#N/C",IF(U235=0,INDEX(Taxonomy_UniqueValues!D:D,MATCH(U235,Taxonomy_UniqueValues!F:F,0)),INDEX(Taxonomy_UniqueValues!D:D,MATCH(T235,Taxonomy_UniqueValues!E:E,0)))),"#N/C")</f>
        <v>Cucujiformia</v>
      </c>
      <c r="T235" s="42" t="s">
        <v>421</v>
      </c>
      <c r="U235" s="42" t="s">
        <v>422</v>
      </c>
      <c r="V235" s="42" t="s">
        <v>423</v>
      </c>
      <c r="W235" s="42" t="s">
        <v>424</v>
      </c>
      <c r="X235" s="28" t="s">
        <v>35</v>
      </c>
      <c r="Y235" s="69" t="str" cm="1">
        <f t="array" ref="Y235">_xlfn.LET(_xlpm.cls,P235, _xlpm.ord,IFERROR(Q235,"#N/C"), _xlpm.subord,IFERROR(R235,"#N/C"), _xlpm.infr,IFERROR(S235,"#N/C"), _xlpm.sf,IFERROR(T235,"#N/C"), _xlpm.fam,IFERROR(U235,"#N/C"), _xlpm.subfam,IF(TRIM(V235)="-","#N/C",IFERROR(V235,"#N/C")),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_xlpm.fallback,IF(IFERROR(Q235,"#N/C")="#N/C",P235,IF(IFERROR(R235,"#N/C")="#N/C",Q235,IF(IFERROR(S235,"#N/C")="#N/C",R235,IF(IFERROR(T235,"#N/C")="#N/C",S235,IF(IFERROR(U235,"#N/C")="#N/C",T235,IF(IFERROR(V235,"#N/C")="#N/C",U235,"#N/C")))))), _xlpm.finalResult,IF(OR(_xlpm.computedResult="",_xlpm.computedResult="#N/C"),_xlpm.fallback,_xlpm.computedResult), INDEX(_xlpm.finalResult,1))</f>
        <v>leaf_beetle</v>
      </c>
      <c r="Z235" s="116" t="str" cm="1">
        <f t="array" ref="Z235">IF(OR(Y235="Insecta",Y235="Arachnida",Y235="#N/C"),"",IFERROR(_xlfn.LET(_xlpm.fc,IFERROR(_xlfn._xlws.FILTER(ClassificationClasses[],ClassificationClasses[Classification Class]=Y235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235,ClassificationClasses[Key])),0),MATCH(Y235,INDEX(ClassificationClasses[],MATCH(TRUE,ISNUMBER(SEARCH(Y235,ClassificationClasses[Key])),0),0),0)-1)))</f>
        <v>Cucujiformia</v>
      </c>
      <c r="AA235" s="116" t="str" cm="1">
        <f t="array" ref="AA235">IFERROR(IF(OR(Z235="Insecta",Z235="Arachnida",Z235="#N/C"),"",INDEX(ClassificationClasses[[Class]:[Infraorder]],MATCH(TRUE,ISNUMBER(SEARCH(Z235,ClassificationClasses[Key])),0),MATCH(Z235,INDEX(ClassificationClasses[#Data], MATCH(TRUE,ISNUMBER(SEARCH(Z235,ClassificationClasses[Key])),0), 0), 0)-1)),"")</f>
        <v>Polyphaga</v>
      </c>
      <c r="AB235" s="116" t="str" cm="1">
        <f t="array" ref="AB235">IFERROR(IF(OR(AA235="Insecta",AA235="Arachnida",AA235="#N/C"),"",INDEX(ClassificationClasses[[Class]:[Suborder]],MATCH(TRUE,ISNUMBER(SEARCH(AA235,ClassificationClasses[Key])),0),MATCH(AA235,INDEX(ClassificationClasses[#Data], MATCH(TRUE,ISNUMBER(SEARCH(AA235,ClassificationClasses[Key])),0), 0), 0)-1)),"")</f>
        <v>Coleoptera</v>
      </c>
      <c r="AC235" s="116" t="str" cm="1">
        <f t="array" ref="AC235">IFERROR(IF(OR(AB235="Insecta",AB235="Arachnida",AB235="#N/C"),"",INDEX(ClassificationClasses[[Class]:[Suborder]],MATCH(TRUE,ISNUMBER(SEARCH(AB235,ClassificationClasses[Key])),0),MATCH(AB235,INDEX(ClassificationClasses[#Data], MATCH(TRUE,ISNUMBER(SEARCH(AB235,ClassificationClasses[Key])),0), 0), 0)-1)),"")</f>
        <v>Insecta</v>
      </c>
      <c r="AD235" s="116" t="str" cm="1">
        <f t="array" ref="AD235">IFERROR(IF(OR(AC235="Insecta",AC235="Arachnida",AC235="#N/C"),"",INDEX(ClassificationClasses[[Class]:[Suborder]],MATCH(TRUE,ISNUMBER(SEARCH(AC235,ClassificationClasses[Key])),0),MATCH(AC235,INDEX(ClassificationClasses[#Data], MATCH(TRUE,ISNUMBER(SEARCH(AC235,ClassificationClasses[Key])),0), 0), 0)-1)),"")</f>
        <v/>
      </c>
      <c r="AE235" s="18" t="str">
        <f t="shared" si="8"/>
        <v>Insecta.Coleoptera.Polyphaga.Cucujiformia.Chrysomeloidea.Chrysomelidae.Chrysomelinae.Chrysolina.#N/C</v>
      </c>
    </row>
    <row r="236" spans="1:31" x14ac:dyDescent="0.3">
      <c r="A236" s="91">
        <v>235</v>
      </c>
      <c r="B236" s="7">
        <v>44402</v>
      </c>
      <c r="C236" s="92" t="s">
        <v>425</v>
      </c>
      <c r="D236" s="93" t="str">
        <f>HYPERLINK(VLOOKUP(C236,Video_List!$F:$J,5),"video")</f>
        <v>video</v>
      </c>
      <c r="E236" s="94" t="str">
        <f>IFERROR(IF(MATCH(C236,Video_List!$F:$F,)&gt;0,"ok",""),"error")</f>
        <v>ok</v>
      </c>
      <c r="F236" s="92" t="s">
        <v>425</v>
      </c>
      <c r="G236" s="93" t="str">
        <f>HYPERLINK(VLOOKUP(F236,Video_List!$F:$J,5),"video")</f>
        <v>video</v>
      </c>
      <c r="H236" s="94" t="str">
        <f>IFERROR(IF(MATCH(F236,Video_List!$F:$F,)&gt;0,"ok",""),"error")</f>
        <v>ok</v>
      </c>
      <c r="I236" s="17">
        <v>44402.614074074074</v>
      </c>
      <c r="J236" s="8">
        <v>44402.614166666666</v>
      </c>
      <c r="K236" s="15">
        <f t="shared" si="7"/>
        <v>9.2592592409346253E-5</v>
      </c>
      <c r="L236" s="95" t="s">
        <v>32</v>
      </c>
      <c r="M236" s="95" t="s">
        <v>33</v>
      </c>
      <c r="N236" s="96" t="str">
        <f>IF(ISBLANK(C236),"",IF(C236=F236, "1 video",CONCATENATE((+COUNTIFS(Video_List!$C:$C,"&lt;=" &amp;Monitoring!J236)-COUNTIFS(Video_List!$C:$C,"&lt;=" &amp;Monitoring!I236))+1," videos")))</f>
        <v>1 video</v>
      </c>
      <c r="O236" s="29" t="s">
        <v>44</v>
      </c>
      <c r="P236" s="42" t="s">
        <v>37</v>
      </c>
      <c r="Q236" s="42" t="s">
        <v>38</v>
      </c>
      <c r="R236" s="42" t="s">
        <v>39</v>
      </c>
      <c r="S236" s="97" t="str">
        <f>+IFERROR(IF(T236="#N/C","#N/C",IF(U236=0,INDEX(Taxonomy_UniqueValues!D:D,MATCH(U236,Taxonomy_UniqueValues!F:F,0)),INDEX(Taxonomy_UniqueValues!D:D,MATCH(T236,Taxonomy_UniqueValues!E:E,0)))),"#N/C")</f>
        <v>#N/C</v>
      </c>
      <c r="T236" s="42" t="s">
        <v>35</v>
      </c>
      <c r="U236" s="42" t="s">
        <v>35</v>
      </c>
      <c r="V236" s="42" t="s">
        <v>35</v>
      </c>
      <c r="W236" s="42" t="s">
        <v>35</v>
      </c>
      <c r="X236" s="28" t="s">
        <v>35</v>
      </c>
      <c r="Y236" s="69" t="str" cm="1">
        <f t="array" ref="Y236">_xlfn.LET(_xlpm.cls,P236, _xlpm.ord,IFERROR(Q236,"#N/C"), _xlpm.subord,IFERROR(R236,"#N/C"), _xlpm.infr,IFERROR(S236,"#N/C"), _xlpm.sf,IFERROR(T236,"#N/C"), _xlpm.fam,IFERROR(U236,"#N/C"), _xlpm.subfam,IF(TRIM(V236)="-","#N/C",IFERROR(V236,"#N/C")),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_xlpm.fallback,IF(IFERROR(Q236,"#N/C")="#N/C",P236,IF(IFERROR(R236,"#N/C")="#N/C",Q236,IF(IFERROR(S236,"#N/C")="#N/C",R236,IF(IFERROR(T236,"#N/C")="#N/C",S236,IF(IFERROR(U236,"#N/C")="#N/C",T236,IF(IFERROR(V236,"#N/C")="#N/C",U236,"#N/C")))))), _xlpm.finalResult,IF(OR(_xlpm.computedResult="",_xlpm.computedResult="#N/C"),_xlpm.fallback,_xlpm.computedResult), INDEX(_xlpm.finalResult,1))</f>
        <v>Brachycera</v>
      </c>
      <c r="Z236" s="116" t="str" cm="1">
        <f t="array" ref="Z236">IF(OR(Y236="Insecta",Y236="Arachnida",Y236="#N/C"),"",IFERROR(_xlfn.LET(_xlpm.fc,IFERROR(_xlfn._xlws.FILTER(ClassificationClasses[],ClassificationClasses[Classification Class]=Y236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236,ClassificationClasses[Key])),0),MATCH(Y236,INDEX(ClassificationClasses[],MATCH(TRUE,ISNUMBER(SEARCH(Y236,ClassificationClasses[Key])),0),0),0)-1)))</f>
        <v>Diptera</v>
      </c>
      <c r="AA236" s="116" t="str" cm="1">
        <f t="array" ref="AA236">IFERROR(IF(OR(Z236="Insecta",Z236="Arachnida",Z236="#N/C"),"",INDEX(ClassificationClasses[[Class]:[Infraorder]],MATCH(TRUE,ISNUMBER(SEARCH(Z236,ClassificationClasses[Key])),0),MATCH(Z236,INDEX(ClassificationClasses[#Data], MATCH(TRUE,ISNUMBER(SEARCH(Z236,ClassificationClasses[Key])),0), 0), 0)-1)),"")</f>
        <v>Insecta</v>
      </c>
      <c r="AB236" s="116" t="str" cm="1">
        <f t="array" ref="AB236">IFERROR(IF(OR(AA236="Insecta",AA236="Arachnida",AA236="#N/C"),"",INDEX(ClassificationClasses[[Class]:[Suborder]],MATCH(TRUE,ISNUMBER(SEARCH(AA236,ClassificationClasses[Key])),0),MATCH(AA236,INDEX(ClassificationClasses[#Data], MATCH(TRUE,ISNUMBER(SEARCH(AA236,ClassificationClasses[Key])),0), 0), 0)-1)),"")</f>
        <v/>
      </c>
      <c r="AC236" s="116" t="str" cm="1">
        <f t="array" ref="AC236">IFERROR(IF(OR(AB236="Insecta",AB236="Arachnida",AB236="#N/C"),"",INDEX(ClassificationClasses[[Class]:[Suborder]],MATCH(TRUE,ISNUMBER(SEARCH(AB236,ClassificationClasses[Key])),0),MATCH(AB236,INDEX(ClassificationClasses[#Data], MATCH(TRUE,ISNUMBER(SEARCH(AB236,ClassificationClasses[Key])),0), 0), 0)-1)),"")</f>
        <v/>
      </c>
      <c r="AD236" s="116" t="str" cm="1">
        <f t="array" ref="AD236">IFERROR(IF(OR(AC236="Insecta",AC236="Arachnida",AC236="#N/C"),"",INDEX(ClassificationClasses[[Class]:[Suborder]],MATCH(TRUE,ISNUMBER(SEARCH(AC236,ClassificationClasses[Key])),0),MATCH(AC236,INDEX(ClassificationClasses[#Data], MATCH(TRUE,ISNUMBER(SEARCH(AC236,ClassificationClasses[Key])),0), 0), 0)-1)),"")</f>
        <v/>
      </c>
      <c r="AE236" s="18" t="str">
        <f t="shared" si="8"/>
        <v>Insecta.Diptera.Brachycera.#N/C.#N/C.#N/C.#N/C.#N/C.#N/C</v>
      </c>
    </row>
    <row r="237" spans="1:31" x14ac:dyDescent="0.3">
      <c r="A237" s="91">
        <v>236</v>
      </c>
      <c r="B237" s="7">
        <v>44402</v>
      </c>
      <c r="C237" s="92" t="s">
        <v>426</v>
      </c>
      <c r="D237" s="93" t="str">
        <f>HYPERLINK(VLOOKUP(C237,Video_List!$F:$J,5),"video")</f>
        <v>video</v>
      </c>
      <c r="E237" s="94" t="str">
        <f>IFERROR(IF(MATCH(C237,Video_List!$F:$F,)&gt;0,"ok",""),"error")</f>
        <v>ok</v>
      </c>
      <c r="F237" s="92" t="s">
        <v>426</v>
      </c>
      <c r="G237" s="93" t="str">
        <f>HYPERLINK(VLOOKUP(F237,Video_List!$F:$J,5),"video")</f>
        <v>video</v>
      </c>
      <c r="H237" s="94" t="str">
        <f>IFERROR(IF(MATCH(F237,Video_List!$F:$F,)&gt;0,"ok",""),"error")</f>
        <v>ok</v>
      </c>
      <c r="I237" s="17">
        <v>44402.639189814814</v>
      </c>
      <c r="J237" s="8">
        <v>44402.639224537037</v>
      </c>
      <c r="K237" s="15">
        <f t="shared" si="7"/>
        <v>3.4722223062999547E-5</v>
      </c>
      <c r="L237" s="95" t="s">
        <v>32</v>
      </c>
      <c r="M237" s="95" t="s">
        <v>33</v>
      </c>
      <c r="N237" s="96" t="str">
        <f>IF(ISBLANK(C237),"",IF(C237=F237, "1 video",CONCATENATE((+COUNTIFS(Video_List!$C:$C,"&lt;=" &amp;Monitoring!J237)-COUNTIFS(Video_List!$C:$C,"&lt;=" &amp;Monitoring!I237))+1," videos")))</f>
        <v>1 video</v>
      </c>
      <c r="O237" s="29" t="s">
        <v>44</v>
      </c>
      <c r="P237" s="42" t="s">
        <v>37</v>
      </c>
      <c r="Q237" s="42" t="s">
        <v>38</v>
      </c>
      <c r="R237" s="42" t="s">
        <v>39</v>
      </c>
      <c r="S237" s="97" t="str">
        <f>+IFERROR(IF(T237="#N/C","#N/C",IF(U237=0,INDEX(Taxonomy_UniqueValues!D:D,MATCH(U237,Taxonomy_UniqueValues!F:F,0)),INDEX(Taxonomy_UniqueValues!D:D,MATCH(T237,Taxonomy_UniqueValues!E:E,0)))),"#N/C")</f>
        <v>#N/C</v>
      </c>
      <c r="T237" s="42" t="s">
        <v>35</v>
      </c>
      <c r="U237" s="42" t="s">
        <v>35</v>
      </c>
      <c r="V237" s="42" t="s">
        <v>35</v>
      </c>
      <c r="W237" s="42" t="s">
        <v>35</v>
      </c>
      <c r="X237" s="28" t="s">
        <v>35</v>
      </c>
      <c r="Y237" s="69" t="str" cm="1">
        <f t="array" ref="Y237">_xlfn.LET(_xlpm.cls,P237, _xlpm.ord,IFERROR(Q237,"#N/C"), _xlpm.subord,IFERROR(R237,"#N/C"), _xlpm.infr,IFERROR(S237,"#N/C"), _xlpm.sf,IFERROR(T237,"#N/C"), _xlpm.fam,IFERROR(U237,"#N/C"), _xlpm.subfam,IF(TRIM(V237)="-","#N/C",IFERROR(V237,"#N/C")),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_xlpm.fallback,IF(IFERROR(Q237,"#N/C")="#N/C",P237,IF(IFERROR(R237,"#N/C")="#N/C",Q237,IF(IFERROR(S237,"#N/C")="#N/C",R237,IF(IFERROR(T237,"#N/C")="#N/C",S237,IF(IFERROR(U237,"#N/C")="#N/C",T237,IF(IFERROR(V237,"#N/C")="#N/C",U237,"#N/C")))))), _xlpm.finalResult,IF(OR(_xlpm.computedResult="",_xlpm.computedResult="#N/C"),_xlpm.fallback,_xlpm.computedResult), INDEX(_xlpm.finalResult,1))</f>
        <v>Brachycera</v>
      </c>
      <c r="Z237" s="116" t="str" cm="1">
        <f t="array" ref="Z237">IF(OR(Y237="Insecta",Y237="Arachnida",Y237="#N/C"),"",IFERROR(_xlfn.LET(_xlpm.fc,IFERROR(_xlfn._xlws.FILTER(ClassificationClasses[],ClassificationClasses[Classification Class]=Y237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237,ClassificationClasses[Key])),0),MATCH(Y237,INDEX(ClassificationClasses[],MATCH(TRUE,ISNUMBER(SEARCH(Y237,ClassificationClasses[Key])),0),0),0)-1)))</f>
        <v>Diptera</v>
      </c>
      <c r="AA237" s="116" t="str" cm="1">
        <f t="array" ref="AA237">IFERROR(IF(OR(Z237="Insecta",Z237="Arachnida",Z237="#N/C"),"",INDEX(ClassificationClasses[[Class]:[Infraorder]],MATCH(TRUE,ISNUMBER(SEARCH(Z237,ClassificationClasses[Key])),0),MATCH(Z237,INDEX(ClassificationClasses[#Data], MATCH(TRUE,ISNUMBER(SEARCH(Z237,ClassificationClasses[Key])),0), 0), 0)-1)),"")</f>
        <v>Insecta</v>
      </c>
      <c r="AB237" s="116" t="str" cm="1">
        <f t="array" ref="AB237">IFERROR(IF(OR(AA237="Insecta",AA237="Arachnida",AA237="#N/C"),"",INDEX(ClassificationClasses[[Class]:[Suborder]],MATCH(TRUE,ISNUMBER(SEARCH(AA237,ClassificationClasses[Key])),0),MATCH(AA237,INDEX(ClassificationClasses[#Data], MATCH(TRUE,ISNUMBER(SEARCH(AA237,ClassificationClasses[Key])),0), 0), 0)-1)),"")</f>
        <v/>
      </c>
      <c r="AC237" s="116" t="str" cm="1">
        <f t="array" ref="AC237">IFERROR(IF(OR(AB237="Insecta",AB237="Arachnida",AB237="#N/C"),"",INDEX(ClassificationClasses[[Class]:[Suborder]],MATCH(TRUE,ISNUMBER(SEARCH(AB237,ClassificationClasses[Key])),0),MATCH(AB237,INDEX(ClassificationClasses[#Data], MATCH(TRUE,ISNUMBER(SEARCH(AB237,ClassificationClasses[Key])),0), 0), 0)-1)),"")</f>
        <v/>
      </c>
      <c r="AD237" s="116" t="str" cm="1">
        <f t="array" ref="AD237">IFERROR(IF(OR(AC237="Insecta",AC237="Arachnida",AC237="#N/C"),"",INDEX(ClassificationClasses[[Class]:[Suborder]],MATCH(TRUE,ISNUMBER(SEARCH(AC237,ClassificationClasses[Key])),0),MATCH(AC237,INDEX(ClassificationClasses[#Data], MATCH(TRUE,ISNUMBER(SEARCH(AC237,ClassificationClasses[Key])),0), 0), 0)-1)),"")</f>
        <v/>
      </c>
      <c r="AE237" s="18" t="str">
        <f t="shared" si="8"/>
        <v>Insecta.Diptera.Brachycera.#N/C.#N/C.#N/C.#N/C.#N/C.#N/C</v>
      </c>
    </row>
    <row r="238" spans="1:31" x14ac:dyDescent="0.3">
      <c r="A238" s="91">
        <v>237</v>
      </c>
      <c r="B238" s="7">
        <v>44402</v>
      </c>
      <c r="C238" s="92" t="s">
        <v>427</v>
      </c>
      <c r="D238" s="93" t="str">
        <f>HYPERLINK(VLOOKUP(C238,Video_List!$F:$J,5),"video")</f>
        <v>video</v>
      </c>
      <c r="E238" s="94" t="str">
        <f>IFERROR(IF(MATCH(C238,Video_List!$F:$F,)&gt;0,"ok",""),"error")</f>
        <v>ok</v>
      </c>
      <c r="F238" s="92" t="s">
        <v>427</v>
      </c>
      <c r="G238" s="93" t="str">
        <f>HYPERLINK(VLOOKUP(F238,Video_List!$F:$J,5),"video")</f>
        <v>video</v>
      </c>
      <c r="H238" s="94" t="str">
        <f>IFERROR(IF(MATCH(F238,Video_List!$F:$F,)&gt;0,"ok",""),"error")</f>
        <v>ok</v>
      </c>
      <c r="I238" s="17">
        <v>44402.646608796298</v>
      </c>
      <c r="J238" s="8">
        <v>44402.652395833335</v>
      </c>
      <c r="K238" s="15">
        <f t="shared" si="7"/>
        <v>5.7870370364980772E-3</v>
      </c>
      <c r="L238" s="95" t="s">
        <v>55</v>
      </c>
      <c r="M238" s="95" t="s">
        <v>55</v>
      </c>
      <c r="N238" s="96" t="str">
        <f>IF(ISBLANK(C238),"",IF(C238=F238, "1 video",CONCATENATE((+COUNTIFS(Video_List!$C:$C,"&lt;=" &amp;Monitoring!J238)-COUNTIFS(Video_List!$C:$C,"&lt;=" &amp;Monitoring!I238))+1," videos")))</f>
        <v>1 video</v>
      </c>
      <c r="O238" s="27" t="s">
        <v>32</v>
      </c>
      <c r="P238" s="42" t="s">
        <v>37</v>
      </c>
      <c r="Q238" s="42" t="s">
        <v>76</v>
      </c>
      <c r="R238" s="42" t="s">
        <v>77</v>
      </c>
      <c r="S238" s="97" t="str">
        <f>+IFERROR(IF(T238="#N/C","#N/C",IF(U238=0,INDEX(Taxonomy_UniqueValues!D:D,MATCH(U238,Taxonomy_UniqueValues!F:F,0)),INDEX(Taxonomy_UniqueValues!D:D,MATCH(T238,Taxonomy_UniqueValues!E:E,0)))),"#N/C")</f>
        <v>Cucujiformia</v>
      </c>
      <c r="T238" s="42" t="s">
        <v>428</v>
      </c>
      <c r="U238" s="42" t="s">
        <v>429</v>
      </c>
      <c r="V238" s="42" t="s">
        <v>430</v>
      </c>
      <c r="W238" s="42" t="s">
        <v>431</v>
      </c>
      <c r="X238" s="28" t="s">
        <v>432</v>
      </c>
      <c r="Y238" s="69" t="str" cm="1">
        <f t="array" ref="Y238">_xlfn.LET(_xlpm.cls,P238, _xlpm.ord,IFERROR(Q238,"#N/C"), _xlpm.subord,IFERROR(R238,"#N/C"), _xlpm.infr,IFERROR(S238,"#N/C"), _xlpm.sf,IFERROR(T238,"#N/C"), _xlpm.fam,IFERROR(U238,"#N/C"), _xlpm.subfam,IF(TRIM(V238)="-","#N/C",IFERROR(V238,"#N/C")),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_xlpm.fallback,IF(IFERROR(Q238,"#N/C")="#N/C",P238,IF(IFERROR(R238,"#N/C")="#N/C",Q238,IF(IFERROR(S238,"#N/C")="#N/C",R238,IF(IFERROR(T238,"#N/C")="#N/C",S238,IF(IFERROR(U238,"#N/C")="#N/C",T238,IF(IFERROR(V238,"#N/C")="#N/C",U238,"#N/C")))))), _xlpm.finalResult,IF(OR(_xlpm.computedResult="",_xlpm.computedResult="#N/C"),_xlpm.fallback,_xlpm.computedResult), INDEX(_xlpm.finalResult,1))</f>
        <v>weevil</v>
      </c>
      <c r="Z238" s="116" t="str" cm="1">
        <f t="array" ref="Z238">IF(OR(Y238="Insecta",Y238="Arachnida",Y238="#N/C"),"",IFERROR(_xlfn.LET(_xlpm.fc,IFERROR(_xlfn._xlws.FILTER(ClassificationClasses[],ClassificationClasses[Classification Class]=Y238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238,ClassificationClasses[Key])),0),MATCH(Y238,INDEX(ClassificationClasses[],MATCH(TRUE,ISNUMBER(SEARCH(Y238,ClassificationClasses[Key])),0),0),0)-1)))</f>
        <v>Cucujiformia</v>
      </c>
      <c r="AA238" s="116" t="str" cm="1">
        <f t="array" ref="AA238">IFERROR(IF(OR(Z238="Insecta",Z238="Arachnida",Z238="#N/C"),"",INDEX(ClassificationClasses[[Class]:[Infraorder]],MATCH(TRUE,ISNUMBER(SEARCH(Z238,ClassificationClasses[Key])),0),MATCH(Z238,INDEX(ClassificationClasses[#Data], MATCH(TRUE,ISNUMBER(SEARCH(Z238,ClassificationClasses[Key])),0), 0), 0)-1)),"")</f>
        <v>Polyphaga</v>
      </c>
      <c r="AB238" s="116" t="str" cm="1">
        <f t="array" ref="AB238">IFERROR(IF(OR(AA238="Insecta",AA238="Arachnida",AA238="#N/C"),"",INDEX(ClassificationClasses[[Class]:[Suborder]],MATCH(TRUE,ISNUMBER(SEARCH(AA238,ClassificationClasses[Key])),0),MATCH(AA238,INDEX(ClassificationClasses[#Data], MATCH(TRUE,ISNUMBER(SEARCH(AA238,ClassificationClasses[Key])),0), 0), 0)-1)),"")</f>
        <v>Coleoptera</v>
      </c>
      <c r="AC238" s="116" t="str" cm="1">
        <f t="array" ref="AC238">IFERROR(IF(OR(AB238="Insecta",AB238="Arachnida",AB238="#N/C"),"",INDEX(ClassificationClasses[[Class]:[Suborder]],MATCH(TRUE,ISNUMBER(SEARCH(AB238,ClassificationClasses[Key])),0),MATCH(AB238,INDEX(ClassificationClasses[#Data], MATCH(TRUE,ISNUMBER(SEARCH(AB238,ClassificationClasses[Key])),0), 0), 0)-1)),"")</f>
        <v>Insecta</v>
      </c>
      <c r="AD238" s="116" t="str" cm="1">
        <f t="array" ref="AD238">IFERROR(IF(OR(AC238="Insecta",AC238="Arachnida",AC238="#N/C"),"",INDEX(ClassificationClasses[[Class]:[Suborder]],MATCH(TRUE,ISNUMBER(SEARCH(AC238,ClassificationClasses[Key])),0),MATCH(AC238,INDEX(ClassificationClasses[#Data], MATCH(TRUE,ISNUMBER(SEARCH(AC238,ClassificationClasses[Key])),0), 0), 0)-1)),"")</f>
        <v/>
      </c>
      <c r="AE238" s="18" t="str">
        <f t="shared" si="8"/>
        <v>Insecta.Coleoptera.Polyphaga.Cucujiformia.Curculionoidea.Curculionidae.Entiminae.Sitona.lineatus</v>
      </c>
    </row>
    <row r="239" spans="1:31" x14ac:dyDescent="0.3">
      <c r="A239" s="91">
        <v>238</v>
      </c>
      <c r="B239" s="7">
        <v>44402</v>
      </c>
      <c r="C239" s="92" t="s">
        <v>433</v>
      </c>
      <c r="D239" s="93" t="str">
        <f>HYPERLINK(VLOOKUP(C239,Video_List!$F:$J,5),"video")</f>
        <v>video</v>
      </c>
      <c r="E239" s="94" t="str">
        <f>IFERROR(IF(MATCH(C239,Video_List!$F:$F,)&gt;0,"ok",""),"error")</f>
        <v>ok</v>
      </c>
      <c r="F239" s="92" t="s">
        <v>433</v>
      </c>
      <c r="G239" s="93" t="str">
        <f>HYPERLINK(VLOOKUP(F239,Video_List!$F:$J,5),"video")</f>
        <v>video</v>
      </c>
      <c r="H239" s="94" t="str">
        <f>IFERROR(IF(MATCH(F239,Video_List!$F:$F,)&gt;0,"ok",""),"error")</f>
        <v>ok</v>
      </c>
      <c r="I239" s="17">
        <v>44402.652268518519</v>
      </c>
      <c r="J239" s="8">
        <v>44402.652361111112</v>
      </c>
      <c r="K239" s="15">
        <f t="shared" si="7"/>
        <v>9.2592592409346253E-5</v>
      </c>
      <c r="L239" s="4" t="s">
        <v>32</v>
      </c>
      <c r="M239" s="4" t="s">
        <v>33</v>
      </c>
      <c r="N239" s="96" t="str">
        <f>IF(ISBLANK(C239),"",IF(C239=F239, "1 video",CONCATENATE((+COUNTIFS(Video_List!$C:$C,"&lt;=" &amp;Monitoring!J239)-COUNTIFS(Video_List!$C:$C,"&lt;=" &amp;Monitoring!I239))+1," videos")))</f>
        <v>1 video</v>
      </c>
      <c r="O239" s="27" t="s">
        <v>32</v>
      </c>
      <c r="P239" s="42" t="s">
        <v>37</v>
      </c>
      <c r="Q239" s="42" t="s">
        <v>38</v>
      </c>
      <c r="R239" s="42" t="s">
        <v>185</v>
      </c>
      <c r="S239" s="97" t="str">
        <f>+IFERROR(IF(T239="#N/C","#N/C",IF(U239=0,INDEX(Taxonomy_UniqueValues!D:D,MATCH(U239,Taxonomy_UniqueValues!F:F,0)),INDEX(Taxonomy_UniqueValues!D:D,MATCH(T239,Taxonomy_UniqueValues!E:E,0)))),"#N/C")</f>
        <v>Bibionomorpha</v>
      </c>
      <c r="T239" s="42" t="s">
        <v>186</v>
      </c>
      <c r="U239" s="42" t="s">
        <v>419</v>
      </c>
      <c r="V239" s="42" t="s">
        <v>35</v>
      </c>
      <c r="W239" s="42" t="s">
        <v>35</v>
      </c>
      <c r="X239" s="28" t="s">
        <v>35</v>
      </c>
      <c r="Y239" s="69" t="str" cm="1">
        <f t="array" ref="Y239">_xlfn.LET(_xlpm.cls,P239, _xlpm.ord,IFERROR(Q239,"#N/C"), _xlpm.subord,IFERROR(R239,"#N/C"), _xlpm.infr,IFERROR(S239,"#N/C"), _xlpm.sf,IFERROR(T239,"#N/C"), _xlpm.fam,IFERROR(U239,"#N/C"), _xlpm.subfam,IF(TRIM(V239)="-","#N/C",IFERROR(V239,"#N/C")),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_xlpm.fallback,IF(IFERROR(Q239,"#N/C")="#N/C",P239,IF(IFERROR(R239,"#N/C")="#N/C",Q239,IF(IFERROR(S239,"#N/C")="#N/C",R239,IF(IFERROR(T239,"#N/C")="#N/C",S239,IF(IFERROR(U239,"#N/C")="#N/C",T239,IF(IFERROR(V239,"#N/C")="#N/C",U239,"#N/C")))))), _xlpm.finalResult,IF(OR(_xlpm.computedResult="",_xlpm.computedResult="#N/C"),_xlpm.fallback,_xlpm.computedResult), INDEX(_xlpm.finalResult,1))</f>
        <v>Sciaroidea</v>
      </c>
      <c r="Z239" s="116" t="str" cm="1">
        <f t="array" ref="Z239">IF(OR(Y239="Insecta",Y239="Arachnida",Y239="#N/C"),"",IFERROR(_xlfn.LET(_xlpm.fc,IFERROR(_xlfn._xlws.FILTER(ClassificationClasses[],ClassificationClasses[Classification Class]=Y239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239,ClassificationClasses[Key])),0),MATCH(Y239,INDEX(ClassificationClasses[],MATCH(TRUE,ISNUMBER(SEARCH(Y239,ClassificationClasses[Key])),0),0),0)-1)))</f>
        <v>Bibionomorpha</v>
      </c>
      <c r="AA239" s="116" t="str" cm="1">
        <f t="array" ref="AA239">IFERROR(IF(OR(Z239="Insecta",Z239="Arachnida",Z239="#N/C"),"",INDEX(ClassificationClasses[[Class]:[Infraorder]],MATCH(TRUE,ISNUMBER(SEARCH(Z239,ClassificationClasses[Key])),0),MATCH(Z239,INDEX(ClassificationClasses[#Data], MATCH(TRUE,ISNUMBER(SEARCH(Z239,ClassificationClasses[Key])),0), 0), 0)-1)),"")</f>
        <v>Nematocera</v>
      </c>
      <c r="AB239" s="116" t="str" cm="1">
        <f t="array" ref="AB239">IFERROR(IF(OR(AA239="Insecta",AA239="Arachnida",AA239="#N/C"),"",INDEX(ClassificationClasses[[Class]:[Suborder]],MATCH(TRUE,ISNUMBER(SEARCH(AA239,ClassificationClasses[Key])),0),MATCH(AA239,INDEX(ClassificationClasses[#Data], MATCH(TRUE,ISNUMBER(SEARCH(AA239,ClassificationClasses[Key])),0), 0), 0)-1)),"")</f>
        <v>Diptera</v>
      </c>
      <c r="AC239" s="116" t="str" cm="1">
        <f t="array" ref="AC239">IFERROR(IF(OR(AB239="Insecta",AB239="Arachnida",AB239="#N/C"),"",INDEX(ClassificationClasses[[Class]:[Suborder]],MATCH(TRUE,ISNUMBER(SEARCH(AB239,ClassificationClasses[Key])),0),MATCH(AB239,INDEX(ClassificationClasses[#Data], MATCH(TRUE,ISNUMBER(SEARCH(AB239,ClassificationClasses[Key])),0), 0), 0)-1)),"")</f>
        <v>Insecta</v>
      </c>
      <c r="AD239" s="116" t="str" cm="1">
        <f t="array" ref="AD239">IFERROR(IF(OR(AC239="Insecta",AC239="Arachnida",AC239="#N/C"),"",INDEX(ClassificationClasses[[Class]:[Suborder]],MATCH(TRUE,ISNUMBER(SEARCH(AC239,ClassificationClasses[Key])),0),MATCH(AC239,INDEX(ClassificationClasses[#Data], MATCH(TRUE,ISNUMBER(SEARCH(AC239,ClassificationClasses[Key])),0), 0), 0)-1)),"")</f>
        <v/>
      </c>
      <c r="AE239" s="18" t="str">
        <f t="shared" si="8"/>
        <v>Insecta.Diptera.Nematocera.Bibionomorpha.Sciaroidea.Mycetophilidae.#N/C.#N/C.#N/C</v>
      </c>
    </row>
    <row r="240" spans="1:31" x14ac:dyDescent="0.3">
      <c r="A240" s="91">
        <v>239</v>
      </c>
      <c r="B240" s="7">
        <v>44402</v>
      </c>
      <c r="C240" s="92" t="s">
        <v>434</v>
      </c>
      <c r="D240" s="93" t="str">
        <f>HYPERLINK(VLOOKUP(C240,Video_List!$F:$J,5),"video")</f>
        <v>video</v>
      </c>
      <c r="E240" s="94" t="str">
        <f>IFERROR(IF(MATCH(C240,Video_List!$F:$F,)&gt;0,"ok",""),"error")</f>
        <v>ok</v>
      </c>
      <c r="F240" s="92" t="s">
        <v>434</v>
      </c>
      <c r="G240" s="93" t="str">
        <f>HYPERLINK(VLOOKUP(F240,Video_List!$F:$J,5),"video")</f>
        <v>video</v>
      </c>
      <c r="H240" s="94" t="str">
        <f>IFERROR(IF(MATCH(F240,Video_List!$F:$F,)&gt;0,"ok",""),"error")</f>
        <v>ok</v>
      </c>
      <c r="I240" s="17">
        <v>44402.656770833331</v>
      </c>
      <c r="J240" s="8">
        <v>44402.656828703701</v>
      </c>
      <c r="K240" s="15">
        <f t="shared" si="7"/>
        <v>5.7870369346346706E-5</v>
      </c>
      <c r="L240" s="95" t="s">
        <v>55</v>
      </c>
      <c r="M240" s="95" t="s">
        <v>55</v>
      </c>
      <c r="N240" s="96" t="str">
        <f>IF(ISBLANK(C240),"",IF(C240=F240, "1 video",CONCATENATE((+COUNTIFS(Video_List!$C:$C,"&lt;=" &amp;Monitoring!J240)-COUNTIFS(Video_List!$C:$C,"&lt;=" &amp;Monitoring!I240))+1," videos")))</f>
        <v>1 video</v>
      </c>
      <c r="O240" s="29" t="s">
        <v>44</v>
      </c>
      <c r="P240" s="42" t="s">
        <v>37</v>
      </c>
      <c r="Q240" s="42" t="s">
        <v>38</v>
      </c>
      <c r="R240" s="42" t="s">
        <v>39</v>
      </c>
      <c r="S240" s="97" t="str">
        <f>+IFERROR(IF(T240="#N/C","#N/C",IF(U240=0,INDEX(Taxonomy_UniqueValues!D:D,MATCH(U240,Taxonomy_UniqueValues!F:F,0)),INDEX(Taxonomy_UniqueValues!D:D,MATCH(T240,Taxonomy_UniqueValues!E:E,0)))),"#N/C")</f>
        <v>#N/C</v>
      </c>
      <c r="T240" s="42" t="s">
        <v>35</v>
      </c>
      <c r="U240" s="42" t="s">
        <v>35</v>
      </c>
      <c r="V240" s="42" t="s">
        <v>35</v>
      </c>
      <c r="W240" s="42" t="s">
        <v>35</v>
      </c>
      <c r="X240" s="28" t="s">
        <v>35</v>
      </c>
      <c r="Y240" s="69" t="str" cm="1">
        <f t="array" ref="Y240">_xlfn.LET(_xlpm.cls,P240, _xlpm.ord,IFERROR(Q240,"#N/C"), _xlpm.subord,IFERROR(R240,"#N/C"), _xlpm.infr,IFERROR(S240,"#N/C"), _xlpm.sf,IFERROR(T240,"#N/C"), _xlpm.fam,IFERROR(U240,"#N/C"), _xlpm.subfam,IF(TRIM(V240)="-","#N/C",IFERROR(V240,"#N/C")),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_xlpm.fallback,IF(IFERROR(Q240,"#N/C")="#N/C",P240,IF(IFERROR(R240,"#N/C")="#N/C",Q240,IF(IFERROR(S240,"#N/C")="#N/C",R240,IF(IFERROR(T240,"#N/C")="#N/C",S240,IF(IFERROR(U240,"#N/C")="#N/C",T240,IF(IFERROR(V240,"#N/C")="#N/C",U240,"#N/C")))))), _xlpm.finalResult,IF(OR(_xlpm.computedResult="",_xlpm.computedResult="#N/C"),_xlpm.fallback,_xlpm.computedResult), INDEX(_xlpm.finalResult,1))</f>
        <v>Brachycera</v>
      </c>
      <c r="Z240" s="116" t="str" cm="1">
        <f t="array" ref="Z240">IF(OR(Y240="Insecta",Y240="Arachnida",Y240="#N/C"),"",IFERROR(_xlfn.LET(_xlpm.fc,IFERROR(_xlfn._xlws.FILTER(ClassificationClasses[],ClassificationClasses[Classification Class]=Y240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240,ClassificationClasses[Key])),0),MATCH(Y240,INDEX(ClassificationClasses[],MATCH(TRUE,ISNUMBER(SEARCH(Y240,ClassificationClasses[Key])),0),0),0)-1)))</f>
        <v>Diptera</v>
      </c>
      <c r="AA240" s="116" t="str" cm="1">
        <f t="array" ref="AA240">IFERROR(IF(OR(Z240="Insecta",Z240="Arachnida",Z240="#N/C"),"",INDEX(ClassificationClasses[[Class]:[Infraorder]],MATCH(TRUE,ISNUMBER(SEARCH(Z240,ClassificationClasses[Key])),0),MATCH(Z240,INDEX(ClassificationClasses[#Data], MATCH(TRUE,ISNUMBER(SEARCH(Z240,ClassificationClasses[Key])),0), 0), 0)-1)),"")</f>
        <v>Insecta</v>
      </c>
      <c r="AB240" s="116" t="str" cm="1">
        <f t="array" ref="AB240">IFERROR(IF(OR(AA240="Insecta",AA240="Arachnida",AA240="#N/C"),"",INDEX(ClassificationClasses[[Class]:[Suborder]],MATCH(TRUE,ISNUMBER(SEARCH(AA240,ClassificationClasses[Key])),0),MATCH(AA240,INDEX(ClassificationClasses[#Data], MATCH(TRUE,ISNUMBER(SEARCH(AA240,ClassificationClasses[Key])),0), 0), 0)-1)),"")</f>
        <v/>
      </c>
      <c r="AC240" s="116" t="str" cm="1">
        <f t="array" ref="AC240">IFERROR(IF(OR(AB240="Insecta",AB240="Arachnida",AB240="#N/C"),"",INDEX(ClassificationClasses[[Class]:[Suborder]],MATCH(TRUE,ISNUMBER(SEARCH(AB240,ClassificationClasses[Key])),0),MATCH(AB240,INDEX(ClassificationClasses[#Data], MATCH(TRUE,ISNUMBER(SEARCH(AB240,ClassificationClasses[Key])),0), 0), 0)-1)),"")</f>
        <v/>
      </c>
      <c r="AD240" s="116" t="str" cm="1">
        <f t="array" ref="AD240">IFERROR(IF(OR(AC240="Insecta",AC240="Arachnida",AC240="#N/C"),"",INDEX(ClassificationClasses[[Class]:[Suborder]],MATCH(TRUE,ISNUMBER(SEARCH(AC240,ClassificationClasses[Key])),0),MATCH(AC240,INDEX(ClassificationClasses[#Data], MATCH(TRUE,ISNUMBER(SEARCH(AC240,ClassificationClasses[Key])),0), 0), 0)-1)),"")</f>
        <v/>
      </c>
      <c r="AE240" s="18" t="str">
        <f t="shared" si="8"/>
        <v>Insecta.Diptera.Brachycera.#N/C.#N/C.#N/C.#N/C.#N/C.#N/C</v>
      </c>
    </row>
    <row r="241" spans="1:31" x14ac:dyDescent="0.3">
      <c r="A241" s="91">
        <v>240</v>
      </c>
      <c r="B241" s="7">
        <v>44402</v>
      </c>
      <c r="C241" s="92" t="s">
        <v>435</v>
      </c>
      <c r="D241" s="93" t="str">
        <f>HYPERLINK(VLOOKUP(C241,Video_List!$F:$J,5),"video")</f>
        <v>video</v>
      </c>
      <c r="E241" s="94" t="str">
        <f>IFERROR(IF(MATCH(C241,Video_List!$F:$F,)&gt;0,"ok",""),"error")</f>
        <v>ok</v>
      </c>
      <c r="F241" s="92" t="s">
        <v>435</v>
      </c>
      <c r="G241" s="93" t="str">
        <f>HYPERLINK(VLOOKUP(F241,Video_List!$F:$J,5),"video")</f>
        <v>video</v>
      </c>
      <c r="H241" s="94" t="str">
        <f>IFERROR(IF(MATCH(F241,Video_List!$F:$F,)&gt;0,"ok",""),"error")</f>
        <v>ok</v>
      </c>
      <c r="I241" s="17">
        <v>44402.711875000001</v>
      </c>
      <c r="J241" s="8">
        <v>44402.762048611112</v>
      </c>
      <c r="K241" s="15">
        <f t="shared" si="7"/>
        <v>5.0173611110949423E-2</v>
      </c>
      <c r="L241" s="95" t="s">
        <v>32</v>
      </c>
      <c r="M241" s="95" t="s">
        <v>33</v>
      </c>
      <c r="N241" s="96" t="str">
        <f>IF(ISBLANK(C241),"",IF(C241=F241, "1 video",CONCATENATE((+COUNTIFS(Video_List!$C:$C,"&lt;=" &amp;Monitoring!J241)-COUNTIFS(Video_List!$C:$C,"&lt;=" &amp;Monitoring!I241))+1," videos")))</f>
        <v>1 video</v>
      </c>
      <c r="O241" s="29" t="s">
        <v>44</v>
      </c>
      <c r="P241" s="42" t="s">
        <v>37</v>
      </c>
      <c r="Q241" s="42" t="s">
        <v>38</v>
      </c>
      <c r="R241" s="42" t="s">
        <v>39</v>
      </c>
      <c r="S241" s="97" t="str">
        <f>+IFERROR(IF(T241="#N/C","#N/C",IF(U241=0,INDEX(Taxonomy_UniqueValues!D:D,MATCH(U241,Taxonomy_UniqueValues!F:F,0)),INDEX(Taxonomy_UniqueValues!D:D,MATCH(T241,Taxonomy_UniqueValues!E:E,0)))),"#N/C")</f>
        <v>Muscomorpha</v>
      </c>
      <c r="T241" s="42" t="s">
        <v>46</v>
      </c>
      <c r="U241" s="42" t="s">
        <v>47</v>
      </c>
      <c r="V241" s="42" t="s">
        <v>48</v>
      </c>
      <c r="W241" s="42" t="s">
        <v>49</v>
      </c>
      <c r="X241" s="28" t="s">
        <v>35</v>
      </c>
      <c r="Y241" s="69" t="str" cm="1">
        <f t="array" ref="Y241">_xlfn.LET(_xlpm.cls,P241, _xlpm.ord,IFERROR(Q241,"#N/C"), _xlpm.subord,IFERROR(R241,"#N/C"), _xlpm.infr,IFERROR(S241,"#N/C"), _xlpm.sf,IFERROR(T241,"#N/C"), _xlpm.fam,IFERROR(U241,"#N/C"), _xlpm.subfam,IF(TRIM(V241)="-","#N/C",IFERROR(V241,"#N/C")),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_xlpm.fallback,IF(IFERROR(Q241,"#N/C")="#N/C",P241,IF(IFERROR(R241,"#N/C")="#N/C",Q241,IF(IFERROR(S241,"#N/C")="#N/C",R241,IF(IFERROR(T241,"#N/C")="#N/C",S241,IF(IFERROR(U241,"#N/C")="#N/C",T241,IF(IFERROR(V241,"#N/C")="#N/C",U241,"#N/C")))))), _xlpm.finalResult,IF(OR(_xlpm.computedResult="",_xlpm.computedResult="#N/C"),_xlpm.fallback,_xlpm.computedResult), INDEX(_xlpm.finalResult,1))</f>
        <v>hoverfly</v>
      </c>
      <c r="Z241" s="116" t="str" cm="1">
        <f t="array" ref="Z241">IF(OR(Y241="Insecta",Y241="Arachnida",Y241="#N/C"),"",IFERROR(_xlfn.LET(_xlpm.fc,IFERROR(_xlfn._xlws.FILTER(ClassificationClasses[],ClassificationClasses[Classification Class]=Y241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241,ClassificationClasses[Key])),0),MATCH(Y241,INDEX(ClassificationClasses[],MATCH(TRUE,ISNUMBER(SEARCH(Y241,ClassificationClasses[Key])),0),0),0)-1)))</f>
        <v>Muscomorpha</v>
      </c>
      <c r="AA241" s="116" t="str" cm="1">
        <f t="array" ref="AA241">IFERROR(IF(OR(Z241="Insecta",Z241="Arachnida",Z241="#N/C"),"",INDEX(ClassificationClasses[[Class]:[Infraorder]],MATCH(TRUE,ISNUMBER(SEARCH(Z241,ClassificationClasses[Key])),0),MATCH(Z241,INDEX(ClassificationClasses[#Data], MATCH(TRUE,ISNUMBER(SEARCH(Z241,ClassificationClasses[Key])),0), 0), 0)-1)),"")</f>
        <v>Brachycera</v>
      </c>
      <c r="AB241" s="116" t="str" cm="1">
        <f t="array" ref="AB241">IFERROR(IF(OR(AA241="Insecta",AA241="Arachnida",AA241="#N/C"),"",INDEX(ClassificationClasses[[Class]:[Suborder]],MATCH(TRUE,ISNUMBER(SEARCH(AA241,ClassificationClasses[Key])),0),MATCH(AA241,INDEX(ClassificationClasses[#Data], MATCH(TRUE,ISNUMBER(SEARCH(AA241,ClassificationClasses[Key])),0), 0), 0)-1)),"")</f>
        <v>Diptera</v>
      </c>
      <c r="AC241" s="116" t="str" cm="1">
        <f t="array" ref="AC241">IFERROR(IF(OR(AB241="Insecta",AB241="Arachnida",AB241="#N/C"),"",INDEX(ClassificationClasses[[Class]:[Suborder]],MATCH(TRUE,ISNUMBER(SEARCH(AB241,ClassificationClasses[Key])),0),MATCH(AB241,INDEX(ClassificationClasses[#Data], MATCH(TRUE,ISNUMBER(SEARCH(AB241,ClassificationClasses[Key])),0), 0), 0)-1)),"")</f>
        <v>Insecta</v>
      </c>
      <c r="AD241" s="116" t="str" cm="1">
        <f t="array" ref="AD241">IFERROR(IF(OR(AC241="Insecta",AC241="Arachnida",AC241="#N/C"),"",INDEX(ClassificationClasses[[Class]:[Suborder]],MATCH(TRUE,ISNUMBER(SEARCH(AC241,ClassificationClasses[Key])),0),MATCH(AC241,INDEX(ClassificationClasses[#Data], MATCH(TRUE,ISNUMBER(SEARCH(AC241,ClassificationClasses[Key])),0), 0), 0)-1)),"")</f>
        <v/>
      </c>
      <c r="AE241" s="18" t="str">
        <f t="shared" si="8"/>
        <v>Insecta.Diptera.Brachycera.Muscomorpha.Syrphoidea.Syrphidae.Syrphinae.Sphaerophoria.#N/C</v>
      </c>
    </row>
    <row r="242" spans="1:31" x14ac:dyDescent="0.3">
      <c r="A242" s="91">
        <v>241</v>
      </c>
      <c r="B242" s="7">
        <v>44402</v>
      </c>
      <c r="C242" s="92" t="s">
        <v>436</v>
      </c>
      <c r="D242" s="93" t="str">
        <f>HYPERLINK(VLOOKUP(C242,Video_List!$F:$J,5),"video")</f>
        <v>video</v>
      </c>
      <c r="E242" s="94" t="str">
        <f>IFERROR(IF(MATCH(C242,Video_List!$F:$F,)&gt;0,"ok",""),"error")</f>
        <v>ok</v>
      </c>
      <c r="F242" s="92" t="s">
        <v>437</v>
      </c>
      <c r="G242" s="93" t="str">
        <f>HYPERLINK(VLOOKUP(F242,Video_List!$F:$J,5),"video")</f>
        <v>video</v>
      </c>
      <c r="H242" s="94" t="str">
        <f>IFERROR(IF(MATCH(F242,Video_List!$F:$F,)&gt;0,"ok",""),"error")</f>
        <v>ok</v>
      </c>
      <c r="I242" s="17">
        <v>44402.732916666668</v>
      </c>
      <c r="J242" s="8">
        <v>44402.735555555555</v>
      </c>
      <c r="K242" s="15">
        <f t="shared" si="7"/>
        <v>2.638888887304347E-3</v>
      </c>
      <c r="L242" s="4" t="s">
        <v>32</v>
      </c>
      <c r="M242" s="4" t="s">
        <v>33</v>
      </c>
      <c r="N242" s="96" t="str">
        <f>IF(ISBLANK(C242),"",IF(C242=F242, "1 video",CONCATENATE((+COUNTIFS(Video_List!$C:$C,"&lt;=" &amp;Monitoring!J242)-COUNTIFS(Video_List!$C:$C,"&lt;=" &amp;Monitoring!I242))+1," videos")))</f>
        <v>2 videos</v>
      </c>
      <c r="O242" s="27" t="s">
        <v>32</v>
      </c>
      <c r="P242" s="42" t="s">
        <v>37</v>
      </c>
      <c r="Q242" s="42" t="s">
        <v>38</v>
      </c>
      <c r="R242" s="42" t="s">
        <v>39</v>
      </c>
      <c r="S242" s="97" t="str">
        <f>+IFERROR(IF(T242="#N/C","#N/C",IF(U242=0,INDEX(Taxonomy_UniqueValues!D:D,MATCH(U242,Taxonomy_UniqueValues!F:F,0)),INDEX(Taxonomy_UniqueValues!D:D,MATCH(T242,Taxonomy_UniqueValues!E:E,0)))),"#N/C")</f>
        <v>Asilomorpha</v>
      </c>
      <c r="T242" s="42" t="s">
        <v>149</v>
      </c>
      <c r="U242" s="42" t="s">
        <v>150</v>
      </c>
      <c r="V242" s="42" t="s">
        <v>151</v>
      </c>
      <c r="W242" s="42" t="s">
        <v>34</v>
      </c>
      <c r="X242" s="28" t="s">
        <v>35</v>
      </c>
      <c r="Y242" s="69" t="str" cm="1">
        <f t="array" ref="Y242">_xlfn.LET(_xlpm.cls,P242, _xlpm.ord,IFERROR(Q242,"#N/C"), _xlpm.subord,IFERROR(R242,"#N/C"), _xlpm.infr,IFERROR(S242,"#N/C"), _xlpm.sf,IFERROR(T242,"#N/C"), _xlpm.fam,IFERROR(U242,"#N/C"), _xlpm.subfam,IF(TRIM(V242)="-","#N/C",IFERROR(V242,"#N/C")),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_xlpm.fallback,IF(IFERROR(Q242,"#N/C")="#N/C",P242,IF(IFERROR(R242,"#N/C")="#N/C",Q242,IF(IFERROR(S242,"#N/C")="#N/C",R242,IF(IFERROR(T242,"#N/C")="#N/C",S242,IF(IFERROR(U242,"#N/C")="#N/C",T242,IF(IFERROR(V242,"#N/C")="#N/C",U242,"#N/C")))))), _xlpm.finalResult,IF(OR(_xlpm.computedResult="",_xlpm.computedResult="#N/C"),_xlpm.fallback,_xlpm.computedResult), INDEX(_xlpm.finalResult,1))</f>
        <v>robber_fly</v>
      </c>
      <c r="Z242" s="116" t="str" cm="1">
        <f t="array" ref="Z242">IF(OR(Y242="Insecta",Y242="Arachnida",Y242="#N/C"),"",IFERROR(_xlfn.LET(_xlpm.fc,IFERROR(_xlfn._xlws.FILTER(ClassificationClasses[],ClassificationClasses[Classification Class]=Y242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242,ClassificationClasses[Key])),0),MATCH(Y242,INDEX(ClassificationClasses[],MATCH(TRUE,ISNUMBER(SEARCH(Y242,ClassificationClasses[Key])),0),0),0)-1)))</f>
        <v>Asilomorpha</v>
      </c>
      <c r="AA242" s="116" t="str" cm="1">
        <f t="array" ref="AA242">IFERROR(IF(OR(Z242="Insecta",Z242="Arachnida",Z242="#N/C"),"",INDEX(ClassificationClasses[[Class]:[Infraorder]],MATCH(TRUE,ISNUMBER(SEARCH(Z242,ClassificationClasses[Key])),0),MATCH(Z242,INDEX(ClassificationClasses[#Data], MATCH(TRUE,ISNUMBER(SEARCH(Z242,ClassificationClasses[Key])),0), 0), 0)-1)),"")</f>
        <v>Brachycera</v>
      </c>
      <c r="AB242" s="116" t="str" cm="1">
        <f t="array" ref="AB242">IFERROR(IF(OR(AA242="Insecta",AA242="Arachnida",AA242="#N/C"),"",INDEX(ClassificationClasses[[Class]:[Suborder]],MATCH(TRUE,ISNUMBER(SEARCH(AA242,ClassificationClasses[Key])),0),MATCH(AA242,INDEX(ClassificationClasses[#Data], MATCH(TRUE,ISNUMBER(SEARCH(AA242,ClassificationClasses[Key])),0), 0), 0)-1)),"")</f>
        <v>Diptera</v>
      </c>
      <c r="AC242" s="116" t="str" cm="1">
        <f t="array" ref="AC242">IFERROR(IF(OR(AB242="Insecta",AB242="Arachnida",AB242="#N/C"),"",INDEX(ClassificationClasses[[Class]:[Suborder]],MATCH(TRUE,ISNUMBER(SEARCH(AB242,ClassificationClasses[Key])),0),MATCH(AB242,INDEX(ClassificationClasses[#Data], MATCH(TRUE,ISNUMBER(SEARCH(AB242,ClassificationClasses[Key])),0), 0), 0)-1)),"")</f>
        <v>Insecta</v>
      </c>
      <c r="AD242" s="116" t="str" cm="1">
        <f t="array" ref="AD242">IFERROR(IF(OR(AC242="Insecta",AC242="Arachnida",AC242="#N/C"),"",INDEX(ClassificationClasses[[Class]:[Suborder]],MATCH(TRUE,ISNUMBER(SEARCH(AC242,ClassificationClasses[Key])),0),MATCH(AC242,INDEX(ClassificationClasses[#Data], MATCH(TRUE,ISNUMBER(SEARCH(AC242,ClassificationClasses[Key])),0), 0), 0)-1)),"")</f>
        <v/>
      </c>
      <c r="AE242" s="18" t="str">
        <f t="shared" si="8"/>
        <v>Insecta.Diptera.Brachycera.Asilomorpha.Asiloidea.Asilidae.Asilinae.Tolmerus.#N/C</v>
      </c>
    </row>
    <row r="243" spans="1:31" x14ac:dyDescent="0.3">
      <c r="A243" s="91">
        <v>242</v>
      </c>
      <c r="B243" s="7">
        <v>44402</v>
      </c>
      <c r="C243" s="92" t="s">
        <v>438</v>
      </c>
      <c r="D243" s="93" t="str">
        <f>HYPERLINK(VLOOKUP(C243,Video_List!$F:$J,5),"video")</f>
        <v>video</v>
      </c>
      <c r="E243" s="94" t="str">
        <f>IFERROR(IF(MATCH(C243,Video_List!$F:$F,)&gt;0,"ok",""),"error")</f>
        <v>ok</v>
      </c>
      <c r="F243" s="92" t="s">
        <v>438</v>
      </c>
      <c r="G243" s="93" t="str">
        <f>HYPERLINK(VLOOKUP(F243,Video_List!$F:$J,5),"video")</f>
        <v>video</v>
      </c>
      <c r="H243" s="94" t="str">
        <f>IFERROR(IF(MATCH(F243,Video_List!$F:$F,)&gt;0,"ok",""),"error")</f>
        <v>ok</v>
      </c>
      <c r="I243" s="17">
        <v>44402.762708333335</v>
      </c>
      <c r="J243" s="8">
        <v>44402.762858796297</v>
      </c>
      <c r="K243" s="15">
        <f t="shared" si="7"/>
        <v>1.5046296175569296E-4</v>
      </c>
      <c r="L243" s="4" t="s">
        <v>32</v>
      </c>
      <c r="M243" s="4" t="s">
        <v>33</v>
      </c>
      <c r="N243" s="96" t="str">
        <f>IF(ISBLANK(C243),"",IF(C243=F243, "1 video",CONCATENATE((+COUNTIFS(Video_List!$C:$C,"&lt;=" &amp;Monitoring!J243)-COUNTIFS(Video_List!$C:$C,"&lt;=" &amp;Monitoring!I243))+1," videos")))</f>
        <v>1 video</v>
      </c>
      <c r="O243" s="29" t="s">
        <v>44</v>
      </c>
      <c r="P243" s="42" t="s">
        <v>37</v>
      </c>
      <c r="Q243" s="42" t="s">
        <v>38</v>
      </c>
      <c r="R243" s="42" t="s">
        <v>39</v>
      </c>
      <c r="S243" s="97" t="str">
        <f>+IFERROR(IF(T243="#N/C","#N/C",IF(U243=0,INDEX(Taxonomy_UniqueValues!D:D,MATCH(U243,Taxonomy_UniqueValues!F:F,0)),INDEX(Taxonomy_UniqueValues!D:D,MATCH(T243,Taxonomy_UniqueValues!E:E,0)))),"#N/C")</f>
        <v>Asilomorpha</v>
      </c>
      <c r="T243" s="42" t="s">
        <v>439</v>
      </c>
      <c r="U243" s="42" t="s">
        <v>440</v>
      </c>
      <c r="V243" s="42" t="s">
        <v>35</v>
      </c>
      <c r="W243" s="42" t="s">
        <v>35</v>
      </c>
      <c r="X243" s="28" t="s">
        <v>35</v>
      </c>
      <c r="Y243" s="69" t="str" cm="1">
        <f t="array" ref="Y243">_xlfn.LET(_xlpm.cls,P243, _xlpm.ord,IFERROR(Q243,"#N/C"), _xlpm.subord,IFERROR(R243,"#N/C"), _xlpm.infr,IFERROR(S243,"#N/C"), _xlpm.sf,IFERROR(T243,"#N/C"), _xlpm.fam,IFERROR(U243,"#N/C"), _xlpm.subfam,IF(TRIM(V243)="-","#N/C",IFERROR(V243,"#N/C")),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_xlpm.fallback,IF(IFERROR(Q243,"#N/C")="#N/C",P243,IF(IFERROR(R243,"#N/C")="#N/C",Q243,IF(IFERROR(S243,"#N/C")="#N/C",R243,IF(IFERROR(T243,"#N/C")="#N/C",S243,IF(IFERROR(U243,"#N/C")="#N/C",T243,IF(IFERROR(V243,"#N/C")="#N/C",U243,"#N/C")))))), _xlpm.finalResult,IF(OR(_xlpm.computedResult="",_xlpm.computedResult="#N/C"),_xlpm.fallback,_xlpm.computedResult), INDEX(_xlpm.finalResult,1))</f>
        <v>dance_fly</v>
      </c>
      <c r="Z243" s="116" t="str" cm="1">
        <f t="array" ref="Z243">IF(OR(Y243="Insecta",Y243="Arachnida",Y243="#N/C"),"",IFERROR(_xlfn.LET(_xlpm.fc,IFERROR(_xlfn._xlws.FILTER(ClassificationClasses[],ClassificationClasses[Classification Class]=Y243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243,ClassificationClasses[Key])),0),MATCH(Y243,INDEX(ClassificationClasses[],MATCH(TRUE,ISNUMBER(SEARCH(Y243,ClassificationClasses[Key])),0),0),0)-1)))</f>
        <v>Asilomorpha</v>
      </c>
      <c r="AA243" s="116" t="str" cm="1">
        <f t="array" ref="AA243">IFERROR(IF(OR(Z243="Insecta",Z243="Arachnida",Z243="#N/C"),"",INDEX(ClassificationClasses[[Class]:[Infraorder]],MATCH(TRUE,ISNUMBER(SEARCH(Z243,ClassificationClasses[Key])),0),MATCH(Z243,INDEX(ClassificationClasses[#Data], MATCH(TRUE,ISNUMBER(SEARCH(Z243,ClassificationClasses[Key])),0), 0), 0)-1)),"")</f>
        <v>Brachycera</v>
      </c>
      <c r="AB243" s="116" t="str" cm="1">
        <f t="array" ref="AB243">IFERROR(IF(OR(AA243="Insecta",AA243="Arachnida",AA243="#N/C"),"",INDEX(ClassificationClasses[[Class]:[Suborder]],MATCH(TRUE,ISNUMBER(SEARCH(AA243,ClassificationClasses[Key])),0),MATCH(AA243,INDEX(ClassificationClasses[#Data], MATCH(TRUE,ISNUMBER(SEARCH(AA243,ClassificationClasses[Key])),0), 0), 0)-1)),"")</f>
        <v>Diptera</v>
      </c>
      <c r="AC243" s="116" t="str" cm="1">
        <f t="array" ref="AC243">IFERROR(IF(OR(AB243="Insecta",AB243="Arachnida",AB243="#N/C"),"",INDEX(ClassificationClasses[[Class]:[Suborder]],MATCH(TRUE,ISNUMBER(SEARCH(AB243,ClassificationClasses[Key])),0),MATCH(AB243,INDEX(ClassificationClasses[#Data], MATCH(TRUE,ISNUMBER(SEARCH(AB243,ClassificationClasses[Key])),0), 0), 0)-1)),"")</f>
        <v>Insecta</v>
      </c>
      <c r="AD243" s="116" t="str" cm="1">
        <f t="array" ref="AD243">IFERROR(IF(OR(AC243="Insecta",AC243="Arachnida",AC243="#N/C"),"",INDEX(ClassificationClasses[[Class]:[Suborder]],MATCH(TRUE,ISNUMBER(SEARCH(AC243,ClassificationClasses[Key])),0),MATCH(AC243,INDEX(ClassificationClasses[#Data], MATCH(TRUE,ISNUMBER(SEARCH(AC243,ClassificationClasses[Key])),0), 0), 0)-1)),"")</f>
        <v/>
      </c>
      <c r="AE243" s="18" t="str">
        <f t="shared" si="8"/>
        <v>Insecta.Diptera.Brachycera.Asilomorpha.Empidoidea.Dolichopodidae.#N/C.#N/C.#N/C</v>
      </c>
    </row>
    <row r="244" spans="1:31" x14ac:dyDescent="0.3">
      <c r="A244" s="91">
        <v>243</v>
      </c>
      <c r="B244" s="7">
        <v>44402</v>
      </c>
      <c r="C244" s="92" t="s">
        <v>438</v>
      </c>
      <c r="D244" s="93" t="str">
        <f>HYPERLINK(VLOOKUP(C244,Video_List!$F:$J,5),"video")</f>
        <v>video</v>
      </c>
      <c r="E244" s="94" t="str">
        <f>IFERROR(IF(MATCH(C244,Video_List!$F:$F,)&gt;0,"ok",""),"error")</f>
        <v>ok</v>
      </c>
      <c r="F244" s="92" t="s">
        <v>438</v>
      </c>
      <c r="G244" s="93" t="str">
        <f>HYPERLINK(VLOOKUP(F244,Video_List!$F:$J,5),"video")</f>
        <v>video</v>
      </c>
      <c r="H244" s="94" t="str">
        <f>IFERROR(IF(MATCH(F244,Video_List!$F:$F,)&gt;0,"ok",""),"error")</f>
        <v>ok</v>
      </c>
      <c r="I244" s="17">
        <v>44402.760520833333</v>
      </c>
      <c r="J244" s="8">
        <v>44402.763842592591</v>
      </c>
      <c r="K244" s="15">
        <f t="shared" si="7"/>
        <v>3.3217592572327703E-3</v>
      </c>
      <c r="L244" s="4" t="s">
        <v>44</v>
      </c>
      <c r="M244" s="4" t="s">
        <v>33</v>
      </c>
      <c r="N244" s="96" t="str">
        <f>IF(ISBLANK(C244),"",IF(C244=F244, "1 video",CONCATENATE((+COUNTIFS(Video_List!$C:$C,"&lt;=" &amp;Monitoring!J244)-COUNTIFS(Video_List!$C:$C,"&lt;=" &amp;Monitoring!I244))+1," videos")))</f>
        <v>1 video</v>
      </c>
      <c r="O244" s="27" t="s">
        <v>32</v>
      </c>
      <c r="P244" s="120" t="str">
        <f>+IFERROR(IF(Q244="#N/C","#N/C",INDEX(Taxonomy_UniqueValues!A:A,MATCH(Q244,Taxonomy_UniqueValues!B:B,0))),"#N/C")</f>
        <v>Insecta</v>
      </c>
      <c r="Q244" s="120" t="str">
        <f>+IFERROR(IF(R244="#N/C","#N/C",INDEX(Taxonomy_UniqueValues!B:B,MATCH(R244,Taxonomy_UniqueValues!C:C,0))),"#N/C")</f>
        <v>Hymenoptera</v>
      </c>
      <c r="R244" s="120" t="str">
        <f>+IFERROR(IF(S244="#N/C","#N/C",INDEX(Taxonomy_UniqueValues!C:C,MATCH(S244,Taxonomy_UniqueValues!D:D,0))),"#N/C")</f>
        <v>Apocrita</v>
      </c>
      <c r="S244" s="120" t="str">
        <f>+IFERROR(IF(T244="#N/C","#N/C",INDEX(Taxonomy_UniqueValues!D:D,MATCH(T244,Taxonomy_UniqueValues!E:E,0))),"#N/C")</f>
        <v>Aculeata</v>
      </c>
      <c r="T244" s="120" t="str">
        <f>+IFERROR(IF(U244="#N/C","#N/C",INDEX(Taxonomy_UniqueValues!E:E,MATCH(U244,Taxonomy_UniqueValues!F:F,0))),"#N/C")</f>
        <v>Formicoidea</v>
      </c>
      <c r="U244" s="120" t="str">
        <f>+IFERROR(IF(V244="#N/C","#N/C",INDEX(Taxonomy_UniqueValues!F:F,MATCH(V244,Taxonomy_UniqueValues!G:G,0))),"#N/C")</f>
        <v>Formicidae</v>
      </c>
      <c r="V244" s="120" t="str">
        <f>+IFERROR(IF(W244="#N/C","#N/C",INDEX(Taxonomy_UniqueValues!G:G,MATCH(W244,Taxonomy_UniqueValues!H:H,0))),"#N/C")</f>
        <v>Formicinae</v>
      </c>
      <c r="W244" s="42" t="s">
        <v>179</v>
      </c>
      <c r="X244" s="28" t="s">
        <v>35</v>
      </c>
      <c r="Y244" s="69" t="str" cm="1">
        <f t="array" ref="Y244">_xlfn.LET(_xlpm.cls,P244, _xlpm.ord,IFERROR(Q244,"#N/C"), _xlpm.subord,IFERROR(R244,"#N/C"), _xlpm.infr,IFERROR(S244,"#N/C"), _xlpm.sf,IFERROR(T244,"#N/C"), _xlpm.fam,IFERROR(U244,"#N/C"), _xlpm.subfam,IF(TRIM(V244)="-","#N/C",IFERROR(V244,"#N/C")),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_xlpm.fallback,IF(IFERROR(Q244,"#N/C")="#N/C",P244,IF(IFERROR(R244,"#N/C")="#N/C",Q244,IF(IFERROR(S244,"#N/C")="#N/C",R244,IF(IFERROR(T244,"#N/C")="#N/C",S244,IF(IFERROR(U244,"#N/C")="#N/C",T244,IF(IFERROR(V244,"#N/C")="#N/C",U244,"#N/C")))))), _xlpm.finalResult,IF(OR(_xlpm.computedResult="",_xlpm.computedResult="#N/C"),_xlpm.fallback,_xlpm.computedResult), INDEX(_xlpm.finalResult,1))</f>
        <v>ant</v>
      </c>
      <c r="Z244" s="116" t="str" cm="1">
        <f t="array" ref="Z244">IF(OR(Y244="Insecta",Y244="Arachnida",Y244="#N/C"),"",IFERROR(_xlfn.LET(_xlpm.fc,IFERROR(_xlfn._xlws.FILTER(ClassificationClasses[],ClassificationClasses[Classification Class]=Y244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244,ClassificationClasses[Key])),0),MATCH(Y244,INDEX(ClassificationClasses[],MATCH(TRUE,ISNUMBER(SEARCH(Y244,ClassificationClasses[Key])),0),0),0)-1)))</f>
        <v>Aculeata</v>
      </c>
      <c r="AA244" s="116" t="str" cm="1">
        <f t="array" ref="AA244">IFERROR(IF(OR(Z244="Insecta",Z244="Arachnida",Z244="#N/C"),"",INDEX(ClassificationClasses[[Class]:[Infraorder]],MATCH(TRUE,ISNUMBER(SEARCH(Z244,ClassificationClasses[Key])),0),MATCH(Z244,INDEX(ClassificationClasses[#Data], MATCH(TRUE,ISNUMBER(SEARCH(Z244,ClassificationClasses[Key])),0), 0), 0)-1)),"")</f>
        <v>Apocrita</v>
      </c>
      <c r="AB244" s="116" t="str" cm="1">
        <f t="array" ref="AB244">IFERROR(IF(OR(AA244="Insecta",AA244="Arachnida",AA244="#N/C"),"",INDEX(ClassificationClasses[[Class]:[Suborder]],MATCH(TRUE,ISNUMBER(SEARCH(AA244,ClassificationClasses[Key])),0),MATCH(AA244,INDEX(ClassificationClasses[#Data], MATCH(TRUE,ISNUMBER(SEARCH(AA244,ClassificationClasses[Key])),0), 0), 0)-1)),"")</f>
        <v>Hymenoptera</v>
      </c>
      <c r="AC244" s="116" t="str" cm="1">
        <f t="array" ref="AC244">IFERROR(IF(OR(AB244="Insecta",AB244="Arachnida",AB244="#N/C"),"",INDEX(ClassificationClasses[[Class]:[Suborder]],MATCH(TRUE,ISNUMBER(SEARCH(AB244,ClassificationClasses[Key])),0),MATCH(AB244,INDEX(ClassificationClasses[#Data], MATCH(TRUE,ISNUMBER(SEARCH(AB244,ClassificationClasses[Key])),0), 0), 0)-1)),"")</f>
        <v>Insecta</v>
      </c>
      <c r="AD244" s="116" t="str" cm="1">
        <f t="array" ref="AD244">IFERROR(IF(OR(AC244="Insecta",AC244="Arachnida",AC244="#N/C"),"",INDEX(ClassificationClasses[[Class]:[Suborder]],MATCH(TRUE,ISNUMBER(SEARCH(AC244,ClassificationClasses[Key])),0),MATCH(AC244,INDEX(ClassificationClasses[#Data], MATCH(TRUE,ISNUMBER(SEARCH(AC244,ClassificationClasses[Key])),0), 0), 0)-1)),"")</f>
        <v/>
      </c>
      <c r="AE244" s="18" t="str">
        <f t="shared" si="8"/>
        <v>Insecta.Hymenoptera.Apocrita.Aculeata.Formicoidea.Formicidae.Formicinae.Lasius.#N/C</v>
      </c>
    </row>
    <row r="245" spans="1:31" x14ac:dyDescent="0.3">
      <c r="A245" s="91">
        <v>244</v>
      </c>
      <c r="B245" s="7">
        <v>44402</v>
      </c>
      <c r="C245" s="92" t="s">
        <v>441</v>
      </c>
      <c r="D245" s="93" t="str">
        <f>HYPERLINK(VLOOKUP(C245,Video_List!$F:$J,5),"video")</f>
        <v>video</v>
      </c>
      <c r="E245" s="94" t="str">
        <f>IFERROR(IF(MATCH(C245,Video_List!$F:$F,)&gt;0,"ok",""),"error")</f>
        <v>ok</v>
      </c>
      <c r="F245" s="92" t="s">
        <v>441</v>
      </c>
      <c r="G245" s="93" t="str">
        <f>HYPERLINK(VLOOKUP(F245,Video_List!$F:$J,5),"video")</f>
        <v>video</v>
      </c>
      <c r="H245" s="94" t="str">
        <f>IFERROR(IF(MATCH(F245,Video_List!$F:$F,)&gt;0,"ok",""),"error")</f>
        <v>ok</v>
      </c>
      <c r="I245" s="17">
        <v>44402.767442129632</v>
      </c>
      <c r="J245" s="8">
        <v>44402.767488425925</v>
      </c>
      <c r="K245" s="15">
        <f t="shared" si="7"/>
        <v>4.6296292566694319E-5</v>
      </c>
      <c r="L245" s="95" t="s">
        <v>32</v>
      </c>
      <c r="M245" s="95" t="s">
        <v>33</v>
      </c>
      <c r="N245" s="96" t="str">
        <f>IF(ISBLANK(C245),"",IF(C245=F245, "1 video",CONCATENATE((+COUNTIFS(Video_List!$C:$C,"&lt;=" &amp;Monitoring!J245)-COUNTIFS(Video_List!$C:$C,"&lt;=" &amp;Monitoring!I245))+1," videos")))</f>
        <v>1 video</v>
      </c>
      <c r="O245" s="29" t="s">
        <v>44</v>
      </c>
      <c r="P245" s="42" t="s">
        <v>37</v>
      </c>
      <c r="Q245" s="42" t="s">
        <v>38</v>
      </c>
      <c r="R245" s="42" t="s">
        <v>39</v>
      </c>
      <c r="S245" s="97" t="str">
        <f>+IFERROR(IF(T245="#N/C","#N/C",IF(U245=0,INDEX(Taxonomy_UniqueValues!D:D,MATCH(U245,Taxonomy_UniqueValues!F:F,0)),INDEX(Taxonomy_UniqueValues!D:D,MATCH(T245,Taxonomy_UniqueValues!E:E,0)))),"#N/C")</f>
        <v>#N/C</v>
      </c>
      <c r="T245" s="42" t="s">
        <v>35</v>
      </c>
      <c r="U245" s="42" t="s">
        <v>35</v>
      </c>
      <c r="V245" s="42" t="s">
        <v>35</v>
      </c>
      <c r="W245" s="42" t="s">
        <v>35</v>
      </c>
      <c r="X245" s="28" t="s">
        <v>35</v>
      </c>
      <c r="Y245" s="69" t="str" cm="1">
        <f t="array" ref="Y245">_xlfn.LET(_xlpm.cls,P245, _xlpm.ord,IFERROR(Q245,"#N/C"), _xlpm.subord,IFERROR(R245,"#N/C"), _xlpm.infr,IFERROR(S245,"#N/C"), _xlpm.sf,IFERROR(T245,"#N/C"), _xlpm.fam,IFERROR(U245,"#N/C"), _xlpm.subfam,IF(TRIM(V245)="-","#N/C",IFERROR(V245,"#N/C")),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_xlpm.fallback,IF(IFERROR(Q245,"#N/C")="#N/C",P245,IF(IFERROR(R245,"#N/C")="#N/C",Q245,IF(IFERROR(S245,"#N/C")="#N/C",R245,IF(IFERROR(T245,"#N/C")="#N/C",S245,IF(IFERROR(U245,"#N/C")="#N/C",T245,IF(IFERROR(V245,"#N/C")="#N/C",U245,"#N/C")))))), _xlpm.finalResult,IF(OR(_xlpm.computedResult="",_xlpm.computedResult="#N/C"),_xlpm.fallback,_xlpm.computedResult), INDEX(_xlpm.finalResult,1))</f>
        <v>Brachycera</v>
      </c>
      <c r="Z245" s="116" t="str" cm="1">
        <f t="array" ref="Z245">IF(OR(Y245="Insecta",Y245="Arachnida",Y245="#N/C"),"",IFERROR(_xlfn.LET(_xlpm.fc,IFERROR(_xlfn._xlws.FILTER(ClassificationClasses[],ClassificationClasses[Classification Class]=Y245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245,ClassificationClasses[Key])),0),MATCH(Y245,INDEX(ClassificationClasses[],MATCH(TRUE,ISNUMBER(SEARCH(Y245,ClassificationClasses[Key])),0),0),0)-1)))</f>
        <v>Diptera</v>
      </c>
      <c r="AA245" s="116" t="str" cm="1">
        <f t="array" ref="AA245">IFERROR(IF(OR(Z245="Insecta",Z245="Arachnida",Z245="#N/C"),"",INDEX(ClassificationClasses[[Class]:[Infraorder]],MATCH(TRUE,ISNUMBER(SEARCH(Z245,ClassificationClasses[Key])),0),MATCH(Z245,INDEX(ClassificationClasses[#Data], MATCH(TRUE,ISNUMBER(SEARCH(Z245,ClassificationClasses[Key])),0), 0), 0)-1)),"")</f>
        <v>Insecta</v>
      </c>
      <c r="AB245" s="116" t="str" cm="1">
        <f t="array" ref="AB245">IFERROR(IF(OR(AA245="Insecta",AA245="Arachnida",AA245="#N/C"),"",INDEX(ClassificationClasses[[Class]:[Suborder]],MATCH(TRUE,ISNUMBER(SEARCH(AA245,ClassificationClasses[Key])),0),MATCH(AA245,INDEX(ClassificationClasses[#Data], MATCH(TRUE,ISNUMBER(SEARCH(AA245,ClassificationClasses[Key])),0), 0), 0)-1)),"")</f>
        <v/>
      </c>
      <c r="AC245" s="116" t="str" cm="1">
        <f t="array" ref="AC245">IFERROR(IF(OR(AB245="Insecta",AB245="Arachnida",AB245="#N/C"),"",INDEX(ClassificationClasses[[Class]:[Suborder]],MATCH(TRUE,ISNUMBER(SEARCH(AB245,ClassificationClasses[Key])),0),MATCH(AB245,INDEX(ClassificationClasses[#Data], MATCH(TRUE,ISNUMBER(SEARCH(AB245,ClassificationClasses[Key])),0), 0), 0)-1)),"")</f>
        <v/>
      </c>
      <c r="AD245" s="116" t="str" cm="1">
        <f t="array" ref="AD245">IFERROR(IF(OR(AC245="Insecta",AC245="Arachnida",AC245="#N/C"),"",INDEX(ClassificationClasses[[Class]:[Suborder]],MATCH(TRUE,ISNUMBER(SEARCH(AC245,ClassificationClasses[Key])),0),MATCH(AC245,INDEX(ClassificationClasses[#Data], MATCH(TRUE,ISNUMBER(SEARCH(AC245,ClassificationClasses[Key])),0), 0), 0)-1)),"")</f>
        <v/>
      </c>
      <c r="AE245" s="18" t="str">
        <f t="shared" si="8"/>
        <v>Insecta.Diptera.Brachycera.#N/C.#N/C.#N/C.#N/C.#N/C.#N/C</v>
      </c>
    </row>
    <row r="246" spans="1:31" x14ac:dyDescent="0.3">
      <c r="A246" s="91">
        <v>245</v>
      </c>
      <c r="B246" s="7">
        <v>44402</v>
      </c>
      <c r="C246" s="92" t="s">
        <v>442</v>
      </c>
      <c r="D246" s="93" t="str">
        <f>HYPERLINK(VLOOKUP(C246,Video_List!$F:$J,5),"video")</f>
        <v>video</v>
      </c>
      <c r="E246" s="94" t="str">
        <f>IFERROR(IF(MATCH(C246,Video_List!$F:$F,)&gt;0,"ok",""),"error")</f>
        <v>ok</v>
      </c>
      <c r="F246" s="92" t="s">
        <v>442</v>
      </c>
      <c r="G246" s="93" t="str">
        <f>HYPERLINK(VLOOKUP(F246,Video_List!$F:$J,5),"video")</f>
        <v>video</v>
      </c>
      <c r="H246" s="94" t="str">
        <f>IFERROR(IF(MATCH(F246,Video_List!$F:$F,)&gt;0,"ok",""),"error")</f>
        <v>ok</v>
      </c>
      <c r="I246" s="17">
        <v>44402.76971064815</v>
      </c>
      <c r="J246" s="8">
        <v>44402.770428240743</v>
      </c>
      <c r="K246" s="15">
        <f t="shared" si="7"/>
        <v>7.1759259299142286E-4</v>
      </c>
      <c r="L246" s="95" t="s">
        <v>32</v>
      </c>
      <c r="M246" s="95" t="s">
        <v>33</v>
      </c>
      <c r="N246" s="96" t="str">
        <f>IF(ISBLANK(C246),"",IF(C246=F246, "1 video",CONCATENATE((+COUNTIFS(Video_List!$C:$C,"&lt;=" &amp;Monitoring!J246)-COUNTIFS(Video_List!$C:$C,"&lt;=" &amp;Monitoring!I246))+1," videos")))</f>
        <v>1 video</v>
      </c>
      <c r="O246" s="27" t="s">
        <v>32</v>
      </c>
      <c r="P246" s="42" t="s">
        <v>37</v>
      </c>
      <c r="Q246" s="42" t="s">
        <v>76</v>
      </c>
      <c r="R246" s="42" t="s">
        <v>77</v>
      </c>
      <c r="S246" s="97" t="str">
        <f>+IFERROR(IF(T246="#N/C","#N/C",IF(U246=0,INDEX(Taxonomy_UniqueValues!D:D,MATCH(U246,Taxonomy_UniqueValues!F:F,0)),INDEX(Taxonomy_UniqueValues!D:D,MATCH(T246,Taxonomy_UniqueValues!E:E,0)))),"#N/C")</f>
        <v>Cucujiformia</v>
      </c>
      <c r="T246" s="42" t="s">
        <v>421</v>
      </c>
      <c r="U246" s="42" t="s">
        <v>422</v>
      </c>
      <c r="V246" s="42" t="s">
        <v>443</v>
      </c>
      <c r="W246" s="3" t="s">
        <v>444</v>
      </c>
      <c r="X246" s="28" t="s">
        <v>35</v>
      </c>
      <c r="Y246" s="69" t="str" cm="1">
        <f t="array" ref="Y246">_xlfn.LET(_xlpm.cls,P246, _xlpm.ord,IFERROR(Q246,"#N/C"), _xlpm.subord,IFERROR(R246,"#N/C"), _xlpm.infr,IFERROR(S246,"#N/C"), _xlpm.sf,IFERROR(T246,"#N/C"), _xlpm.fam,IFERROR(U246,"#N/C"), _xlpm.subfam,IF(TRIM(V246)="-","#N/C",IFERROR(V246,"#N/C")),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_xlpm.fallback,IF(IFERROR(Q246,"#N/C")="#N/C",P246,IF(IFERROR(R246,"#N/C")="#N/C",Q246,IF(IFERROR(S246,"#N/C")="#N/C",R246,IF(IFERROR(T246,"#N/C")="#N/C",S246,IF(IFERROR(U246,"#N/C")="#N/C",T246,IF(IFERROR(V246,"#N/C")="#N/C",U246,"#N/C")))))), _xlpm.finalResult,IF(OR(_xlpm.computedResult="",_xlpm.computedResult="#N/C"),_xlpm.fallback,_xlpm.computedResult), INDEX(_xlpm.finalResult,1))</f>
        <v>leaf_beetle</v>
      </c>
      <c r="Z246" s="116" t="str" cm="1">
        <f t="array" ref="Z246">IF(OR(Y246="Insecta",Y246="Arachnida",Y246="#N/C"),"",IFERROR(_xlfn.LET(_xlpm.fc,IFERROR(_xlfn._xlws.FILTER(ClassificationClasses[],ClassificationClasses[Classification Class]=Y246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246,ClassificationClasses[Key])),0),MATCH(Y246,INDEX(ClassificationClasses[],MATCH(TRUE,ISNUMBER(SEARCH(Y246,ClassificationClasses[Key])),0),0),0)-1)))</f>
        <v>Cucujiformia</v>
      </c>
      <c r="AA246" s="116" t="str" cm="1">
        <f t="array" ref="AA246">IFERROR(IF(OR(Z246="Insecta",Z246="Arachnida",Z246="#N/C"),"",INDEX(ClassificationClasses[[Class]:[Infraorder]],MATCH(TRUE,ISNUMBER(SEARCH(Z246,ClassificationClasses[Key])),0),MATCH(Z246,INDEX(ClassificationClasses[#Data], MATCH(TRUE,ISNUMBER(SEARCH(Z246,ClassificationClasses[Key])),0), 0), 0)-1)),"")</f>
        <v>Polyphaga</v>
      </c>
      <c r="AB246" s="116" t="str" cm="1">
        <f t="array" ref="AB246">IFERROR(IF(OR(AA246="Insecta",AA246="Arachnida",AA246="#N/C"),"",INDEX(ClassificationClasses[[Class]:[Suborder]],MATCH(TRUE,ISNUMBER(SEARCH(AA246,ClassificationClasses[Key])),0),MATCH(AA246,INDEX(ClassificationClasses[#Data], MATCH(TRUE,ISNUMBER(SEARCH(AA246,ClassificationClasses[Key])),0), 0), 0)-1)),"")</f>
        <v>Coleoptera</v>
      </c>
      <c r="AC246" s="116" t="str" cm="1">
        <f t="array" ref="AC246">IFERROR(IF(OR(AB246="Insecta",AB246="Arachnida",AB246="#N/C"),"",INDEX(ClassificationClasses[[Class]:[Suborder]],MATCH(TRUE,ISNUMBER(SEARCH(AB246,ClassificationClasses[Key])),0),MATCH(AB246,INDEX(ClassificationClasses[#Data], MATCH(TRUE,ISNUMBER(SEARCH(AB246,ClassificationClasses[Key])),0), 0), 0)-1)),"")</f>
        <v>Insecta</v>
      </c>
      <c r="AD246" s="116" t="str" cm="1">
        <f t="array" ref="AD246">IFERROR(IF(OR(AC246="Insecta",AC246="Arachnida",AC246="#N/C"),"",INDEX(ClassificationClasses[[Class]:[Suborder]],MATCH(TRUE,ISNUMBER(SEARCH(AC246,ClassificationClasses[Key])),0),MATCH(AC246,INDEX(ClassificationClasses[#Data], MATCH(TRUE,ISNUMBER(SEARCH(AC246,ClassificationClasses[Key])),0), 0), 0)-1)),"")</f>
        <v/>
      </c>
      <c r="AE246" s="18" t="str">
        <f t="shared" si="8"/>
        <v>Insecta.Coleoptera.Polyphaga.Cucujiformia.Chrysomeloidea.Chrysomelidae.Criocerinae.Oulema.#N/C</v>
      </c>
    </row>
    <row r="247" spans="1:31" x14ac:dyDescent="0.3">
      <c r="A247" s="91">
        <v>246</v>
      </c>
      <c r="B247" s="7">
        <v>44403</v>
      </c>
      <c r="C247" s="92" t="s">
        <v>445</v>
      </c>
      <c r="D247" s="93" t="str">
        <f>HYPERLINK(VLOOKUP(C247,Video_List!$F:$J,5),"video")</f>
        <v>video</v>
      </c>
      <c r="E247" s="94" t="str">
        <f>IFERROR(IF(MATCH(C247,Video_List!$F:$F,)&gt;0,"ok",""),"error")</f>
        <v>ok</v>
      </c>
      <c r="F247" s="92" t="s">
        <v>445</v>
      </c>
      <c r="G247" s="93" t="str">
        <f>HYPERLINK(VLOOKUP(F247,Video_List!$F:$J,5),"video")</f>
        <v>video</v>
      </c>
      <c r="H247" s="94" t="str">
        <f>IFERROR(IF(MATCH(F247,Video_List!$F:$F,)&gt;0,"ok",""),"error")</f>
        <v>ok</v>
      </c>
      <c r="I247" s="17">
        <v>44403.254340277781</v>
      </c>
      <c r="J247" s="8">
        <v>44403.254421296297</v>
      </c>
      <c r="K247" s="15">
        <f t="shared" si="7"/>
        <v>8.1018515629693866E-5</v>
      </c>
      <c r="L247" s="95" t="s">
        <v>32</v>
      </c>
      <c r="M247" s="95" t="s">
        <v>33</v>
      </c>
      <c r="N247" s="96" t="str">
        <f>IF(ISBLANK(C247),"",IF(C247=F247, "1 video",CONCATENATE((+COUNTIFS(Video_List!$C:$C,"&lt;=" &amp;Monitoring!J247)-COUNTIFS(Video_List!$C:$C,"&lt;=" &amp;Monitoring!I247))+1," videos")))</f>
        <v>1 video</v>
      </c>
      <c r="O247" s="27" t="s">
        <v>32</v>
      </c>
      <c r="P247" s="42" t="s">
        <v>37</v>
      </c>
      <c r="Q247" s="42" t="s">
        <v>56</v>
      </c>
      <c r="R247" s="42" t="s">
        <v>57</v>
      </c>
      <c r="S247" s="97" t="str">
        <f>+IFERROR(IF(T247="#N/C","#N/C",IF(U247=0,INDEX(Taxonomy_UniqueValues!D:D,MATCH(U247,Taxonomy_UniqueValues!F:F,0)),INDEX(Taxonomy_UniqueValues!D:D,MATCH(T247,Taxonomy_UniqueValues!E:E,0)))),"#N/C")</f>
        <v>Heterocera</v>
      </c>
      <c r="T247" s="42" t="s">
        <v>243</v>
      </c>
      <c r="U247" s="42" t="s">
        <v>244</v>
      </c>
      <c r="V247" s="42" t="s">
        <v>260</v>
      </c>
      <c r="W247" s="42" t="s">
        <v>446</v>
      </c>
      <c r="X247" s="28" t="s">
        <v>447</v>
      </c>
      <c r="Y247" s="69" t="str" cm="1">
        <f t="array" ref="Y247">_xlfn.LET(_xlpm.cls,P247, _xlpm.ord,IFERROR(Q247,"#N/C"), _xlpm.subord,IFERROR(R247,"#N/C"), _xlpm.infr,IFERROR(S247,"#N/C"), _xlpm.sf,IFERROR(T247,"#N/C"), _xlpm.fam,IFERROR(U247,"#N/C"), _xlpm.subfam,IF(TRIM(V247)="-","#N/C",IFERROR(V247,"#N/C")),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_xlpm.fallback,IF(IFERROR(Q247,"#N/C")="#N/C",P247,IF(IFERROR(R247,"#N/C")="#N/C",Q247,IF(IFERROR(S247,"#N/C")="#N/C",R247,IF(IFERROR(T247,"#N/C")="#N/C",S247,IF(IFERROR(U247,"#N/C")="#N/C",T247,IF(IFERROR(V247,"#N/C")="#N/C",U247,"#N/C")))))), _xlpm.finalResult,IF(OR(_xlpm.computedResult="",_xlpm.computedResult="#N/C"),_xlpm.fallback,_xlpm.computedResult), INDEX(_xlpm.finalResult,1))</f>
        <v>moth</v>
      </c>
      <c r="Z247" s="116" t="str" cm="1">
        <f t="array" ref="Z247">IF(OR(Y247="Insecta",Y247="Arachnida",Y247="#N/C"),"",IFERROR(_xlfn.LET(_xlpm.fc,IFERROR(_xlfn._xlws.FILTER(ClassificationClasses[],ClassificationClasses[Classification Class]=Y247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247,ClassificationClasses[Key])),0),MATCH(Y247,INDEX(ClassificationClasses[],MATCH(TRUE,ISNUMBER(SEARCH(Y247,ClassificationClasses[Key])),0),0),0)-1)))</f>
        <v>Heterocera</v>
      </c>
      <c r="AA247" s="116" t="str" cm="1">
        <f t="array" ref="AA247">IFERROR(IF(OR(Z247="Insecta",Z247="Arachnida",Z247="#N/C"),"",INDEX(ClassificationClasses[[Class]:[Infraorder]],MATCH(TRUE,ISNUMBER(SEARCH(Z247,ClassificationClasses[Key])),0),MATCH(Z247,INDEX(ClassificationClasses[#Data], MATCH(TRUE,ISNUMBER(SEARCH(Z247,ClassificationClasses[Key])),0), 0), 0)-1)),"")</f>
        <v>Glossata</v>
      </c>
      <c r="AB247" s="116" t="str" cm="1">
        <f t="array" ref="AB247">IFERROR(IF(OR(AA247="Insecta",AA247="Arachnida",AA247="#N/C"),"",INDEX(ClassificationClasses[[Class]:[Suborder]],MATCH(TRUE,ISNUMBER(SEARCH(AA247,ClassificationClasses[Key])),0),MATCH(AA247,INDEX(ClassificationClasses[#Data], MATCH(TRUE,ISNUMBER(SEARCH(AA247,ClassificationClasses[Key])),0), 0), 0)-1)),"")</f>
        <v>Lepidoptera</v>
      </c>
      <c r="AC247" s="116" t="str" cm="1">
        <f t="array" ref="AC247">IFERROR(IF(OR(AB247="Insecta",AB247="Arachnida",AB247="#N/C"),"",INDEX(ClassificationClasses[[Class]:[Suborder]],MATCH(TRUE,ISNUMBER(SEARCH(AB247,ClassificationClasses[Key])),0),MATCH(AB247,INDEX(ClassificationClasses[#Data], MATCH(TRUE,ISNUMBER(SEARCH(AB247,ClassificationClasses[Key])),0), 0), 0)-1)),"")</f>
        <v>Insecta</v>
      </c>
      <c r="AD247" s="116" t="str" cm="1">
        <f t="array" ref="AD247">IFERROR(IF(OR(AC247="Insecta",AC247="Arachnida",AC247="#N/C"),"",INDEX(ClassificationClasses[[Class]:[Suborder]],MATCH(TRUE,ISNUMBER(SEARCH(AC247,ClassificationClasses[Key])),0),MATCH(AC247,INDEX(ClassificationClasses[#Data], MATCH(TRUE,ISNUMBER(SEARCH(AC247,ClassificationClasses[Key])),0), 0), 0)-1)),"")</f>
        <v/>
      </c>
      <c r="AE247" s="18" t="str">
        <f t="shared" si="8"/>
        <v>Insecta.Lepidoptera.Glossata.Heterocera.Pyraloidea.Pyralidae.Pyralinae.Synaphe.punctalis</v>
      </c>
    </row>
    <row r="248" spans="1:31" x14ac:dyDescent="0.3">
      <c r="A248" s="91">
        <v>247</v>
      </c>
      <c r="B248" s="7">
        <v>44403</v>
      </c>
      <c r="C248" s="92" t="s">
        <v>448</v>
      </c>
      <c r="D248" s="93" t="str">
        <f>HYPERLINK(VLOOKUP(C248,Video_List!$F:$J,5),"video")</f>
        <v>video</v>
      </c>
      <c r="E248" s="94" t="str">
        <f>IFERROR(IF(MATCH(C248,Video_List!$F:$F,)&gt;0,"ok",""),"error")</f>
        <v>ok</v>
      </c>
      <c r="F248" s="92" t="s">
        <v>449</v>
      </c>
      <c r="G248" s="93" t="str">
        <f>HYPERLINK(VLOOKUP(F248,Video_List!$F:$J,5),"video")</f>
        <v>video</v>
      </c>
      <c r="H248" s="94" t="str">
        <f>IFERROR(IF(MATCH(F248,Video_List!$F:$F,)&gt;0,"ok",""),"error")</f>
        <v>ok</v>
      </c>
      <c r="I248" s="17">
        <v>44403.262939814813</v>
      </c>
      <c r="J248" s="8">
        <v>44403.264305555553</v>
      </c>
      <c r="K248" s="15">
        <f t="shared" si="7"/>
        <v>1.3657407398568466E-3</v>
      </c>
      <c r="L248" s="95" t="s">
        <v>32</v>
      </c>
      <c r="M248" s="95" t="s">
        <v>33</v>
      </c>
      <c r="N248" s="96" t="str">
        <f>IF(ISBLANK(C248),"",IF(C248=F248, "1 video",CONCATENATE((+COUNTIFS(Video_List!$C:$C,"&lt;=" &amp;Monitoring!J248)-COUNTIFS(Video_List!$C:$C,"&lt;=" &amp;Monitoring!I248))+1," videos")))</f>
        <v>2 videos</v>
      </c>
      <c r="O248" s="29" t="s">
        <v>44</v>
      </c>
      <c r="P248" s="42" t="s">
        <v>37</v>
      </c>
      <c r="Q248" s="42" t="s">
        <v>56</v>
      </c>
      <c r="R248" s="42" t="s">
        <v>57</v>
      </c>
      <c r="S248" s="97" t="str">
        <f>+IFERROR(IF(T248="#N/C","#N/C",IF(U248=0,INDEX(Taxonomy_UniqueValues!D:D,MATCH(U248,Taxonomy_UniqueValues!F:F,0)),INDEX(Taxonomy_UniqueValues!D:D,MATCH(T248,Taxonomy_UniqueValues!E:E,0)))),"#N/C")</f>
        <v>Heterocera</v>
      </c>
      <c r="T248" s="42" t="s">
        <v>243</v>
      </c>
      <c r="U248" s="42" t="s">
        <v>244</v>
      </c>
      <c r="V248" s="42">
        <v>0</v>
      </c>
      <c r="W248" s="42" t="s">
        <v>446</v>
      </c>
      <c r="X248" s="28" t="s">
        <v>447</v>
      </c>
      <c r="Y248" s="69" t="str" cm="1">
        <f t="array" ref="Y248">_xlfn.LET(_xlpm.cls,P248, _xlpm.ord,IFERROR(Q248,"#N/C"), _xlpm.subord,IFERROR(R248,"#N/C"), _xlpm.infr,IFERROR(S248,"#N/C"), _xlpm.sf,IFERROR(T248,"#N/C"), _xlpm.fam,IFERROR(U248,"#N/C"), _xlpm.subfam,IF(TRIM(V248)="-","#N/C",IFERROR(V248,"#N/C")),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_xlpm.fallback,IF(IFERROR(Q248,"#N/C")="#N/C",P248,IF(IFERROR(R248,"#N/C")="#N/C",Q248,IF(IFERROR(S248,"#N/C")="#N/C",R248,IF(IFERROR(T248,"#N/C")="#N/C",S248,IF(IFERROR(U248,"#N/C")="#N/C",T248,IF(IFERROR(V248,"#N/C")="#N/C",U248,"#N/C")))))), _xlpm.finalResult,IF(OR(_xlpm.computedResult="",_xlpm.computedResult="#N/C"),_xlpm.fallback,_xlpm.computedResult), INDEX(_xlpm.finalResult,1))</f>
        <v>moth</v>
      </c>
      <c r="Z248" s="116" t="str" cm="1">
        <f t="array" ref="Z248">IF(OR(Y248="Insecta",Y248="Arachnida",Y248="#N/C"),"",IFERROR(_xlfn.LET(_xlpm.fc,IFERROR(_xlfn._xlws.FILTER(ClassificationClasses[],ClassificationClasses[Classification Class]=Y248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248,ClassificationClasses[Key])),0),MATCH(Y248,INDEX(ClassificationClasses[],MATCH(TRUE,ISNUMBER(SEARCH(Y248,ClassificationClasses[Key])),0),0),0)-1)))</f>
        <v>Heterocera</v>
      </c>
      <c r="AA248" s="116" t="str" cm="1">
        <f t="array" ref="AA248">IFERROR(IF(OR(Z248="Insecta",Z248="Arachnida",Z248="#N/C"),"",INDEX(ClassificationClasses[[Class]:[Infraorder]],MATCH(TRUE,ISNUMBER(SEARCH(Z248,ClassificationClasses[Key])),0),MATCH(Z248,INDEX(ClassificationClasses[#Data], MATCH(TRUE,ISNUMBER(SEARCH(Z248,ClassificationClasses[Key])),0), 0), 0)-1)),"")</f>
        <v>Glossata</v>
      </c>
      <c r="AB248" s="116" t="str" cm="1">
        <f t="array" ref="AB248">IFERROR(IF(OR(AA248="Insecta",AA248="Arachnida",AA248="#N/C"),"",INDEX(ClassificationClasses[[Class]:[Suborder]],MATCH(TRUE,ISNUMBER(SEARCH(AA248,ClassificationClasses[Key])),0),MATCH(AA248,INDEX(ClassificationClasses[#Data], MATCH(TRUE,ISNUMBER(SEARCH(AA248,ClassificationClasses[Key])),0), 0), 0)-1)),"")</f>
        <v>Lepidoptera</v>
      </c>
      <c r="AC248" s="116" t="str" cm="1">
        <f t="array" ref="AC248">IFERROR(IF(OR(AB248="Insecta",AB248="Arachnida",AB248="#N/C"),"",INDEX(ClassificationClasses[[Class]:[Suborder]],MATCH(TRUE,ISNUMBER(SEARCH(AB248,ClassificationClasses[Key])),0),MATCH(AB248,INDEX(ClassificationClasses[#Data], MATCH(TRUE,ISNUMBER(SEARCH(AB248,ClassificationClasses[Key])),0), 0), 0)-1)),"")</f>
        <v>Insecta</v>
      </c>
      <c r="AD248" s="116" t="str" cm="1">
        <f t="array" ref="AD248">IFERROR(IF(OR(AC248="Insecta",AC248="Arachnida",AC248="#N/C"),"",INDEX(ClassificationClasses[[Class]:[Suborder]],MATCH(TRUE,ISNUMBER(SEARCH(AC248,ClassificationClasses[Key])),0),MATCH(AC248,INDEX(ClassificationClasses[#Data], MATCH(TRUE,ISNUMBER(SEARCH(AC248,ClassificationClasses[Key])),0), 0), 0)-1)),"")</f>
        <v/>
      </c>
      <c r="AE248" s="18" t="str">
        <f t="shared" si="8"/>
        <v>Insecta.Lepidoptera.Glossata.Heterocera.Pyraloidea.Pyralidae.0.Synaphe.punctalis</v>
      </c>
    </row>
    <row r="249" spans="1:31" x14ac:dyDescent="0.3">
      <c r="A249" s="91">
        <v>248</v>
      </c>
      <c r="B249" s="7">
        <v>44403</v>
      </c>
      <c r="C249" s="92" t="s">
        <v>450</v>
      </c>
      <c r="D249" s="93" t="str">
        <f>HYPERLINK(VLOOKUP(C249,Video_List!$F:$J,5),"video")</f>
        <v>video</v>
      </c>
      <c r="E249" s="94" t="str">
        <f>IFERROR(IF(MATCH(C249,Video_List!$F:$F,)&gt;0,"ok",""),"error")</f>
        <v>ok</v>
      </c>
      <c r="F249" s="92" t="s">
        <v>450</v>
      </c>
      <c r="G249" s="93" t="str">
        <f>HYPERLINK(VLOOKUP(F249,Video_List!$F:$J,5),"video")</f>
        <v>video</v>
      </c>
      <c r="H249" s="94" t="str">
        <f>IFERROR(IF(MATCH(F249,Video_List!$F:$F,)&gt;0,"ok",""),"error")</f>
        <v>ok</v>
      </c>
      <c r="I249" s="17">
        <v>44403.321423611109</v>
      </c>
      <c r="J249" s="8">
        <v>44403.321469907409</v>
      </c>
      <c r="K249" s="15">
        <f t="shared" si="7"/>
        <v>4.6296299842651933E-5</v>
      </c>
      <c r="L249" s="95" t="s">
        <v>32</v>
      </c>
      <c r="M249" s="95" t="s">
        <v>33</v>
      </c>
      <c r="N249" s="96" t="str">
        <f>IF(ISBLANK(C249),"",IF(C249=F249, "1 video",CONCATENATE((+COUNTIFS(Video_List!$C:$C,"&lt;=" &amp;Monitoring!J249)-COUNTIFS(Video_List!$C:$C,"&lt;=" &amp;Monitoring!I249))+1," videos")))</f>
        <v>1 video</v>
      </c>
      <c r="O249" s="29" t="s">
        <v>44</v>
      </c>
      <c r="P249" s="42" t="s">
        <v>37</v>
      </c>
      <c r="Q249" s="42" t="s">
        <v>38</v>
      </c>
      <c r="R249" s="42" t="s">
        <v>39</v>
      </c>
      <c r="S249" s="97" t="str">
        <f>+IFERROR(IF(T249="#N/C","#N/C",IF(U249=0,INDEX(Taxonomy_UniqueValues!D:D,MATCH(U249,Taxonomy_UniqueValues!F:F,0)),INDEX(Taxonomy_UniqueValues!D:D,MATCH(T249,Taxonomy_UniqueValues!E:E,0)))),"#N/C")</f>
        <v>#N/C</v>
      </c>
      <c r="T249" s="42" t="s">
        <v>35</v>
      </c>
      <c r="U249" s="42" t="s">
        <v>35</v>
      </c>
      <c r="V249" s="42" t="s">
        <v>35</v>
      </c>
      <c r="W249" s="42" t="s">
        <v>35</v>
      </c>
      <c r="X249" s="28" t="s">
        <v>35</v>
      </c>
      <c r="Y249" s="69" t="str" cm="1">
        <f t="array" ref="Y249">_xlfn.LET(_xlpm.cls,P249, _xlpm.ord,IFERROR(Q249,"#N/C"), _xlpm.subord,IFERROR(R249,"#N/C"), _xlpm.infr,IFERROR(S249,"#N/C"), _xlpm.sf,IFERROR(T249,"#N/C"), _xlpm.fam,IFERROR(U249,"#N/C"), _xlpm.subfam,IF(TRIM(V249)="-","#N/C",IFERROR(V249,"#N/C")),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_xlpm.fallback,IF(IFERROR(Q249,"#N/C")="#N/C",P249,IF(IFERROR(R249,"#N/C")="#N/C",Q249,IF(IFERROR(S249,"#N/C")="#N/C",R249,IF(IFERROR(T249,"#N/C")="#N/C",S249,IF(IFERROR(U249,"#N/C")="#N/C",T249,IF(IFERROR(V249,"#N/C")="#N/C",U249,"#N/C")))))), _xlpm.finalResult,IF(OR(_xlpm.computedResult="",_xlpm.computedResult="#N/C"),_xlpm.fallback,_xlpm.computedResult), INDEX(_xlpm.finalResult,1))</f>
        <v>Brachycera</v>
      </c>
      <c r="Z249" s="116" t="str" cm="1">
        <f t="array" ref="Z249">IF(OR(Y249="Insecta",Y249="Arachnida",Y249="#N/C"),"",IFERROR(_xlfn.LET(_xlpm.fc,IFERROR(_xlfn._xlws.FILTER(ClassificationClasses[],ClassificationClasses[Classification Class]=Y249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249,ClassificationClasses[Key])),0),MATCH(Y249,INDEX(ClassificationClasses[],MATCH(TRUE,ISNUMBER(SEARCH(Y249,ClassificationClasses[Key])),0),0),0)-1)))</f>
        <v>Diptera</v>
      </c>
      <c r="AA249" s="116" t="str" cm="1">
        <f t="array" ref="AA249">IFERROR(IF(OR(Z249="Insecta",Z249="Arachnida",Z249="#N/C"),"",INDEX(ClassificationClasses[[Class]:[Infraorder]],MATCH(TRUE,ISNUMBER(SEARCH(Z249,ClassificationClasses[Key])),0),MATCH(Z249,INDEX(ClassificationClasses[#Data], MATCH(TRUE,ISNUMBER(SEARCH(Z249,ClassificationClasses[Key])),0), 0), 0)-1)),"")</f>
        <v>Insecta</v>
      </c>
      <c r="AB249" s="116" t="str" cm="1">
        <f t="array" ref="AB249">IFERROR(IF(OR(AA249="Insecta",AA249="Arachnida",AA249="#N/C"),"",INDEX(ClassificationClasses[[Class]:[Suborder]],MATCH(TRUE,ISNUMBER(SEARCH(AA249,ClassificationClasses[Key])),0),MATCH(AA249,INDEX(ClassificationClasses[#Data], MATCH(TRUE,ISNUMBER(SEARCH(AA249,ClassificationClasses[Key])),0), 0), 0)-1)),"")</f>
        <v/>
      </c>
      <c r="AC249" s="116" t="str" cm="1">
        <f t="array" ref="AC249">IFERROR(IF(OR(AB249="Insecta",AB249="Arachnida",AB249="#N/C"),"",INDEX(ClassificationClasses[[Class]:[Suborder]],MATCH(TRUE,ISNUMBER(SEARCH(AB249,ClassificationClasses[Key])),0),MATCH(AB249,INDEX(ClassificationClasses[#Data], MATCH(TRUE,ISNUMBER(SEARCH(AB249,ClassificationClasses[Key])),0), 0), 0)-1)),"")</f>
        <v/>
      </c>
      <c r="AD249" s="116" t="str" cm="1">
        <f t="array" ref="AD249">IFERROR(IF(OR(AC249="Insecta",AC249="Arachnida",AC249="#N/C"),"",INDEX(ClassificationClasses[[Class]:[Suborder]],MATCH(TRUE,ISNUMBER(SEARCH(AC249,ClassificationClasses[Key])),0),MATCH(AC249,INDEX(ClassificationClasses[#Data], MATCH(TRUE,ISNUMBER(SEARCH(AC249,ClassificationClasses[Key])),0), 0), 0)-1)),"")</f>
        <v/>
      </c>
      <c r="AE249" s="18" t="str">
        <f t="shared" si="8"/>
        <v>Insecta.Diptera.Brachycera.#N/C.#N/C.#N/C.#N/C.#N/C.#N/C</v>
      </c>
    </row>
    <row r="250" spans="1:31" x14ac:dyDescent="0.3">
      <c r="A250" s="91">
        <v>249</v>
      </c>
      <c r="B250" s="7">
        <v>44403</v>
      </c>
      <c r="C250" s="92" t="s">
        <v>451</v>
      </c>
      <c r="D250" s="93" t="str">
        <f>HYPERLINK(VLOOKUP(C250,Video_List!$F:$J,5),"video")</f>
        <v>video</v>
      </c>
      <c r="E250" s="94" t="str">
        <f>IFERROR(IF(MATCH(C250,Video_List!$F:$F,)&gt;0,"ok",""),"error")</f>
        <v>ok</v>
      </c>
      <c r="F250" s="92" t="s">
        <v>451</v>
      </c>
      <c r="G250" s="93" t="str">
        <f>HYPERLINK(VLOOKUP(F250,Video_List!$F:$J,5),"video")</f>
        <v>video</v>
      </c>
      <c r="H250" s="94" t="str">
        <f>IFERROR(IF(MATCH(F250,Video_List!$F:$F,)&gt;0,"ok",""),"error")</f>
        <v>ok</v>
      </c>
      <c r="I250" s="17">
        <v>44403.341446759259</v>
      </c>
      <c r="J250" s="8">
        <v>44403.341643518521</v>
      </c>
      <c r="K250" s="15">
        <f t="shared" si="7"/>
        <v>1.9675926159834489E-4</v>
      </c>
      <c r="L250" s="4" t="s">
        <v>32</v>
      </c>
      <c r="M250" s="4" t="s">
        <v>33</v>
      </c>
      <c r="N250" s="96" t="str">
        <f>IF(ISBLANK(C250),"",IF(C250=F250, "1 video",CONCATENATE((+COUNTIFS(Video_List!$C:$C,"&lt;=" &amp;Monitoring!J250)-COUNTIFS(Video_List!$C:$C,"&lt;=" &amp;Monitoring!I250))+1," videos")))</f>
        <v>1 video</v>
      </c>
      <c r="O250" s="27" t="s">
        <v>32</v>
      </c>
      <c r="P250" s="42" t="s">
        <v>37</v>
      </c>
      <c r="Q250" s="42" t="s">
        <v>38</v>
      </c>
      <c r="R250" s="42" t="s">
        <v>39</v>
      </c>
      <c r="S250" s="97" t="str">
        <f>+IFERROR(IF(T250="#N/C","#N/C",IF(U250=0,INDEX(Taxonomy_UniqueValues!D:D,MATCH(U250,Taxonomy_UniqueValues!F:F,0)),INDEX(Taxonomy_UniqueValues!D:D,MATCH(T250,Taxonomy_UniqueValues!E:E,0)))),"#N/C")</f>
        <v>Muscomorpha</v>
      </c>
      <c r="T250" s="42" t="s">
        <v>452</v>
      </c>
      <c r="U250" s="42" t="s">
        <v>453</v>
      </c>
      <c r="V250" s="42" t="s">
        <v>35</v>
      </c>
      <c r="W250" s="42" t="s">
        <v>35</v>
      </c>
      <c r="X250" s="28" t="s">
        <v>35</v>
      </c>
      <c r="Y250" s="69" t="str" cm="1">
        <f t="array" ref="Y250">_xlfn.LET(_xlpm.cls,P250, _xlpm.ord,IFERROR(Q250,"#N/C"), _xlpm.subord,IFERROR(R250,"#N/C"), _xlpm.infr,IFERROR(S250,"#N/C"), _xlpm.sf,IFERROR(T250,"#N/C"), _xlpm.fam,IFERROR(U250,"#N/C"), _xlpm.subfam,IF(TRIM(V250)="-","#N/C",IFERROR(V250,"#N/C")),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_xlpm.fallback,IF(IFERROR(Q250,"#N/C")="#N/C",P250,IF(IFERROR(R250,"#N/C")="#N/C",Q250,IF(IFERROR(S250,"#N/C")="#N/C",R250,IF(IFERROR(T250,"#N/C")="#N/C",S250,IF(IFERROR(U250,"#N/C")="#N/C",T250,IF(IFERROR(V250,"#N/C")="#N/C",U250,"#N/C")))))), _xlpm.finalResult,IF(OR(_xlpm.computedResult="",_xlpm.computedResult="#N/C"),_xlpm.fallback,_xlpm.computedResult), INDEX(_xlpm.finalResult,1))</f>
        <v>fruit_fly</v>
      </c>
      <c r="Z250" s="116" t="str" cm="1">
        <f t="array" ref="Z250">IF(OR(Y250="Insecta",Y250="Arachnida",Y250="#N/C"),"",IFERROR(_xlfn.LET(_xlpm.fc,IFERROR(_xlfn._xlws.FILTER(ClassificationClasses[],ClassificationClasses[Classification Class]=Y250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250,ClassificationClasses[Key])),0),MATCH(Y250,INDEX(ClassificationClasses[],MATCH(TRUE,ISNUMBER(SEARCH(Y250,ClassificationClasses[Key])),0),0),0)-1)))</f>
        <v>Muscomorpha</v>
      </c>
      <c r="AA250" s="116" t="str" cm="1">
        <f t="array" ref="AA250">IFERROR(IF(OR(Z250="Insecta",Z250="Arachnida",Z250="#N/C"),"",INDEX(ClassificationClasses[[Class]:[Infraorder]],MATCH(TRUE,ISNUMBER(SEARCH(Z250,ClassificationClasses[Key])),0),MATCH(Z250,INDEX(ClassificationClasses[#Data], MATCH(TRUE,ISNUMBER(SEARCH(Z250,ClassificationClasses[Key])),0), 0), 0)-1)),"")</f>
        <v>Brachycera</v>
      </c>
      <c r="AB250" s="116" t="str" cm="1">
        <f t="array" ref="AB250">IFERROR(IF(OR(AA250="Insecta",AA250="Arachnida",AA250="#N/C"),"",INDEX(ClassificationClasses[[Class]:[Suborder]],MATCH(TRUE,ISNUMBER(SEARCH(AA250,ClassificationClasses[Key])),0),MATCH(AA250,INDEX(ClassificationClasses[#Data], MATCH(TRUE,ISNUMBER(SEARCH(AA250,ClassificationClasses[Key])),0), 0), 0)-1)),"")</f>
        <v>Diptera</v>
      </c>
      <c r="AC250" s="116" t="str" cm="1">
        <f t="array" ref="AC250">IFERROR(IF(OR(AB250="Insecta",AB250="Arachnida",AB250="#N/C"),"",INDEX(ClassificationClasses[[Class]:[Suborder]],MATCH(TRUE,ISNUMBER(SEARCH(AB250,ClassificationClasses[Key])),0),MATCH(AB250,INDEX(ClassificationClasses[#Data], MATCH(TRUE,ISNUMBER(SEARCH(AB250,ClassificationClasses[Key])),0), 0), 0)-1)),"")</f>
        <v>Insecta</v>
      </c>
      <c r="AD250" s="116" t="str" cm="1">
        <f t="array" ref="AD250">IFERROR(IF(OR(AC250="Insecta",AC250="Arachnida",AC250="#N/C"),"",INDEX(ClassificationClasses[[Class]:[Suborder]],MATCH(TRUE,ISNUMBER(SEARCH(AC250,ClassificationClasses[Key])),0),MATCH(AC250,INDEX(ClassificationClasses[#Data], MATCH(TRUE,ISNUMBER(SEARCH(AC250,ClassificationClasses[Key])),0), 0), 0)-1)),"")</f>
        <v/>
      </c>
      <c r="AE250" s="18" t="str">
        <f t="shared" si="8"/>
        <v>Insecta.Diptera.Brachycera.Muscomorpha.Tephritoidea.Pallopteridae.#N/C.#N/C.#N/C</v>
      </c>
    </row>
    <row r="251" spans="1:31" x14ac:dyDescent="0.3">
      <c r="A251" s="91">
        <v>250</v>
      </c>
      <c r="B251" s="7">
        <v>44403</v>
      </c>
      <c r="C251" s="92" t="s">
        <v>454</v>
      </c>
      <c r="D251" s="93" t="str">
        <f>HYPERLINK(VLOOKUP(C251,Video_List!$F:$J,5),"video")</f>
        <v>video</v>
      </c>
      <c r="E251" s="94" t="str">
        <f>IFERROR(IF(MATCH(C251,Video_List!$F:$F,)&gt;0,"ok",""),"error")</f>
        <v>ok</v>
      </c>
      <c r="F251" s="92" t="s">
        <v>454</v>
      </c>
      <c r="G251" s="93" t="str">
        <f>HYPERLINK(VLOOKUP(F251,Video_List!$F:$J,5),"video")</f>
        <v>video</v>
      </c>
      <c r="H251" s="94" t="str">
        <f>IFERROR(IF(MATCH(F251,Video_List!$F:$F,)&gt;0,"ok",""),"error")</f>
        <v>ok</v>
      </c>
      <c r="I251" s="17">
        <v>44403.395902777775</v>
      </c>
      <c r="J251" s="8">
        <v>44403.395960648151</v>
      </c>
      <c r="K251" s="15">
        <f t="shared" si="7"/>
        <v>5.787037662230432E-5</v>
      </c>
      <c r="L251" s="95" t="s">
        <v>32</v>
      </c>
      <c r="M251" s="95" t="s">
        <v>33</v>
      </c>
      <c r="N251" s="96" t="str">
        <f>IF(ISBLANK(C251),"",IF(C251=F251, "1 video",CONCATENATE((+COUNTIFS(Video_List!$C:$C,"&lt;=" &amp;Monitoring!J251)-COUNTIFS(Video_List!$C:$C,"&lt;=" &amp;Monitoring!I251))+1," videos")))</f>
        <v>1 video</v>
      </c>
      <c r="O251" s="29" t="s">
        <v>44</v>
      </c>
      <c r="P251" s="42" t="s">
        <v>37</v>
      </c>
      <c r="Q251" s="42" t="s">
        <v>38</v>
      </c>
      <c r="R251" s="42" t="s">
        <v>39</v>
      </c>
      <c r="S251" s="97" t="str">
        <f>+IFERROR(IF(T251="#N/C","#N/C",IF(U251=0,INDEX(Taxonomy_UniqueValues!D:D,MATCH(U251,Taxonomy_UniqueValues!F:F,0)),INDEX(Taxonomy_UniqueValues!D:D,MATCH(T251,Taxonomy_UniqueValues!E:E,0)))),"#N/C")</f>
        <v>#N/C</v>
      </c>
      <c r="T251" s="42" t="s">
        <v>35</v>
      </c>
      <c r="U251" s="42" t="s">
        <v>35</v>
      </c>
      <c r="V251" s="42" t="s">
        <v>35</v>
      </c>
      <c r="W251" s="42" t="s">
        <v>35</v>
      </c>
      <c r="X251" s="28" t="s">
        <v>35</v>
      </c>
      <c r="Y251" s="69" t="str" cm="1">
        <f t="array" ref="Y251">_xlfn.LET(_xlpm.cls,P251, _xlpm.ord,IFERROR(Q251,"#N/C"), _xlpm.subord,IFERROR(R251,"#N/C"), _xlpm.infr,IFERROR(S251,"#N/C"), _xlpm.sf,IFERROR(T251,"#N/C"), _xlpm.fam,IFERROR(U251,"#N/C"), _xlpm.subfam,IF(TRIM(V251)="-","#N/C",IFERROR(V251,"#N/C")),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_xlpm.fallback,IF(IFERROR(Q251,"#N/C")="#N/C",P251,IF(IFERROR(R251,"#N/C")="#N/C",Q251,IF(IFERROR(S251,"#N/C")="#N/C",R251,IF(IFERROR(T251,"#N/C")="#N/C",S251,IF(IFERROR(U251,"#N/C")="#N/C",T251,IF(IFERROR(V251,"#N/C")="#N/C",U251,"#N/C")))))), _xlpm.finalResult,IF(OR(_xlpm.computedResult="",_xlpm.computedResult="#N/C"),_xlpm.fallback,_xlpm.computedResult), INDEX(_xlpm.finalResult,1))</f>
        <v>Brachycera</v>
      </c>
      <c r="Z251" s="116" t="str" cm="1">
        <f t="array" ref="Z251">IF(OR(Y251="Insecta",Y251="Arachnida",Y251="#N/C"),"",IFERROR(_xlfn.LET(_xlpm.fc,IFERROR(_xlfn._xlws.FILTER(ClassificationClasses[],ClassificationClasses[Classification Class]=Y251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251,ClassificationClasses[Key])),0),MATCH(Y251,INDEX(ClassificationClasses[],MATCH(TRUE,ISNUMBER(SEARCH(Y251,ClassificationClasses[Key])),0),0),0)-1)))</f>
        <v>Diptera</v>
      </c>
      <c r="AA251" s="116" t="str" cm="1">
        <f t="array" ref="AA251">IFERROR(IF(OR(Z251="Insecta",Z251="Arachnida",Z251="#N/C"),"",INDEX(ClassificationClasses[[Class]:[Infraorder]],MATCH(TRUE,ISNUMBER(SEARCH(Z251,ClassificationClasses[Key])),0),MATCH(Z251,INDEX(ClassificationClasses[#Data], MATCH(TRUE,ISNUMBER(SEARCH(Z251,ClassificationClasses[Key])),0), 0), 0)-1)),"")</f>
        <v>Insecta</v>
      </c>
      <c r="AB251" s="116" t="str" cm="1">
        <f t="array" ref="AB251">IFERROR(IF(OR(AA251="Insecta",AA251="Arachnida",AA251="#N/C"),"",INDEX(ClassificationClasses[[Class]:[Suborder]],MATCH(TRUE,ISNUMBER(SEARCH(AA251,ClassificationClasses[Key])),0),MATCH(AA251,INDEX(ClassificationClasses[#Data], MATCH(TRUE,ISNUMBER(SEARCH(AA251,ClassificationClasses[Key])),0), 0), 0)-1)),"")</f>
        <v/>
      </c>
      <c r="AC251" s="116" t="str" cm="1">
        <f t="array" ref="AC251">IFERROR(IF(OR(AB251="Insecta",AB251="Arachnida",AB251="#N/C"),"",INDEX(ClassificationClasses[[Class]:[Suborder]],MATCH(TRUE,ISNUMBER(SEARCH(AB251,ClassificationClasses[Key])),0),MATCH(AB251,INDEX(ClassificationClasses[#Data], MATCH(TRUE,ISNUMBER(SEARCH(AB251,ClassificationClasses[Key])),0), 0), 0)-1)),"")</f>
        <v/>
      </c>
      <c r="AD251" s="116" t="str" cm="1">
        <f t="array" ref="AD251">IFERROR(IF(OR(AC251="Insecta",AC251="Arachnida",AC251="#N/C"),"",INDEX(ClassificationClasses[[Class]:[Suborder]],MATCH(TRUE,ISNUMBER(SEARCH(AC251,ClassificationClasses[Key])),0),MATCH(AC251,INDEX(ClassificationClasses[#Data], MATCH(TRUE,ISNUMBER(SEARCH(AC251,ClassificationClasses[Key])),0), 0), 0)-1)),"")</f>
        <v/>
      </c>
      <c r="AE251" s="18" t="str">
        <f t="shared" si="8"/>
        <v>Insecta.Diptera.Brachycera.#N/C.#N/C.#N/C.#N/C.#N/C.#N/C</v>
      </c>
    </row>
    <row r="252" spans="1:31" x14ac:dyDescent="0.3">
      <c r="A252" s="91">
        <v>251</v>
      </c>
      <c r="B252" s="7">
        <v>44403</v>
      </c>
      <c r="C252" s="92" t="s">
        <v>455</v>
      </c>
      <c r="D252" s="93" t="str">
        <f>HYPERLINK(VLOOKUP(C252,Video_List!$F:$J,5),"video")</f>
        <v>video</v>
      </c>
      <c r="E252" s="94" t="str">
        <f>IFERROR(IF(MATCH(C252,Video_List!$F:$F,)&gt;0,"ok",""),"error")</f>
        <v>ok</v>
      </c>
      <c r="F252" s="92" t="s">
        <v>455</v>
      </c>
      <c r="G252" s="93" t="str">
        <f>HYPERLINK(VLOOKUP(F252,Video_List!$F:$J,5),"video")</f>
        <v>video</v>
      </c>
      <c r="H252" s="94" t="str">
        <f>IFERROR(IF(MATCH(F252,Video_List!$F:$F,)&gt;0,"ok",""),"error")</f>
        <v>ok</v>
      </c>
      <c r="I252" s="17">
        <v>44403.435358796298</v>
      </c>
      <c r="J252" s="8">
        <v>44403.435416666667</v>
      </c>
      <c r="K252" s="15">
        <f t="shared" si="7"/>
        <v>5.7870369346346706E-5</v>
      </c>
      <c r="L252" s="95" t="s">
        <v>32</v>
      </c>
      <c r="M252" s="95" t="s">
        <v>33</v>
      </c>
      <c r="N252" s="96" t="str">
        <f>IF(ISBLANK(C252),"",IF(C252=F252, "1 video",CONCATENATE((+COUNTIFS(Video_List!$C:$C,"&lt;=" &amp;Monitoring!J252)-COUNTIFS(Video_List!$C:$C,"&lt;=" &amp;Monitoring!I252))+1," videos")))</f>
        <v>1 video</v>
      </c>
      <c r="O252" s="29" t="s">
        <v>44</v>
      </c>
      <c r="P252" s="42" t="s">
        <v>37</v>
      </c>
      <c r="Q252" s="42" t="s">
        <v>38</v>
      </c>
      <c r="R252" s="42" t="s">
        <v>39</v>
      </c>
      <c r="S252" s="97" t="str">
        <f>+IFERROR(IF(T252="#N/C","#N/C",IF(U252=0,INDEX(Taxonomy_UniqueValues!D:D,MATCH(U252,Taxonomy_UniqueValues!F:F,0)),INDEX(Taxonomy_UniqueValues!D:D,MATCH(T252,Taxonomy_UniqueValues!E:E,0)))),"#N/C")</f>
        <v>Asilomorpha</v>
      </c>
      <c r="T252" s="42" t="s">
        <v>149</v>
      </c>
      <c r="U252" s="42" t="s">
        <v>150</v>
      </c>
      <c r="V252" s="42" t="s">
        <v>151</v>
      </c>
      <c r="W252" s="42" t="s">
        <v>35</v>
      </c>
      <c r="X252" s="28" t="s">
        <v>35</v>
      </c>
      <c r="Y252" s="69" t="str" cm="1">
        <f t="array" ref="Y252">_xlfn.LET(_xlpm.cls,P252, _xlpm.ord,IFERROR(Q252,"#N/C"), _xlpm.subord,IFERROR(R252,"#N/C"), _xlpm.infr,IFERROR(S252,"#N/C"), _xlpm.sf,IFERROR(T252,"#N/C"), _xlpm.fam,IFERROR(U252,"#N/C"), _xlpm.subfam,IF(TRIM(V252)="-","#N/C",IFERROR(V252,"#N/C")),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_xlpm.fallback,IF(IFERROR(Q252,"#N/C")="#N/C",P252,IF(IFERROR(R252,"#N/C")="#N/C",Q252,IF(IFERROR(S252,"#N/C")="#N/C",R252,IF(IFERROR(T252,"#N/C")="#N/C",S252,IF(IFERROR(U252,"#N/C")="#N/C",T252,IF(IFERROR(V252,"#N/C")="#N/C",U252,"#N/C")))))), _xlpm.finalResult,IF(OR(_xlpm.computedResult="",_xlpm.computedResult="#N/C"),_xlpm.fallback,_xlpm.computedResult), INDEX(_xlpm.finalResult,1))</f>
        <v>robber_fly</v>
      </c>
      <c r="Z252" s="116" t="str" cm="1">
        <f t="array" ref="Z252">IF(OR(Y252="Insecta",Y252="Arachnida",Y252="#N/C"),"",IFERROR(_xlfn.LET(_xlpm.fc,IFERROR(_xlfn._xlws.FILTER(ClassificationClasses[],ClassificationClasses[Classification Class]=Y252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252,ClassificationClasses[Key])),0),MATCH(Y252,INDEX(ClassificationClasses[],MATCH(TRUE,ISNUMBER(SEARCH(Y252,ClassificationClasses[Key])),0),0),0)-1)))</f>
        <v>Asilomorpha</v>
      </c>
      <c r="AA252" s="116" t="str" cm="1">
        <f t="array" ref="AA252">IFERROR(IF(OR(Z252="Insecta",Z252="Arachnida",Z252="#N/C"),"",INDEX(ClassificationClasses[[Class]:[Infraorder]],MATCH(TRUE,ISNUMBER(SEARCH(Z252,ClassificationClasses[Key])),0),MATCH(Z252,INDEX(ClassificationClasses[#Data], MATCH(TRUE,ISNUMBER(SEARCH(Z252,ClassificationClasses[Key])),0), 0), 0)-1)),"")</f>
        <v>Brachycera</v>
      </c>
      <c r="AB252" s="116" t="str" cm="1">
        <f t="array" ref="AB252">IFERROR(IF(OR(AA252="Insecta",AA252="Arachnida",AA252="#N/C"),"",INDEX(ClassificationClasses[[Class]:[Suborder]],MATCH(TRUE,ISNUMBER(SEARCH(AA252,ClassificationClasses[Key])),0),MATCH(AA252,INDEX(ClassificationClasses[#Data], MATCH(TRUE,ISNUMBER(SEARCH(AA252,ClassificationClasses[Key])),0), 0), 0)-1)),"")</f>
        <v>Diptera</v>
      </c>
      <c r="AC252" s="116" t="str" cm="1">
        <f t="array" ref="AC252">IFERROR(IF(OR(AB252="Insecta",AB252="Arachnida",AB252="#N/C"),"",INDEX(ClassificationClasses[[Class]:[Suborder]],MATCH(TRUE,ISNUMBER(SEARCH(AB252,ClassificationClasses[Key])),0),MATCH(AB252,INDEX(ClassificationClasses[#Data], MATCH(TRUE,ISNUMBER(SEARCH(AB252,ClassificationClasses[Key])),0), 0), 0)-1)),"")</f>
        <v>Insecta</v>
      </c>
      <c r="AD252" s="116" t="str" cm="1">
        <f t="array" ref="AD252">IFERROR(IF(OR(AC252="Insecta",AC252="Arachnida",AC252="#N/C"),"",INDEX(ClassificationClasses[[Class]:[Suborder]],MATCH(TRUE,ISNUMBER(SEARCH(AC252,ClassificationClasses[Key])),0),MATCH(AC252,INDEX(ClassificationClasses[#Data], MATCH(TRUE,ISNUMBER(SEARCH(AC252,ClassificationClasses[Key])),0), 0), 0)-1)),"")</f>
        <v/>
      </c>
      <c r="AE252" s="18" t="str">
        <f t="shared" si="8"/>
        <v>Insecta.Diptera.Brachycera.Asilomorpha.Asiloidea.Asilidae.Asilinae.#N/C.#N/C</v>
      </c>
    </row>
    <row r="253" spans="1:31" x14ac:dyDescent="0.3">
      <c r="A253" s="91">
        <v>252</v>
      </c>
      <c r="B253" s="7">
        <v>44403</v>
      </c>
      <c r="C253" s="92" t="s">
        <v>456</v>
      </c>
      <c r="D253" s="93" t="str">
        <f>HYPERLINK(VLOOKUP(C253,Video_List!$F:$J,5),"video")</f>
        <v>video</v>
      </c>
      <c r="E253" s="94" t="str">
        <f>IFERROR(IF(MATCH(C253,Video_List!$F:$F,)&gt;0,"ok",""),"error")</f>
        <v>ok</v>
      </c>
      <c r="F253" s="92" t="s">
        <v>456</v>
      </c>
      <c r="G253" s="93" t="str">
        <f>HYPERLINK(VLOOKUP(F253,Video_List!$F:$J,5),"video")</f>
        <v>video</v>
      </c>
      <c r="H253" s="94" t="str">
        <f>IFERROR(IF(MATCH(F253,Video_List!$F:$F,)&gt;0,"ok",""),"error")</f>
        <v>ok</v>
      </c>
      <c r="I253" s="17">
        <v>44403.457766203705</v>
      </c>
      <c r="J253" s="8">
        <v>44403.457812499997</v>
      </c>
      <c r="K253" s="15">
        <f t="shared" si="7"/>
        <v>4.6296292566694319E-5</v>
      </c>
      <c r="L253" s="4" t="s">
        <v>32</v>
      </c>
      <c r="M253" s="4" t="s">
        <v>33</v>
      </c>
      <c r="N253" s="96" t="str">
        <f>IF(ISBLANK(C253),"",IF(C253=F253, "1 video",CONCATENATE((+COUNTIFS(Video_List!$C:$C,"&lt;=" &amp;Monitoring!J253)-COUNTIFS(Video_List!$C:$C,"&lt;=" &amp;Monitoring!I253))+1," videos")))</f>
        <v>1 video</v>
      </c>
      <c r="O253" s="27" t="s">
        <v>32</v>
      </c>
      <c r="P253" s="42" t="s">
        <v>37</v>
      </c>
      <c r="Q253" s="42" t="s">
        <v>38</v>
      </c>
      <c r="R253" s="42" t="s">
        <v>39</v>
      </c>
      <c r="S253" s="97" t="str">
        <f>+IFERROR(IF(T253="#N/C","#N/C",IF(U253=0,INDEX(Taxonomy_UniqueValues!D:D,MATCH(U253,Taxonomy_UniqueValues!F:F,0)),INDEX(Taxonomy_UniqueValues!D:D,MATCH(T253,Taxonomy_UniqueValues!E:E,0)))),"#N/C")</f>
        <v>#N/C</v>
      </c>
      <c r="T253" s="42" t="s">
        <v>35</v>
      </c>
      <c r="U253" s="42" t="s">
        <v>35</v>
      </c>
      <c r="V253" s="42" t="s">
        <v>35</v>
      </c>
      <c r="W253" s="42" t="s">
        <v>35</v>
      </c>
      <c r="X253" s="28" t="s">
        <v>35</v>
      </c>
      <c r="Y253" s="69" t="str" cm="1">
        <f t="array" ref="Y253">_xlfn.LET(_xlpm.cls,P253, _xlpm.ord,IFERROR(Q253,"#N/C"), _xlpm.subord,IFERROR(R253,"#N/C"), _xlpm.infr,IFERROR(S253,"#N/C"), _xlpm.sf,IFERROR(T253,"#N/C"), _xlpm.fam,IFERROR(U253,"#N/C"), _xlpm.subfam,IF(TRIM(V253)="-","#N/C",IFERROR(V253,"#N/C")),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_xlpm.fallback,IF(IFERROR(Q253,"#N/C")="#N/C",P253,IF(IFERROR(R253,"#N/C")="#N/C",Q253,IF(IFERROR(S253,"#N/C")="#N/C",R253,IF(IFERROR(T253,"#N/C")="#N/C",S253,IF(IFERROR(U253,"#N/C")="#N/C",T253,IF(IFERROR(V253,"#N/C")="#N/C",U253,"#N/C")))))), _xlpm.finalResult,IF(OR(_xlpm.computedResult="",_xlpm.computedResult="#N/C"),_xlpm.fallback,_xlpm.computedResult), INDEX(_xlpm.finalResult,1))</f>
        <v>Brachycera</v>
      </c>
      <c r="Z253" s="116" t="str" cm="1">
        <f t="array" ref="Z253">IF(OR(Y253="Insecta",Y253="Arachnida",Y253="#N/C"),"",IFERROR(_xlfn.LET(_xlpm.fc,IFERROR(_xlfn._xlws.FILTER(ClassificationClasses[],ClassificationClasses[Classification Class]=Y253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253,ClassificationClasses[Key])),0),MATCH(Y253,INDEX(ClassificationClasses[],MATCH(TRUE,ISNUMBER(SEARCH(Y253,ClassificationClasses[Key])),0),0),0)-1)))</f>
        <v>Diptera</v>
      </c>
      <c r="AA253" s="116" t="str" cm="1">
        <f t="array" ref="AA253">IFERROR(IF(OR(Z253="Insecta",Z253="Arachnida",Z253="#N/C"),"",INDEX(ClassificationClasses[[Class]:[Infraorder]],MATCH(TRUE,ISNUMBER(SEARCH(Z253,ClassificationClasses[Key])),0),MATCH(Z253,INDEX(ClassificationClasses[#Data], MATCH(TRUE,ISNUMBER(SEARCH(Z253,ClassificationClasses[Key])),0), 0), 0)-1)),"")</f>
        <v>Insecta</v>
      </c>
      <c r="AB253" s="116" t="str" cm="1">
        <f t="array" ref="AB253">IFERROR(IF(OR(AA253="Insecta",AA253="Arachnida",AA253="#N/C"),"",INDEX(ClassificationClasses[[Class]:[Suborder]],MATCH(TRUE,ISNUMBER(SEARCH(AA253,ClassificationClasses[Key])),0),MATCH(AA253,INDEX(ClassificationClasses[#Data], MATCH(TRUE,ISNUMBER(SEARCH(AA253,ClassificationClasses[Key])),0), 0), 0)-1)),"")</f>
        <v/>
      </c>
      <c r="AC253" s="116" t="str" cm="1">
        <f t="array" ref="AC253">IFERROR(IF(OR(AB253="Insecta",AB253="Arachnida",AB253="#N/C"),"",INDEX(ClassificationClasses[[Class]:[Suborder]],MATCH(TRUE,ISNUMBER(SEARCH(AB253,ClassificationClasses[Key])),0),MATCH(AB253,INDEX(ClassificationClasses[#Data], MATCH(TRUE,ISNUMBER(SEARCH(AB253,ClassificationClasses[Key])),0), 0), 0)-1)),"")</f>
        <v/>
      </c>
      <c r="AD253" s="116" t="str" cm="1">
        <f t="array" ref="AD253">IFERROR(IF(OR(AC253="Insecta",AC253="Arachnida",AC253="#N/C"),"",INDEX(ClassificationClasses[[Class]:[Suborder]],MATCH(TRUE,ISNUMBER(SEARCH(AC253,ClassificationClasses[Key])),0),MATCH(AC253,INDEX(ClassificationClasses[#Data], MATCH(TRUE,ISNUMBER(SEARCH(AC253,ClassificationClasses[Key])),0), 0), 0)-1)),"")</f>
        <v/>
      </c>
      <c r="AE253" s="18" t="str">
        <f t="shared" si="8"/>
        <v>Insecta.Diptera.Brachycera.#N/C.#N/C.#N/C.#N/C.#N/C.#N/C</v>
      </c>
    </row>
    <row r="254" spans="1:31" x14ac:dyDescent="0.3">
      <c r="A254" s="91">
        <v>253</v>
      </c>
      <c r="B254" s="7">
        <v>44403</v>
      </c>
      <c r="C254" s="92" t="s">
        <v>457</v>
      </c>
      <c r="D254" s="93" t="str">
        <f>HYPERLINK(VLOOKUP(C254,Video_List!$F:$J,5),"video")</f>
        <v>video</v>
      </c>
      <c r="E254" s="94" t="str">
        <f>IFERROR(IF(MATCH(C254,Video_List!$F:$F,)&gt;0,"ok",""),"error")</f>
        <v>ok</v>
      </c>
      <c r="F254" s="92" t="s">
        <v>457</v>
      </c>
      <c r="G254" s="93" t="str">
        <f>HYPERLINK(VLOOKUP(F254,Video_List!$F:$J,5),"video")</f>
        <v>video</v>
      </c>
      <c r="H254" s="94" t="str">
        <f>IFERROR(IF(MATCH(F254,Video_List!$F:$F,)&gt;0,"ok",""),"error")</f>
        <v>ok</v>
      </c>
      <c r="I254" s="17">
        <v>44403.462430555555</v>
      </c>
      <c r="J254" s="8">
        <v>44403.462488425925</v>
      </c>
      <c r="K254" s="15">
        <f t="shared" si="7"/>
        <v>5.7870369346346706E-5</v>
      </c>
      <c r="L254" s="4" t="s">
        <v>32</v>
      </c>
      <c r="M254" s="4" t="s">
        <v>33</v>
      </c>
      <c r="N254" s="96" t="str">
        <f>IF(ISBLANK(C254),"",IF(C254=F254, "1 video",CONCATENATE((+COUNTIFS(Video_List!$C:$C,"&lt;=" &amp;Monitoring!J254)-COUNTIFS(Video_List!$C:$C,"&lt;=" &amp;Monitoring!I254))+1," videos")))</f>
        <v>1 video</v>
      </c>
      <c r="O254" s="27" t="s">
        <v>32</v>
      </c>
      <c r="P254" s="42" t="s">
        <v>37</v>
      </c>
      <c r="Q254" s="42" t="s">
        <v>38</v>
      </c>
      <c r="R254" s="42" t="s">
        <v>39</v>
      </c>
      <c r="S254" s="97" t="str">
        <f>+IFERROR(IF(T254="#N/C","#N/C",IF(U254=0,INDEX(Taxonomy_UniqueValues!D:D,MATCH(U254,Taxonomy_UniqueValues!F:F,0)),INDEX(Taxonomy_UniqueValues!D:D,MATCH(T254,Taxonomy_UniqueValues!E:E,0)))),"#N/C")</f>
        <v>Muscomorpha</v>
      </c>
      <c r="T254" s="42" t="s">
        <v>46</v>
      </c>
      <c r="U254" s="42" t="s">
        <v>47</v>
      </c>
      <c r="V254" s="42" t="s">
        <v>48</v>
      </c>
      <c r="W254" s="42" t="s">
        <v>49</v>
      </c>
      <c r="X254" s="28" t="s">
        <v>35</v>
      </c>
      <c r="Y254" s="69" t="str" cm="1">
        <f t="array" ref="Y254">_xlfn.LET(_xlpm.cls,P254, _xlpm.ord,IFERROR(Q254,"#N/C"), _xlpm.subord,IFERROR(R254,"#N/C"), _xlpm.infr,IFERROR(S254,"#N/C"), _xlpm.sf,IFERROR(T254,"#N/C"), _xlpm.fam,IFERROR(U254,"#N/C"), _xlpm.subfam,IF(TRIM(V254)="-","#N/C",IFERROR(V254,"#N/C")),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_xlpm.fallback,IF(IFERROR(Q254,"#N/C")="#N/C",P254,IF(IFERROR(R254,"#N/C")="#N/C",Q254,IF(IFERROR(S254,"#N/C")="#N/C",R254,IF(IFERROR(T254,"#N/C")="#N/C",S254,IF(IFERROR(U254,"#N/C")="#N/C",T254,IF(IFERROR(V254,"#N/C")="#N/C",U254,"#N/C")))))), _xlpm.finalResult,IF(OR(_xlpm.computedResult="",_xlpm.computedResult="#N/C"),_xlpm.fallback,_xlpm.computedResult), INDEX(_xlpm.finalResult,1))</f>
        <v>hoverfly</v>
      </c>
      <c r="Z254" s="116" t="str" cm="1">
        <f t="array" ref="Z254">IF(OR(Y254="Insecta",Y254="Arachnida",Y254="#N/C"),"",IFERROR(_xlfn.LET(_xlpm.fc,IFERROR(_xlfn._xlws.FILTER(ClassificationClasses[],ClassificationClasses[Classification Class]=Y254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254,ClassificationClasses[Key])),0),MATCH(Y254,INDEX(ClassificationClasses[],MATCH(TRUE,ISNUMBER(SEARCH(Y254,ClassificationClasses[Key])),0),0),0)-1)))</f>
        <v>Muscomorpha</v>
      </c>
      <c r="AA254" s="116" t="str" cm="1">
        <f t="array" ref="AA254">IFERROR(IF(OR(Z254="Insecta",Z254="Arachnida",Z254="#N/C"),"",INDEX(ClassificationClasses[[Class]:[Infraorder]],MATCH(TRUE,ISNUMBER(SEARCH(Z254,ClassificationClasses[Key])),0),MATCH(Z254,INDEX(ClassificationClasses[#Data], MATCH(TRUE,ISNUMBER(SEARCH(Z254,ClassificationClasses[Key])),0), 0), 0)-1)),"")</f>
        <v>Brachycera</v>
      </c>
      <c r="AB254" s="116" t="str" cm="1">
        <f t="array" ref="AB254">IFERROR(IF(OR(AA254="Insecta",AA254="Arachnida",AA254="#N/C"),"",INDEX(ClassificationClasses[[Class]:[Suborder]],MATCH(TRUE,ISNUMBER(SEARCH(AA254,ClassificationClasses[Key])),0),MATCH(AA254,INDEX(ClassificationClasses[#Data], MATCH(TRUE,ISNUMBER(SEARCH(AA254,ClassificationClasses[Key])),0), 0), 0)-1)),"")</f>
        <v>Diptera</v>
      </c>
      <c r="AC254" s="116" t="str" cm="1">
        <f t="array" ref="AC254">IFERROR(IF(OR(AB254="Insecta",AB254="Arachnida",AB254="#N/C"),"",INDEX(ClassificationClasses[[Class]:[Suborder]],MATCH(TRUE,ISNUMBER(SEARCH(AB254,ClassificationClasses[Key])),0),MATCH(AB254,INDEX(ClassificationClasses[#Data], MATCH(TRUE,ISNUMBER(SEARCH(AB254,ClassificationClasses[Key])),0), 0), 0)-1)),"")</f>
        <v>Insecta</v>
      </c>
      <c r="AD254" s="116" t="str" cm="1">
        <f t="array" ref="AD254">IFERROR(IF(OR(AC254="Insecta",AC254="Arachnida",AC254="#N/C"),"",INDEX(ClassificationClasses[[Class]:[Suborder]],MATCH(TRUE,ISNUMBER(SEARCH(AC254,ClassificationClasses[Key])),0),MATCH(AC254,INDEX(ClassificationClasses[#Data], MATCH(TRUE,ISNUMBER(SEARCH(AC254,ClassificationClasses[Key])),0), 0), 0)-1)),"")</f>
        <v/>
      </c>
      <c r="AE254" s="18" t="str">
        <f t="shared" si="8"/>
        <v>Insecta.Diptera.Brachycera.Muscomorpha.Syrphoidea.Syrphidae.Syrphinae.Sphaerophoria.#N/C</v>
      </c>
    </row>
    <row r="255" spans="1:31" x14ac:dyDescent="0.3">
      <c r="A255" s="91">
        <v>254</v>
      </c>
      <c r="B255" s="7">
        <v>44403</v>
      </c>
      <c r="C255" s="92" t="s">
        <v>458</v>
      </c>
      <c r="D255" s="93" t="str">
        <f>HYPERLINK(VLOOKUP(C255,Video_List!$F:$J,5),"video")</f>
        <v>video</v>
      </c>
      <c r="E255" s="94" t="str">
        <f>IFERROR(IF(MATCH(C255,Video_List!$F:$F,)&gt;0,"ok",""),"error")</f>
        <v>ok</v>
      </c>
      <c r="F255" s="92" t="s">
        <v>458</v>
      </c>
      <c r="G255" s="93" t="str">
        <f>HYPERLINK(VLOOKUP(F255,Video_List!$F:$J,5),"video")</f>
        <v>video</v>
      </c>
      <c r="H255" s="94" t="str">
        <f>IFERROR(IF(MATCH(F255,Video_List!$F:$F,)&gt;0,"ok",""),"error")</f>
        <v>ok</v>
      </c>
      <c r="I255" s="17">
        <v>44403.469155092593</v>
      </c>
      <c r="J255" s="8">
        <v>44403.469502314816</v>
      </c>
      <c r="K255" s="15">
        <f t="shared" si="7"/>
        <v>3.4722222335403785E-4</v>
      </c>
      <c r="L255" s="95" t="s">
        <v>32</v>
      </c>
      <c r="M255" s="95" t="s">
        <v>33</v>
      </c>
      <c r="N255" s="96" t="str">
        <f>IF(ISBLANK(C255),"",IF(C255=F255, "1 video",CONCATENATE((+COUNTIFS(Video_List!$C:$C,"&lt;=" &amp;Monitoring!J255)-COUNTIFS(Video_List!$C:$C,"&lt;=" &amp;Monitoring!I255))+1," videos")))</f>
        <v>1 video</v>
      </c>
      <c r="O255" s="29" t="s">
        <v>44</v>
      </c>
      <c r="P255" s="42" t="s">
        <v>37</v>
      </c>
      <c r="Q255" s="42" t="s">
        <v>38</v>
      </c>
      <c r="R255" s="42" t="s">
        <v>39</v>
      </c>
      <c r="S255" s="97" t="str">
        <f>+IFERROR(IF(T255="#N/C","#N/C",IF(U255=0,INDEX(Taxonomy_UniqueValues!D:D,MATCH(U255,Taxonomy_UniqueValues!F:F,0)),INDEX(Taxonomy_UniqueValues!D:D,MATCH(T255,Taxonomy_UniqueValues!E:E,0)))),"#N/C")</f>
        <v>Asilomorpha</v>
      </c>
      <c r="T255" s="42" t="s">
        <v>149</v>
      </c>
      <c r="U255" s="42" t="s">
        <v>150</v>
      </c>
      <c r="V255" s="42" t="s">
        <v>151</v>
      </c>
      <c r="W255" s="42" t="s">
        <v>35</v>
      </c>
      <c r="X255" s="28" t="s">
        <v>35</v>
      </c>
      <c r="Y255" s="69" t="str" cm="1">
        <f t="array" ref="Y255">_xlfn.LET(_xlpm.cls,P255, _xlpm.ord,IFERROR(Q255,"#N/C"), _xlpm.subord,IFERROR(R255,"#N/C"), _xlpm.infr,IFERROR(S255,"#N/C"), _xlpm.sf,IFERROR(T255,"#N/C"), _xlpm.fam,IFERROR(U255,"#N/C"), _xlpm.subfam,IF(TRIM(V255)="-","#N/C",IFERROR(V255,"#N/C")),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_xlpm.fallback,IF(IFERROR(Q255,"#N/C")="#N/C",P255,IF(IFERROR(R255,"#N/C")="#N/C",Q255,IF(IFERROR(S255,"#N/C")="#N/C",R255,IF(IFERROR(T255,"#N/C")="#N/C",S255,IF(IFERROR(U255,"#N/C")="#N/C",T255,IF(IFERROR(V255,"#N/C")="#N/C",U255,"#N/C")))))), _xlpm.finalResult,IF(OR(_xlpm.computedResult="",_xlpm.computedResult="#N/C"),_xlpm.fallback,_xlpm.computedResult), INDEX(_xlpm.finalResult,1))</f>
        <v>robber_fly</v>
      </c>
      <c r="Z255" s="116" t="str" cm="1">
        <f t="array" ref="Z255">IF(OR(Y255="Insecta",Y255="Arachnida",Y255="#N/C"),"",IFERROR(_xlfn.LET(_xlpm.fc,IFERROR(_xlfn._xlws.FILTER(ClassificationClasses[],ClassificationClasses[Classification Class]=Y255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255,ClassificationClasses[Key])),0),MATCH(Y255,INDEX(ClassificationClasses[],MATCH(TRUE,ISNUMBER(SEARCH(Y255,ClassificationClasses[Key])),0),0),0)-1)))</f>
        <v>Asilomorpha</v>
      </c>
      <c r="AA255" s="116" t="str" cm="1">
        <f t="array" ref="AA255">IFERROR(IF(OR(Z255="Insecta",Z255="Arachnida",Z255="#N/C"),"",INDEX(ClassificationClasses[[Class]:[Infraorder]],MATCH(TRUE,ISNUMBER(SEARCH(Z255,ClassificationClasses[Key])),0),MATCH(Z255,INDEX(ClassificationClasses[#Data], MATCH(TRUE,ISNUMBER(SEARCH(Z255,ClassificationClasses[Key])),0), 0), 0)-1)),"")</f>
        <v>Brachycera</v>
      </c>
      <c r="AB255" s="116" t="str" cm="1">
        <f t="array" ref="AB255">IFERROR(IF(OR(AA255="Insecta",AA255="Arachnida",AA255="#N/C"),"",INDEX(ClassificationClasses[[Class]:[Suborder]],MATCH(TRUE,ISNUMBER(SEARCH(AA255,ClassificationClasses[Key])),0),MATCH(AA255,INDEX(ClassificationClasses[#Data], MATCH(TRUE,ISNUMBER(SEARCH(AA255,ClassificationClasses[Key])),0), 0), 0)-1)),"")</f>
        <v>Diptera</v>
      </c>
      <c r="AC255" s="116" t="str" cm="1">
        <f t="array" ref="AC255">IFERROR(IF(OR(AB255="Insecta",AB255="Arachnida",AB255="#N/C"),"",INDEX(ClassificationClasses[[Class]:[Suborder]],MATCH(TRUE,ISNUMBER(SEARCH(AB255,ClassificationClasses[Key])),0),MATCH(AB255,INDEX(ClassificationClasses[#Data], MATCH(TRUE,ISNUMBER(SEARCH(AB255,ClassificationClasses[Key])),0), 0), 0)-1)),"")</f>
        <v>Insecta</v>
      </c>
      <c r="AD255" s="116" t="str" cm="1">
        <f t="array" ref="AD255">IFERROR(IF(OR(AC255="Insecta",AC255="Arachnida",AC255="#N/C"),"",INDEX(ClassificationClasses[[Class]:[Suborder]],MATCH(TRUE,ISNUMBER(SEARCH(AC255,ClassificationClasses[Key])),0),MATCH(AC255,INDEX(ClassificationClasses[#Data], MATCH(TRUE,ISNUMBER(SEARCH(AC255,ClassificationClasses[Key])),0), 0), 0)-1)),"")</f>
        <v/>
      </c>
      <c r="AE255" s="18" t="str">
        <f t="shared" si="8"/>
        <v>Insecta.Diptera.Brachycera.Asilomorpha.Asiloidea.Asilidae.Asilinae.#N/C.#N/C</v>
      </c>
    </row>
    <row r="256" spans="1:31" x14ac:dyDescent="0.3">
      <c r="A256" s="91">
        <v>255</v>
      </c>
      <c r="B256" s="7">
        <v>44403</v>
      </c>
      <c r="C256" s="92" t="s">
        <v>459</v>
      </c>
      <c r="D256" s="93" t="str">
        <f>HYPERLINK(VLOOKUP(C256,Video_List!$F:$J,5),"video")</f>
        <v>video</v>
      </c>
      <c r="E256" s="94" t="str">
        <f>IFERROR(IF(MATCH(C256,Video_List!$F:$F,)&gt;0,"ok",""),"error")</f>
        <v>ok</v>
      </c>
      <c r="F256" s="92" t="s">
        <v>459</v>
      </c>
      <c r="G256" s="93" t="str">
        <f>HYPERLINK(VLOOKUP(F256,Video_List!$F:$J,5),"video")</f>
        <v>video</v>
      </c>
      <c r="H256" s="94" t="str">
        <f>IFERROR(IF(MATCH(F256,Video_List!$F:$F,)&gt;0,"ok",""),"error")</f>
        <v>ok</v>
      </c>
      <c r="I256" s="17">
        <v>44403.478067129632</v>
      </c>
      <c r="J256" s="8">
        <v>44403.478761574072</v>
      </c>
      <c r="K256" s="15">
        <f t="shared" si="7"/>
        <v>6.9444443943211809E-4</v>
      </c>
      <c r="L256" s="95" t="s">
        <v>32</v>
      </c>
      <c r="M256" s="95" t="s">
        <v>33</v>
      </c>
      <c r="N256" s="96" t="str">
        <f>IF(ISBLANK(C256),"",IF(C256=F256, "1 video",CONCATENATE((+COUNTIFS(Video_List!$C:$C,"&lt;=" &amp;Monitoring!J256)-COUNTIFS(Video_List!$C:$C,"&lt;=" &amp;Monitoring!I256))+1," videos")))</f>
        <v>1 video</v>
      </c>
      <c r="O256" s="29" t="s">
        <v>44</v>
      </c>
      <c r="P256" s="42" t="s">
        <v>37</v>
      </c>
      <c r="Q256" s="42" t="s">
        <v>38</v>
      </c>
      <c r="R256" s="42" t="s">
        <v>39</v>
      </c>
      <c r="S256" s="97" t="str">
        <f>+IFERROR(IF(T256="#N/C","#N/C",IF(U256=0,INDEX(Taxonomy_UniqueValues!D:D,MATCH(U256,Taxonomy_UniqueValues!F:F,0)),INDEX(Taxonomy_UniqueValues!D:D,MATCH(T256,Taxonomy_UniqueValues!E:E,0)))),"#N/C")</f>
        <v>Asilomorpha</v>
      </c>
      <c r="T256" s="42" t="s">
        <v>149</v>
      </c>
      <c r="U256" s="42" t="s">
        <v>150</v>
      </c>
      <c r="V256" s="42" t="s">
        <v>151</v>
      </c>
      <c r="W256" s="42" t="s">
        <v>35</v>
      </c>
      <c r="X256" s="28" t="s">
        <v>35</v>
      </c>
      <c r="Y256" s="69" t="str" cm="1">
        <f t="array" ref="Y256">_xlfn.LET(_xlpm.cls,P256, _xlpm.ord,IFERROR(Q256,"#N/C"), _xlpm.subord,IFERROR(R256,"#N/C"), _xlpm.infr,IFERROR(S256,"#N/C"), _xlpm.sf,IFERROR(T256,"#N/C"), _xlpm.fam,IFERROR(U256,"#N/C"), _xlpm.subfam,IF(TRIM(V256)="-","#N/C",IFERROR(V256,"#N/C")),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_xlpm.fallback,IF(IFERROR(Q256,"#N/C")="#N/C",P256,IF(IFERROR(R256,"#N/C")="#N/C",Q256,IF(IFERROR(S256,"#N/C")="#N/C",R256,IF(IFERROR(T256,"#N/C")="#N/C",S256,IF(IFERROR(U256,"#N/C")="#N/C",T256,IF(IFERROR(V256,"#N/C")="#N/C",U256,"#N/C")))))), _xlpm.finalResult,IF(OR(_xlpm.computedResult="",_xlpm.computedResult="#N/C"),_xlpm.fallback,_xlpm.computedResult), INDEX(_xlpm.finalResult,1))</f>
        <v>robber_fly</v>
      </c>
      <c r="Z256" s="116" t="str" cm="1">
        <f t="array" ref="Z256">IF(OR(Y256="Insecta",Y256="Arachnida",Y256="#N/C"),"",IFERROR(_xlfn.LET(_xlpm.fc,IFERROR(_xlfn._xlws.FILTER(ClassificationClasses[],ClassificationClasses[Classification Class]=Y256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256,ClassificationClasses[Key])),0),MATCH(Y256,INDEX(ClassificationClasses[],MATCH(TRUE,ISNUMBER(SEARCH(Y256,ClassificationClasses[Key])),0),0),0)-1)))</f>
        <v>Asilomorpha</v>
      </c>
      <c r="AA256" s="116" t="str" cm="1">
        <f t="array" ref="AA256">IFERROR(IF(OR(Z256="Insecta",Z256="Arachnida",Z256="#N/C"),"",INDEX(ClassificationClasses[[Class]:[Infraorder]],MATCH(TRUE,ISNUMBER(SEARCH(Z256,ClassificationClasses[Key])),0),MATCH(Z256,INDEX(ClassificationClasses[#Data], MATCH(TRUE,ISNUMBER(SEARCH(Z256,ClassificationClasses[Key])),0), 0), 0)-1)),"")</f>
        <v>Brachycera</v>
      </c>
      <c r="AB256" s="116" t="str" cm="1">
        <f t="array" ref="AB256">IFERROR(IF(OR(AA256="Insecta",AA256="Arachnida",AA256="#N/C"),"",INDEX(ClassificationClasses[[Class]:[Suborder]],MATCH(TRUE,ISNUMBER(SEARCH(AA256,ClassificationClasses[Key])),0),MATCH(AA256,INDEX(ClassificationClasses[#Data], MATCH(TRUE,ISNUMBER(SEARCH(AA256,ClassificationClasses[Key])),0), 0), 0)-1)),"")</f>
        <v>Diptera</v>
      </c>
      <c r="AC256" s="116" t="str" cm="1">
        <f t="array" ref="AC256">IFERROR(IF(OR(AB256="Insecta",AB256="Arachnida",AB256="#N/C"),"",INDEX(ClassificationClasses[[Class]:[Suborder]],MATCH(TRUE,ISNUMBER(SEARCH(AB256,ClassificationClasses[Key])),0),MATCH(AB256,INDEX(ClassificationClasses[#Data], MATCH(TRUE,ISNUMBER(SEARCH(AB256,ClassificationClasses[Key])),0), 0), 0)-1)),"")</f>
        <v>Insecta</v>
      </c>
      <c r="AD256" s="116" t="str" cm="1">
        <f t="array" ref="AD256">IFERROR(IF(OR(AC256="Insecta",AC256="Arachnida",AC256="#N/C"),"",INDEX(ClassificationClasses[[Class]:[Suborder]],MATCH(TRUE,ISNUMBER(SEARCH(AC256,ClassificationClasses[Key])),0),MATCH(AC256,INDEX(ClassificationClasses[#Data], MATCH(TRUE,ISNUMBER(SEARCH(AC256,ClassificationClasses[Key])),0), 0), 0)-1)),"")</f>
        <v/>
      </c>
      <c r="AE256" s="18" t="str">
        <f t="shared" si="8"/>
        <v>Insecta.Diptera.Brachycera.Asilomorpha.Asiloidea.Asilidae.Asilinae.#N/C.#N/C</v>
      </c>
    </row>
    <row r="257" spans="1:31" x14ac:dyDescent="0.3">
      <c r="A257" s="91">
        <v>256</v>
      </c>
      <c r="B257" s="7">
        <v>44403</v>
      </c>
      <c r="C257" s="92" t="s">
        <v>460</v>
      </c>
      <c r="D257" s="93" t="str">
        <f>HYPERLINK(VLOOKUP(C257,Video_List!$F:$J,5),"video")</f>
        <v>video</v>
      </c>
      <c r="E257" s="94" t="str">
        <f>IFERROR(IF(MATCH(C257,Video_List!$F:$F,)&gt;0,"ok",""),"error")</f>
        <v>ok</v>
      </c>
      <c r="F257" s="92" t="s">
        <v>460</v>
      </c>
      <c r="G257" s="93" t="str">
        <f>HYPERLINK(VLOOKUP(F257,Video_List!$F:$J,5),"video")</f>
        <v>video</v>
      </c>
      <c r="H257" s="94" t="str">
        <f>IFERROR(IF(MATCH(F257,Video_List!$F:$F,)&gt;0,"ok",""),"error")</f>
        <v>ok</v>
      </c>
      <c r="I257" s="17">
        <v>44403.49150462963</v>
      </c>
      <c r="J257" s="8">
        <v>44403.492083333331</v>
      </c>
      <c r="K257" s="15">
        <f t="shared" si="7"/>
        <v>5.7870370073942468E-4</v>
      </c>
      <c r="L257" s="4" t="s">
        <v>44</v>
      </c>
      <c r="M257" s="4" t="s">
        <v>118</v>
      </c>
      <c r="N257" s="96" t="str">
        <f>IF(ISBLANK(C257),"",IF(C257=F257, "1 video",CONCATENATE((+COUNTIFS(Video_List!$C:$C,"&lt;=" &amp;Monitoring!J257)-COUNTIFS(Video_List!$C:$C,"&lt;=" &amp;Monitoring!I257))+1," videos")))</f>
        <v>1 video</v>
      </c>
      <c r="O257" s="27" t="s">
        <v>32</v>
      </c>
      <c r="P257" s="120" t="str">
        <f>+IFERROR(IF(Q257="#N/C","#N/C",INDEX(Taxonomy_UniqueValues!A:A,MATCH(Q257,Taxonomy_UniqueValues!B:B,0))),"#N/C")</f>
        <v>Insecta</v>
      </c>
      <c r="Q257" s="120" t="str">
        <f>+IFERROR(IF(R257="#N/C","#N/C",INDEX(Taxonomy_UniqueValues!B:B,MATCH(R257,Taxonomy_UniqueValues!C:C,0))),"#N/C")</f>
        <v>Hymenoptera</v>
      </c>
      <c r="R257" s="120" t="str">
        <f>+IFERROR(IF(S257="#N/C","#N/C",INDEX(Taxonomy_UniqueValues!C:C,MATCH(S257,Taxonomy_UniqueValues!D:D,0))),"#N/C")</f>
        <v>Apocrita</v>
      </c>
      <c r="S257" s="120" t="str">
        <f>+IFERROR(IF(T257="#N/C","#N/C",INDEX(Taxonomy_UniqueValues!D:D,MATCH(T257,Taxonomy_UniqueValues!E:E,0))),"#N/C")</f>
        <v>Aculeata</v>
      </c>
      <c r="T257" s="120" t="str">
        <f>+IFERROR(IF(U257="#N/C","#N/C",INDEX(Taxonomy_UniqueValues!E:E,MATCH(U257,Taxonomy_UniqueValues!F:F,0))),"#N/C")</f>
        <v>Pompiloidea</v>
      </c>
      <c r="U257" s="42" t="s">
        <v>461</v>
      </c>
      <c r="V257" s="42" t="s">
        <v>35</v>
      </c>
      <c r="W257" s="42" t="s">
        <v>35</v>
      </c>
      <c r="X257" s="28" t="s">
        <v>35</v>
      </c>
      <c r="Y257" s="69" t="str" cm="1">
        <f t="array" ref="Y257">_xlfn.LET(_xlpm.cls,P257, _xlpm.ord,IFERROR(Q257,"#N/C"), _xlpm.subord,IFERROR(R257,"#N/C"), _xlpm.infr,IFERROR(S257,"#N/C"), _xlpm.sf,IFERROR(T257,"#N/C"), _xlpm.fam,IFERROR(U257,"#N/C"), _xlpm.subfam,IF(TRIM(V257)="-","#N/C",IFERROR(V257,"#N/C")),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_xlpm.fallback,IF(IFERROR(Q257,"#N/C")="#N/C",P257,IF(IFERROR(R257,"#N/C")="#N/C",Q257,IF(IFERROR(S257,"#N/C")="#N/C",R257,IF(IFERROR(T257,"#N/C")="#N/C",S257,IF(IFERROR(U257,"#N/C")="#N/C",T257,IF(IFERROR(V257,"#N/C")="#N/C",U257,"#N/C")))))), _xlpm.finalResult,IF(OR(_xlpm.computedResult="",_xlpm.computedResult="#N/C"),_xlpm.fallback,_xlpm.computedResult), INDEX(_xlpm.finalResult,1))</f>
        <v>spider_wasp</v>
      </c>
      <c r="Z257" s="116" t="str" cm="1">
        <f t="array" ref="Z257">IF(OR(Y257="Insecta",Y257="Arachnida",Y257="#N/C"),"",IFERROR(_xlfn.LET(_xlpm.fc,IFERROR(_xlfn._xlws.FILTER(ClassificationClasses[],ClassificationClasses[Classification Class]=Y257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257,ClassificationClasses[Key])),0),MATCH(Y257,INDEX(ClassificationClasses[],MATCH(TRUE,ISNUMBER(SEARCH(Y257,ClassificationClasses[Key])),0),0),0)-1)))</f>
        <v>Aculeata</v>
      </c>
      <c r="AA257" s="116" t="str" cm="1">
        <f t="array" ref="AA257">IFERROR(IF(OR(Z257="Insecta",Z257="Arachnida",Z257="#N/C"),"",INDEX(ClassificationClasses[[Class]:[Infraorder]],MATCH(TRUE,ISNUMBER(SEARCH(Z257,ClassificationClasses[Key])),0),MATCH(Z257,INDEX(ClassificationClasses[#Data], MATCH(TRUE,ISNUMBER(SEARCH(Z257,ClassificationClasses[Key])),0), 0), 0)-1)),"")</f>
        <v>Apocrita</v>
      </c>
      <c r="AB257" s="116" t="str" cm="1">
        <f t="array" ref="AB257">IFERROR(IF(OR(AA257="Insecta",AA257="Arachnida",AA257="#N/C"),"",INDEX(ClassificationClasses[[Class]:[Suborder]],MATCH(TRUE,ISNUMBER(SEARCH(AA257,ClassificationClasses[Key])),0),MATCH(AA257,INDEX(ClassificationClasses[#Data], MATCH(TRUE,ISNUMBER(SEARCH(AA257,ClassificationClasses[Key])),0), 0), 0)-1)),"")</f>
        <v>Hymenoptera</v>
      </c>
      <c r="AC257" s="116" t="str" cm="1">
        <f t="array" ref="AC257">IFERROR(IF(OR(AB257="Insecta",AB257="Arachnida",AB257="#N/C"),"",INDEX(ClassificationClasses[[Class]:[Suborder]],MATCH(TRUE,ISNUMBER(SEARCH(AB257,ClassificationClasses[Key])),0),MATCH(AB257,INDEX(ClassificationClasses[#Data], MATCH(TRUE,ISNUMBER(SEARCH(AB257,ClassificationClasses[Key])),0), 0), 0)-1)),"")</f>
        <v>Insecta</v>
      </c>
      <c r="AD257" s="116" t="str" cm="1">
        <f t="array" ref="AD257">IFERROR(IF(OR(AC257="Insecta",AC257="Arachnida",AC257="#N/C"),"",INDEX(ClassificationClasses[[Class]:[Suborder]],MATCH(TRUE,ISNUMBER(SEARCH(AC257,ClassificationClasses[Key])),0),MATCH(AC257,INDEX(ClassificationClasses[#Data], MATCH(TRUE,ISNUMBER(SEARCH(AC257,ClassificationClasses[Key])),0), 0), 0)-1)),"")</f>
        <v/>
      </c>
      <c r="AE257" s="18" t="str">
        <f t="shared" si="8"/>
        <v>Insecta.Hymenoptera.Apocrita.Aculeata.Pompiloidea.Pompilidae.#N/C.#N/C.#N/C</v>
      </c>
    </row>
    <row r="258" spans="1:31" x14ac:dyDescent="0.3">
      <c r="A258" s="91">
        <v>257</v>
      </c>
      <c r="B258" s="7">
        <v>44403</v>
      </c>
      <c r="C258" s="92" t="s">
        <v>462</v>
      </c>
      <c r="D258" s="93" t="str">
        <f>HYPERLINK(VLOOKUP(C258,Video_List!$F:$J,5),"video")</f>
        <v>video</v>
      </c>
      <c r="E258" s="94" t="str">
        <f>IFERROR(IF(MATCH(C258,Video_List!$F:$F,)&gt;0,"ok",""),"error")</f>
        <v>ok</v>
      </c>
      <c r="F258" s="92" t="s">
        <v>462</v>
      </c>
      <c r="G258" s="93" t="str">
        <f>HYPERLINK(VLOOKUP(F258,Video_List!$F:$J,5),"video")</f>
        <v>video</v>
      </c>
      <c r="H258" s="94" t="str">
        <f>IFERROR(IF(MATCH(F258,Video_List!$F:$F,)&gt;0,"ok",""),"error")</f>
        <v>ok</v>
      </c>
      <c r="I258" s="17">
        <v>44403.503576388888</v>
      </c>
      <c r="J258" s="8">
        <v>44403.503923611112</v>
      </c>
      <c r="K258" s="15">
        <f t="shared" ref="K258:K321" si="9">J258-I258</f>
        <v>3.4722222335403785E-4</v>
      </c>
      <c r="L258" s="4" t="s">
        <v>44</v>
      </c>
      <c r="M258" s="4" t="s">
        <v>33</v>
      </c>
      <c r="N258" s="96" t="str">
        <f>IF(ISBLANK(C258),"",IF(C258=F258, "1 video",CONCATENATE((+COUNTIFS(Video_List!$C:$C,"&lt;=" &amp;Monitoring!J258)-COUNTIFS(Video_List!$C:$C,"&lt;=" &amp;Monitoring!I258))+1," videos")))</f>
        <v>1 video</v>
      </c>
      <c r="O258" s="27" t="s">
        <v>32</v>
      </c>
      <c r="P258" s="42" t="s">
        <v>37</v>
      </c>
      <c r="Q258" s="42" t="s">
        <v>123</v>
      </c>
      <c r="R258" s="42" t="s">
        <v>124</v>
      </c>
      <c r="S258" s="97" t="str">
        <f>+IFERROR(IF(T258="#N/C","#N/C",IF(U258=0,INDEX(Taxonomy_UniqueValues!D:D,MATCH(U258,Taxonomy_UniqueValues!F:F,0)),INDEX(Taxonomy_UniqueValues!D:D,MATCH(T258,Taxonomy_UniqueValues!E:E,0)))),"#N/C")</f>
        <v>Acrididea</v>
      </c>
      <c r="T258" s="42" t="s">
        <v>125</v>
      </c>
      <c r="U258" s="42" t="s">
        <v>126</v>
      </c>
      <c r="V258" s="42" t="s">
        <v>173</v>
      </c>
      <c r="W258" s="42" t="s">
        <v>174</v>
      </c>
      <c r="X258" s="28" t="s">
        <v>35</v>
      </c>
      <c r="Y258" s="69" t="str" cm="1">
        <f t="array" ref="Y258">_xlfn.LET(_xlpm.cls,P258, _xlpm.ord,IFERROR(Q258,"#N/C"), _xlpm.subord,IFERROR(R258,"#N/C"), _xlpm.infr,IFERROR(S258,"#N/C"), _xlpm.sf,IFERROR(T258,"#N/C"), _xlpm.fam,IFERROR(U258,"#N/C"), _xlpm.subfam,IF(TRIM(V258)="-","#N/C",IFERROR(V258,"#N/C")),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_xlpm.fallback,IF(IFERROR(Q258,"#N/C")="#N/C",P258,IF(IFERROR(R258,"#N/C")="#N/C",Q258,IF(IFERROR(S258,"#N/C")="#N/C",R258,IF(IFERROR(T258,"#N/C")="#N/C",S258,IF(IFERROR(U258,"#N/C")="#N/C",T258,IF(IFERROR(V258,"#N/C")="#N/C",U258,"#N/C")))))), _xlpm.finalResult,IF(OR(_xlpm.computedResult="",_xlpm.computedResult="#N/C"),_xlpm.fallback,_xlpm.computedResult), INDEX(_xlpm.finalResult,1))</f>
        <v>grasshopper</v>
      </c>
      <c r="Z258" s="116" t="str" cm="1">
        <f t="array" ref="Z258">IF(OR(Y258="Insecta",Y258="Arachnida",Y258="#N/C"),"",IFERROR(_xlfn.LET(_xlpm.fc,IFERROR(_xlfn._xlws.FILTER(ClassificationClasses[],ClassificationClasses[Classification Class]=Y258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258,ClassificationClasses[Key])),0),MATCH(Y258,INDEX(ClassificationClasses[],MATCH(TRUE,ISNUMBER(SEARCH(Y258,ClassificationClasses[Key])),0),0),0)-1)))</f>
        <v>Orthoptera</v>
      </c>
      <c r="AA258" s="116" t="str" cm="1">
        <f t="array" ref="AA258">IFERROR(IF(OR(Z258="Insecta",Z258="Arachnida",Z258="#N/C"),"",INDEX(ClassificationClasses[[Class]:[Infraorder]],MATCH(TRUE,ISNUMBER(SEARCH(Z258,ClassificationClasses[Key])),0),MATCH(Z258,INDEX(ClassificationClasses[#Data], MATCH(TRUE,ISNUMBER(SEARCH(Z258,ClassificationClasses[Key])),0), 0), 0)-1)),"")</f>
        <v>Insecta</v>
      </c>
      <c r="AB258" s="116" t="str" cm="1">
        <f t="array" ref="AB258">IFERROR(IF(OR(AA258="Insecta",AA258="Arachnida",AA258="#N/C"),"",INDEX(ClassificationClasses[[Class]:[Suborder]],MATCH(TRUE,ISNUMBER(SEARCH(AA258,ClassificationClasses[Key])),0),MATCH(AA258,INDEX(ClassificationClasses[#Data], MATCH(TRUE,ISNUMBER(SEARCH(AA258,ClassificationClasses[Key])),0), 0), 0)-1)),"")</f>
        <v/>
      </c>
      <c r="AC258" s="116" t="str" cm="1">
        <f t="array" ref="AC258">IFERROR(IF(OR(AB258="Insecta",AB258="Arachnida",AB258="#N/C"),"",INDEX(ClassificationClasses[[Class]:[Suborder]],MATCH(TRUE,ISNUMBER(SEARCH(AB258,ClassificationClasses[Key])),0),MATCH(AB258,INDEX(ClassificationClasses[#Data], MATCH(TRUE,ISNUMBER(SEARCH(AB258,ClassificationClasses[Key])),0), 0), 0)-1)),"")</f>
        <v/>
      </c>
      <c r="AD258" s="116" t="str" cm="1">
        <f t="array" ref="AD258">IFERROR(IF(OR(AC258="Insecta",AC258="Arachnida",AC258="#N/C"),"",INDEX(ClassificationClasses[[Class]:[Suborder]],MATCH(TRUE,ISNUMBER(SEARCH(AC258,ClassificationClasses[Key])),0),MATCH(AC258,INDEX(ClassificationClasses[#Data], MATCH(TRUE,ISNUMBER(SEARCH(AC258,ClassificationClasses[Key])),0), 0), 0)-1)),"")</f>
        <v/>
      </c>
      <c r="AE258" s="18" t="str">
        <f t="shared" si="8"/>
        <v>Insecta.Orthoptera.Caelifera.Acrididea.Acridoidea.Acrididae.Gomphocerinae.Chorthippus.#N/C</v>
      </c>
    </row>
    <row r="259" spans="1:31" x14ac:dyDescent="0.3">
      <c r="A259" s="91">
        <v>258</v>
      </c>
      <c r="B259" s="7">
        <v>44403</v>
      </c>
      <c r="C259" s="92" t="s">
        <v>463</v>
      </c>
      <c r="D259" s="93" t="str">
        <f>HYPERLINK(VLOOKUP(C259,Video_List!$F:$J,5),"video")</f>
        <v>video</v>
      </c>
      <c r="E259" s="94" t="str">
        <f>IFERROR(IF(MATCH(C259,Video_List!$F:$F,)&gt;0,"ok",""),"error")</f>
        <v>ok</v>
      </c>
      <c r="F259" s="92" t="s">
        <v>463</v>
      </c>
      <c r="G259" s="93" t="str">
        <f>HYPERLINK(VLOOKUP(F259,Video_List!$F:$J,5),"video")</f>
        <v>video</v>
      </c>
      <c r="H259" s="94" t="str">
        <f>IFERROR(IF(MATCH(F259,Video_List!$F:$F,)&gt;0,"ok",""),"error")</f>
        <v>ok</v>
      </c>
      <c r="I259" s="17">
        <v>44403.517604166664</v>
      </c>
      <c r="J259" s="8">
        <v>44403.518125000002</v>
      </c>
      <c r="K259" s="15">
        <f t="shared" si="9"/>
        <v>5.2083333866903558E-4</v>
      </c>
      <c r="L259" s="4" t="s">
        <v>44</v>
      </c>
      <c r="M259" s="4" t="s">
        <v>33</v>
      </c>
      <c r="N259" s="96" t="str">
        <f>IF(ISBLANK(C259),"",IF(C259=F259, "1 video",CONCATENATE((+COUNTIFS(Video_List!$C:$C,"&lt;=" &amp;Monitoring!J259)-COUNTIFS(Video_List!$C:$C,"&lt;=" &amp;Monitoring!I259))+1," videos")))</f>
        <v>1 video</v>
      </c>
      <c r="O259" s="27" t="s">
        <v>32</v>
      </c>
      <c r="P259" s="42" t="s">
        <v>37</v>
      </c>
      <c r="Q259" s="42" t="s">
        <v>38</v>
      </c>
      <c r="R259" s="42" t="s">
        <v>39</v>
      </c>
      <c r="S259" s="97" t="str">
        <f>+IFERROR(IF(T259="#N/C","#N/C",IF(U259=0,INDEX(Taxonomy_UniqueValues!D:D,MATCH(U259,Taxonomy_UniqueValues!F:F,0)),INDEX(Taxonomy_UniqueValues!D:D,MATCH(T259,Taxonomy_UniqueValues!E:E,0)))),"#N/C")</f>
        <v>Muscomorpha</v>
      </c>
      <c r="T259" s="42" t="s">
        <v>46</v>
      </c>
      <c r="U259" s="42" t="s">
        <v>47</v>
      </c>
      <c r="V259" s="42" t="s">
        <v>48</v>
      </c>
      <c r="W259" s="42" t="s">
        <v>49</v>
      </c>
      <c r="X259" s="28" t="s">
        <v>35</v>
      </c>
      <c r="Y259" s="69" t="str" cm="1">
        <f t="array" ref="Y259">_xlfn.LET(_xlpm.cls,P259, _xlpm.ord,IFERROR(Q259,"#N/C"), _xlpm.subord,IFERROR(R259,"#N/C"), _xlpm.infr,IFERROR(S259,"#N/C"), _xlpm.sf,IFERROR(T259,"#N/C"), _xlpm.fam,IFERROR(U259,"#N/C"), _xlpm.subfam,IF(TRIM(V259)="-","#N/C",IFERROR(V259,"#N/C")),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_xlpm.fallback,IF(IFERROR(Q259,"#N/C")="#N/C",P259,IF(IFERROR(R259,"#N/C")="#N/C",Q259,IF(IFERROR(S259,"#N/C")="#N/C",R259,IF(IFERROR(T259,"#N/C")="#N/C",S259,IF(IFERROR(U259,"#N/C")="#N/C",T259,IF(IFERROR(V259,"#N/C")="#N/C",U259,"#N/C")))))), _xlpm.finalResult,IF(OR(_xlpm.computedResult="",_xlpm.computedResult="#N/C"),_xlpm.fallback,_xlpm.computedResult), INDEX(_xlpm.finalResult,1))</f>
        <v>hoverfly</v>
      </c>
      <c r="Z259" s="116" t="str" cm="1">
        <f t="array" ref="Z259">IF(OR(Y259="Insecta",Y259="Arachnida",Y259="#N/C"),"",IFERROR(_xlfn.LET(_xlpm.fc,IFERROR(_xlfn._xlws.FILTER(ClassificationClasses[],ClassificationClasses[Classification Class]=Y259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259,ClassificationClasses[Key])),0),MATCH(Y259,INDEX(ClassificationClasses[],MATCH(TRUE,ISNUMBER(SEARCH(Y259,ClassificationClasses[Key])),0),0),0)-1)))</f>
        <v>Muscomorpha</v>
      </c>
      <c r="AA259" s="116" t="str" cm="1">
        <f t="array" ref="AA259">IFERROR(IF(OR(Z259="Insecta",Z259="Arachnida",Z259="#N/C"),"",INDEX(ClassificationClasses[[Class]:[Infraorder]],MATCH(TRUE,ISNUMBER(SEARCH(Z259,ClassificationClasses[Key])),0),MATCH(Z259,INDEX(ClassificationClasses[#Data], MATCH(TRUE,ISNUMBER(SEARCH(Z259,ClassificationClasses[Key])),0), 0), 0)-1)),"")</f>
        <v>Brachycera</v>
      </c>
      <c r="AB259" s="116" t="str" cm="1">
        <f t="array" ref="AB259">IFERROR(IF(OR(AA259="Insecta",AA259="Arachnida",AA259="#N/C"),"",INDEX(ClassificationClasses[[Class]:[Suborder]],MATCH(TRUE,ISNUMBER(SEARCH(AA259,ClassificationClasses[Key])),0),MATCH(AA259,INDEX(ClassificationClasses[#Data], MATCH(TRUE,ISNUMBER(SEARCH(AA259,ClassificationClasses[Key])),0), 0), 0)-1)),"")</f>
        <v>Diptera</v>
      </c>
      <c r="AC259" s="116" t="str" cm="1">
        <f t="array" ref="AC259">IFERROR(IF(OR(AB259="Insecta",AB259="Arachnida",AB259="#N/C"),"",INDEX(ClassificationClasses[[Class]:[Suborder]],MATCH(TRUE,ISNUMBER(SEARCH(AB259,ClassificationClasses[Key])),0),MATCH(AB259,INDEX(ClassificationClasses[#Data], MATCH(TRUE,ISNUMBER(SEARCH(AB259,ClassificationClasses[Key])),0), 0), 0)-1)),"")</f>
        <v>Insecta</v>
      </c>
      <c r="AD259" s="116" t="str" cm="1">
        <f t="array" ref="AD259">IFERROR(IF(OR(AC259="Insecta",AC259="Arachnida",AC259="#N/C"),"",INDEX(ClassificationClasses[[Class]:[Suborder]],MATCH(TRUE,ISNUMBER(SEARCH(AC259,ClassificationClasses[Key])),0),MATCH(AC259,INDEX(ClassificationClasses[#Data], MATCH(TRUE,ISNUMBER(SEARCH(AC259,ClassificationClasses[Key])),0), 0), 0)-1)),"")</f>
        <v/>
      </c>
      <c r="AE259" s="18" t="str">
        <f t="shared" si="8"/>
        <v>Insecta.Diptera.Brachycera.Muscomorpha.Syrphoidea.Syrphidae.Syrphinae.Sphaerophoria.#N/C</v>
      </c>
    </row>
    <row r="260" spans="1:31" x14ac:dyDescent="0.3">
      <c r="A260" s="91">
        <v>259</v>
      </c>
      <c r="B260" s="7">
        <v>44403</v>
      </c>
      <c r="C260" s="92" t="s">
        <v>464</v>
      </c>
      <c r="D260" s="93" t="str">
        <f>HYPERLINK(VLOOKUP(C260,Video_List!$F:$J,5),"video")</f>
        <v>video</v>
      </c>
      <c r="E260" s="94" t="str">
        <f>IFERROR(IF(MATCH(C260,Video_List!$F:$F,)&gt;0,"ok",""),"error")</f>
        <v>ok</v>
      </c>
      <c r="F260" s="92" t="s">
        <v>464</v>
      </c>
      <c r="G260" s="93" t="str">
        <f>HYPERLINK(VLOOKUP(F260,Video_List!$F:$J,5),"video")</f>
        <v>video</v>
      </c>
      <c r="H260" s="94" t="str">
        <f>IFERROR(IF(MATCH(F260,Video_List!$F:$F,)&gt;0,"ok",""),"error")</f>
        <v>ok</v>
      </c>
      <c r="I260" s="17">
        <v>44403.531400462962</v>
      </c>
      <c r="J260" s="8">
        <v>44403.532986111109</v>
      </c>
      <c r="K260" s="15">
        <f t="shared" si="9"/>
        <v>1.5856481477385387E-3</v>
      </c>
      <c r="L260" s="4" t="s">
        <v>44</v>
      </c>
      <c r="M260" s="4" t="s">
        <v>33</v>
      </c>
      <c r="N260" s="96" t="str">
        <f>IF(ISBLANK(C260),"",IF(C260=F260, "1 video",CONCATENATE((+COUNTIFS(Video_List!$C:$C,"&lt;=" &amp;Monitoring!J260)-COUNTIFS(Video_List!$C:$C,"&lt;=" &amp;Monitoring!I260))+1," videos")))</f>
        <v>1 video</v>
      </c>
      <c r="O260" s="27" t="s">
        <v>32</v>
      </c>
      <c r="P260" s="42" t="s">
        <v>37</v>
      </c>
      <c r="Q260" s="42" t="s">
        <v>41</v>
      </c>
      <c r="R260" s="42" t="s">
        <v>42</v>
      </c>
      <c r="S260" s="97" t="str">
        <f>+IFERROR(IF(T260="#N/C","#N/C",IF(U260=0,INDEX(Taxonomy_UniqueValues!D:D,MATCH(U260,Taxonomy_UniqueValues!F:F,0)),INDEX(Taxonomy_UniqueValues!D:D,MATCH(T260,Taxonomy_UniqueValues!E:E,0)))),"#N/C")</f>
        <v>Parasitica</v>
      </c>
      <c r="T260" s="42" t="s">
        <v>71</v>
      </c>
      <c r="U260" s="42" t="s">
        <v>72</v>
      </c>
      <c r="V260" s="42" t="s">
        <v>465</v>
      </c>
      <c r="W260" s="42" t="s">
        <v>466</v>
      </c>
      <c r="X260" s="28" t="s">
        <v>35</v>
      </c>
      <c r="Y260" s="69" t="str" cm="1">
        <f t="array" ref="Y260">_xlfn.LET(_xlpm.cls,P260, _xlpm.ord,IFERROR(Q260,"#N/C"), _xlpm.subord,IFERROR(R260,"#N/C"), _xlpm.infr,IFERROR(S260,"#N/C"), _xlpm.sf,IFERROR(T260,"#N/C"), _xlpm.fam,IFERROR(U260,"#N/C"), _xlpm.subfam,IF(TRIM(V260)="-","#N/C",IFERROR(V260,"#N/C")),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_xlpm.fallback,IF(IFERROR(Q260,"#N/C")="#N/C",P260,IF(IFERROR(R260,"#N/C")="#N/C",Q260,IF(IFERROR(S260,"#N/C")="#N/C",R260,IF(IFERROR(T260,"#N/C")="#N/C",S260,IF(IFERROR(U260,"#N/C")="#N/C",T260,IF(IFERROR(V260,"#N/C")="#N/C",U260,"#N/C")))))), _xlpm.finalResult,IF(OR(_xlpm.computedResult="",_xlpm.computedResult="#N/C"),_xlpm.fallback,_xlpm.computedResult), INDEX(_xlpm.finalResult,1))</f>
        <v>Ichneumonidae</v>
      </c>
      <c r="Z260" s="116" t="str" cm="1">
        <f t="array" ref="Z260">IF(OR(Y260="Insecta",Y260="Arachnida",Y260="#N/C"),"",IFERROR(_xlfn.LET(_xlpm.fc,IFERROR(_xlfn._xlws.FILTER(ClassificationClasses[],ClassificationClasses[Classification Class]=Y260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260,ClassificationClasses[Key])),0),MATCH(Y260,INDEX(ClassificationClasses[],MATCH(TRUE,ISNUMBER(SEARCH(Y260,ClassificationClasses[Key])),0),0),0)-1)))</f>
        <v>Ichneumonoidea</v>
      </c>
      <c r="AA260" s="116" t="str" cm="1">
        <f t="array" ref="AA260">IFERROR(IF(OR(Z260="Insecta",Z260="Arachnida",Z260="#N/C"),"",INDEX(ClassificationClasses[[Class]:[Infraorder]],MATCH(TRUE,ISNUMBER(SEARCH(Z260,ClassificationClasses[Key])),0),MATCH(Z260,INDEX(ClassificationClasses[#Data], MATCH(TRUE,ISNUMBER(SEARCH(Z260,ClassificationClasses[Key])),0), 0), 0)-1)),"")</f>
        <v>Parasitica</v>
      </c>
      <c r="AB260" s="116" t="str" cm="1">
        <f t="array" ref="AB260">IFERROR(IF(OR(AA260="Insecta",AA260="Arachnida",AA260="#N/C"),"",INDEX(ClassificationClasses[[Class]:[Suborder]],MATCH(TRUE,ISNUMBER(SEARCH(AA260,ClassificationClasses[Key])),0),MATCH(AA260,INDEX(ClassificationClasses[#Data], MATCH(TRUE,ISNUMBER(SEARCH(AA260,ClassificationClasses[Key])),0), 0), 0)-1)),"")</f>
        <v>Apocrita</v>
      </c>
      <c r="AC260" s="116" t="str" cm="1">
        <f t="array" ref="AC260">IFERROR(IF(OR(AB260="Insecta",AB260="Arachnida",AB260="#N/C"),"",INDEX(ClassificationClasses[[Class]:[Suborder]],MATCH(TRUE,ISNUMBER(SEARCH(AB260,ClassificationClasses[Key])),0),MATCH(AB260,INDEX(ClassificationClasses[#Data], MATCH(TRUE,ISNUMBER(SEARCH(AB260,ClassificationClasses[Key])),0), 0), 0)-1)),"")</f>
        <v>Hymenoptera</v>
      </c>
      <c r="AD260" s="116" t="str" cm="1">
        <f t="array" ref="AD260">IFERROR(IF(OR(AC260="Insecta",AC260="Arachnida",AC260="#N/C"),"",INDEX(ClassificationClasses[[Class]:[Suborder]],MATCH(TRUE,ISNUMBER(SEARCH(AC260,ClassificationClasses[Key])),0),MATCH(AC260,INDEX(ClassificationClasses[#Data], MATCH(TRUE,ISNUMBER(SEARCH(AC260,ClassificationClasses[Key])),0), 0), 0)-1)),"")</f>
        <v>Insecta</v>
      </c>
      <c r="AE260" s="18" t="str">
        <f t="shared" si="8"/>
        <v>Insecta.Hymenoptera.Apocrita.Parasitica.Ichneumonoidea.Ichneumonidae.Campopleginae.Dusona.#N/C</v>
      </c>
    </row>
    <row r="261" spans="1:31" x14ac:dyDescent="0.3">
      <c r="A261" s="91">
        <v>260</v>
      </c>
      <c r="B261" s="7">
        <v>44403</v>
      </c>
      <c r="C261" s="92" t="s">
        <v>467</v>
      </c>
      <c r="D261" s="93" t="str">
        <f>HYPERLINK(VLOOKUP(C261,Video_List!$F:$J,5),"video")</f>
        <v>video</v>
      </c>
      <c r="E261" s="94" t="str">
        <f>IFERROR(IF(MATCH(C261,Video_List!$F:$F,)&gt;0,"ok",""),"error")</f>
        <v>ok</v>
      </c>
      <c r="F261" s="92" t="s">
        <v>467</v>
      </c>
      <c r="G261" s="93" t="str">
        <f>HYPERLINK(VLOOKUP(F261,Video_List!$F:$J,5),"video")</f>
        <v>video</v>
      </c>
      <c r="H261" s="94" t="str">
        <f>IFERROR(IF(MATCH(F261,Video_List!$F:$F,)&gt;0,"ok",""),"error")</f>
        <v>ok</v>
      </c>
      <c r="I261" s="17">
        <v>44403.546400462961</v>
      </c>
      <c r="J261" s="8">
        <v>44403.56422453704</v>
      </c>
      <c r="K261" s="15">
        <f t="shared" si="9"/>
        <v>1.7824074078816921E-2</v>
      </c>
      <c r="L261" s="95" t="s">
        <v>32</v>
      </c>
      <c r="M261" s="95" t="s">
        <v>33</v>
      </c>
      <c r="N261" s="96" t="str">
        <f>IF(ISBLANK(C261),"",IF(C261=F261, "1 video",CONCATENATE((+COUNTIFS(Video_List!$C:$C,"&lt;=" &amp;Monitoring!J261)-COUNTIFS(Video_List!$C:$C,"&lt;=" &amp;Monitoring!I261))+1," videos")))</f>
        <v>1 video</v>
      </c>
      <c r="O261" s="29" t="s">
        <v>44</v>
      </c>
      <c r="P261" s="42" t="s">
        <v>37</v>
      </c>
      <c r="Q261" s="42" t="s">
        <v>38</v>
      </c>
      <c r="R261" s="42" t="s">
        <v>39</v>
      </c>
      <c r="S261" s="97" t="str">
        <f>+IFERROR(IF(T261="#N/C","#N/C",IF(U261=0,INDEX(Taxonomy_UniqueValues!D:D,MATCH(U261,Taxonomy_UniqueValues!F:F,0)),INDEX(Taxonomy_UniqueValues!D:D,MATCH(T261,Taxonomy_UniqueValues!E:E,0)))),"#N/C")</f>
        <v>Asilomorpha</v>
      </c>
      <c r="T261" s="42" t="s">
        <v>149</v>
      </c>
      <c r="U261" s="42" t="s">
        <v>150</v>
      </c>
      <c r="V261" s="42" t="s">
        <v>151</v>
      </c>
      <c r="W261" s="42" t="s">
        <v>35</v>
      </c>
      <c r="X261" s="28" t="s">
        <v>35</v>
      </c>
      <c r="Y261" s="69" t="str" cm="1">
        <f t="array" ref="Y261">_xlfn.LET(_xlpm.cls,P261, _xlpm.ord,IFERROR(Q261,"#N/C"), _xlpm.subord,IFERROR(R261,"#N/C"), _xlpm.infr,IFERROR(S261,"#N/C"), _xlpm.sf,IFERROR(T261,"#N/C"), _xlpm.fam,IFERROR(U261,"#N/C"), _xlpm.subfam,IF(TRIM(V261)="-","#N/C",IFERROR(V261,"#N/C")),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_xlpm.fallback,IF(IFERROR(Q261,"#N/C")="#N/C",P261,IF(IFERROR(R261,"#N/C")="#N/C",Q261,IF(IFERROR(S261,"#N/C")="#N/C",R261,IF(IFERROR(T261,"#N/C")="#N/C",S261,IF(IFERROR(U261,"#N/C")="#N/C",T261,IF(IFERROR(V261,"#N/C")="#N/C",U261,"#N/C")))))), _xlpm.finalResult,IF(OR(_xlpm.computedResult="",_xlpm.computedResult="#N/C"),_xlpm.fallback,_xlpm.computedResult), INDEX(_xlpm.finalResult,1))</f>
        <v>robber_fly</v>
      </c>
      <c r="Z261" s="116" t="str" cm="1">
        <f t="array" ref="Z261">IF(OR(Y261="Insecta",Y261="Arachnida",Y261="#N/C"),"",IFERROR(_xlfn.LET(_xlpm.fc,IFERROR(_xlfn._xlws.FILTER(ClassificationClasses[],ClassificationClasses[Classification Class]=Y261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261,ClassificationClasses[Key])),0),MATCH(Y261,INDEX(ClassificationClasses[],MATCH(TRUE,ISNUMBER(SEARCH(Y261,ClassificationClasses[Key])),0),0),0)-1)))</f>
        <v>Asilomorpha</v>
      </c>
      <c r="AA261" s="116" t="str" cm="1">
        <f t="array" ref="AA261">IFERROR(IF(OR(Z261="Insecta",Z261="Arachnida",Z261="#N/C"),"",INDEX(ClassificationClasses[[Class]:[Infraorder]],MATCH(TRUE,ISNUMBER(SEARCH(Z261,ClassificationClasses[Key])),0),MATCH(Z261,INDEX(ClassificationClasses[#Data], MATCH(TRUE,ISNUMBER(SEARCH(Z261,ClassificationClasses[Key])),0), 0), 0)-1)),"")</f>
        <v>Brachycera</v>
      </c>
      <c r="AB261" s="116" t="str" cm="1">
        <f t="array" ref="AB261">IFERROR(IF(OR(AA261="Insecta",AA261="Arachnida",AA261="#N/C"),"",INDEX(ClassificationClasses[[Class]:[Suborder]],MATCH(TRUE,ISNUMBER(SEARCH(AA261,ClassificationClasses[Key])),0),MATCH(AA261,INDEX(ClassificationClasses[#Data], MATCH(TRUE,ISNUMBER(SEARCH(AA261,ClassificationClasses[Key])),0), 0), 0)-1)),"")</f>
        <v>Diptera</v>
      </c>
      <c r="AC261" s="116" t="str" cm="1">
        <f t="array" ref="AC261">IFERROR(IF(OR(AB261="Insecta",AB261="Arachnida",AB261="#N/C"),"",INDEX(ClassificationClasses[[Class]:[Suborder]],MATCH(TRUE,ISNUMBER(SEARCH(AB261,ClassificationClasses[Key])),0),MATCH(AB261,INDEX(ClassificationClasses[#Data], MATCH(TRUE,ISNUMBER(SEARCH(AB261,ClassificationClasses[Key])),0), 0), 0)-1)),"")</f>
        <v>Insecta</v>
      </c>
      <c r="AD261" s="116" t="str" cm="1">
        <f t="array" ref="AD261">IFERROR(IF(OR(AC261="Insecta",AC261="Arachnida",AC261="#N/C"),"",INDEX(ClassificationClasses[[Class]:[Suborder]],MATCH(TRUE,ISNUMBER(SEARCH(AC261,ClassificationClasses[Key])),0),MATCH(AC261,INDEX(ClassificationClasses[#Data], MATCH(TRUE,ISNUMBER(SEARCH(AC261,ClassificationClasses[Key])),0), 0), 0)-1)),"")</f>
        <v/>
      </c>
      <c r="AE261" s="18" t="str">
        <f t="shared" si="8"/>
        <v>Insecta.Diptera.Brachycera.Asilomorpha.Asiloidea.Asilidae.Asilinae.#N/C.#N/C</v>
      </c>
    </row>
    <row r="262" spans="1:31" x14ac:dyDescent="0.3">
      <c r="A262" s="91">
        <v>261</v>
      </c>
      <c r="B262" s="7">
        <v>44403</v>
      </c>
      <c r="C262" s="92" t="s">
        <v>468</v>
      </c>
      <c r="D262" s="93" t="str">
        <f>HYPERLINK(VLOOKUP(C262,Video_List!$F:$J,5),"video")</f>
        <v>video</v>
      </c>
      <c r="E262" s="94" t="str">
        <f>IFERROR(IF(MATCH(C262,Video_List!$F:$F,)&gt;0,"ok",""),"error")</f>
        <v>ok</v>
      </c>
      <c r="F262" s="92" t="s">
        <v>468</v>
      </c>
      <c r="G262" s="93" t="str">
        <f>HYPERLINK(VLOOKUP(F262,Video_List!$F:$J,5),"video")</f>
        <v>video</v>
      </c>
      <c r="H262" s="94" t="str">
        <f>IFERROR(IF(MATCH(F262,Video_List!$F:$F,)&gt;0,"ok",""),"error")</f>
        <v>ok</v>
      </c>
      <c r="I262" s="17">
        <v>44403.645925925928</v>
      </c>
      <c r="J262" s="8">
        <v>44403.64607638889</v>
      </c>
      <c r="K262" s="15">
        <f t="shared" si="9"/>
        <v>1.5046296175569296E-4</v>
      </c>
      <c r="L262" s="4" t="s">
        <v>32</v>
      </c>
      <c r="M262" s="4" t="s">
        <v>33</v>
      </c>
      <c r="N262" s="96" t="str">
        <f>IF(ISBLANK(C262),"",IF(C262=F262, "1 video",CONCATENATE((+COUNTIFS(Video_List!$C:$C,"&lt;=" &amp;Monitoring!J262)-COUNTIFS(Video_List!$C:$C,"&lt;=" &amp;Monitoring!I262))+1," videos")))</f>
        <v>1 video</v>
      </c>
      <c r="O262" s="27" t="s">
        <v>32</v>
      </c>
      <c r="P262" s="42" t="s">
        <v>37</v>
      </c>
      <c r="Q262" s="42" t="s">
        <v>38</v>
      </c>
      <c r="R262" s="42" t="s">
        <v>39</v>
      </c>
      <c r="S262" s="97" t="str">
        <f>+IFERROR(IF(T262="#N/C","#N/C",IF(U262=0,INDEX(Taxonomy_UniqueValues!D:D,MATCH(U262,Taxonomy_UniqueValues!F:F,0)),INDEX(Taxonomy_UniqueValues!D:D,MATCH(T262,Taxonomy_UniqueValues!E:E,0)))),"#N/C")</f>
        <v>Muscomorpha</v>
      </c>
      <c r="T262" s="42" t="s">
        <v>46</v>
      </c>
      <c r="U262" s="42" t="s">
        <v>47</v>
      </c>
      <c r="V262" s="42" t="s">
        <v>48</v>
      </c>
      <c r="W262" s="42" t="s">
        <v>35</v>
      </c>
      <c r="X262" s="28" t="s">
        <v>35</v>
      </c>
      <c r="Y262" s="69" t="str" cm="1">
        <f t="array" ref="Y262">_xlfn.LET(_xlpm.cls,P262, _xlpm.ord,IFERROR(Q262,"#N/C"), _xlpm.subord,IFERROR(R262,"#N/C"), _xlpm.infr,IFERROR(S262,"#N/C"), _xlpm.sf,IFERROR(T262,"#N/C"), _xlpm.fam,IFERROR(U262,"#N/C"), _xlpm.subfam,IF(TRIM(V262)="-","#N/C",IFERROR(V262,"#N/C")),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_xlpm.fallback,IF(IFERROR(Q262,"#N/C")="#N/C",P262,IF(IFERROR(R262,"#N/C")="#N/C",Q262,IF(IFERROR(S262,"#N/C")="#N/C",R262,IF(IFERROR(T262,"#N/C")="#N/C",S262,IF(IFERROR(U262,"#N/C")="#N/C",T262,IF(IFERROR(V262,"#N/C")="#N/C",U262,"#N/C")))))), _xlpm.finalResult,IF(OR(_xlpm.computedResult="",_xlpm.computedResult="#N/C"),_xlpm.fallback,_xlpm.computedResult), INDEX(_xlpm.finalResult,1))</f>
        <v>hoverfly</v>
      </c>
      <c r="Z262" s="116" t="str" cm="1">
        <f t="array" ref="Z262">IF(OR(Y262="Insecta",Y262="Arachnida",Y262="#N/C"),"",IFERROR(_xlfn.LET(_xlpm.fc,IFERROR(_xlfn._xlws.FILTER(ClassificationClasses[],ClassificationClasses[Classification Class]=Y262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262,ClassificationClasses[Key])),0),MATCH(Y262,INDEX(ClassificationClasses[],MATCH(TRUE,ISNUMBER(SEARCH(Y262,ClassificationClasses[Key])),0),0),0)-1)))</f>
        <v>Muscomorpha</v>
      </c>
      <c r="AA262" s="116" t="str" cm="1">
        <f t="array" ref="AA262">IFERROR(IF(OR(Z262="Insecta",Z262="Arachnida",Z262="#N/C"),"",INDEX(ClassificationClasses[[Class]:[Infraorder]],MATCH(TRUE,ISNUMBER(SEARCH(Z262,ClassificationClasses[Key])),0),MATCH(Z262,INDEX(ClassificationClasses[#Data], MATCH(TRUE,ISNUMBER(SEARCH(Z262,ClassificationClasses[Key])),0), 0), 0)-1)),"")</f>
        <v>Brachycera</v>
      </c>
      <c r="AB262" s="116" t="str" cm="1">
        <f t="array" ref="AB262">IFERROR(IF(OR(AA262="Insecta",AA262="Arachnida",AA262="#N/C"),"",INDEX(ClassificationClasses[[Class]:[Suborder]],MATCH(TRUE,ISNUMBER(SEARCH(AA262,ClassificationClasses[Key])),0),MATCH(AA262,INDEX(ClassificationClasses[#Data], MATCH(TRUE,ISNUMBER(SEARCH(AA262,ClassificationClasses[Key])),0), 0), 0)-1)),"")</f>
        <v>Diptera</v>
      </c>
      <c r="AC262" s="116" t="str" cm="1">
        <f t="array" ref="AC262">IFERROR(IF(OR(AB262="Insecta",AB262="Arachnida",AB262="#N/C"),"",INDEX(ClassificationClasses[[Class]:[Suborder]],MATCH(TRUE,ISNUMBER(SEARCH(AB262,ClassificationClasses[Key])),0),MATCH(AB262,INDEX(ClassificationClasses[#Data], MATCH(TRUE,ISNUMBER(SEARCH(AB262,ClassificationClasses[Key])),0), 0), 0)-1)),"")</f>
        <v>Insecta</v>
      </c>
      <c r="AD262" s="116" t="str" cm="1">
        <f t="array" ref="AD262">IFERROR(IF(OR(AC262="Insecta",AC262="Arachnida",AC262="#N/C"),"",INDEX(ClassificationClasses[[Class]:[Suborder]],MATCH(TRUE,ISNUMBER(SEARCH(AC262,ClassificationClasses[Key])),0),MATCH(AC262,INDEX(ClassificationClasses[#Data], MATCH(TRUE,ISNUMBER(SEARCH(AC262,ClassificationClasses[Key])),0), 0), 0)-1)),"")</f>
        <v/>
      </c>
      <c r="AE262" s="18" t="str">
        <f t="shared" si="8"/>
        <v>Insecta.Diptera.Brachycera.Muscomorpha.Syrphoidea.Syrphidae.Syrphinae.#N/C.#N/C</v>
      </c>
    </row>
    <row r="263" spans="1:31" x14ac:dyDescent="0.3">
      <c r="A263" s="91">
        <v>262</v>
      </c>
      <c r="B263" s="7">
        <v>44403</v>
      </c>
      <c r="C263" s="92" t="s">
        <v>469</v>
      </c>
      <c r="D263" s="93" t="str">
        <f>HYPERLINK(VLOOKUP(C263,Video_List!$F:$J,5),"video")</f>
        <v>video</v>
      </c>
      <c r="E263" s="94" t="str">
        <f>IFERROR(IF(MATCH(C263,Video_List!$F:$F,)&gt;0,"ok",""),"error")</f>
        <v>ok</v>
      </c>
      <c r="F263" s="92" t="s">
        <v>469</v>
      </c>
      <c r="G263" s="93" t="str">
        <f>HYPERLINK(VLOOKUP(F263,Video_List!$F:$J,5),"video")</f>
        <v>video</v>
      </c>
      <c r="H263" s="94" t="str">
        <f>IFERROR(IF(MATCH(F263,Video_List!$F:$F,)&gt;0,"ok",""),"error")</f>
        <v>ok</v>
      </c>
      <c r="I263" s="17">
        <v>44403.657789351855</v>
      </c>
      <c r="J263" s="8">
        <v>44403.676215277781</v>
      </c>
      <c r="K263" s="15">
        <f t="shared" si="9"/>
        <v>1.8425925925839692E-2</v>
      </c>
      <c r="L263" s="95" t="s">
        <v>55</v>
      </c>
      <c r="M263" s="95" t="s">
        <v>55</v>
      </c>
      <c r="N263" s="96" t="str">
        <f>IF(ISBLANK(C263),"",IF(C263=F263, "1 video",CONCATENATE((+COUNTIFS(Video_List!$C:$C,"&lt;=" &amp;Monitoring!J263)-COUNTIFS(Video_List!$C:$C,"&lt;=" &amp;Monitoring!I263))+1," videos")))</f>
        <v>1 video</v>
      </c>
      <c r="O263" s="27" t="s">
        <v>32</v>
      </c>
      <c r="P263" s="42" t="s">
        <v>37</v>
      </c>
      <c r="Q263" s="42" t="s">
        <v>76</v>
      </c>
      <c r="R263" s="42" t="s">
        <v>77</v>
      </c>
      <c r="S263" s="97" t="str">
        <f>+IFERROR(IF(T263="#N/C","#N/C",IF(U263=0,INDEX(Taxonomy_UniqueValues!D:D,MATCH(U263,Taxonomy_UniqueValues!F:F,0)),INDEX(Taxonomy_UniqueValues!D:D,MATCH(T263,Taxonomy_UniqueValues!E:E,0)))),"#N/C")</f>
        <v>Cucujiformia</v>
      </c>
      <c r="T263" s="42" t="s">
        <v>78</v>
      </c>
      <c r="U263" s="42" t="s">
        <v>79</v>
      </c>
      <c r="V263" s="42" t="s">
        <v>80</v>
      </c>
      <c r="W263" s="3" t="s">
        <v>470</v>
      </c>
      <c r="X263" s="28" t="s">
        <v>471</v>
      </c>
      <c r="Y263" s="69" t="str" cm="1">
        <f t="array" ref="Y263">_xlfn.LET(_xlpm.cls,P263, _xlpm.ord,IFERROR(Q263,"#N/C"), _xlpm.subord,IFERROR(R263,"#N/C"), _xlpm.infr,IFERROR(S263,"#N/C"), _xlpm.sf,IFERROR(T263,"#N/C"), _xlpm.fam,IFERROR(U263,"#N/C"), _xlpm.subfam,IF(TRIM(V263)="-","#N/C",IFERROR(V263,"#N/C")),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_xlpm.fallback,IF(IFERROR(Q263,"#N/C")="#N/C",P263,IF(IFERROR(R263,"#N/C")="#N/C",Q263,IF(IFERROR(S263,"#N/C")="#N/C",R263,IF(IFERROR(T263,"#N/C")="#N/C",S263,IF(IFERROR(U263,"#N/C")="#N/C",T263,IF(IFERROR(V263,"#N/C")="#N/C",U263,"#N/C")))))), _xlpm.finalResult,IF(OR(_xlpm.computedResult="",_xlpm.computedResult="#N/C"),_xlpm.fallback,_xlpm.computedResult), INDEX(_xlpm.finalResult,1))</f>
        <v>ladybug</v>
      </c>
      <c r="Z263" s="116" t="str" cm="1">
        <f t="array" ref="Z263">IF(OR(Y263="Insecta",Y263="Arachnida",Y263="#N/C"),"",IFERROR(_xlfn.LET(_xlpm.fc,IFERROR(_xlfn._xlws.FILTER(ClassificationClasses[],ClassificationClasses[Classification Class]=Y263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263,ClassificationClasses[Key])),0),MATCH(Y263,INDEX(ClassificationClasses[],MATCH(TRUE,ISNUMBER(SEARCH(Y263,ClassificationClasses[Key])),0),0),0)-1)))</f>
        <v>Cucujiformia</v>
      </c>
      <c r="AA263" s="116" t="str" cm="1">
        <f t="array" ref="AA263">IFERROR(IF(OR(Z263="Insecta",Z263="Arachnida",Z263="#N/C"),"",INDEX(ClassificationClasses[[Class]:[Infraorder]],MATCH(TRUE,ISNUMBER(SEARCH(Z263,ClassificationClasses[Key])),0),MATCH(Z263,INDEX(ClassificationClasses[#Data], MATCH(TRUE,ISNUMBER(SEARCH(Z263,ClassificationClasses[Key])),0), 0), 0)-1)),"")</f>
        <v>Polyphaga</v>
      </c>
      <c r="AB263" s="116" t="str" cm="1">
        <f t="array" ref="AB263">IFERROR(IF(OR(AA263="Insecta",AA263="Arachnida",AA263="#N/C"),"",INDEX(ClassificationClasses[[Class]:[Suborder]],MATCH(TRUE,ISNUMBER(SEARCH(AA263,ClassificationClasses[Key])),0),MATCH(AA263,INDEX(ClassificationClasses[#Data], MATCH(TRUE,ISNUMBER(SEARCH(AA263,ClassificationClasses[Key])),0), 0), 0)-1)),"")</f>
        <v>Coleoptera</v>
      </c>
      <c r="AC263" s="116" t="str" cm="1">
        <f t="array" ref="AC263">IFERROR(IF(OR(AB263="Insecta",AB263="Arachnida",AB263="#N/C"),"",INDEX(ClassificationClasses[[Class]:[Suborder]],MATCH(TRUE,ISNUMBER(SEARCH(AB263,ClassificationClasses[Key])),0),MATCH(AB263,INDEX(ClassificationClasses[#Data], MATCH(TRUE,ISNUMBER(SEARCH(AB263,ClassificationClasses[Key])),0), 0), 0)-1)),"")</f>
        <v>Insecta</v>
      </c>
      <c r="AD263" s="116" t="str" cm="1">
        <f t="array" ref="AD263">IFERROR(IF(OR(AC263="Insecta",AC263="Arachnida",AC263="#N/C"),"",INDEX(ClassificationClasses[[Class]:[Suborder]],MATCH(TRUE,ISNUMBER(SEARCH(AC263,ClassificationClasses[Key])),0),MATCH(AC263,INDEX(ClassificationClasses[#Data], MATCH(TRUE,ISNUMBER(SEARCH(AC263,ClassificationClasses[Key])),0), 0), 0)-1)),"")</f>
        <v/>
      </c>
      <c r="AE263" s="18" t="str">
        <f t="shared" si="8"/>
        <v>Insecta.Coleoptera.Polyphaga.Cucujiformia.Coccinelloidea.Coccinellidae.Coccinellinae.Propylea.quatuordecimpunctata</v>
      </c>
    </row>
    <row r="264" spans="1:31" x14ac:dyDescent="0.3">
      <c r="A264" s="91">
        <v>263</v>
      </c>
      <c r="B264" s="7">
        <v>44403</v>
      </c>
      <c r="C264" s="92" t="s">
        <v>472</v>
      </c>
      <c r="D264" s="93" t="str">
        <f>HYPERLINK(VLOOKUP(C264,Video_List!$F:$J,5),"video")</f>
        <v>video</v>
      </c>
      <c r="E264" s="94" t="str">
        <f>IFERROR(IF(MATCH(C264,Video_List!$F:$F,)&gt;0,"ok",""),"error")</f>
        <v>ok</v>
      </c>
      <c r="F264" s="92" t="s">
        <v>472</v>
      </c>
      <c r="G264" s="93" t="str">
        <f>HYPERLINK(VLOOKUP(F264,Video_List!$F:$J,5),"video")</f>
        <v>video</v>
      </c>
      <c r="H264" s="94" t="str">
        <f>IFERROR(IF(MATCH(F264,Video_List!$F:$F,)&gt;0,"ok",""),"error")</f>
        <v>ok</v>
      </c>
      <c r="I264" s="17">
        <v>44403.699664351851</v>
      </c>
      <c r="J264" s="8">
        <v>44403.699745370373</v>
      </c>
      <c r="K264" s="15">
        <f t="shared" si="9"/>
        <v>8.101852290565148E-5</v>
      </c>
      <c r="L264" s="4" t="s">
        <v>32</v>
      </c>
      <c r="M264" s="4" t="s">
        <v>33</v>
      </c>
      <c r="N264" s="96" t="str">
        <f>IF(ISBLANK(C264),"",IF(C264=F264, "1 video",CONCATENATE((+COUNTIFS(Video_List!$C:$C,"&lt;=" &amp;Monitoring!J264)-COUNTIFS(Video_List!$C:$C,"&lt;=" &amp;Monitoring!I264))+1," videos")))</f>
        <v>1 video</v>
      </c>
      <c r="O264" s="27" t="s">
        <v>32</v>
      </c>
      <c r="P264" s="42" t="s">
        <v>37</v>
      </c>
      <c r="Q264" s="42" t="s">
        <v>38</v>
      </c>
      <c r="R264" s="42" t="s">
        <v>39</v>
      </c>
      <c r="S264" s="97" t="str">
        <f>+IFERROR(IF(T264="#N/C","#N/C",IF(U264=0,INDEX(Taxonomy_UniqueValues!D:D,MATCH(U264,Taxonomy_UniqueValues!F:F,0)),INDEX(Taxonomy_UniqueValues!D:D,MATCH(T264,Taxonomy_UniqueValues!E:E,0)))),"#N/C")</f>
        <v>#N/C</v>
      </c>
      <c r="T264" s="42" t="s">
        <v>35</v>
      </c>
      <c r="U264" s="42" t="s">
        <v>35</v>
      </c>
      <c r="V264" s="42" t="s">
        <v>35</v>
      </c>
      <c r="W264" s="42" t="s">
        <v>35</v>
      </c>
      <c r="X264" s="28" t="s">
        <v>35</v>
      </c>
      <c r="Y264" s="69" t="str" cm="1">
        <f t="array" ref="Y264">_xlfn.LET(_xlpm.cls,P264, _xlpm.ord,IFERROR(Q264,"#N/C"), _xlpm.subord,IFERROR(R264,"#N/C"), _xlpm.infr,IFERROR(S264,"#N/C"), _xlpm.sf,IFERROR(T264,"#N/C"), _xlpm.fam,IFERROR(U264,"#N/C"), _xlpm.subfam,IF(TRIM(V264)="-","#N/C",IFERROR(V264,"#N/C")),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_xlpm.fallback,IF(IFERROR(Q264,"#N/C")="#N/C",P264,IF(IFERROR(R264,"#N/C")="#N/C",Q264,IF(IFERROR(S264,"#N/C")="#N/C",R264,IF(IFERROR(T264,"#N/C")="#N/C",S264,IF(IFERROR(U264,"#N/C")="#N/C",T264,IF(IFERROR(V264,"#N/C")="#N/C",U264,"#N/C")))))), _xlpm.finalResult,IF(OR(_xlpm.computedResult="",_xlpm.computedResult="#N/C"),_xlpm.fallback,_xlpm.computedResult), INDEX(_xlpm.finalResult,1))</f>
        <v>Brachycera</v>
      </c>
      <c r="Z264" s="116" t="str" cm="1">
        <f t="array" ref="Z264">IF(OR(Y264="Insecta",Y264="Arachnida",Y264="#N/C"),"",IFERROR(_xlfn.LET(_xlpm.fc,IFERROR(_xlfn._xlws.FILTER(ClassificationClasses[],ClassificationClasses[Classification Class]=Y264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264,ClassificationClasses[Key])),0),MATCH(Y264,INDEX(ClassificationClasses[],MATCH(TRUE,ISNUMBER(SEARCH(Y264,ClassificationClasses[Key])),0),0),0)-1)))</f>
        <v>Diptera</v>
      </c>
      <c r="AA264" s="116" t="str" cm="1">
        <f t="array" ref="AA264">IFERROR(IF(OR(Z264="Insecta",Z264="Arachnida",Z264="#N/C"),"",INDEX(ClassificationClasses[[Class]:[Infraorder]],MATCH(TRUE,ISNUMBER(SEARCH(Z264,ClassificationClasses[Key])),0),MATCH(Z264,INDEX(ClassificationClasses[#Data], MATCH(TRUE,ISNUMBER(SEARCH(Z264,ClassificationClasses[Key])),0), 0), 0)-1)),"")</f>
        <v>Insecta</v>
      </c>
      <c r="AB264" s="116" t="str" cm="1">
        <f t="array" ref="AB264">IFERROR(IF(OR(AA264="Insecta",AA264="Arachnida",AA264="#N/C"),"",INDEX(ClassificationClasses[[Class]:[Suborder]],MATCH(TRUE,ISNUMBER(SEARCH(AA264,ClassificationClasses[Key])),0),MATCH(AA264,INDEX(ClassificationClasses[#Data], MATCH(TRUE,ISNUMBER(SEARCH(AA264,ClassificationClasses[Key])),0), 0), 0)-1)),"")</f>
        <v/>
      </c>
      <c r="AC264" s="116" t="str" cm="1">
        <f t="array" ref="AC264">IFERROR(IF(OR(AB264="Insecta",AB264="Arachnida",AB264="#N/C"),"",INDEX(ClassificationClasses[[Class]:[Suborder]],MATCH(TRUE,ISNUMBER(SEARCH(AB264,ClassificationClasses[Key])),0),MATCH(AB264,INDEX(ClassificationClasses[#Data], MATCH(TRUE,ISNUMBER(SEARCH(AB264,ClassificationClasses[Key])),0), 0), 0)-1)),"")</f>
        <v/>
      </c>
      <c r="AD264" s="116" t="str" cm="1">
        <f t="array" ref="AD264">IFERROR(IF(OR(AC264="Insecta",AC264="Arachnida",AC264="#N/C"),"",INDEX(ClassificationClasses[[Class]:[Suborder]],MATCH(TRUE,ISNUMBER(SEARCH(AC264,ClassificationClasses[Key])),0),MATCH(AC264,INDEX(ClassificationClasses[#Data], MATCH(TRUE,ISNUMBER(SEARCH(AC264,ClassificationClasses[Key])),0), 0), 0)-1)),"")</f>
        <v/>
      </c>
      <c r="AE264" s="18" t="str">
        <f t="shared" ref="AE264:AE327" si="10">+CONCATENATE(P264,".",Q264,".",R264,".",S264,".",T264,".",U264,".",V264,".",W264,".",X264)</f>
        <v>Insecta.Diptera.Brachycera.#N/C.#N/C.#N/C.#N/C.#N/C.#N/C</v>
      </c>
    </row>
    <row r="265" spans="1:31" x14ac:dyDescent="0.3">
      <c r="A265" s="91">
        <v>264</v>
      </c>
      <c r="B265" s="7">
        <v>44403</v>
      </c>
      <c r="C265" s="92" t="s">
        <v>473</v>
      </c>
      <c r="D265" s="93" t="str">
        <f>HYPERLINK(VLOOKUP(C265,Video_List!$F:$J,5),"video")</f>
        <v>video</v>
      </c>
      <c r="E265" s="94" t="str">
        <f>IFERROR(IF(MATCH(C265,Video_List!$F:$F,)&gt;0,"ok",""),"error")</f>
        <v>ok</v>
      </c>
      <c r="F265" s="92" t="s">
        <v>473</v>
      </c>
      <c r="G265" s="93" t="str">
        <f>HYPERLINK(VLOOKUP(F265,Video_List!$F:$J,5),"video")</f>
        <v>video</v>
      </c>
      <c r="H265" s="94" t="str">
        <f>IFERROR(IF(MATCH(F265,Video_List!$F:$F,)&gt;0,"ok",""),"error")</f>
        <v>ok</v>
      </c>
      <c r="I265" s="17">
        <v>44403.702256944445</v>
      </c>
      <c r="J265" s="8">
        <v>44403.70244212963</v>
      </c>
      <c r="K265" s="15">
        <f t="shared" si="9"/>
        <v>1.8518518481869251E-4</v>
      </c>
      <c r="L265" s="4" t="s">
        <v>55</v>
      </c>
      <c r="M265" s="4" t="s">
        <v>55</v>
      </c>
      <c r="N265" s="96" t="str">
        <f>IF(ISBLANK(C265),"",IF(C265=F265, "1 video",CONCATENATE((+COUNTIFS(Video_List!$C:$C,"&lt;=" &amp;Monitoring!J265)-COUNTIFS(Video_List!$C:$C,"&lt;=" &amp;Monitoring!I265))+1," videos")))</f>
        <v>1 video</v>
      </c>
      <c r="O265" s="27" t="s">
        <v>32</v>
      </c>
      <c r="P265" s="42" t="s">
        <v>37</v>
      </c>
      <c r="Q265" s="42" t="s">
        <v>41</v>
      </c>
      <c r="R265" s="42" t="s">
        <v>42</v>
      </c>
      <c r="S265" s="97" t="str">
        <f>+IFERROR(IF(T265="#N/C","#N/C",IF(U265=0,INDEX(Taxonomy_UniqueValues!D:D,MATCH(U265,Taxonomy_UniqueValues!F:F,0)),INDEX(Taxonomy_UniqueValues!D:D,MATCH(T265,Taxonomy_UniqueValues!E:E,0)))),"#N/C")</f>
        <v>Parasitica</v>
      </c>
      <c r="T265" s="42" t="s">
        <v>71</v>
      </c>
      <c r="U265" s="42" t="s">
        <v>72</v>
      </c>
      <c r="V265" s="42" t="s">
        <v>85</v>
      </c>
      <c r="W265" s="42" t="s">
        <v>86</v>
      </c>
      <c r="X265" s="28" t="s">
        <v>35</v>
      </c>
      <c r="Y265" s="69" t="str" cm="1">
        <f t="array" ref="Y265">_xlfn.LET(_xlpm.cls,P265, _xlpm.ord,IFERROR(Q265,"#N/C"), _xlpm.subord,IFERROR(R265,"#N/C"), _xlpm.infr,IFERROR(S265,"#N/C"), _xlpm.sf,IFERROR(T265,"#N/C"), _xlpm.fam,IFERROR(U265,"#N/C"), _xlpm.subfam,IF(TRIM(V265)="-","#N/C",IFERROR(V265,"#N/C")),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_xlpm.fallback,IF(IFERROR(Q265,"#N/C")="#N/C",P265,IF(IFERROR(R265,"#N/C")="#N/C",Q265,IF(IFERROR(S265,"#N/C")="#N/C",R265,IF(IFERROR(T265,"#N/C")="#N/C",S265,IF(IFERROR(U265,"#N/C")="#N/C",T265,IF(IFERROR(V265,"#N/C")="#N/C",U265,"#N/C")))))), _xlpm.finalResult,IF(OR(_xlpm.computedResult="",_xlpm.computedResult="#N/C"),_xlpm.fallback,_xlpm.computedResult), INDEX(_xlpm.finalResult,1))</f>
        <v>Ichneumonidae</v>
      </c>
      <c r="Z265" s="116" t="str" cm="1">
        <f t="array" ref="Z265">IF(OR(Y265="Insecta",Y265="Arachnida",Y265="#N/C"),"",IFERROR(_xlfn.LET(_xlpm.fc,IFERROR(_xlfn._xlws.FILTER(ClassificationClasses[],ClassificationClasses[Classification Class]=Y265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265,ClassificationClasses[Key])),0),MATCH(Y265,INDEX(ClassificationClasses[],MATCH(TRUE,ISNUMBER(SEARCH(Y265,ClassificationClasses[Key])),0),0),0)-1)))</f>
        <v>Ichneumonoidea</v>
      </c>
      <c r="AA265" s="116" t="str" cm="1">
        <f t="array" ref="AA265">IFERROR(IF(OR(Z265="Insecta",Z265="Arachnida",Z265="#N/C"),"",INDEX(ClassificationClasses[[Class]:[Infraorder]],MATCH(TRUE,ISNUMBER(SEARCH(Z265,ClassificationClasses[Key])),0),MATCH(Z265,INDEX(ClassificationClasses[#Data], MATCH(TRUE,ISNUMBER(SEARCH(Z265,ClassificationClasses[Key])),0), 0), 0)-1)),"")</f>
        <v>Parasitica</v>
      </c>
      <c r="AB265" s="116" t="str" cm="1">
        <f t="array" ref="AB265">IFERROR(IF(OR(AA265="Insecta",AA265="Arachnida",AA265="#N/C"),"",INDEX(ClassificationClasses[[Class]:[Suborder]],MATCH(TRUE,ISNUMBER(SEARCH(AA265,ClassificationClasses[Key])),0),MATCH(AA265,INDEX(ClassificationClasses[#Data], MATCH(TRUE,ISNUMBER(SEARCH(AA265,ClassificationClasses[Key])),0), 0), 0)-1)),"")</f>
        <v>Apocrita</v>
      </c>
      <c r="AC265" s="116" t="str" cm="1">
        <f t="array" ref="AC265">IFERROR(IF(OR(AB265="Insecta",AB265="Arachnida",AB265="#N/C"),"",INDEX(ClassificationClasses[[Class]:[Suborder]],MATCH(TRUE,ISNUMBER(SEARCH(AB265,ClassificationClasses[Key])),0),MATCH(AB265,INDEX(ClassificationClasses[#Data], MATCH(TRUE,ISNUMBER(SEARCH(AB265,ClassificationClasses[Key])),0), 0), 0)-1)),"")</f>
        <v>Hymenoptera</v>
      </c>
      <c r="AD265" s="116" t="str" cm="1">
        <f t="array" ref="AD265">IFERROR(IF(OR(AC265="Insecta",AC265="Arachnida",AC265="#N/C"),"",INDEX(ClassificationClasses[[Class]:[Suborder]],MATCH(TRUE,ISNUMBER(SEARCH(AC265,ClassificationClasses[Key])),0),MATCH(AC265,INDEX(ClassificationClasses[#Data], MATCH(TRUE,ISNUMBER(SEARCH(AC265,ClassificationClasses[Key])),0), 0), 0)-1)),"")</f>
        <v>Insecta</v>
      </c>
      <c r="AE265" s="18" t="str">
        <f t="shared" si="10"/>
        <v>Insecta.Hymenoptera.Apocrita.Parasitica.Ichneumonoidea.Ichneumonidae.Diplazontinae.Diplazon.#N/C</v>
      </c>
    </row>
    <row r="266" spans="1:31" x14ac:dyDescent="0.3">
      <c r="A266" s="91">
        <v>265</v>
      </c>
      <c r="B266" s="7">
        <v>44405</v>
      </c>
      <c r="C266" s="92" t="s">
        <v>474</v>
      </c>
      <c r="D266" s="93" t="str">
        <f>HYPERLINK(VLOOKUP(C266,Video_List!$F:$J,5),"video")</f>
        <v>video</v>
      </c>
      <c r="E266" s="94" t="str">
        <f>IFERROR(IF(MATCH(C266,Video_List!$F:$F,)&gt;0,"ok",""),"error")</f>
        <v>ok</v>
      </c>
      <c r="F266" s="92" t="s">
        <v>475</v>
      </c>
      <c r="G266" s="93" t="str">
        <f>HYPERLINK(VLOOKUP(F266,Video_List!$F:$J,5),"video")</f>
        <v>video</v>
      </c>
      <c r="H266" s="94" t="str">
        <f>IFERROR(IF(MATCH(F266,Video_List!$F:$F,)&gt;0,"ok",""),"error")</f>
        <v>ok</v>
      </c>
      <c r="I266" s="17">
        <v>44405.660729166666</v>
      </c>
      <c r="J266" s="8">
        <v>44405.665011574078</v>
      </c>
      <c r="K266" s="15">
        <f t="shared" si="9"/>
        <v>4.28240741166519E-3</v>
      </c>
      <c r="L266" s="4" t="s">
        <v>44</v>
      </c>
      <c r="M266" s="4" t="s">
        <v>33</v>
      </c>
      <c r="N266" s="96" t="str">
        <f>IF(ISBLANK(C266),"",IF(C266=F266, "1 video",CONCATENATE((+COUNTIFS(Video_List!$C:$C,"&lt;=" &amp;Monitoring!J266)-COUNTIFS(Video_List!$C:$C,"&lt;=" &amp;Monitoring!I266))+1," videos")))</f>
        <v>3 videos</v>
      </c>
      <c r="O266" s="27" t="s">
        <v>32</v>
      </c>
      <c r="P266" s="42" t="s">
        <v>37</v>
      </c>
      <c r="Q266" s="42" t="s">
        <v>41</v>
      </c>
      <c r="R266" s="42" t="s">
        <v>42</v>
      </c>
      <c r="S266" s="97" t="str">
        <f>+IFERROR(IF(T266="#N/C","#N/C",IF(U266=0,INDEX(Taxonomy_UniqueValues!D:D,MATCH(U266,Taxonomy_UniqueValues!F:F,0)),INDEX(Taxonomy_UniqueValues!D:D,MATCH(T266,Taxonomy_UniqueValues!E:E,0)))),"#N/C")</f>
        <v>Parasitica</v>
      </c>
      <c r="T266" s="42" t="s">
        <v>71</v>
      </c>
      <c r="U266" s="42" t="s">
        <v>72</v>
      </c>
      <c r="V266" s="42" t="s">
        <v>211</v>
      </c>
      <c r="W266" s="42" t="s">
        <v>35</v>
      </c>
      <c r="X266" s="28" t="s">
        <v>35</v>
      </c>
      <c r="Y266" s="69" t="str" cm="1">
        <f t="array" ref="Y266">_xlfn.LET(_xlpm.cls,P266, _xlpm.ord,IFERROR(Q266,"#N/C"), _xlpm.subord,IFERROR(R266,"#N/C"), _xlpm.infr,IFERROR(S266,"#N/C"), _xlpm.sf,IFERROR(T266,"#N/C"), _xlpm.fam,IFERROR(U266,"#N/C"), _xlpm.subfam,IF(TRIM(V266)="-","#N/C",IFERROR(V266,"#N/C")),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_xlpm.fallback,IF(IFERROR(Q266,"#N/C")="#N/C",P266,IF(IFERROR(R266,"#N/C")="#N/C",Q266,IF(IFERROR(S266,"#N/C")="#N/C",R266,IF(IFERROR(T266,"#N/C")="#N/C",S266,IF(IFERROR(U266,"#N/C")="#N/C",T266,IF(IFERROR(V266,"#N/C")="#N/C",U266,"#N/C")))))), _xlpm.finalResult,IF(OR(_xlpm.computedResult="",_xlpm.computedResult="#N/C"),_xlpm.fallback,_xlpm.computedResult), INDEX(_xlpm.finalResult,1))</f>
        <v>Ichneumonidae</v>
      </c>
      <c r="Z266" s="116" t="str" cm="1">
        <f t="array" ref="Z266">IF(OR(Y266="Insecta",Y266="Arachnida",Y266="#N/C"),"",IFERROR(_xlfn.LET(_xlpm.fc,IFERROR(_xlfn._xlws.FILTER(ClassificationClasses[],ClassificationClasses[Classification Class]=Y266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266,ClassificationClasses[Key])),0),MATCH(Y266,INDEX(ClassificationClasses[],MATCH(TRUE,ISNUMBER(SEARCH(Y266,ClassificationClasses[Key])),0),0),0)-1)))</f>
        <v>Ichneumonoidea</v>
      </c>
      <c r="AA266" s="116" t="str" cm="1">
        <f t="array" ref="AA266">IFERROR(IF(OR(Z266="Insecta",Z266="Arachnida",Z266="#N/C"),"",INDEX(ClassificationClasses[[Class]:[Infraorder]],MATCH(TRUE,ISNUMBER(SEARCH(Z266,ClassificationClasses[Key])),0),MATCH(Z266,INDEX(ClassificationClasses[#Data], MATCH(TRUE,ISNUMBER(SEARCH(Z266,ClassificationClasses[Key])),0), 0), 0)-1)),"")</f>
        <v>Parasitica</v>
      </c>
      <c r="AB266" s="116" t="str" cm="1">
        <f t="array" ref="AB266">IFERROR(IF(OR(AA266="Insecta",AA266="Arachnida",AA266="#N/C"),"",INDEX(ClassificationClasses[[Class]:[Suborder]],MATCH(TRUE,ISNUMBER(SEARCH(AA266,ClassificationClasses[Key])),0),MATCH(AA266,INDEX(ClassificationClasses[#Data], MATCH(TRUE,ISNUMBER(SEARCH(AA266,ClassificationClasses[Key])),0), 0), 0)-1)),"")</f>
        <v>Apocrita</v>
      </c>
      <c r="AC266" s="116" t="str" cm="1">
        <f t="array" ref="AC266">IFERROR(IF(OR(AB266="Insecta",AB266="Arachnida",AB266="#N/C"),"",INDEX(ClassificationClasses[[Class]:[Suborder]],MATCH(TRUE,ISNUMBER(SEARCH(AB266,ClassificationClasses[Key])),0),MATCH(AB266,INDEX(ClassificationClasses[#Data], MATCH(TRUE,ISNUMBER(SEARCH(AB266,ClassificationClasses[Key])),0), 0), 0)-1)),"")</f>
        <v>Hymenoptera</v>
      </c>
      <c r="AD266" s="116" t="str" cm="1">
        <f t="array" ref="AD266">IFERROR(IF(OR(AC266="Insecta",AC266="Arachnida",AC266="#N/C"),"",INDEX(ClassificationClasses[[Class]:[Suborder]],MATCH(TRUE,ISNUMBER(SEARCH(AC266,ClassificationClasses[Key])),0),MATCH(AC266,INDEX(ClassificationClasses[#Data], MATCH(TRUE,ISNUMBER(SEARCH(AC266,ClassificationClasses[Key])),0), 0), 0)-1)),"")</f>
        <v>Insecta</v>
      </c>
      <c r="AE266" s="18" t="str">
        <f t="shared" si="10"/>
        <v>Insecta.Hymenoptera.Apocrita.Parasitica.Ichneumonoidea.Ichneumonidae.Banchinae.#N/C.#N/C</v>
      </c>
    </row>
    <row r="267" spans="1:31" x14ac:dyDescent="0.3">
      <c r="A267" s="91">
        <v>266</v>
      </c>
      <c r="B267" s="7">
        <v>44405</v>
      </c>
      <c r="C267" s="92" t="s">
        <v>475</v>
      </c>
      <c r="D267" s="93" t="str">
        <f>HYPERLINK(VLOOKUP(C267,Video_List!$F:$J,5),"video")</f>
        <v>video</v>
      </c>
      <c r="E267" s="94" t="str">
        <f>IFERROR(IF(MATCH(C267,Video_List!$F:$F,)&gt;0,"ok",""),"error")</f>
        <v>ok</v>
      </c>
      <c r="F267" s="92" t="s">
        <v>475</v>
      </c>
      <c r="G267" s="93" t="str">
        <f>HYPERLINK(VLOOKUP(F267,Video_List!$F:$J,5),"video")</f>
        <v>video</v>
      </c>
      <c r="H267" s="94" t="str">
        <f>IFERROR(IF(MATCH(F267,Video_List!$F:$F,)&gt;0,"ok",""),"error")</f>
        <v>ok</v>
      </c>
      <c r="I267" s="17">
        <v>44405.665277777778</v>
      </c>
      <c r="J267" s="8">
        <v>44405.665347222224</v>
      </c>
      <c r="K267" s="15">
        <f t="shared" si="9"/>
        <v>6.9444446125999093E-5</v>
      </c>
      <c r="L267" s="4" t="s">
        <v>32</v>
      </c>
      <c r="M267" s="4" t="s">
        <v>33</v>
      </c>
      <c r="N267" s="96" t="str">
        <f>IF(ISBLANK(C267),"",IF(C267=F267, "1 video",CONCATENATE((+COUNTIFS(Video_List!$C:$C,"&lt;=" &amp;Monitoring!J267)-COUNTIFS(Video_List!$C:$C,"&lt;=" &amp;Monitoring!I267))+1," videos")))</f>
        <v>1 video</v>
      </c>
      <c r="O267" s="29" t="s">
        <v>44</v>
      </c>
      <c r="P267" s="42" t="s">
        <v>37</v>
      </c>
      <c r="Q267" s="42" t="s">
        <v>38</v>
      </c>
      <c r="R267" s="42" t="s">
        <v>39</v>
      </c>
      <c r="S267" s="97" t="str">
        <f>+IFERROR(IF(T267="#N/C","#N/C",IF(U267=0,INDEX(Taxonomy_UniqueValues!D:D,MATCH(U267,Taxonomy_UniqueValues!F:F,0)),INDEX(Taxonomy_UniqueValues!D:D,MATCH(T267,Taxonomy_UniqueValues!E:E,0)))),"#N/C")</f>
        <v>#N/C</v>
      </c>
      <c r="T267" s="42" t="s">
        <v>35</v>
      </c>
      <c r="U267" s="42" t="s">
        <v>35</v>
      </c>
      <c r="V267" s="42" t="s">
        <v>35</v>
      </c>
      <c r="W267" s="42" t="s">
        <v>35</v>
      </c>
      <c r="X267" s="28" t="s">
        <v>35</v>
      </c>
      <c r="Y267" s="69" t="str" cm="1">
        <f t="array" ref="Y267">_xlfn.LET(_xlpm.cls,P267, _xlpm.ord,IFERROR(Q267,"#N/C"), _xlpm.subord,IFERROR(R267,"#N/C"), _xlpm.infr,IFERROR(S267,"#N/C"), _xlpm.sf,IFERROR(T267,"#N/C"), _xlpm.fam,IFERROR(U267,"#N/C"), _xlpm.subfam,IF(TRIM(V267)="-","#N/C",IFERROR(V267,"#N/C")),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_xlpm.fallback,IF(IFERROR(Q267,"#N/C")="#N/C",P267,IF(IFERROR(R267,"#N/C")="#N/C",Q267,IF(IFERROR(S267,"#N/C")="#N/C",R267,IF(IFERROR(T267,"#N/C")="#N/C",S267,IF(IFERROR(U267,"#N/C")="#N/C",T267,IF(IFERROR(V267,"#N/C")="#N/C",U267,"#N/C")))))), _xlpm.finalResult,IF(OR(_xlpm.computedResult="",_xlpm.computedResult="#N/C"),_xlpm.fallback,_xlpm.computedResult), INDEX(_xlpm.finalResult,1))</f>
        <v>Brachycera</v>
      </c>
      <c r="Z267" s="116" t="str" cm="1">
        <f t="array" ref="Z267">IF(OR(Y267="Insecta",Y267="Arachnida",Y267="#N/C"),"",IFERROR(_xlfn.LET(_xlpm.fc,IFERROR(_xlfn._xlws.FILTER(ClassificationClasses[],ClassificationClasses[Classification Class]=Y267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267,ClassificationClasses[Key])),0),MATCH(Y267,INDEX(ClassificationClasses[],MATCH(TRUE,ISNUMBER(SEARCH(Y267,ClassificationClasses[Key])),0),0),0)-1)))</f>
        <v>Diptera</v>
      </c>
      <c r="AA267" s="116" t="str" cm="1">
        <f t="array" ref="AA267">IFERROR(IF(OR(Z267="Insecta",Z267="Arachnida",Z267="#N/C"),"",INDEX(ClassificationClasses[[Class]:[Infraorder]],MATCH(TRUE,ISNUMBER(SEARCH(Z267,ClassificationClasses[Key])),0),MATCH(Z267,INDEX(ClassificationClasses[#Data], MATCH(TRUE,ISNUMBER(SEARCH(Z267,ClassificationClasses[Key])),0), 0), 0)-1)),"")</f>
        <v>Insecta</v>
      </c>
      <c r="AB267" s="116" t="str" cm="1">
        <f t="array" ref="AB267">IFERROR(IF(OR(AA267="Insecta",AA267="Arachnida",AA267="#N/C"),"",INDEX(ClassificationClasses[[Class]:[Suborder]],MATCH(TRUE,ISNUMBER(SEARCH(AA267,ClassificationClasses[Key])),0),MATCH(AA267,INDEX(ClassificationClasses[#Data], MATCH(TRUE,ISNUMBER(SEARCH(AA267,ClassificationClasses[Key])),0), 0), 0)-1)),"")</f>
        <v/>
      </c>
      <c r="AC267" s="116" t="str" cm="1">
        <f t="array" ref="AC267">IFERROR(IF(OR(AB267="Insecta",AB267="Arachnida",AB267="#N/C"),"",INDEX(ClassificationClasses[[Class]:[Suborder]],MATCH(TRUE,ISNUMBER(SEARCH(AB267,ClassificationClasses[Key])),0),MATCH(AB267,INDEX(ClassificationClasses[#Data], MATCH(TRUE,ISNUMBER(SEARCH(AB267,ClassificationClasses[Key])),0), 0), 0)-1)),"")</f>
        <v/>
      </c>
      <c r="AD267" s="116" t="str" cm="1">
        <f t="array" ref="AD267">IFERROR(IF(OR(AC267="Insecta",AC267="Arachnida",AC267="#N/C"),"",INDEX(ClassificationClasses[[Class]:[Suborder]],MATCH(TRUE,ISNUMBER(SEARCH(AC267,ClassificationClasses[Key])),0),MATCH(AC267,INDEX(ClassificationClasses[#Data], MATCH(TRUE,ISNUMBER(SEARCH(AC267,ClassificationClasses[Key])),0), 0), 0)-1)),"")</f>
        <v/>
      </c>
      <c r="AE267" s="18" t="str">
        <f t="shared" si="10"/>
        <v>Insecta.Diptera.Brachycera.#N/C.#N/C.#N/C.#N/C.#N/C.#N/C</v>
      </c>
    </row>
    <row r="268" spans="1:31" x14ac:dyDescent="0.3">
      <c r="A268" s="91">
        <v>267</v>
      </c>
      <c r="B268" s="7">
        <v>44405</v>
      </c>
      <c r="C268" s="92" t="s">
        <v>476</v>
      </c>
      <c r="D268" s="93" t="str">
        <f>HYPERLINK(VLOOKUP(C268,Video_List!$F:$J,5),"video")</f>
        <v>video</v>
      </c>
      <c r="E268" s="94" t="str">
        <f>IFERROR(IF(MATCH(C268,Video_List!$F:$F,)&gt;0,"ok",""),"error")</f>
        <v>ok</v>
      </c>
      <c r="F268" s="92" t="s">
        <v>476</v>
      </c>
      <c r="G268" s="93" t="str">
        <f>HYPERLINK(VLOOKUP(F268,Video_List!$F:$J,5),"video")</f>
        <v>video</v>
      </c>
      <c r="H268" s="94" t="str">
        <f>IFERROR(IF(MATCH(F268,Video_List!$F:$F,)&gt;0,"ok",""),"error")</f>
        <v>ok</v>
      </c>
      <c r="I268" s="17">
        <v>44405.679293981484</v>
      </c>
      <c r="J268" s="8">
        <v>44405.682291666664</v>
      </c>
      <c r="K268" s="15">
        <f t="shared" si="9"/>
        <v>2.9976851801620796E-3</v>
      </c>
      <c r="L268" s="95" t="s">
        <v>44</v>
      </c>
      <c r="M268" s="95" t="s">
        <v>118</v>
      </c>
      <c r="N268" s="96" t="str">
        <f>IF(ISBLANK(C268),"",IF(C268=F268, "1 video",CONCATENATE((+COUNTIFS(Video_List!$C:$C,"&lt;=" &amp;Monitoring!J268)-COUNTIFS(Video_List!$C:$C,"&lt;=" &amp;Monitoring!I268))+1," videos")))</f>
        <v>1 video</v>
      </c>
      <c r="O268" s="29" t="s">
        <v>44</v>
      </c>
      <c r="P268" s="42" t="s">
        <v>37</v>
      </c>
      <c r="Q268" s="42" t="s">
        <v>38</v>
      </c>
      <c r="R268" s="42" t="s">
        <v>39</v>
      </c>
      <c r="S268" s="97" t="str">
        <f>+IFERROR(IF(T268="#N/C","#N/C",IF(U268=0,INDEX(Taxonomy_UniqueValues!D:D,MATCH(U268,Taxonomy_UniqueValues!F:F,0)),INDEX(Taxonomy_UniqueValues!D:D,MATCH(T268,Taxonomy_UniqueValues!E:E,0)))),"#N/C")</f>
        <v>#N/C</v>
      </c>
      <c r="T268" s="42" t="s">
        <v>35</v>
      </c>
      <c r="U268" s="42" t="s">
        <v>35</v>
      </c>
      <c r="V268" s="42" t="s">
        <v>35</v>
      </c>
      <c r="W268" s="42" t="s">
        <v>35</v>
      </c>
      <c r="X268" s="28" t="s">
        <v>35</v>
      </c>
      <c r="Y268" s="69" t="str" cm="1">
        <f t="array" ref="Y268">_xlfn.LET(_xlpm.cls,P268, _xlpm.ord,IFERROR(Q268,"#N/C"), _xlpm.subord,IFERROR(R268,"#N/C"), _xlpm.infr,IFERROR(S268,"#N/C"), _xlpm.sf,IFERROR(T268,"#N/C"), _xlpm.fam,IFERROR(U268,"#N/C"), _xlpm.subfam,IF(TRIM(V268)="-","#N/C",IFERROR(V268,"#N/C")),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_xlpm.fallback,IF(IFERROR(Q268,"#N/C")="#N/C",P268,IF(IFERROR(R268,"#N/C")="#N/C",Q268,IF(IFERROR(S268,"#N/C")="#N/C",R268,IF(IFERROR(T268,"#N/C")="#N/C",S268,IF(IFERROR(U268,"#N/C")="#N/C",T268,IF(IFERROR(V268,"#N/C")="#N/C",U268,"#N/C")))))), _xlpm.finalResult,IF(OR(_xlpm.computedResult="",_xlpm.computedResult="#N/C"),_xlpm.fallback,_xlpm.computedResult), INDEX(_xlpm.finalResult,1))</f>
        <v>Brachycera</v>
      </c>
      <c r="Z268" s="116" t="str" cm="1">
        <f t="array" ref="Z268">IF(OR(Y268="Insecta",Y268="Arachnida",Y268="#N/C"),"",IFERROR(_xlfn.LET(_xlpm.fc,IFERROR(_xlfn._xlws.FILTER(ClassificationClasses[],ClassificationClasses[Classification Class]=Y268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268,ClassificationClasses[Key])),0),MATCH(Y268,INDEX(ClassificationClasses[],MATCH(TRUE,ISNUMBER(SEARCH(Y268,ClassificationClasses[Key])),0),0),0)-1)))</f>
        <v>Diptera</v>
      </c>
      <c r="AA268" s="116" t="str" cm="1">
        <f t="array" ref="AA268">IFERROR(IF(OR(Z268="Insecta",Z268="Arachnida",Z268="#N/C"),"",INDEX(ClassificationClasses[[Class]:[Infraorder]],MATCH(TRUE,ISNUMBER(SEARCH(Z268,ClassificationClasses[Key])),0),MATCH(Z268,INDEX(ClassificationClasses[#Data], MATCH(TRUE,ISNUMBER(SEARCH(Z268,ClassificationClasses[Key])),0), 0), 0)-1)),"")</f>
        <v>Insecta</v>
      </c>
      <c r="AB268" s="116" t="str" cm="1">
        <f t="array" ref="AB268">IFERROR(IF(OR(AA268="Insecta",AA268="Arachnida",AA268="#N/C"),"",INDEX(ClassificationClasses[[Class]:[Suborder]],MATCH(TRUE,ISNUMBER(SEARCH(AA268,ClassificationClasses[Key])),0),MATCH(AA268,INDEX(ClassificationClasses[#Data], MATCH(TRUE,ISNUMBER(SEARCH(AA268,ClassificationClasses[Key])),0), 0), 0)-1)),"")</f>
        <v/>
      </c>
      <c r="AC268" s="116" t="str" cm="1">
        <f t="array" ref="AC268">IFERROR(IF(OR(AB268="Insecta",AB268="Arachnida",AB268="#N/C"),"",INDEX(ClassificationClasses[[Class]:[Suborder]],MATCH(TRUE,ISNUMBER(SEARCH(AB268,ClassificationClasses[Key])),0),MATCH(AB268,INDEX(ClassificationClasses[#Data], MATCH(TRUE,ISNUMBER(SEARCH(AB268,ClassificationClasses[Key])),0), 0), 0)-1)),"")</f>
        <v/>
      </c>
      <c r="AD268" s="116" t="str" cm="1">
        <f t="array" ref="AD268">IFERROR(IF(OR(AC268="Insecta",AC268="Arachnida",AC268="#N/C"),"",INDEX(ClassificationClasses[[Class]:[Suborder]],MATCH(TRUE,ISNUMBER(SEARCH(AC268,ClassificationClasses[Key])),0),MATCH(AC268,INDEX(ClassificationClasses[#Data], MATCH(TRUE,ISNUMBER(SEARCH(AC268,ClassificationClasses[Key])),0), 0), 0)-1)),"")</f>
        <v/>
      </c>
      <c r="AE268" s="18" t="str">
        <f t="shared" si="10"/>
        <v>Insecta.Diptera.Brachycera.#N/C.#N/C.#N/C.#N/C.#N/C.#N/C</v>
      </c>
    </row>
    <row r="269" spans="1:31" x14ac:dyDescent="0.3">
      <c r="A269" s="91">
        <v>268</v>
      </c>
      <c r="B269" s="7">
        <v>44405</v>
      </c>
      <c r="C269" s="92" t="s">
        <v>477</v>
      </c>
      <c r="D269" s="93" t="str">
        <f>HYPERLINK(VLOOKUP(C269,Video_List!$F:$J,5),"video")</f>
        <v>video</v>
      </c>
      <c r="E269" s="94" t="str">
        <f>IFERROR(IF(MATCH(C269,Video_List!$F:$F,)&gt;0,"ok",""),"error")</f>
        <v>ok</v>
      </c>
      <c r="F269" s="92" t="s">
        <v>477</v>
      </c>
      <c r="G269" s="93" t="str">
        <f>HYPERLINK(VLOOKUP(F269,Video_List!$F:$J,5),"video")</f>
        <v>video</v>
      </c>
      <c r="H269" s="94" t="str">
        <f>IFERROR(IF(MATCH(F269,Video_List!$F:$F,)&gt;0,"ok",""),"error")</f>
        <v>ok</v>
      </c>
      <c r="I269" s="17">
        <v>44405.687847222223</v>
      </c>
      <c r="J269" s="8">
        <v>44405.687905092593</v>
      </c>
      <c r="K269" s="15">
        <f t="shared" si="9"/>
        <v>5.7870369346346706E-5</v>
      </c>
      <c r="L269" s="4" t="s">
        <v>32</v>
      </c>
      <c r="M269" s="4" t="s">
        <v>33</v>
      </c>
      <c r="N269" s="96" t="str">
        <f>IF(ISBLANK(C269),"",IF(C269=F269, "1 video",CONCATENATE((+COUNTIFS(Video_List!$C:$C,"&lt;=" &amp;Monitoring!J269)-COUNTIFS(Video_List!$C:$C,"&lt;=" &amp;Monitoring!I269))+1," videos")))</f>
        <v>1 video</v>
      </c>
      <c r="O269" s="27" t="s">
        <v>32</v>
      </c>
      <c r="P269" s="42" t="s">
        <v>37</v>
      </c>
      <c r="Q269" s="42" t="s">
        <v>38</v>
      </c>
      <c r="R269" s="42" t="s">
        <v>39</v>
      </c>
      <c r="S269" s="97" t="str">
        <f>+IFERROR(IF(T269="#N/C","#N/C",IF(U269=0,INDEX(Taxonomy_UniqueValues!D:D,MATCH(U269,Taxonomy_UniqueValues!F:F,0)),INDEX(Taxonomy_UniqueValues!D:D,MATCH(T269,Taxonomy_UniqueValues!E:E,0)))),"#N/C")</f>
        <v>Muscomorpha</v>
      </c>
      <c r="T269" s="42" t="s">
        <v>46</v>
      </c>
      <c r="U269" s="42" t="s">
        <v>478</v>
      </c>
      <c r="V269" s="42" t="s">
        <v>35</v>
      </c>
      <c r="W269" s="42" t="s">
        <v>35</v>
      </c>
      <c r="X269" s="28" t="s">
        <v>35</v>
      </c>
      <c r="Y269" s="69" t="str" cm="1">
        <f t="array" ref="Y269">_xlfn.LET(_xlpm.cls,P269, _xlpm.ord,IFERROR(Q269,"#N/C"), _xlpm.subord,IFERROR(R269,"#N/C"), _xlpm.infr,IFERROR(S269,"#N/C"), _xlpm.sf,IFERROR(T269,"#N/C"), _xlpm.fam,IFERROR(U269,"#N/C"), _xlpm.subfam,IF(TRIM(V269)="-","#N/C",IFERROR(V269,"#N/C")),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_xlpm.fallback,IF(IFERROR(Q269,"#N/C")="#N/C",P269,IF(IFERROR(R269,"#N/C")="#N/C",Q269,IF(IFERROR(S269,"#N/C")="#N/C",R269,IF(IFERROR(T269,"#N/C")="#N/C",S269,IF(IFERROR(U269,"#N/C")="#N/C",T269,IF(IFERROR(V269,"#N/C")="#N/C",U269,"#N/C")))))), _xlpm.finalResult,IF(OR(_xlpm.computedResult="",_xlpm.computedResult="#N/C"),_xlpm.fallback,_xlpm.computedResult), INDEX(_xlpm.finalResult,1))</f>
        <v>hoverfly</v>
      </c>
      <c r="Z269" s="116" t="str" cm="1">
        <f t="array" ref="Z269">IF(OR(Y269="Insecta",Y269="Arachnida",Y269="#N/C"),"",IFERROR(_xlfn.LET(_xlpm.fc,IFERROR(_xlfn._xlws.FILTER(ClassificationClasses[],ClassificationClasses[Classification Class]=Y269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269,ClassificationClasses[Key])),0),MATCH(Y269,INDEX(ClassificationClasses[],MATCH(TRUE,ISNUMBER(SEARCH(Y269,ClassificationClasses[Key])),0),0),0)-1)))</f>
        <v>Muscomorpha</v>
      </c>
      <c r="AA269" s="116" t="str" cm="1">
        <f t="array" ref="AA269">IFERROR(IF(OR(Z269="Insecta",Z269="Arachnida",Z269="#N/C"),"",INDEX(ClassificationClasses[[Class]:[Infraorder]],MATCH(TRUE,ISNUMBER(SEARCH(Z269,ClassificationClasses[Key])),0),MATCH(Z269,INDEX(ClassificationClasses[#Data], MATCH(TRUE,ISNUMBER(SEARCH(Z269,ClassificationClasses[Key])),0), 0), 0)-1)),"")</f>
        <v>Brachycera</v>
      </c>
      <c r="AB269" s="116" t="str" cm="1">
        <f t="array" ref="AB269">IFERROR(IF(OR(AA269="Insecta",AA269="Arachnida",AA269="#N/C"),"",INDEX(ClassificationClasses[[Class]:[Suborder]],MATCH(TRUE,ISNUMBER(SEARCH(AA269,ClassificationClasses[Key])),0),MATCH(AA269,INDEX(ClassificationClasses[#Data], MATCH(TRUE,ISNUMBER(SEARCH(AA269,ClassificationClasses[Key])),0), 0), 0)-1)),"")</f>
        <v>Diptera</v>
      </c>
      <c r="AC269" s="116" t="str" cm="1">
        <f t="array" ref="AC269">IFERROR(IF(OR(AB269="Insecta",AB269="Arachnida",AB269="#N/C"),"",INDEX(ClassificationClasses[[Class]:[Suborder]],MATCH(TRUE,ISNUMBER(SEARCH(AB269,ClassificationClasses[Key])),0),MATCH(AB269,INDEX(ClassificationClasses[#Data], MATCH(TRUE,ISNUMBER(SEARCH(AB269,ClassificationClasses[Key])),0), 0), 0)-1)),"")</f>
        <v>Insecta</v>
      </c>
      <c r="AD269" s="116" t="str" cm="1">
        <f t="array" ref="AD269">IFERROR(IF(OR(AC269="Insecta",AC269="Arachnida",AC269="#N/C"),"",INDEX(ClassificationClasses[[Class]:[Suborder]],MATCH(TRUE,ISNUMBER(SEARCH(AC269,ClassificationClasses[Key])),0),MATCH(AC269,INDEX(ClassificationClasses[#Data], MATCH(TRUE,ISNUMBER(SEARCH(AC269,ClassificationClasses[Key])),0), 0), 0)-1)),"")</f>
        <v/>
      </c>
      <c r="AE269" s="18" t="str">
        <f t="shared" si="10"/>
        <v>Insecta.Diptera.Brachycera.Muscomorpha.Syrphoidea.Pipunculidae.#N/C.#N/C.#N/C</v>
      </c>
    </row>
    <row r="270" spans="1:31" x14ac:dyDescent="0.3">
      <c r="A270" s="91">
        <v>269</v>
      </c>
      <c r="B270" s="7">
        <v>44405</v>
      </c>
      <c r="C270" s="92" t="s">
        <v>479</v>
      </c>
      <c r="D270" s="93" t="str">
        <f>HYPERLINK(VLOOKUP(C270,Video_List!$F:$J,5),"video")</f>
        <v>video</v>
      </c>
      <c r="E270" s="94" t="str">
        <f>IFERROR(IF(MATCH(C270,Video_List!$F:$F,)&gt;0,"ok",""),"error")</f>
        <v>ok</v>
      </c>
      <c r="F270" s="92" t="s">
        <v>479</v>
      </c>
      <c r="G270" s="93" t="str">
        <f>HYPERLINK(VLOOKUP(F270,Video_List!$F:$J,5),"video")</f>
        <v>video</v>
      </c>
      <c r="H270" s="94" t="str">
        <f>IFERROR(IF(MATCH(F270,Video_List!$F:$F,)&gt;0,"ok",""),"error")</f>
        <v>ok</v>
      </c>
      <c r="I270" s="17">
        <v>44405.709490740737</v>
      </c>
      <c r="J270" s="8">
        <v>44405.710613425923</v>
      </c>
      <c r="K270" s="15">
        <f t="shared" si="9"/>
        <v>1.1226851856918074E-3</v>
      </c>
      <c r="L270" s="4" t="s">
        <v>32</v>
      </c>
      <c r="M270" s="4" t="s">
        <v>33</v>
      </c>
      <c r="N270" s="96" t="str">
        <f>IF(ISBLANK(C270),"",IF(C270=F270, "1 video",CONCATENATE((+COUNTIFS(Video_List!$C:$C,"&lt;=" &amp;Monitoring!J270)-COUNTIFS(Video_List!$C:$C,"&lt;=" &amp;Monitoring!I270))+1," videos")))</f>
        <v>1 video</v>
      </c>
      <c r="O270" s="27" t="s">
        <v>32</v>
      </c>
      <c r="P270" s="42" t="s">
        <v>37</v>
      </c>
      <c r="Q270" s="42" t="s">
        <v>38</v>
      </c>
      <c r="R270" s="42" t="s">
        <v>39</v>
      </c>
      <c r="S270" s="97" t="str">
        <f>+IFERROR(IF(T270="#N/C","#N/C",IF(U270=0,INDEX(Taxonomy_UniqueValues!D:D,MATCH(U270,Taxonomy_UniqueValues!F:F,0)),INDEX(Taxonomy_UniqueValues!D:D,MATCH(T270,Taxonomy_UniqueValues!E:E,0)))),"#N/C")</f>
        <v>Muscomorpha</v>
      </c>
      <c r="T270" s="42" t="s">
        <v>46</v>
      </c>
      <c r="U270" s="42" t="s">
        <v>47</v>
      </c>
      <c r="V270" s="42" t="s">
        <v>48</v>
      </c>
      <c r="W270" s="42" t="s">
        <v>49</v>
      </c>
      <c r="X270" s="28" t="s">
        <v>35</v>
      </c>
      <c r="Y270" s="69" t="str" cm="1">
        <f t="array" ref="Y270">_xlfn.LET(_xlpm.cls,P270, _xlpm.ord,IFERROR(Q270,"#N/C"), _xlpm.subord,IFERROR(R270,"#N/C"), _xlpm.infr,IFERROR(S270,"#N/C"), _xlpm.sf,IFERROR(T270,"#N/C"), _xlpm.fam,IFERROR(U270,"#N/C"), _xlpm.subfam,IF(TRIM(V270)="-","#N/C",IFERROR(V270,"#N/C")),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_xlpm.fallback,IF(IFERROR(Q270,"#N/C")="#N/C",P270,IF(IFERROR(R270,"#N/C")="#N/C",Q270,IF(IFERROR(S270,"#N/C")="#N/C",R270,IF(IFERROR(T270,"#N/C")="#N/C",S270,IF(IFERROR(U270,"#N/C")="#N/C",T270,IF(IFERROR(V270,"#N/C")="#N/C",U270,"#N/C")))))), _xlpm.finalResult,IF(OR(_xlpm.computedResult="",_xlpm.computedResult="#N/C"),_xlpm.fallback,_xlpm.computedResult), INDEX(_xlpm.finalResult,1))</f>
        <v>hoverfly</v>
      </c>
      <c r="Z270" s="116" t="str" cm="1">
        <f t="array" ref="Z270">IF(OR(Y270="Insecta",Y270="Arachnida",Y270="#N/C"),"",IFERROR(_xlfn.LET(_xlpm.fc,IFERROR(_xlfn._xlws.FILTER(ClassificationClasses[],ClassificationClasses[Classification Class]=Y270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270,ClassificationClasses[Key])),0),MATCH(Y270,INDEX(ClassificationClasses[],MATCH(TRUE,ISNUMBER(SEARCH(Y270,ClassificationClasses[Key])),0),0),0)-1)))</f>
        <v>Muscomorpha</v>
      </c>
      <c r="AA270" s="116" t="str" cm="1">
        <f t="array" ref="AA270">IFERROR(IF(OR(Z270="Insecta",Z270="Arachnida",Z270="#N/C"),"",INDEX(ClassificationClasses[[Class]:[Infraorder]],MATCH(TRUE,ISNUMBER(SEARCH(Z270,ClassificationClasses[Key])),0),MATCH(Z270,INDEX(ClassificationClasses[#Data], MATCH(TRUE,ISNUMBER(SEARCH(Z270,ClassificationClasses[Key])),0), 0), 0)-1)),"")</f>
        <v>Brachycera</v>
      </c>
      <c r="AB270" s="116" t="str" cm="1">
        <f t="array" ref="AB270">IFERROR(IF(OR(AA270="Insecta",AA270="Arachnida",AA270="#N/C"),"",INDEX(ClassificationClasses[[Class]:[Suborder]],MATCH(TRUE,ISNUMBER(SEARCH(AA270,ClassificationClasses[Key])),0),MATCH(AA270,INDEX(ClassificationClasses[#Data], MATCH(TRUE,ISNUMBER(SEARCH(AA270,ClassificationClasses[Key])),0), 0), 0)-1)),"")</f>
        <v>Diptera</v>
      </c>
      <c r="AC270" s="116" t="str" cm="1">
        <f t="array" ref="AC270">IFERROR(IF(OR(AB270="Insecta",AB270="Arachnida",AB270="#N/C"),"",INDEX(ClassificationClasses[[Class]:[Suborder]],MATCH(TRUE,ISNUMBER(SEARCH(AB270,ClassificationClasses[Key])),0),MATCH(AB270,INDEX(ClassificationClasses[#Data], MATCH(TRUE,ISNUMBER(SEARCH(AB270,ClassificationClasses[Key])),0), 0), 0)-1)),"")</f>
        <v>Insecta</v>
      </c>
      <c r="AD270" s="116" t="str" cm="1">
        <f t="array" ref="AD270">IFERROR(IF(OR(AC270="Insecta",AC270="Arachnida",AC270="#N/C"),"",INDEX(ClassificationClasses[[Class]:[Suborder]],MATCH(TRUE,ISNUMBER(SEARCH(AC270,ClassificationClasses[Key])),0),MATCH(AC270,INDEX(ClassificationClasses[#Data], MATCH(TRUE,ISNUMBER(SEARCH(AC270,ClassificationClasses[Key])),0), 0), 0)-1)),"")</f>
        <v/>
      </c>
      <c r="AE270" s="18" t="str">
        <f t="shared" si="10"/>
        <v>Insecta.Diptera.Brachycera.Muscomorpha.Syrphoidea.Syrphidae.Syrphinae.Sphaerophoria.#N/C</v>
      </c>
    </row>
    <row r="271" spans="1:31" x14ac:dyDescent="0.3">
      <c r="A271" s="91">
        <v>270</v>
      </c>
      <c r="B271" s="7">
        <v>44405</v>
      </c>
      <c r="C271" s="92" t="s">
        <v>480</v>
      </c>
      <c r="D271" s="93" t="str">
        <f>HYPERLINK(VLOOKUP(C271,Video_List!$F:$J,5),"video")</f>
        <v>video</v>
      </c>
      <c r="E271" s="94" t="str">
        <f>IFERROR(IF(MATCH(C271,Video_List!$F:$F,)&gt;0,"ok",""),"error")</f>
        <v>ok</v>
      </c>
      <c r="F271" s="92" t="s">
        <v>480</v>
      </c>
      <c r="G271" s="93" t="str">
        <f>HYPERLINK(VLOOKUP(F271,Video_List!$F:$J,5),"video")</f>
        <v>video</v>
      </c>
      <c r="H271" s="94" t="str">
        <f>IFERROR(IF(MATCH(F271,Video_List!$F:$F,)&gt;0,"ok",""),"error")</f>
        <v>ok</v>
      </c>
      <c r="I271" s="17">
        <v>44405.71365740741</v>
      </c>
      <c r="J271" s="8">
        <v>44405.71365740741</v>
      </c>
      <c r="K271" s="15">
        <f t="shared" si="9"/>
        <v>0</v>
      </c>
      <c r="L271" s="95" t="s">
        <v>55</v>
      </c>
      <c r="M271" s="95" t="s">
        <v>55</v>
      </c>
      <c r="N271" s="96" t="str">
        <f>IF(ISBLANK(C271),"",IF(C271=F271, "1 video",CONCATENATE((+COUNTIFS(Video_List!$C:$C,"&lt;=" &amp;Monitoring!J271)-COUNTIFS(Video_List!$C:$C,"&lt;=" &amp;Monitoring!I271))+1," videos")))</f>
        <v>1 video</v>
      </c>
      <c r="O271" s="27" t="s">
        <v>32</v>
      </c>
      <c r="P271" s="42" t="s">
        <v>37</v>
      </c>
      <c r="Q271" s="42" t="s">
        <v>76</v>
      </c>
      <c r="R271" s="42" t="s">
        <v>77</v>
      </c>
      <c r="S271" s="97" t="str">
        <f>+IFERROR(IF(T271="#N/C","#N/C",IF(U271=0,INDEX(Taxonomy_UniqueValues!D:D,MATCH(U271,Taxonomy_UniqueValues!F:F,0)),INDEX(Taxonomy_UniqueValues!D:D,MATCH(T271,Taxonomy_UniqueValues!E:E,0)))),"#N/C")</f>
        <v>Cucujiformia</v>
      </c>
      <c r="T271" s="42" t="s">
        <v>428</v>
      </c>
      <c r="U271" s="42" t="s">
        <v>481</v>
      </c>
      <c r="V271" s="42" t="s">
        <v>482</v>
      </c>
      <c r="W271" s="42" t="s">
        <v>483</v>
      </c>
      <c r="X271" s="28" t="s">
        <v>35</v>
      </c>
      <c r="Y271" s="69" t="str" cm="1">
        <f t="array" ref="Y271">_xlfn.LET(_xlpm.cls,P271, _xlpm.ord,IFERROR(Q271,"#N/C"), _xlpm.subord,IFERROR(R271,"#N/C"), _xlpm.infr,IFERROR(S271,"#N/C"), _xlpm.sf,IFERROR(T271,"#N/C"), _xlpm.fam,IFERROR(U271,"#N/C"), _xlpm.subfam,IF(TRIM(V271)="-","#N/C",IFERROR(V271,"#N/C")),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_xlpm.fallback,IF(IFERROR(Q271,"#N/C")="#N/C",P271,IF(IFERROR(R271,"#N/C")="#N/C",Q271,IF(IFERROR(S271,"#N/C")="#N/C",R271,IF(IFERROR(T271,"#N/C")="#N/C",S271,IF(IFERROR(U271,"#N/C")="#N/C",T271,IF(IFERROR(V271,"#N/C")="#N/C",U271,"#N/C")))))), _xlpm.finalResult,IF(OR(_xlpm.computedResult="",_xlpm.computedResult="#N/C"),_xlpm.fallback,_xlpm.computedResult), INDEX(_xlpm.finalResult,1))</f>
        <v>weevil</v>
      </c>
      <c r="Z271" s="116" t="str" cm="1">
        <f t="array" ref="Z271">IF(OR(Y271="Insecta",Y271="Arachnida",Y271="#N/C"),"",IFERROR(_xlfn.LET(_xlpm.fc,IFERROR(_xlfn._xlws.FILTER(ClassificationClasses[],ClassificationClasses[Classification Class]=Y271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271,ClassificationClasses[Key])),0),MATCH(Y271,INDEX(ClassificationClasses[],MATCH(TRUE,ISNUMBER(SEARCH(Y271,ClassificationClasses[Key])),0),0),0)-1)))</f>
        <v>Cucujiformia</v>
      </c>
      <c r="AA271" s="116" t="str" cm="1">
        <f t="array" ref="AA271">IFERROR(IF(OR(Z271="Insecta",Z271="Arachnida",Z271="#N/C"),"",INDEX(ClassificationClasses[[Class]:[Infraorder]],MATCH(TRUE,ISNUMBER(SEARCH(Z271,ClassificationClasses[Key])),0),MATCH(Z271,INDEX(ClassificationClasses[#Data], MATCH(TRUE,ISNUMBER(SEARCH(Z271,ClassificationClasses[Key])),0), 0), 0)-1)),"")</f>
        <v>Polyphaga</v>
      </c>
      <c r="AB271" s="116" t="str" cm="1">
        <f t="array" ref="AB271">IFERROR(IF(OR(AA271="Insecta",AA271="Arachnida",AA271="#N/C"),"",INDEX(ClassificationClasses[[Class]:[Suborder]],MATCH(TRUE,ISNUMBER(SEARCH(AA271,ClassificationClasses[Key])),0),MATCH(AA271,INDEX(ClassificationClasses[#Data], MATCH(TRUE,ISNUMBER(SEARCH(AA271,ClassificationClasses[Key])),0), 0), 0)-1)),"")</f>
        <v>Coleoptera</v>
      </c>
      <c r="AC271" s="116" t="str" cm="1">
        <f t="array" ref="AC271">IFERROR(IF(OR(AB271="Insecta",AB271="Arachnida",AB271="#N/C"),"",INDEX(ClassificationClasses[[Class]:[Suborder]],MATCH(TRUE,ISNUMBER(SEARCH(AB271,ClassificationClasses[Key])),0),MATCH(AB271,INDEX(ClassificationClasses[#Data], MATCH(TRUE,ISNUMBER(SEARCH(AB271,ClassificationClasses[Key])),0), 0), 0)-1)),"")</f>
        <v>Insecta</v>
      </c>
      <c r="AD271" s="116" t="str" cm="1">
        <f t="array" ref="AD271">IFERROR(IF(OR(AC271="Insecta",AC271="Arachnida",AC271="#N/C"),"",INDEX(ClassificationClasses[[Class]:[Suborder]],MATCH(TRUE,ISNUMBER(SEARCH(AC271,ClassificationClasses[Key])),0),MATCH(AC271,INDEX(ClassificationClasses[#Data], MATCH(TRUE,ISNUMBER(SEARCH(AC271,ClassificationClasses[Key])),0), 0), 0)-1)),"")</f>
        <v/>
      </c>
      <c r="AE271" s="18" t="str">
        <f t="shared" si="10"/>
        <v>Insecta.Coleoptera.Polyphaga.Cucujiformia.Curculionoidea.Brentidae.Apioninae.Apion.#N/C</v>
      </c>
    </row>
    <row r="272" spans="1:31" x14ac:dyDescent="0.3">
      <c r="A272" s="91">
        <v>271</v>
      </c>
      <c r="B272" s="7">
        <v>44406</v>
      </c>
      <c r="C272" s="92" t="s">
        <v>484</v>
      </c>
      <c r="D272" s="93" t="str">
        <f>HYPERLINK(VLOOKUP(C272,Video_List!$F:$J,5),"video")</f>
        <v>video</v>
      </c>
      <c r="E272" s="94" t="str">
        <f>IFERROR(IF(MATCH(C272,Video_List!$F:$F,)&gt;0,"ok",""),"error")</f>
        <v>ok</v>
      </c>
      <c r="F272" s="92" t="s">
        <v>484</v>
      </c>
      <c r="G272" s="93" t="str">
        <f>HYPERLINK(VLOOKUP(F272,Video_List!$F:$J,5),"video")</f>
        <v>video</v>
      </c>
      <c r="H272" s="94" t="str">
        <f>IFERROR(IF(MATCH(F272,Video_List!$F:$F,)&gt;0,"ok",""),"error")</f>
        <v>ok</v>
      </c>
      <c r="I272" s="17">
        <v>44406.750937500001</v>
      </c>
      <c r="J272" s="8">
        <v>44406.75099537037</v>
      </c>
      <c r="K272" s="15">
        <f t="shared" si="9"/>
        <v>5.7870369346346706E-5</v>
      </c>
      <c r="L272" s="95" t="s">
        <v>32</v>
      </c>
      <c r="M272" s="95" t="s">
        <v>33</v>
      </c>
      <c r="N272" s="96" t="str">
        <f>IF(ISBLANK(C272),"",IF(C272=F272, "1 video",CONCATENATE((+COUNTIFS(Video_List!$C:$C,"&lt;=" &amp;Monitoring!J272)-COUNTIFS(Video_List!$C:$C,"&lt;=" &amp;Monitoring!I272))+1," videos")))</f>
        <v>1 video</v>
      </c>
      <c r="O272" s="29" t="s">
        <v>44</v>
      </c>
      <c r="P272" s="42" t="s">
        <v>37</v>
      </c>
      <c r="Q272" s="42" t="s">
        <v>38</v>
      </c>
      <c r="R272" s="42" t="s">
        <v>39</v>
      </c>
      <c r="S272" s="97" t="str">
        <f>+IFERROR(IF(T272="#N/C","#N/C",IF(U272=0,INDEX(Taxonomy_UniqueValues!D:D,MATCH(U272,Taxonomy_UniqueValues!F:F,0)),INDEX(Taxonomy_UniqueValues!D:D,MATCH(T272,Taxonomy_UniqueValues!E:E,0)))),"#N/C")</f>
        <v>#N/C</v>
      </c>
      <c r="T272" s="42" t="s">
        <v>35</v>
      </c>
      <c r="U272" s="42" t="s">
        <v>35</v>
      </c>
      <c r="V272" s="42" t="s">
        <v>35</v>
      </c>
      <c r="W272" s="42" t="s">
        <v>35</v>
      </c>
      <c r="X272" s="28" t="s">
        <v>35</v>
      </c>
      <c r="Y272" s="69" t="str" cm="1">
        <f t="array" ref="Y272">_xlfn.LET(_xlpm.cls,P272, _xlpm.ord,IFERROR(Q272,"#N/C"), _xlpm.subord,IFERROR(R272,"#N/C"), _xlpm.infr,IFERROR(S272,"#N/C"), _xlpm.sf,IFERROR(T272,"#N/C"), _xlpm.fam,IFERROR(U272,"#N/C"), _xlpm.subfam,IF(TRIM(V272)="-","#N/C",IFERROR(V272,"#N/C")),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_xlpm.fallback,IF(IFERROR(Q272,"#N/C")="#N/C",P272,IF(IFERROR(R272,"#N/C")="#N/C",Q272,IF(IFERROR(S272,"#N/C")="#N/C",R272,IF(IFERROR(T272,"#N/C")="#N/C",S272,IF(IFERROR(U272,"#N/C")="#N/C",T272,IF(IFERROR(V272,"#N/C")="#N/C",U272,"#N/C")))))), _xlpm.finalResult,IF(OR(_xlpm.computedResult="",_xlpm.computedResult="#N/C"),_xlpm.fallback,_xlpm.computedResult), INDEX(_xlpm.finalResult,1))</f>
        <v>Brachycera</v>
      </c>
      <c r="Z272" s="116" t="str" cm="1">
        <f t="array" ref="Z272">IF(OR(Y272="Insecta",Y272="Arachnida",Y272="#N/C"),"",IFERROR(_xlfn.LET(_xlpm.fc,IFERROR(_xlfn._xlws.FILTER(ClassificationClasses[],ClassificationClasses[Classification Class]=Y272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272,ClassificationClasses[Key])),0),MATCH(Y272,INDEX(ClassificationClasses[],MATCH(TRUE,ISNUMBER(SEARCH(Y272,ClassificationClasses[Key])),0),0),0)-1)))</f>
        <v>Diptera</v>
      </c>
      <c r="AA272" s="116" t="str" cm="1">
        <f t="array" ref="AA272">IFERROR(IF(OR(Z272="Insecta",Z272="Arachnida",Z272="#N/C"),"",INDEX(ClassificationClasses[[Class]:[Infraorder]],MATCH(TRUE,ISNUMBER(SEARCH(Z272,ClassificationClasses[Key])),0),MATCH(Z272,INDEX(ClassificationClasses[#Data], MATCH(TRUE,ISNUMBER(SEARCH(Z272,ClassificationClasses[Key])),0), 0), 0)-1)),"")</f>
        <v>Insecta</v>
      </c>
      <c r="AB272" s="116" t="str" cm="1">
        <f t="array" ref="AB272">IFERROR(IF(OR(AA272="Insecta",AA272="Arachnida",AA272="#N/C"),"",INDEX(ClassificationClasses[[Class]:[Suborder]],MATCH(TRUE,ISNUMBER(SEARCH(AA272,ClassificationClasses[Key])),0),MATCH(AA272,INDEX(ClassificationClasses[#Data], MATCH(TRUE,ISNUMBER(SEARCH(AA272,ClassificationClasses[Key])),0), 0), 0)-1)),"")</f>
        <v/>
      </c>
      <c r="AC272" s="116" t="str" cm="1">
        <f t="array" ref="AC272">IFERROR(IF(OR(AB272="Insecta",AB272="Arachnida",AB272="#N/C"),"",INDEX(ClassificationClasses[[Class]:[Suborder]],MATCH(TRUE,ISNUMBER(SEARCH(AB272,ClassificationClasses[Key])),0),MATCH(AB272,INDEX(ClassificationClasses[#Data], MATCH(TRUE,ISNUMBER(SEARCH(AB272,ClassificationClasses[Key])),0), 0), 0)-1)),"")</f>
        <v/>
      </c>
      <c r="AD272" s="116" t="str" cm="1">
        <f t="array" ref="AD272">IFERROR(IF(OR(AC272="Insecta",AC272="Arachnida",AC272="#N/C"),"",INDEX(ClassificationClasses[[Class]:[Suborder]],MATCH(TRUE,ISNUMBER(SEARCH(AC272,ClassificationClasses[Key])),0),MATCH(AC272,INDEX(ClassificationClasses[#Data], MATCH(TRUE,ISNUMBER(SEARCH(AC272,ClassificationClasses[Key])),0), 0), 0)-1)),"")</f>
        <v/>
      </c>
      <c r="AE272" s="18" t="str">
        <f t="shared" si="10"/>
        <v>Insecta.Diptera.Brachycera.#N/C.#N/C.#N/C.#N/C.#N/C.#N/C</v>
      </c>
    </row>
    <row r="273" spans="1:31" x14ac:dyDescent="0.3">
      <c r="A273" s="91">
        <v>272</v>
      </c>
      <c r="B273" s="7">
        <v>44406</v>
      </c>
      <c r="C273" s="92" t="s">
        <v>485</v>
      </c>
      <c r="D273" s="93" t="str">
        <f>HYPERLINK(VLOOKUP(C273,Video_List!$F:$J,5),"video")</f>
        <v>video</v>
      </c>
      <c r="E273" s="94" t="str">
        <f>IFERROR(IF(MATCH(C273,Video_List!$F:$F,)&gt;0,"ok",""),"error")</f>
        <v>ok</v>
      </c>
      <c r="F273" s="92" t="s">
        <v>486</v>
      </c>
      <c r="G273" s="93" t="str">
        <f>HYPERLINK(VLOOKUP(F273,Video_List!$F:$J,5),"video")</f>
        <v>video</v>
      </c>
      <c r="H273" s="94" t="str">
        <f>IFERROR(IF(MATCH(F273,Video_List!$F:$F,)&gt;0,"ok",""),"error")</f>
        <v>ok</v>
      </c>
      <c r="I273" s="17">
        <v>44406.376435185186</v>
      </c>
      <c r="J273" s="8">
        <v>44406.383333333331</v>
      </c>
      <c r="K273" s="15">
        <f t="shared" si="9"/>
        <v>6.8981481454102322E-3</v>
      </c>
      <c r="L273" s="95" t="s">
        <v>44</v>
      </c>
      <c r="M273" s="95" t="s">
        <v>33</v>
      </c>
      <c r="N273" s="96" t="str">
        <f>IF(ISBLANK(C273),"",IF(C273=F273, "1 video",CONCATENATE((+COUNTIFS(Video_List!$C:$C,"&lt;=" &amp;Monitoring!J273)-COUNTIFS(Video_List!$C:$C,"&lt;=" &amp;Monitoring!I273))+1," videos")))</f>
        <v>2 videos</v>
      </c>
      <c r="O273" s="27" t="s">
        <v>32</v>
      </c>
      <c r="P273" s="42" t="s">
        <v>37</v>
      </c>
      <c r="Q273" s="42" t="s">
        <v>123</v>
      </c>
      <c r="R273" s="42" t="s">
        <v>287</v>
      </c>
      <c r="S273" s="97" t="str">
        <f>+IFERROR(IF(T273="#N/C","#N/C",IF(U273=0,INDEX(Taxonomy_UniqueValues!D:D,MATCH(U273,Taxonomy_UniqueValues!F:F,0)),INDEX(Taxonomy_UniqueValues!D:D,MATCH(T273,Taxonomy_UniqueValues!E:E,0)))),"#N/C")</f>
        <v>Tettigoniidea</v>
      </c>
      <c r="T273" s="42" t="s">
        <v>288</v>
      </c>
      <c r="U273" s="42" t="s">
        <v>289</v>
      </c>
      <c r="V273" s="3" t="s">
        <v>487</v>
      </c>
      <c r="W273" s="42" t="s">
        <v>488</v>
      </c>
      <c r="X273" s="28" t="s">
        <v>489</v>
      </c>
      <c r="Y273" s="69" t="str" cm="1">
        <f t="array" ref="Y273">_xlfn.LET(_xlpm.cls,P273, _xlpm.ord,IFERROR(Q273,"#N/C"), _xlpm.subord,IFERROR(R273,"#N/C"), _xlpm.infr,IFERROR(S273,"#N/C"), _xlpm.sf,IFERROR(T273,"#N/C"), _xlpm.fam,IFERROR(U273,"#N/C"), _xlpm.subfam,IF(TRIM(V273)="-","#N/C",IFERROR(V273,"#N/C")),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_xlpm.fallback,IF(IFERROR(Q273,"#N/C")="#N/C",P273,IF(IFERROR(R273,"#N/C")="#N/C",Q273,IF(IFERROR(S273,"#N/C")="#N/C",R273,IF(IFERROR(T273,"#N/C")="#N/C",S273,IF(IFERROR(U273,"#N/C")="#N/C",T273,IF(IFERROR(V273,"#N/C")="#N/C",U273,"#N/C")))))), _xlpm.finalResult,IF(OR(_xlpm.computedResult="",_xlpm.computedResult="#N/C"),_xlpm.fallback,_xlpm.computedResult), INDEX(_xlpm.finalResult,1))</f>
        <v>grasshopper</v>
      </c>
      <c r="Z273" s="116" t="str" cm="1">
        <f t="array" ref="Z273">IF(OR(Y273="Insecta",Y273="Arachnida",Y273="#N/C"),"",IFERROR(_xlfn.LET(_xlpm.fc,IFERROR(_xlfn._xlws.FILTER(ClassificationClasses[],ClassificationClasses[Classification Class]=Y273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273,ClassificationClasses[Key])),0),MATCH(Y273,INDEX(ClassificationClasses[],MATCH(TRUE,ISNUMBER(SEARCH(Y273,ClassificationClasses[Key])),0),0),0)-1)))</f>
        <v>Orthoptera</v>
      </c>
      <c r="AA273" s="116" t="str" cm="1">
        <f t="array" ref="AA273">IFERROR(IF(OR(Z273="Insecta",Z273="Arachnida",Z273="#N/C"),"",INDEX(ClassificationClasses[[Class]:[Infraorder]],MATCH(TRUE,ISNUMBER(SEARCH(Z273,ClassificationClasses[Key])),0),MATCH(Z273,INDEX(ClassificationClasses[#Data], MATCH(TRUE,ISNUMBER(SEARCH(Z273,ClassificationClasses[Key])),0), 0), 0)-1)),"")</f>
        <v>Insecta</v>
      </c>
      <c r="AB273" s="116" t="str" cm="1">
        <f t="array" ref="AB273">IFERROR(IF(OR(AA273="Insecta",AA273="Arachnida",AA273="#N/C"),"",INDEX(ClassificationClasses[[Class]:[Suborder]],MATCH(TRUE,ISNUMBER(SEARCH(AA273,ClassificationClasses[Key])),0),MATCH(AA273,INDEX(ClassificationClasses[#Data], MATCH(TRUE,ISNUMBER(SEARCH(AA273,ClassificationClasses[Key])),0), 0), 0)-1)),"")</f>
        <v/>
      </c>
      <c r="AC273" s="116" t="str" cm="1">
        <f t="array" ref="AC273">IFERROR(IF(OR(AB273="Insecta",AB273="Arachnida",AB273="#N/C"),"",INDEX(ClassificationClasses[[Class]:[Suborder]],MATCH(TRUE,ISNUMBER(SEARCH(AB273,ClassificationClasses[Key])),0),MATCH(AB273,INDEX(ClassificationClasses[#Data], MATCH(TRUE,ISNUMBER(SEARCH(AB273,ClassificationClasses[Key])),0), 0), 0)-1)),"")</f>
        <v/>
      </c>
      <c r="AD273" s="116" t="str" cm="1">
        <f t="array" ref="AD273">IFERROR(IF(OR(AC273="Insecta",AC273="Arachnida",AC273="#N/C"),"",INDEX(ClassificationClasses[[Class]:[Suborder]],MATCH(TRUE,ISNUMBER(SEARCH(AC273,ClassificationClasses[Key])),0),MATCH(AC273,INDEX(ClassificationClasses[#Data], MATCH(TRUE,ISNUMBER(SEARCH(AC273,ClassificationClasses[Key])),0), 0), 0)-1)),"")</f>
        <v/>
      </c>
      <c r="AE273" s="18" t="str">
        <f t="shared" si="10"/>
        <v>Insecta.Orthoptera.Ensifera.Tettigoniidea.Tettigonioidea.Tettigoniidae.Conocephalinae.Conocephalus.fuscus</v>
      </c>
    </row>
    <row r="274" spans="1:31" x14ac:dyDescent="0.3">
      <c r="A274" s="91">
        <v>273</v>
      </c>
      <c r="B274" s="7">
        <v>44406</v>
      </c>
      <c r="C274" s="92" t="s">
        <v>490</v>
      </c>
      <c r="D274" s="93" t="str">
        <f>HYPERLINK(VLOOKUP(C274,Video_List!$F:$J,5),"video")</f>
        <v>video</v>
      </c>
      <c r="E274" s="94" t="str">
        <f>IFERROR(IF(MATCH(C274,Video_List!$F:$F,)&gt;0,"ok",""),"error")</f>
        <v>ok</v>
      </c>
      <c r="F274" s="92" t="s">
        <v>490</v>
      </c>
      <c r="G274" s="93" t="str">
        <f>HYPERLINK(VLOOKUP(F274,Video_List!$F:$J,5),"video")</f>
        <v>video</v>
      </c>
      <c r="H274" s="94" t="str">
        <f>IFERROR(IF(MATCH(F274,Video_List!$F:$F,)&gt;0,"ok",""),"error")</f>
        <v>ok</v>
      </c>
      <c r="I274" s="17">
        <v>44406.615636574075</v>
      </c>
      <c r="J274" s="8">
        <v>44406.615949074076</v>
      </c>
      <c r="K274" s="15">
        <f t="shared" si="9"/>
        <v>3.125000002910383E-4</v>
      </c>
      <c r="L274" s="4" t="s">
        <v>44</v>
      </c>
      <c r="M274" s="4" t="s">
        <v>33</v>
      </c>
      <c r="N274" s="96" t="str">
        <f>IF(ISBLANK(C274),"",IF(C274=F274, "1 video",CONCATENATE((+COUNTIFS(Video_List!$C:$C,"&lt;=" &amp;Monitoring!J274)-COUNTIFS(Video_List!$C:$C,"&lt;=" &amp;Monitoring!I274))+1," videos")))</f>
        <v>1 video</v>
      </c>
      <c r="O274" s="27" t="s">
        <v>32</v>
      </c>
      <c r="P274" s="120" t="str">
        <f>+IFERROR(IF(Q274="#N/C","#N/C",INDEX(Taxonomy_UniqueValues!A:A,MATCH(Q274,Taxonomy_UniqueValues!B:B,0))),"#N/C")</f>
        <v>Insecta</v>
      </c>
      <c r="Q274" s="120" t="str">
        <f>+IFERROR(IF(R274="#N/C","#N/C",INDEX(Taxonomy_UniqueValues!B:B,MATCH(R274,Taxonomy_UniqueValues!C:C,0))),"#N/C")</f>
        <v>Hymenoptera</v>
      </c>
      <c r="R274" s="120" t="str">
        <f>+IFERROR(IF(S274="#N/C","#N/C",INDEX(Taxonomy_UniqueValues!C:C,MATCH(S274,Taxonomy_UniqueValues!D:D,0))),"#N/C")</f>
        <v>Apocrita</v>
      </c>
      <c r="S274" s="120" t="str">
        <f>+IFERROR(IF(T274="#N/C","#N/C",INDEX(Taxonomy_UniqueValues!D:D,MATCH(T274,Taxonomy_UniqueValues!E:E,0))),"#N/C")</f>
        <v>Aculeata</v>
      </c>
      <c r="T274" s="120" t="str">
        <f>+IFERROR(IF(U274="#N/C","#N/C",INDEX(Taxonomy_UniqueValues!E:E,MATCH(U274,Taxonomy_UniqueValues!F:F,0))),"#N/C")</f>
        <v>Formicoidea</v>
      </c>
      <c r="U274" s="120" t="str">
        <f>+IFERROR(IF(V274="#N/C","#N/C",INDEX(Taxonomy_UniqueValues!F:F,MATCH(V274,Taxonomy_UniqueValues!G:G,0))),"#N/C")</f>
        <v>Formicidae</v>
      </c>
      <c r="V274" s="120" t="s">
        <v>121</v>
      </c>
      <c r="W274" s="42" t="s">
        <v>321</v>
      </c>
      <c r="X274" s="28" t="s">
        <v>35</v>
      </c>
      <c r="Y274" s="69" t="str" cm="1">
        <f t="array" ref="Y274">_xlfn.LET(_xlpm.cls,P274, _xlpm.ord,IFERROR(Q274,"#N/C"), _xlpm.subord,IFERROR(R274,"#N/C"), _xlpm.infr,IFERROR(S274,"#N/C"), _xlpm.sf,IFERROR(T274,"#N/C"), _xlpm.fam,IFERROR(U274,"#N/C"), _xlpm.subfam,IF(TRIM(V274)="-","#N/C",IFERROR(V274,"#N/C")),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_xlpm.fallback,IF(IFERROR(Q274,"#N/C")="#N/C",P274,IF(IFERROR(R274,"#N/C")="#N/C",Q274,IF(IFERROR(S274,"#N/C")="#N/C",R274,IF(IFERROR(T274,"#N/C")="#N/C",S274,IF(IFERROR(U274,"#N/C")="#N/C",T274,IF(IFERROR(V274,"#N/C")="#N/C",U274,"#N/C")))))), _xlpm.finalResult,IF(OR(_xlpm.computedResult="",_xlpm.computedResult="#N/C"),_xlpm.fallback,_xlpm.computedResult), INDEX(_xlpm.finalResult,1))</f>
        <v>ant</v>
      </c>
      <c r="Z274" s="116" t="str" cm="1">
        <f t="array" ref="Z274">IF(OR(Y274="Insecta",Y274="Arachnida",Y274="#N/C"),"",IFERROR(_xlfn.LET(_xlpm.fc,IFERROR(_xlfn._xlws.FILTER(ClassificationClasses[],ClassificationClasses[Classification Class]=Y274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274,ClassificationClasses[Key])),0),MATCH(Y274,INDEX(ClassificationClasses[],MATCH(TRUE,ISNUMBER(SEARCH(Y274,ClassificationClasses[Key])),0),0),0)-1)))</f>
        <v>Aculeata</v>
      </c>
      <c r="AA274" s="116" t="str" cm="1">
        <f t="array" ref="AA274">IFERROR(IF(OR(Z274="Insecta",Z274="Arachnida",Z274="#N/C"),"",INDEX(ClassificationClasses[[Class]:[Infraorder]],MATCH(TRUE,ISNUMBER(SEARCH(Z274,ClassificationClasses[Key])),0),MATCH(Z274,INDEX(ClassificationClasses[#Data], MATCH(TRUE,ISNUMBER(SEARCH(Z274,ClassificationClasses[Key])),0), 0), 0)-1)),"")</f>
        <v>Apocrita</v>
      </c>
      <c r="AB274" s="116" t="str" cm="1">
        <f t="array" ref="AB274">IFERROR(IF(OR(AA274="Insecta",AA274="Arachnida",AA274="#N/C"),"",INDEX(ClassificationClasses[[Class]:[Suborder]],MATCH(TRUE,ISNUMBER(SEARCH(AA274,ClassificationClasses[Key])),0),MATCH(AA274,INDEX(ClassificationClasses[#Data], MATCH(TRUE,ISNUMBER(SEARCH(AA274,ClassificationClasses[Key])),0), 0), 0)-1)),"")</f>
        <v>Hymenoptera</v>
      </c>
      <c r="AC274" s="116" t="str" cm="1">
        <f t="array" ref="AC274">IFERROR(IF(OR(AB274="Insecta",AB274="Arachnida",AB274="#N/C"),"",INDEX(ClassificationClasses[[Class]:[Suborder]],MATCH(TRUE,ISNUMBER(SEARCH(AB274,ClassificationClasses[Key])),0),MATCH(AB274,INDEX(ClassificationClasses[#Data], MATCH(TRUE,ISNUMBER(SEARCH(AB274,ClassificationClasses[Key])),0), 0), 0)-1)),"")</f>
        <v>Insecta</v>
      </c>
      <c r="AD274" s="116" t="str" cm="1">
        <f t="array" ref="AD274">IFERROR(IF(OR(AC274="Insecta",AC274="Arachnida",AC274="#N/C"),"",INDEX(ClassificationClasses[[Class]:[Suborder]],MATCH(TRUE,ISNUMBER(SEARCH(AC274,ClassificationClasses[Key])),0),MATCH(AC274,INDEX(ClassificationClasses[#Data], MATCH(TRUE,ISNUMBER(SEARCH(AC274,ClassificationClasses[Key])),0), 0), 0)-1)),"")</f>
        <v/>
      </c>
      <c r="AE274" s="18" t="str">
        <f t="shared" si="10"/>
        <v>Insecta.Hymenoptera.Apocrita.Aculeata.Formicoidea.Formicidae.Formicinae.Formica.#N/C</v>
      </c>
    </row>
    <row r="275" spans="1:31" x14ac:dyDescent="0.3">
      <c r="A275" s="91">
        <v>274</v>
      </c>
      <c r="B275" s="7">
        <v>44406</v>
      </c>
      <c r="C275" s="92" t="s">
        <v>491</v>
      </c>
      <c r="D275" s="93" t="str">
        <f>HYPERLINK(VLOOKUP(C275,Video_List!$F:$J,5),"video")</f>
        <v>video</v>
      </c>
      <c r="E275" s="94" t="str">
        <f>IFERROR(IF(MATCH(C275,Video_List!$F:$F,)&gt;0,"ok",""),"error")</f>
        <v>ok</v>
      </c>
      <c r="F275" s="92" t="s">
        <v>491</v>
      </c>
      <c r="G275" s="93" t="str">
        <f>HYPERLINK(VLOOKUP(F275,Video_List!$F:$J,5),"video")</f>
        <v>video</v>
      </c>
      <c r="H275" s="94" t="str">
        <f>IFERROR(IF(MATCH(F275,Video_List!$F:$F,)&gt;0,"ok",""),"error")</f>
        <v>ok</v>
      </c>
      <c r="I275" s="17">
        <v>44406.691724537035</v>
      </c>
      <c r="J275" s="8">
        <v>44406.69190972222</v>
      </c>
      <c r="K275" s="15">
        <f t="shared" si="9"/>
        <v>1.8518518481869251E-4</v>
      </c>
      <c r="L275" s="95" t="s">
        <v>44</v>
      </c>
      <c r="M275" s="95" t="s">
        <v>118</v>
      </c>
      <c r="N275" s="96" t="str">
        <f>IF(ISBLANK(C275),"",IF(C275=F275, "1 video",CONCATENATE((+COUNTIFS(Video_List!$C:$C,"&lt;=" &amp;Monitoring!J275)-COUNTIFS(Video_List!$C:$C,"&lt;=" &amp;Monitoring!I275))+1," videos")))</f>
        <v>1 video</v>
      </c>
      <c r="O275" s="29" t="s">
        <v>44</v>
      </c>
      <c r="P275" s="42" t="s">
        <v>37</v>
      </c>
      <c r="Q275" s="42" t="s">
        <v>123</v>
      </c>
      <c r="R275" s="42" t="s">
        <v>124</v>
      </c>
      <c r="S275" s="97" t="str">
        <f>+IFERROR(IF(T275="#N/C","#N/C",IF(U275=0,INDEX(Taxonomy_UniqueValues!D:D,MATCH(U275,Taxonomy_UniqueValues!F:F,0)),INDEX(Taxonomy_UniqueValues!D:D,MATCH(T275,Taxonomy_UniqueValues!E:E,0)))),"#N/C")</f>
        <v>Acrididea</v>
      </c>
      <c r="T275" s="42" t="s">
        <v>125</v>
      </c>
      <c r="U275" s="42" t="s">
        <v>126</v>
      </c>
      <c r="V275" s="42" t="s">
        <v>173</v>
      </c>
      <c r="W275" s="42" t="s">
        <v>174</v>
      </c>
      <c r="X275" s="28" t="s">
        <v>492</v>
      </c>
      <c r="Y275" s="69" t="str" cm="1">
        <f t="array" ref="Y275">_xlfn.LET(_xlpm.cls,P275, _xlpm.ord,IFERROR(Q275,"#N/C"), _xlpm.subord,IFERROR(R275,"#N/C"), _xlpm.infr,IFERROR(S275,"#N/C"), _xlpm.sf,IFERROR(T275,"#N/C"), _xlpm.fam,IFERROR(U275,"#N/C"), _xlpm.subfam,IF(TRIM(V275)="-","#N/C",IFERROR(V275,"#N/C")),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_xlpm.fallback,IF(IFERROR(Q275,"#N/C")="#N/C",P275,IF(IFERROR(R275,"#N/C")="#N/C",Q275,IF(IFERROR(S275,"#N/C")="#N/C",R275,IF(IFERROR(T275,"#N/C")="#N/C",S275,IF(IFERROR(U275,"#N/C")="#N/C",T275,IF(IFERROR(V275,"#N/C")="#N/C",U275,"#N/C")))))), _xlpm.finalResult,IF(OR(_xlpm.computedResult="",_xlpm.computedResult="#N/C"),_xlpm.fallback,_xlpm.computedResult), INDEX(_xlpm.finalResult,1))</f>
        <v>grasshopper</v>
      </c>
      <c r="Z275" s="116" t="str" cm="1">
        <f t="array" ref="Z275">IF(OR(Y275="Insecta",Y275="Arachnida",Y275="#N/C"),"",IFERROR(_xlfn.LET(_xlpm.fc,IFERROR(_xlfn._xlws.FILTER(ClassificationClasses[],ClassificationClasses[Classification Class]=Y275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275,ClassificationClasses[Key])),0),MATCH(Y275,INDEX(ClassificationClasses[],MATCH(TRUE,ISNUMBER(SEARCH(Y275,ClassificationClasses[Key])),0),0),0)-1)))</f>
        <v>Orthoptera</v>
      </c>
      <c r="AA275" s="116" t="str" cm="1">
        <f t="array" ref="AA275">IFERROR(IF(OR(Z275="Insecta",Z275="Arachnida",Z275="#N/C"),"",INDEX(ClassificationClasses[[Class]:[Infraorder]],MATCH(TRUE,ISNUMBER(SEARCH(Z275,ClassificationClasses[Key])),0),MATCH(Z275,INDEX(ClassificationClasses[#Data], MATCH(TRUE,ISNUMBER(SEARCH(Z275,ClassificationClasses[Key])),0), 0), 0)-1)),"")</f>
        <v>Insecta</v>
      </c>
      <c r="AB275" s="116" t="str" cm="1">
        <f t="array" ref="AB275">IFERROR(IF(OR(AA275="Insecta",AA275="Arachnida",AA275="#N/C"),"",INDEX(ClassificationClasses[[Class]:[Suborder]],MATCH(TRUE,ISNUMBER(SEARCH(AA275,ClassificationClasses[Key])),0),MATCH(AA275,INDEX(ClassificationClasses[#Data], MATCH(TRUE,ISNUMBER(SEARCH(AA275,ClassificationClasses[Key])),0), 0), 0)-1)),"")</f>
        <v/>
      </c>
      <c r="AC275" s="116" t="str" cm="1">
        <f t="array" ref="AC275">IFERROR(IF(OR(AB275="Insecta",AB275="Arachnida",AB275="#N/C"),"",INDEX(ClassificationClasses[[Class]:[Suborder]],MATCH(TRUE,ISNUMBER(SEARCH(AB275,ClassificationClasses[Key])),0),MATCH(AB275,INDEX(ClassificationClasses[#Data], MATCH(TRUE,ISNUMBER(SEARCH(AB275,ClassificationClasses[Key])),0), 0), 0)-1)),"")</f>
        <v/>
      </c>
      <c r="AD275" s="116" t="str" cm="1">
        <f t="array" ref="AD275">IFERROR(IF(OR(AC275="Insecta",AC275="Arachnida",AC275="#N/C"),"",INDEX(ClassificationClasses[[Class]:[Suborder]],MATCH(TRUE,ISNUMBER(SEARCH(AC275,ClassificationClasses[Key])),0),MATCH(AC275,INDEX(ClassificationClasses[#Data], MATCH(TRUE,ISNUMBER(SEARCH(AC275,ClassificationClasses[Key])),0), 0), 0)-1)),"")</f>
        <v/>
      </c>
      <c r="AE275" s="18" t="str">
        <f t="shared" si="10"/>
        <v>Insecta.Orthoptera.Caelifera.Acrididea.Acridoidea.Acrididae.Gomphocerinae.Chorthippus.biguttulus</v>
      </c>
    </row>
    <row r="276" spans="1:31" x14ac:dyDescent="0.3">
      <c r="A276" s="91">
        <v>275</v>
      </c>
      <c r="B276" s="7">
        <v>44406</v>
      </c>
      <c r="C276" s="92" t="s">
        <v>493</v>
      </c>
      <c r="D276" s="93" t="str">
        <f>HYPERLINK(VLOOKUP(C276,Video_List!$F:$J,5),"video")</f>
        <v>video</v>
      </c>
      <c r="E276" s="94" t="str">
        <f>IFERROR(IF(MATCH(C276,Video_List!$F:$F,)&gt;0,"ok",""),"error")</f>
        <v>ok</v>
      </c>
      <c r="F276" s="92" t="s">
        <v>493</v>
      </c>
      <c r="G276" s="93" t="str">
        <f>HYPERLINK(VLOOKUP(F276,Video_List!$F:$J,5),"video")</f>
        <v>video</v>
      </c>
      <c r="H276" s="94" t="str">
        <f>IFERROR(IF(MATCH(F276,Video_List!$F:$F,)&gt;0,"ok",""),"error")</f>
        <v>ok</v>
      </c>
      <c r="I276" s="17">
        <v>44406.692627314813</v>
      </c>
      <c r="J276" s="8">
        <v>44406.694594907407</v>
      </c>
      <c r="K276" s="15">
        <f t="shared" si="9"/>
        <v>1.9675925941555761E-3</v>
      </c>
      <c r="L276" s="95" t="s">
        <v>44</v>
      </c>
      <c r="M276" s="95" t="s">
        <v>33</v>
      </c>
      <c r="N276" s="96" t="str">
        <f>IF(ISBLANK(C276),"",IF(C276=F276, "1 video",CONCATENATE((+COUNTIFS(Video_List!$C:$C,"&lt;=" &amp;Monitoring!J276)-COUNTIFS(Video_List!$C:$C,"&lt;=" &amp;Monitoring!I276))+1," videos")))</f>
        <v>1 video</v>
      </c>
      <c r="O276" s="27" t="s">
        <v>32</v>
      </c>
      <c r="P276" s="42" t="s">
        <v>37</v>
      </c>
      <c r="Q276" s="42" t="s">
        <v>123</v>
      </c>
      <c r="R276" s="42" t="s">
        <v>124</v>
      </c>
      <c r="S276" s="97" t="str">
        <f>+IFERROR(IF(T276="#N/C","#N/C",IF(U276=0,INDEX(Taxonomy_UniqueValues!D:D,MATCH(U276,Taxonomy_UniqueValues!F:F,0)),INDEX(Taxonomy_UniqueValues!D:D,MATCH(T276,Taxonomy_UniqueValues!E:E,0)))),"#N/C")</f>
        <v>Acrididea</v>
      </c>
      <c r="T276" s="42" t="s">
        <v>125</v>
      </c>
      <c r="U276" s="42" t="s">
        <v>126</v>
      </c>
      <c r="V276" s="42" t="s">
        <v>173</v>
      </c>
      <c r="W276" s="42" t="s">
        <v>174</v>
      </c>
      <c r="X276" s="28" t="s">
        <v>492</v>
      </c>
      <c r="Y276" s="69" t="str" cm="1">
        <f t="array" ref="Y276">_xlfn.LET(_xlpm.cls,P276, _xlpm.ord,IFERROR(Q276,"#N/C"), _xlpm.subord,IFERROR(R276,"#N/C"), _xlpm.infr,IFERROR(S276,"#N/C"), _xlpm.sf,IFERROR(T276,"#N/C"), _xlpm.fam,IFERROR(U276,"#N/C"), _xlpm.subfam,IF(TRIM(V276)="-","#N/C",IFERROR(V276,"#N/C")),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_xlpm.fallback,IF(IFERROR(Q276,"#N/C")="#N/C",P276,IF(IFERROR(R276,"#N/C")="#N/C",Q276,IF(IFERROR(S276,"#N/C")="#N/C",R276,IF(IFERROR(T276,"#N/C")="#N/C",S276,IF(IFERROR(U276,"#N/C")="#N/C",T276,IF(IFERROR(V276,"#N/C")="#N/C",U276,"#N/C")))))), _xlpm.finalResult,IF(OR(_xlpm.computedResult="",_xlpm.computedResult="#N/C"),_xlpm.fallback,_xlpm.computedResult), INDEX(_xlpm.finalResult,1))</f>
        <v>grasshopper</v>
      </c>
      <c r="Z276" s="116" t="str" cm="1">
        <f t="array" ref="Z276">IF(OR(Y276="Insecta",Y276="Arachnida",Y276="#N/C"),"",IFERROR(_xlfn.LET(_xlpm.fc,IFERROR(_xlfn._xlws.FILTER(ClassificationClasses[],ClassificationClasses[Classification Class]=Y276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276,ClassificationClasses[Key])),0),MATCH(Y276,INDEX(ClassificationClasses[],MATCH(TRUE,ISNUMBER(SEARCH(Y276,ClassificationClasses[Key])),0),0),0)-1)))</f>
        <v>Orthoptera</v>
      </c>
      <c r="AA276" s="116" t="str" cm="1">
        <f t="array" ref="AA276">IFERROR(IF(OR(Z276="Insecta",Z276="Arachnida",Z276="#N/C"),"",INDEX(ClassificationClasses[[Class]:[Infraorder]],MATCH(TRUE,ISNUMBER(SEARCH(Z276,ClassificationClasses[Key])),0),MATCH(Z276,INDEX(ClassificationClasses[#Data], MATCH(TRUE,ISNUMBER(SEARCH(Z276,ClassificationClasses[Key])),0), 0), 0)-1)),"")</f>
        <v>Insecta</v>
      </c>
      <c r="AB276" s="116" t="str" cm="1">
        <f t="array" ref="AB276">IFERROR(IF(OR(AA276="Insecta",AA276="Arachnida",AA276="#N/C"),"",INDEX(ClassificationClasses[[Class]:[Suborder]],MATCH(TRUE,ISNUMBER(SEARCH(AA276,ClassificationClasses[Key])),0),MATCH(AA276,INDEX(ClassificationClasses[#Data], MATCH(TRUE,ISNUMBER(SEARCH(AA276,ClassificationClasses[Key])),0), 0), 0)-1)),"")</f>
        <v/>
      </c>
      <c r="AC276" s="116" t="str" cm="1">
        <f t="array" ref="AC276">IFERROR(IF(OR(AB276="Insecta",AB276="Arachnida",AB276="#N/C"),"",INDEX(ClassificationClasses[[Class]:[Suborder]],MATCH(TRUE,ISNUMBER(SEARCH(AB276,ClassificationClasses[Key])),0),MATCH(AB276,INDEX(ClassificationClasses[#Data], MATCH(TRUE,ISNUMBER(SEARCH(AB276,ClassificationClasses[Key])),0), 0), 0)-1)),"")</f>
        <v/>
      </c>
      <c r="AD276" s="116" t="str" cm="1">
        <f t="array" ref="AD276">IFERROR(IF(OR(AC276="Insecta",AC276="Arachnida",AC276="#N/C"),"",INDEX(ClassificationClasses[[Class]:[Suborder]],MATCH(TRUE,ISNUMBER(SEARCH(AC276,ClassificationClasses[Key])),0),MATCH(AC276,INDEX(ClassificationClasses[#Data], MATCH(TRUE,ISNUMBER(SEARCH(AC276,ClassificationClasses[Key])),0), 0), 0)-1)),"")</f>
        <v/>
      </c>
      <c r="AE276" s="18" t="str">
        <f t="shared" si="10"/>
        <v>Insecta.Orthoptera.Caelifera.Acrididea.Acridoidea.Acrididae.Gomphocerinae.Chorthippus.biguttulus</v>
      </c>
    </row>
    <row r="277" spans="1:31" x14ac:dyDescent="0.3">
      <c r="A277" s="91">
        <v>276</v>
      </c>
      <c r="B277" s="7">
        <v>44406</v>
      </c>
      <c r="C277" s="92" t="s">
        <v>494</v>
      </c>
      <c r="D277" s="93" t="str">
        <f>HYPERLINK(VLOOKUP(C277,Video_List!$F:$J,5),"video")</f>
        <v>video</v>
      </c>
      <c r="E277" s="94" t="str">
        <f>IFERROR(IF(MATCH(C277,Video_List!$F:$F,)&gt;0,"ok",""),"error")</f>
        <v>ok</v>
      </c>
      <c r="F277" s="92" t="s">
        <v>494</v>
      </c>
      <c r="G277" s="93" t="str">
        <f>HYPERLINK(VLOOKUP(F277,Video_List!$F:$J,5),"video")</f>
        <v>video</v>
      </c>
      <c r="H277" s="94" t="str">
        <f>IFERROR(IF(MATCH(F277,Video_List!$F:$F,)&gt;0,"ok",""),"error")</f>
        <v>ok</v>
      </c>
      <c r="I277" s="17">
        <v>44406.721180555556</v>
      </c>
      <c r="J277" s="8">
        <v>44406.721296296295</v>
      </c>
      <c r="K277" s="15">
        <f t="shared" si="9"/>
        <v>1.1574073869269341E-4</v>
      </c>
      <c r="L277" s="4" t="s">
        <v>44</v>
      </c>
      <c r="M277" s="4" t="s">
        <v>33</v>
      </c>
      <c r="N277" s="96" t="str">
        <f>IF(ISBLANK(C277),"",IF(C277=F277, "1 video",CONCATENATE((+COUNTIFS(Video_List!$C:$C,"&lt;=" &amp;Monitoring!J277)-COUNTIFS(Video_List!$C:$C,"&lt;=" &amp;Monitoring!I277))+1," videos")))</f>
        <v>1 video</v>
      </c>
      <c r="O277" s="29" t="s">
        <v>44</v>
      </c>
      <c r="P277" s="42" t="s">
        <v>37</v>
      </c>
      <c r="Q277" s="42" t="s">
        <v>38</v>
      </c>
      <c r="R277" s="42" t="s">
        <v>39</v>
      </c>
      <c r="S277" s="97" t="str">
        <f>+IFERROR(IF(T277="#N/C","#N/C",IF(U277=0,INDEX(Taxonomy_UniqueValues!D:D,MATCH(U277,Taxonomy_UniqueValues!F:F,0)),INDEX(Taxonomy_UniqueValues!D:D,MATCH(T277,Taxonomy_UniqueValues!E:E,0)))),"#N/C")</f>
        <v>Muscomorpha</v>
      </c>
      <c r="T277" s="42" t="s">
        <v>175</v>
      </c>
      <c r="U277" s="42" t="s">
        <v>495</v>
      </c>
      <c r="V277" s="42" t="s">
        <v>496</v>
      </c>
      <c r="W277" s="42" t="s">
        <v>497</v>
      </c>
      <c r="X277" s="28" t="s">
        <v>498</v>
      </c>
      <c r="Y277" s="69" t="str" cm="1">
        <f t="array" ref="Y277">_xlfn.LET(_xlpm.cls,P277, _xlpm.ord,IFERROR(Q277,"#N/C"), _xlpm.subord,IFERROR(R277,"#N/C"), _xlpm.infr,IFERROR(S277,"#N/C"), _xlpm.sf,IFERROR(T277,"#N/C"), _xlpm.fam,IFERROR(U277,"#N/C"), _xlpm.subfam,IF(TRIM(V277)="-","#N/C",IFERROR(V277,"#N/C")),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_xlpm.fallback,IF(IFERROR(Q277,"#N/C")="#N/C",P277,IF(IFERROR(R277,"#N/C")="#N/C",Q277,IF(IFERROR(S277,"#N/C")="#N/C",R277,IF(IFERROR(T277,"#N/C")="#N/C",S277,IF(IFERROR(U277,"#N/C")="#N/C",T277,IF(IFERROR(V277,"#N/C")="#N/C",U277,"#N/C")))))), _xlpm.finalResult,IF(OR(_xlpm.computedResult="",_xlpm.computedResult="#N/C"),_xlpm.fallback,_xlpm.computedResult), INDEX(_xlpm.finalResult,1))</f>
        <v>fly</v>
      </c>
      <c r="Z277" s="116" t="str" cm="1">
        <f t="array" ref="Z277">IF(OR(Y277="Insecta",Y277="Arachnida",Y277="#N/C"),"",IFERROR(_xlfn.LET(_xlpm.fc,IFERROR(_xlfn._xlws.FILTER(ClassificationClasses[],ClassificationClasses[Classification Class]=Y277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277,ClassificationClasses[Key])),0),MATCH(Y277,INDEX(ClassificationClasses[],MATCH(TRUE,ISNUMBER(SEARCH(Y277,ClassificationClasses[Key])),0),0),0)-1)))</f>
        <v>Muscomorpha</v>
      </c>
      <c r="AA277" s="116" t="str" cm="1">
        <f t="array" ref="AA277">IFERROR(IF(OR(Z277="Insecta",Z277="Arachnida",Z277="#N/C"),"",INDEX(ClassificationClasses[[Class]:[Infraorder]],MATCH(TRUE,ISNUMBER(SEARCH(Z277,ClassificationClasses[Key])),0),MATCH(Z277,INDEX(ClassificationClasses[#Data], MATCH(TRUE,ISNUMBER(SEARCH(Z277,ClassificationClasses[Key])),0), 0), 0)-1)),"")</f>
        <v>Brachycera</v>
      </c>
      <c r="AB277" s="116" t="str" cm="1">
        <f t="array" ref="AB277">IFERROR(IF(OR(AA277="Insecta",AA277="Arachnida",AA277="#N/C"),"",INDEX(ClassificationClasses[[Class]:[Suborder]],MATCH(TRUE,ISNUMBER(SEARCH(AA277,ClassificationClasses[Key])),0),MATCH(AA277,INDEX(ClassificationClasses[#Data], MATCH(TRUE,ISNUMBER(SEARCH(AA277,ClassificationClasses[Key])),0), 0), 0)-1)),"")</f>
        <v>Diptera</v>
      </c>
      <c r="AC277" s="116" t="str" cm="1">
        <f t="array" ref="AC277">IFERROR(IF(OR(AB277="Insecta",AB277="Arachnida",AB277="#N/C"),"",INDEX(ClassificationClasses[[Class]:[Suborder]],MATCH(TRUE,ISNUMBER(SEARCH(AB277,ClassificationClasses[Key])),0),MATCH(AB277,INDEX(ClassificationClasses[#Data], MATCH(TRUE,ISNUMBER(SEARCH(AB277,ClassificationClasses[Key])),0), 0), 0)-1)),"")</f>
        <v>Insecta</v>
      </c>
      <c r="AD277" s="116" t="str" cm="1">
        <f t="array" ref="AD277">IFERROR(IF(OR(AC277="Insecta",AC277="Arachnida",AC277="#N/C"),"",INDEX(ClassificationClasses[[Class]:[Suborder]],MATCH(TRUE,ISNUMBER(SEARCH(AC277,ClassificationClasses[Key])),0),MATCH(AC277,INDEX(ClassificationClasses[#Data], MATCH(TRUE,ISNUMBER(SEARCH(AC277,ClassificationClasses[Key])),0), 0), 0)-1)),"")</f>
        <v/>
      </c>
      <c r="AE277" s="18" t="str">
        <f t="shared" si="10"/>
        <v>Insecta.Diptera.Brachycera.Muscomorpha.Muscoidea.Muscidae.Muscinae.Mesembrina.meridiana</v>
      </c>
    </row>
    <row r="278" spans="1:31" x14ac:dyDescent="0.3">
      <c r="A278" s="91">
        <v>277</v>
      </c>
      <c r="B278" s="7">
        <v>44406</v>
      </c>
      <c r="C278" s="92" t="s">
        <v>499</v>
      </c>
      <c r="D278" s="93" t="str">
        <f>HYPERLINK(VLOOKUP(C278,Video_List!$F:$J,5),"video")</f>
        <v>video</v>
      </c>
      <c r="E278" s="94" t="str">
        <f>IFERROR(IF(MATCH(C278,Video_List!$F:$F,)&gt;0,"ok",""),"error")</f>
        <v>ok</v>
      </c>
      <c r="F278" s="92" t="s">
        <v>499</v>
      </c>
      <c r="G278" s="93" t="str">
        <f>HYPERLINK(VLOOKUP(F278,Video_List!$F:$J,5),"video")</f>
        <v>video</v>
      </c>
      <c r="H278" s="94" t="str">
        <f>IFERROR(IF(MATCH(F278,Video_List!$F:$F,)&gt;0,"ok",""),"error")</f>
        <v>ok</v>
      </c>
      <c r="I278" s="17">
        <v>44406.725081018521</v>
      </c>
      <c r="J278" s="8">
        <v>44406.725694444445</v>
      </c>
      <c r="K278" s="15">
        <f t="shared" si="9"/>
        <v>6.1342592380242422E-4</v>
      </c>
      <c r="L278" s="4" t="s">
        <v>44</v>
      </c>
      <c r="M278" s="4" t="s">
        <v>33</v>
      </c>
      <c r="N278" s="96" t="str">
        <f>IF(ISBLANK(C278),"",IF(C278=F278, "1 video",CONCATENATE((+COUNTIFS(Video_List!$C:$C,"&lt;=" &amp;Monitoring!J278)-COUNTIFS(Video_List!$C:$C,"&lt;=" &amp;Monitoring!I278))+1," videos")))</f>
        <v>1 video</v>
      </c>
      <c r="O278" s="27" t="s">
        <v>32</v>
      </c>
      <c r="P278" s="42" t="s">
        <v>37</v>
      </c>
      <c r="Q278" s="42" t="s">
        <v>38</v>
      </c>
      <c r="R278" s="42" t="s">
        <v>39</v>
      </c>
      <c r="S278" s="97" t="str">
        <f>+IFERROR(IF(T278="#N/C","#N/C",IF(U278=0,INDEX(Taxonomy_UniqueValues!D:D,MATCH(U278,Taxonomy_UniqueValues!F:F,0)),INDEX(Taxonomy_UniqueValues!D:D,MATCH(T278,Taxonomy_UniqueValues!E:E,0)))),"#N/C")</f>
        <v>Muscomorpha</v>
      </c>
      <c r="T278" s="42" t="s">
        <v>175</v>
      </c>
      <c r="U278" s="42" t="s">
        <v>495</v>
      </c>
      <c r="V278" s="42" t="s">
        <v>496</v>
      </c>
      <c r="W278" s="42" t="s">
        <v>497</v>
      </c>
      <c r="X278" s="28" t="s">
        <v>498</v>
      </c>
      <c r="Y278" s="69" t="str" cm="1">
        <f t="array" ref="Y278">_xlfn.LET(_xlpm.cls,P278, _xlpm.ord,IFERROR(Q278,"#N/C"), _xlpm.subord,IFERROR(R278,"#N/C"), _xlpm.infr,IFERROR(S278,"#N/C"), _xlpm.sf,IFERROR(T278,"#N/C"), _xlpm.fam,IFERROR(U278,"#N/C"), _xlpm.subfam,IF(TRIM(V278)="-","#N/C",IFERROR(V278,"#N/C")),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_xlpm.fallback,IF(IFERROR(Q278,"#N/C")="#N/C",P278,IF(IFERROR(R278,"#N/C")="#N/C",Q278,IF(IFERROR(S278,"#N/C")="#N/C",R278,IF(IFERROR(T278,"#N/C")="#N/C",S278,IF(IFERROR(U278,"#N/C")="#N/C",T278,IF(IFERROR(V278,"#N/C")="#N/C",U278,"#N/C")))))), _xlpm.finalResult,IF(OR(_xlpm.computedResult="",_xlpm.computedResult="#N/C"),_xlpm.fallback,_xlpm.computedResult), INDEX(_xlpm.finalResult,1))</f>
        <v>fly</v>
      </c>
      <c r="Z278" s="116" t="str" cm="1">
        <f t="array" ref="Z278">IF(OR(Y278="Insecta",Y278="Arachnida",Y278="#N/C"),"",IFERROR(_xlfn.LET(_xlpm.fc,IFERROR(_xlfn._xlws.FILTER(ClassificationClasses[],ClassificationClasses[Classification Class]=Y278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278,ClassificationClasses[Key])),0),MATCH(Y278,INDEX(ClassificationClasses[],MATCH(TRUE,ISNUMBER(SEARCH(Y278,ClassificationClasses[Key])),0),0),0)-1)))</f>
        <v>Muscomorpha</v>
      </c>
      <c r="AA278" s="116" t="str" cm="1">
        <f t="array" ref="AA278">IFERROR(IF(OR(Z278="Insecta",Z278="Arachnida",Z278="#N/C"),"",INDEX(ClassificationClasses[[Class]:[Infraorder]],MATCH(TRUE,ISNUMBER(SEARCH(Z278,ClassificationClasses[Key])),0),MATCH(Z278,INDEX(ClassificationClasses[#Data], MATCH(TRUE,ISNUMBER(SEARCH(Z278,ClassificationClasses[Key])),0), 0), 0)-1)),"")</f>
        <v>Brachycera</v>
      </c>
      <c r="AB278" s="116" t="str" cm="1">
        <f t="array" ref="AB278">IFERROR(IF(OR(AA278="Insecta",AA278="Arachnida",AA278="#N/C"),"",INDEX(ClassificationClasses[[Class]:[Suborder]],MATCH(TRUE,ISNUMBER(SEARCH(AA278,ClassificationClasses[Key])),0),MATCH(AA278,INDEX(ClassificationClasses[#Data], MATCH(TRUE,ISNUMBER(SEARCH(AA278,ClassificationClasses[Key])),0), 0), 0)-1)),"")</f>
        <v>Diptera</v>
      </c>
      <c r="AC278" s="116" t="str" cm="1">
        <f t="array" ref="AC278">IFERROR(IF(OR(AB278="Insecta",AB278="Arachnida",AB278="#N/C"),"",INDEX(ClassificationClasses[[Class]:[Suborder]],MATCH(TRUE,ISNUMBER(SEARCH(AB278,ClassificationClasses[Key])),0),MATCH(AB278,INDEX(ClassificationClasses[#Data], MATCH(TRUE,ISNUMBER(SEARCH(AB278,ClassificationClasses[Key])),0), 0), 0)-1)),"")</f>
        <v>Insecta</v>
      </c>
      <c r="AD278" s="116" t="str" cm="1">
        <f t="array" ref="AD278">IFERROR(IF(OR(AC278="Insecta",AC278="Arachnida",AC278="#N/C"),"",INDEX(ClassificationClasses[[Class]:[Suborder]],MATCH(TRUE,ISNUMBER(SEARCH(AC278,ClassificationClasses[Key])),0),MATCH(AC278,INDEX(ClassificationClasses[#Data], MATCH(TRUE,ISNUMBER(SEARCH(AC278,ClassificationClasses[Key])),0), 0), 0)-1)),"")</f>
        <v/>
      </c>
      <c r="AE278" s="18" t="str">
        <f t="shared" si="10"/>
        <v>Insecta.Diptera.Brachycera.Muscomorpha.Muscoidea.Muscidae.Muscinae.Mesembrina.meridiana</v>
      </c>
    </row>
    <row r="279" spans="1:31" x14ac:dyDescent="0.3">
      <c r="A279" s="91">
        <v>278</v>
      </c>
      <c r="B279" s="7">
        <v>44406</v>
      </c>
      <c r="C279" s="92" t="s">
        <v>500</v>
      </c>
      <c r="D279" s="93" t="str">
        <f>HYPERLINK(VLOOKUP(C279,Video_List!$F:$J,5),"video")</f>
        <v>video</v>
      </c>
      <c r="E279" s="94" t="str">
        <f>IFERROR(IF(MATCH(C279,Video_List!$F:$F,)&gt;0,"ok",""),"error")</f>
        <v>ok</v>
      </c>
      <c r="F279" s="92" t="s">
        <v>500</v>
      </c>
      <c r="G279" s="93" t="str">
        <f>HYPERLINK(VLOOKUP(F279,Video_List!$F:$J,5),"video")</f>
        <v>video</v>
      </c>
      <c r="H279" s="94" t="str">
        <f>IFERROR(IF(MATCH(F279,Video_List!$F:$F,)&gt;0,"ok",""),"error")</f>
        <v>ok</v>
      </c>
      <c r="I279" s="17">
        <v>44406.751354166663</v>
      </c>
      <c r="J279" s="8">
        <v>44406.751875000002</v>
      </c>
      <c r="K279" s="15">
        <f t="shared" si="9"/>
        <v>5.2083333866903558E-4</v>
      </c>
      <c r="L279" s="95" t="s">
        <v>32</v>
      </c>
      <c r="M279" s="95" t="s">
        <v>33</v>
      </c>
      <c r="N279" s="96" t="str">
        <f>IF(ISBLANK(C279),"",IF(C279=F279, "1 video",CONCATENATE((+COUNTIFS(Video_List!$C:$C,"&lt;=" &amp;Monitoring!J279)-COUNTIFS(Video_List!$C:$C,"&lt;=" &amp;Monitoring!I279))+1," videos")))</f>
        <v>1 video</v>
      </c>
      <c r="O279" s="29" t="s">
        <v>44</v>
      </c>
      <c r="P279" s="42" t="s">
        <v>37</v>
      </c>
      <c r="Q279" s="42" t="s">
        <v>38</v>
      </c>
      <c r="R279" s="42" t="s">
        <v>39</v>
      </c>
      <c r="S279" s="97" t="str">
        <f>+IFERROR(IF(T279="#N/C","#N/C",IF(U279=0,INDEX(Taxonomy_UniqueValues!D:D,MATCH(U279,Taxonomy_UniqueValues!F:F,0)),INDEX(Taxonomy_UniqueValues!D:D,MATCH(T279,Taxonomy_UniqueValues!E:E,0)))),"#N/C")</f>
        <v>#N/C</v>
      </c>
      <c r="T279" s="42" t="s">
        <v>35</v>
      </c>
      <c r="U279" s="42" t="s">
        <v>35</v>
      </c>
      <c r="V279" s="42" t="s">
        <v>35</v>
      </c>
      <c r="W279" s="42" t="s">
        <v>35</v>
      </c>
      <c r="X279" s="28" t="s">
        <v>35</v>
      </c>
      <c r="Y279" s="69" t="str" cm="1">
        <f t="array" ref="Y279">_xlfn.LET(_xlpm.cls,P279, _xlpm.ord,IFERROR(Q279,"#N/C"), _xlpm.subord,IFERROR(R279,"#N/C"), _xlpm.infr,IFERROR(S279,"#N/C"), _xlpm.sf,IFERROR(T279,"#N/C"), _xlpm.fam,IFERROR(U279,"#N/C"), _xlpm.subfam,IF(TRIM(V279)="-","#N/C",IFERROR(V279,"#N/C")),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_xlpm.fallback,IF(IFERROR(Q279,"#N/C")="#N/C",P279,IF(IFERROR(R279,"#N/C")="#N/C",Q279,IF(IFERROR(S279,"#N/C")="#N/C",R279,IF(IFERROR(T279,"#N/C")="#N/C",S279,IF(IFERROR(U279,"#N/C")="#N/C",T279,IF(IFERROR(V279,"#N/C")="#N/C",U279,"#N/C")))))), _xlpm.finalResult,IF(OR(_xlpm.computedResult="",_xlpm.computedResult="#N/C"),_xlpm.fallback,_xlpm.computedResult), INDEX(_xlpm.finalResult,1))</f>
        <v>Brachycera</v>
      </c>
      <c r="Z279" s="116" t="str" cm="1">
        <f t="array" ref="Z279">IF(OR(Y279="Insecta",Y279="Arachnida",Y279="#N/C"),"",IFERROR(_xlfn.LET(_xlpm.fc,IFERROR(_xlfn._xlws.FILTER(ClassificationClasses[],ClassificationClasses[Classification Class]=Y279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279,ClassificationClasses[Key])),0),MATCH(Y279,INDEX(ClassificationClasses[],MATCH(TRUE,ISNUMBER(SEARCH(Y279,ClassificationClasses[Key])),0),0),0)-1)))</f>
        <v>Diptera</v>
      </c>
      <c r="AA279" s="116" t="str" cm="1">
        <f t="array" ref="AA279">IFERROR(IF(OR(Z279="Insecta",Z279="Arachnida",Z279="#N/C"),"",INDEX(ClassificationClasses[[Class]:[Infraorder]],MATCH(TRUE,ISNUMBER(SEARCH(Z279,ClassificationClasses[Key])),0),MATCH(Z279,INDEX(ClassificationClasses[#Data], MATCH(TRUE,ISNUMBER(SEARCH(Z279,ClassificationClasses[Key])),0), 0), 0)-1)),"")</f>
        <v>Insecta</v>
      </c>
      <c r="AB279" s="116" t="str" cm="1">
        <f t="array" ref="AB279">IFERROR(IF(OR(AA279="Insecta",AA279="Arachnida",AA279="#N/C"),"",INDEX(ClassificationClasses[[Class]:[Suborder]],MATCH(TRUE,ISNUMBER(SEARCH(AA279,ClassificationClasses[Key])),0),MATCH(AA279,INDEX(ClassificationClasses[#Data], MATCH(TRUE,ISNUMBER(SEARCH(AA279,ClassificationClasses[Key])),0), 0), 0)-1)),"")</f>
        <v/>
      </c>
      <c r="AC279" s="116" t="str" cm="1">
        <f t="array" ref="AC279">IFERROR(IF(OR(AB279="Insecta",AB279="Arachnida",AB279="#N/C"),"",INDEX(ClassificationClasses[[Class]:[Suborder]],MATCH(TRUE,ISNUMBER(SEARCH(AB279,ClassificationClasses[Key])),0),MATCH(AB279,INDEX(ClassificationClasses[#Data], MATCH(TRUE,ISNUMBER(SEARCH(AB279,ClassificationClasses[Key])),0), 0), 0)-1)),"")</f>
        <v/>
      </c>
      <c r="AD279" s="116" t="str" cm="1">
        <f t="array" ref="AD279">IFERROR(IF(OR(AC279="Insecta",AC279="Arachnida",AC279="#N/C"),"",INDEX(ClassificationClasses[[Class]:[Suborder]],MATCH(TRUE,ISNUMBER(SEARCH(AC279,ClassificationClasses[Key])),0),MATCH(AC279,INDEX(ClassificationClasses[#Data], MATCH(TRUE,ISNUMBER(SEARCH(AC279,ClassificationClasses[Key])),0), 0), 0)-1)),"")</f>
        <v/>
      </c>
      <c r="AE279" s="18" t="str">
        <f t="shared" si="10"/>
        <v>Insecta.Diptera.Brachycera.#N/C.#N/C.#N/C.#N/C.#N/C.#N/C</v>
      </c>
    </row>
    <row r="280" spans="1:31" x14ac:dyDescent="0.3">
      <c r="A280" s="91">
        <v>279</v>
      </c>
      <c r="B280" s="7">
        <v>44406</v>
      </c>
      <c r="C280" s="92" t="s">
        <v>501</v>
      </c>
      <c r="D280" s="93" t="str">
        <f>HYPERLINK(VLOOKUP(C280,Video_List!$F:$J,5),"video")</f>
        <v>video</v>
      </c>
      <c r="E280" s="94" t="str">
        <f>IFERROR(IF(MATCH(C280,Video_List!$F:$F,)&gt;0,"ok",""),"error")</f>
        <v>ok</v>
      </c>
      <c r="F280" s="92" t="s">
        <v>501</v>
      </c>
      <c r="G280" s="93" t="str">
        <f>HYPERLINK(VLOOKUP(F280,Video_List!$F:$J,5),"video")</f>
        <v>video</v>
      </c>
      <c r="H280" s="94" t="str">
        <f>IFERROR(IF(MATCH(F280,Video_List!$F:$F,)&gt;0,"ok",""),"error")</f>
        <v>ok</v>
      </c>
      <c r="I280" s="17">
        <v>44406.765196759261</v>
      </c>
      <c r="J280" s="8">
        <v>44406.76525462963</v>
      </c>
      <c r="K280" s="15">
        <f t="shared" si="9"/>
        <v>5.7870369346346706E-5</v>
      </c>
      <c r="L280" s="95" t="s">
        <v>32</v>
      </c>
      <c r="M280" s="95" t="s">
        <v>33</v>
      </c>
      <c r="N280" s="96" t="str">
        <f>IF(ISBLANK(C280),"",IF(C280=F280, "1 video",CONCATENATE((+COUNTIFS(Video_List!$C:$C,"&lt;=" &amp;Monitoring!J280)-COUNTIFS(Video_List!$C:$C,"&lt;=" &amp;Monitoring!I280))+1," videos")))</f>
        <v>1 video</v>
      </c>
      <c r="O280" s="29" t="s">
        <v>44</v>
      </c>
      <c r="P280" s="42" t="s">
        <v>37</v>
      </c>
      <c r="Q280" s="42" t="s">
        <v>38</v>
      </c>
      <c r="R280" s="42" t="s">
        <v>39</v>
      </c>
      <c r="S280" s="97" t="str">
        <f>+IFERROR(IF(T280="#N/C","#N/C",IF(U280=0,INDEX(Taxonomy_UniqueValues!D:D,MATCH(U280,Taxonomy_UniqueValues!F:F,0)),INDEX(Taxonomy_UniqueValues!D:D,MATCH(T280,Taxonomy_UniqueValues!E:E,0)))),"#N/C")</f>
        <v>#N/C</v>
      </c>
      <c r="T280" s="42" t="s">
        <v>35</v>
      </c>
      <c r="U280" s="42" t="s">
        <v>35</v>
      </c>
      <c r="V280" s="42" t="s">
        <v>35</v>
      </c>
      <c r="W280" s="42" t="s">
        <v>35</v>
      </c>
      <c r="X280" s="28" t="s">
        <v>35</v>
      </c>
      <c r="Y280" s="69" t="str" cm="1">
        <f t="array" ref="Y280">_xlfn.LET(_xlpm.cls,P280, _xlpm.ord,IFERROR(Q280,"#N/C"), _xlpm.subord,IFERROR(R280,"#N/C"), _xlpm.infr,IFERROR(S280,"#N/C"), _xlpm.sf,IFERROR(T280,"#N/C"), _xlpm.fam,IFERROR(U280,"#N/C"), _xlpm.subfam,IF(TRIM(V280)="-","#N/C",IFERROR(V280,"#N/C")),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_xlpm.fallback,IF(IFERROR(Q280,"#N/C")="#N/C",P280,IF(IFERROR(R280,"#N/C")="#N/C",Q280,IF(IFERROR(S280,"#N/C")="#N/C",R280,IF(IFERROR(T280,"#N/C")="#N/C",S280,IF(IFERROR(U280,"#N/C")="#N/C",T280,IF(IFERROR(V280,"#N/C")="#N/C",U280,"#N/C")))))), _xlpm.finalResult,IF(OR(_xlpm.computedResult="",_xlpm.computedResult="#N/C"),_xlpm.fallback,_xlpm.computedResult), INDEX(_xlpm.finalResult,1))</f>
        <v>Brachycera</v>
      </c>
      <c r="Z280" s="116" t="str" cm="1">
        <f t="array" ref="Z280">IF(OR(Y280="Insecta",Y280="Arachnida",Y280="#N/C"),"",IFERROR(_xlfn.LET(_xlpm.fc,IFERROR(_xlfn._xlws.FILTER(ClassificationClasses[],ClassificationClasses[Classification Class]=Y280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280,ClassificationClasses[Key])),0),MATCH(Y280,INDEX(ClassificationClasses[],MATCH(TRUE,ISNUMBER(SEARCH(Y280,ClassificationClasses[Key])),0),0),0)-1)))</f>
        <v>Diptera</v>
      </c>
      <c r="AA280" s="116" t="str" cm="1">
        <f t="array" ref="AA280">IFERROR(IF(OR(Z280="Insecta",Z280="Arachnida",Z280="#N/C"),"",INDEX(ClassificationClasses[[Class]:[Infraorder]],MATCH(TRUE,ISNUMBER(SEARCH(Z280,ClassificationClasses[Key])),0),MATCH(Z280,INDEX(ClassificationClasses[#Data], MATCH(TRUE,ISNUMBER(SEARCH(Z280,ClassificationClasses[Key])),0), 0), 0)-1)),"")</f>
        <v>Insecta</v>
      </c>
      <c r="AB280" s="116" t="str" cm="1">
        <f t="array" ref="AB280">IFERROR(IF(OR(AA280="Insecta",AA280="Arachnida",AA280="#N/C"),"",INDEX(ClassificationClasses[[Class]:[Suborder]],MATCH(TRUE,ISNUMBER(SEARCH(AA280,ClassificationClasses[Key])),0),MATCH(AA280,INDEX(ClassificationClasses[#Data], MATCH(TRUE,ISNUMBER(SEARCH(AA280,ClassificationClasses[Key])),0), 0), 0)-1)),"")</f>
        <v/>
      </c>
      <c r="AC280" s="116" t="str" cm="1">
        <f t="array" ref="AC280">IFERROR(IF(OR(AB280="Insecta",AB280="Arachnida",AB280="#N/C"),"",INDEX(ClassificationClasses[[Class]:[Suborder]],MATCH(TRUE,ISNUMBER(SEARCH(AB280,ClassificationClasses[Key])),0),MATCH(AB280,INDEX(ClassificationClasses[#Data], MATCH(TRUE,ISNUMBER(SEARCH(AB280,ClassificationClasses[Key])),0), 0), 0)-1)),"")</f>
        <v/>
      </c>
      <c r="AD280" s="116" t="str" cm="1">
        <f t="array" ref="AD280">IFERROR(IF(OR(AC280="Insecta",AC280="Arachnida",AC280="#N/C"),"",INDEX(ClassificationClasses[[Class]:[Suborder]],MATCH(TRUE,ISNUMBER(SEARCH(AC280,ClassificationClasses[Key])),0),MATCH(AC280,INDEX(ClassificationClasses[#Data], MATCH(TRUE,ISNUMBER(SEARCH(AC280,ClassificationClasses[Key])),0), 0), 0)-1)),"")</f>
        <v/>
      </c>
      <c r="AE280" s="18" t="str">
        <f t="shared" si="10"/>
        <v>Insecta.Diptera.Brachycera.#N/C.#N/C.#N/C.#N/C.#N/C.#N/C</v>
      </c>
    </row>
    <row r="281" spans="1:31" x14ac:dyDescent="0.3">
      <c r="A281" s="91">
        <v>280</v>
      </c>
      <c r="B281" s="7">
        <v>44406</v>
      </c>
      <c r="C281" s="92" t="s">
        <v>502</v>
      </c>
      <c r="D281" s="93" t="str">
        <f>HYPERLINK(VLOOKUP(C281,Video_List!$F:$J,5),"video")</f>
        <v>video</v>
      </c>
      <c r="E281" s="94" t="str">
        <f>IFERROR(IF(MATCH(C281,Video_List!$F:$F,)&gt;0,"ok",""),"error")</f>
        <v>ok</v>
      </c>
      <c r="F281" s="92" t="s">
        <v>502</v>
      </c>
      <c r="G281" s="93" t="str">
        <f>HYPERLINK(VLOOKUP(F281,Video_List!$F:$J,5),"video")</f>
        <v>video</v>
      </c>
      <c r="H281" s="94" t="str">
        <f>IFERROR(IF(MATCH(F281,Video_List!$F:$F,)&gt;0,"ok",""),"error")</f>
        <v>ok</v>
      </c>
      <c r="I281" s="17">
        <v>44406.781192129631</v>
      </c>
      <c r="J281" s="8">
        <v>44406.781238425923</v>
      </c>
      <c r="K281" s="15">
        <f t="shared" si="9"/>
        <v>4.6296292566694319E-5</v>
      </c>
      <c r="L281" s="95" t="s">
        <v>32</v>
      </c>
      <c r="M281" s="95" t="s">
        <v>33</v>
      </c>
      <c r="N281" s="96" t="str">
        <f>IF(ISBLANK(C281),"",IF(C281=F281, "1 video",CONCATENATE((+COUNTIFS(Video_List!$C:$C,"&lt;=" &amp;Monitoring!J281)-COUNTIFS(Video_List!$C:$C,"&lt;=" &amp;Monitoring!I281))+1," videos")))</f>
        <v>1 video</v>
      </c>
      <c r="O281" s="29" t="s">
        <v>44</v>
      </c>
      <c r="P281" s="42" t="s">
        <v>37</v>
      </c>
      <c r="Q281" s="42" t="s">
        <v>38</v>
      </c>
      <c r="R281" s="42" t="s">
        <v>39</v>
      </c>
      <c r="S281" s="97" t="str">
        <f>+IFERROR(IF(T281="#N/C","#N/C",IF(U281=0,INDEX(Taxonomy_UniqueValues!D:D,MATCH(U281,Taxonomy_UniqueValues!F:F,0)),INDEX(Taxonomy_UniqueValues!D:D,MATCH(T281,Taxonomy_UniqueValues!E:E,0)))),"#N/C")</f>
        <v>#N/C</v>
      </c>
      <c r="T281" s="42" t="s">
        <v>35</v>
      </c>
      <c r="U281" s="42" t="s">
        <v>35</v>
      </c>
      <c r="V281" s="42" t="s">
        <v>35</v>
      </c>
      <c r="W281" s="42" t="s">
        <v>35</v>
      </c>
      <c r="X281" s="28" t="s">
        <v>35</v>
      </c>
      <c r="Y281" s="69" t="str" cm="1">
        <f t="array" ref="Y281">_xlfn.LET(_xlpm.cls,P281, _xlpm.ord,IFERROR(Q281,"#N/C"), _xlpm.subord,IFERROR(R281,"#N/C"), _xlpm.infr,IFERROR(S281,"#N/C"), _xlpm.sf,IFERROR(T281,"#N/C"), _xlpm.fam,IFERROR(U281,"#N/C"), _xlpm.subfam,IF(TRIM(V281)="-","#N/C",IFERROR(V281,"#N/C")),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_xlpm.fallback,IF(IFERROR(Q281,"#N/C")="#N/C",P281,IF(IFERROR(R281,"#N/C")="#N/C",Q281,IF(IFERROR(S281,"#N/C")="#N/C",R281,IF(IFERROR(T281,"#N/C")="#N/C",S281,IF(IFERROR(U281,"#N/C")="#N/C",T281,IF(IFERROR(V281,"#N/C")="#N/C",U281,"#N/C")))))), _xlpm.finalResult,IF(OR(_xlpm.computedResult="",_xlpm.computedResult="#N/C"),_xlpm.fallback,_xlpm.computedResult), INDEX(_xlpm.finalResult,1))</f>
        <v>Brachycera</v>
      </c>
      <c r="Z281" s="116" t="str" cm="1">
        <f t="array" ref="Z281">IF(OR(Y281="Insecta",Y281="Arachnida",Y281="#N/C"),"",IFERROR(_xlfn.LET(_xlpm.fc,IFERROR(_xlfn._xlws.FILTER(ClassificationClasses[],ClassificationClasses[Classification Class]=Y281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281,ClassificationClasses[Key])),0),MATCH(Y281,INDEX(ClassificationClasses[],MATCH(TRUE,ISNUMBER(SEARCH(Y281,ClassificationClasses[Key])),0),0),0)-1)))</f>
        <v>Diptera</v>
      </c>
      <c r="AA281" s="116" t="str" cm="1">
        <f t="array" ref="AA281">IFERROR(IF(OR(Z281="Insecta",Z281="Arachnida",Z281="#N/C"),"",INDEX(ClassificationClasses[[Class]:[Infraorder]],MATCH(TRUE,ISNUMBER(SEARCH(Z281,ClassificationClasses[Key])),0),MATCH(Z281,INDEX(ClassificationClasses[#Data], MATCH(TRUE,ISNUMBER(SEARCH(Z281,ClassificationClasses[Key])),0), 0), 0)-1)),"")</f>
        <v>Insecta</v>
      </c>
      <c r="AB281" s="116" t="str" cm="1">
        <f t="array" ref="AB281">IFERROR(IF(OR(AA281="Insecta",AA281="Arachnida",AA281="#N/C"),"",INDEX(ClassificationClasses[[Class]:[Suborder]],MATCH(TRUE,ISNUMBER(SEARCH(AA281,ClassificationClasses[Key])),0),MATCH(AA281,INDEX(ClassificationClasses[#Data], MATCH(TRUE,ISNUMBER(SEARCH(AA281,ClassificationClasses[Key])),0), 0), 0)-1)),"")</f>
        <v/>
      </c>
      <c r="AC281" s="116" t="str" cm="1">
        <f t="array" ref="AC281">IFERROR(IF(OR(AB281="Insecta",AB281="Arachnida",AB281="#N/C"),"",INDEX(ClassificationClasses[[Class]:[Suborder]],MATCH(TRUE,ISNUMBER(SEARCH(AB281,ClassificationClasses[Key])),0),MATCH(AB281,INDEX(ClassificationClasses[#Data], MATCH(TRUE,ISNUMBER(SEARCH(AB281,ClassificationClasses[Key])),0), 0), 0)-1)),"")</f>
        <v/>
      </c>
      <c r="AD281" s="116" t="str" cm="1">
        <f t="array" ref="AD281">IFERROR(IF(OR(AC281="Insecta",AC281="Arachnida",AC281="#N/C"),"",INDEX(ClassificationClasses[[Class]:[Suborder]],MATCH(TRUE,ISNUMBER(SEARCH(AC281,ClassificationClasses[Key])),0),MATCH(AC281,INDEX(ClassificationClasses[#Data], MATCH(TRUE,ISNUMBER(SEARCH(AC281,ClassificationClasses[Key])),0), 0), 0)-1)),"")</f>
        <v/>
      </c>
      <c r="AE281" s="18" t="str">
        <f t="shared" si="10"/>
        <v>Insecta.Diptera.Brachycera.#N/C.#N/C.#N/C.#N/C.#N/C.#N/C</v>
      </c>
    </row>
    <row r="282" spans="1:31" x14ac:dyDescent="0.3">
      <c r="A282" s="91">
        <v>281</v>
      </c>
      <c r="B282" s="7">
        <v>44406</v>
      </c>
      <c r="C282" s="92" t="s">
        <v>503</v>
      </c>
      <c r="D282" s="93" t="str">
        <f>HYPERLINK(VLOOKUP(C282,Video_List!$F:$J,5),"video")</f>
        <v>video</v>
      </c>
      <c r="E282" s="94" t="str">
        <f>IFERROR(IF(MATCH(C282,Video_List!$F:$F,)&gt;0,"ok",""),"error")</f>
        <v>ok</v>
      </c>
      <c r="F282" s="92" t="s">
        <v>503</v>
      </c>
      <c r="G282" s="93" t="str">
        <f>HYPERLINK(VLOOKUP(F282,Video_List!$F:$J,5),"video")</f>
        <v>video</v>
      </c>
      <c r="H282" s="94" t="str">
        <f>IFERROR(IF(MATCH(F282,Video_List!$F:$F,)&gt;0,"ok",""),"error")</f>
        <v>ok</v>
      </c>
      <c r="I282" s="17">
        <v>44406.783993055556</v>
      </c>
      <c r="J282" s="8">
        <v>44406.784178240741</v>
      </c>
      <c r="K282" s="15">
        <f t="shared" si="9"/>
        <v>1.8518518481869251E-4</v>
      </c>
      <c r="L282" s="4" t="s">
        <v>32</v>
      </c>
      <c r="M282" s="4" t="s">
        <v>33</v>
      </c>
      <c r="N282" s="96" t="str">
        <f>IF(ISBLANK(C282),"",IF(C282=F282, "1 video",CONCATENATE((+COUNTIFS(Video_List!$C:$C,"&lt;=" &amp;Monitoring!J282)-COUNTIFS(Video_List!$C:$C,"&lt;=" &amp;Monitoring!I282))+1," videos")))</f>
        <v>1 video</v>
      </c>
      <c r="O282" s="27" t="s">
        <v>32</v>
      </c>
      <c r="P282" s="42" t="s">
        <v>37</v>
      </c>
      <c r="Q282" s="42" t="s">
        <v>41</v>
      </c>
      <c r="R282" s="42" t="s">
        <v>42</v>
      </c>
      <c r="S282" s="97" t="str">
        <f>+IFERROR(IF(T282="#N/C","#N/C",IF(U282=0,INDEX(Taxonomy_UniqueValues!D:D,MATCH(U282,Taxonomy_UniqueValues!F:F,0)),INDEX(Taxonomy_UniqueValues!D:D,MATCH(T282,Taxonomy_UniqueValues!E:E,0)))),"#N/C")</f>
        <v>Parasitica</v>
      </c>
      <c r="T282" s="42" t="s">
        <v>71</v>
      </c>
      <c r="U282" s="42" t="s">
        <v>72</v>
      </c>
      <c r="V282" s="42" t="s">
        <v>85</v>
      </c>
      <c r="W282" s="42" t="s">
        <v>86</v>
      </c>
      <c r="X282" s="28" t="s">
        <v>35</v>
      </c>
      <c r="Y282" s="69" t="str" cm="1">
        <f t="array" ref="Y282">_xlfn.LET(_xlpm.cls,P282, _xlpm.ord,IFERROR(Q282,"#N/C"), _xlpm.subord,IFERROR(R282,"#N/C"), _xlpm.infr,IFERROR(S282,"#N/C"), _xlpm.sf,IFERROR(T282,"#N/C"), _xlpm.fam,IFERROR(U282,"#N/C"), _xlpm.subfam,IF(TRIM(V282)="-","#N/C",IFERROR(V282,"#N/C")),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_xlpm.fallback,IF(IFERROR(Q282,"#N/C")="#N/C",P282,IF(IFERROR(R282,"#N/C")="#N/C",Q282,IF(IFERROR(S282,"#N/C")="#N/C",R282,IF(IFERROR(T282,"#N/C")="#N/C",S282,IF(IFERROR(U282,"#N/C")="#N/C",T282,IF(IFERROR(V282,"#N/C")="#N/C",U282,"#N/C")))))), _xlpm.finalResult,IF(OR(_xlpm.computedResult="",_xlpm.computedResult="#N/C"),_xlpm.fallback,_xlpm.computedResult), INDEX(_xlpm.finalResult,1))</f>
        <v>Ichneumonidae</v>
      </c>
      <c r="Z282" s="116" t="str" cm="1">
        <f t="array" ref="Z282">IF(OR(Y282="Insecta",Y282="Arachnida",Y282="#N/C"),"",IFERROR(_xlfn.LET(_xlpm.fc,IFERROR(_xlfn._xlws.FILTER(ClassificationClasses[],ClassificationClasses[Classification Class]=Y282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282,ClassificationClasses[Key])),0),MATCH(Y282,INDEX(ClassificationClasses[],MATCH(TRUE,ISNUMBER(SEARCH(Y282,ClassificationClasses[Key])),0),0),0)-1)))</f>
        <v>Ichneumonoidea</v>
      </c>
      <c r="AA282" s="116" t="str" cm="1">
        <f t="array" ref="AA282">IFERROR(IF(OR(Z282="Insecta",Z282="Arachnida",Z282="#N/C"),"",INDEX(ClassificationClasses[[Class]:[Infraorder]],MATCH(TRUE,ISNUMBER(SEARCH(Z282,ClassificationClasses[Key])),0),MATCH(Z282,INDEX(ClassificationClasses[#Data], MATCH(TRUE,ISNUMBER(SEARCH(Z282,ClassificationClasses[Key])),0), 0), 0)-1)),"")</f>
        <v>Parasitica</v>
      </c>
      <c r="AB282" s="116" t="str" cm="1">
        <f t="array" ref="AB282">IFERROR(IF(OR(AA282="Insecta",AA282="Arachnida",AA282="#N/C"),"",INDEX(ClassificationClasses[[Class]:[Suborder]],MATCH(TRUE,ISNUMBER(SEARCH(AA282,ClassificationClasses[Key])),0),MATCH(AA282,INDEX(ClassificationClasses[#Data], MATCH(TRUE,ISNUMBER(SEARCH(AA282,ClassificationClasses[Key])),0), 0), 0)-1)),"")</f>
        <v>Apocrita</v>
      </c>
      <c r="AC282" s="116" t="str" cm="1">
        <f t="array" ref="AC282">IFERROR(IF(OR(AB282="Insecta",AB282="Arachnida",AB282="#N/C"),"",INDEX(ClassificationClasses[[Class]:[Suborder]],MATCH(TRUE,ISNUMBER(SEARCH(AB282,ClassificationClasses[Key])),0),MATCH(AB282,INDEX(ClassificationClasses[#Data], MATCH(TRUE,ISNUMBER(SEARCH(AB282,ClassificationClasses[Key])),0), 0), 0)-1)),"")</f>
        <v>Hymenoptera</v>
      </c>
      <c r="AD282" s="116" t="str" cm="1">
        <f t="array" ref="AD282">IFERROR(IF(OR(AC282="Insecta",AC282="Arachnida",AC282="#N/C"),"",INDEX(ClassificationClasses[[Class]:[Suborder]],MATCH(TRUE,ISNUMBER(SEARCH(AC282,ClassificationClasses[Key])),0),MATCH(AC282,INDEX(ClassificationClasses[#Data], MATCH(TRUE,ISNUMBER(SEARCH(AC282,ClassificationClasses[Key])),0), 0), 0)-1)),"")</f>
        <v>Insecta</v>
      </c>
      <c r="AE282" s="18" t="str">
        <f t="shared" si="10"/>
        <v>Insecta.Hymenoptera.Apocrita.Parasitica.Ichneumonoidea.Ichneumonidae.Diplazontinae.Diplazon.#N/C</v>
      </c>
    </row>
    <row r="283" spans="1:31" x14ac:dyDescent="0.3">
      <c r="A283" s="91">
        <v>282</v>
      </c>
      <c r="B283" s="7">
        <v>44406</v>
      </c>
      <c r="C283" s="92" t="s">
        <v>504</v>
      </c>
      <c r="D283" s="93" t="str">
        <f>HYPERLINK(VLOOKUP(C283,Video_List!$F:$J,5),"video")</f>
        <v>video</v>
      </c>
      <c r="E283" s="94" t="str">
        <f>IFERROR(IF(MATCH(C283,Video_List!$F:$F,)&gt;0,"ok",""),"error")</f>
        <v>ok</v>
      </c>
      <c r="F283" s="92" t="s">
        <v>504</v>
      </c>
      <c r="G283" s="93" t="str">
        <f>HYPERLINK(VLOOKUP(F283,Video_List!$F:$J,5),"video")</f>
        <v>video</v>
      </c>
      <c r="H283" s="94" t="str">
        <f>IFERROR(IF(MATCH(F283,Video_List!$F:$F,)&gt;0,"ok",""),"error")</f>
        <v>ok</v>
      </c>
      <c r="I283" s="17">
        <v>44406.785532407404</v>
      </c>
      <c r="J283" s="8">
        <v>44406.785613425927</v>
      </c>
      <c r="K283" s="15">
        <f t="shared" si="9"/>
        <v>8.101852290565148E-5</v>
      </c>
      <c r="L283" s="4" t="s">
        <v>32</v>
      </c>
      <c r="M283" s="4" t="s">
        <v>33</v>
      </c>
      <c r="N283" s="96" t="str">
        <f>IF(ISBLANK(C283),"",IF(C283=F283, "1 video",CONCATENATE((+COUNTIFS(Video_List!$C:$C,"&lt;=" &amp;Monitoring!J283)-COUNTIFS(Video_List!$C:$C,"&lt;=" &amp;Monitoring!I283))+1," videos")))</f>
        <v>1 video</v>
      </c>
      <c r="O283" s="29" t="s">
        <v>44</v>
      </c>
      <c r="P283" s="42" t="s">
        <v>37</v>
      </c>
      <c r="Q283" s="42" t="s">
        <v>38</v>
      </c>
      <c r="R283" s="42" t="s">
        <v>39</v>
      </c>
      <c r="S283" s="97" t="str">
        <f>+IFERROR(IF(T283="#N/C","#N/C",IF(U283=0,INDEX(Taxonomy_UniqueValues!D:D,MATCH(U283,Taxonomy_UniqueValues!F:F,0)),INDEX(Taxonomy_UniqueValues!D:D,MATCH(T283,Taxonomy_UniqueValues!E:E,0)))),"#N/C")</f>
        <v>#N/C</v>
      </c>
      <c r="T283" s="42" t="s">
        <v>35</v>
      </c>
      <c r="U283" s="42" t="s">
        <v>35</v>
      </c>
      <c r="V283" s="42" t="s">
        <v>35</v>
      </c>
      <c r="W283" s="42" t="s">
        <v>35</v>
      </c>
      <c r="X283" s="28" t="s">
        <v>35</v>
      </c>
      <c r="Y283" s="69" t="str" cm="1">
        <f t="array" ref="Y283">_xlfn.LET(_xlpm.cls,P283, _xlpm.ord,IFERROR(Q283,"#N/C"), _xlpm.subord,IFERROR(R283,"#N/C"), _xlpm.infr,IFERROR(S283,"#N/C"), _xlpm.sf,IFERROR(T283,"#N/C"), _xlpm.fam,IFERROR(U283,"#N/C"), _xlpm.subfam,IF(TRIM(V283)="-","#N/C",IFERROR(V283,"#N/C")),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_xlpm.fallback,IF(IFERROR(Q283,"#N/C")="#N/C",P283,IF(IFERROR(R283,"#N/C")="#N/C",Q283,IF(IFERROR(S283,"#N/C")="#N/C",R283,IF(IFERROR(T283,"#N/C")="#N/C",S283,IF(IFERROR(U283,"#N/C")="#N/C",T283,IF(IFERROR(V283,"#N/C")="#N/C",U283,"#N/C")))))), _xlpm.finalResult,IF(OR(_xlpm.computedResult="",_xlpm.computedResult="#N/C"),_xlpm.fallback,_xlpm.computedResult), INDEX(_xlpm.finalResult,1))</f>
        <v>Brachycera</v>
      </c>
      <c r="Z283" s="116" t="str" cm="1">
        <f t="array" ref="Z283">IF(OR(Y283="Insecta",Y283="Arachnida",Y283="#N/C"),"",IFERROR(_xlfn.LET(_xlpm.fc,IFERROR(_xlfn._xlws.FILTER(ClassificationClasses[],ClassificationClasses[Classification Class]=Y283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283,ClassificationClasses[Key])),0),MATCH(Y283,INDEX(ClassificationClasses[],MATCH(TRUE,ISNUMBER(SEARCH(Y283,ClassificationClasses[Key])),0),0),0)-1)))</f>
        <v>Diptera</v>
      </c>
      <c r="AA283" s="116" t="str" cm="1">
        <f t="array" ref="AA283">IFERROR(IF(OR(Z283="Insecta",Z283="Arachnida",Z283="#N/C"),"",INDEX(ClassificationClasses[[Class]:[Infraorder]],MATCH(TRUE,ISNUMBER(SEARCH(Z283,ClassificationClasses[Key])),0),MATCH(Z283,INDEX(ClassificationClasses[#Data], MATCH(TRUE,ISNUMBER(SEARCH(Z283,ClassificationClasses[Key])),0), 0), 0)-1)),"")</f>
        <v>Insecta</v>
      </c>
      <c r="AB283" s="116" t="str" cm="1">
        <f t="array" ref="AB283">IFERROR(IF(OR(AA283="Insecta",AA283="Arachnida",AA283="#N/C"),"",INDEX(ClassificationClasses[[Class]:[Suborder]],MATCH(TRUE,ISNUMBER(SEARCH(AA283,ClassificationClasses[Key])),0),MATCH(AA283,INDEX(ClassificationClasses[#Data], MATCH(TRUE,ISNUMBER(SEARCH(AA283,ClassificationClasses[Key])),0), 0), 0)-1)),"")</f>
        <v/>
      </c>
      <c r="AC283" s="116" t="str" cm="1">
        <f t="array" ref="AC283">IFERROR(IF(OR(AB283="Insecta",AB283="Arachnida",AB283="#N/C"),"",INDEX(ClassificationClasses[[Class]:[Suborder]],MATCH(TRUE,ISNUMBER(SEARCH(AB283,ClassificationClasses[Key])),0),MATCH(AB283,INDEX(ClassificationClasses[#Data], MATCH(TRUE,ISNUMBER(SEARCH(AB283,ClassificationClasses[Key])),0), 0), 0)-1)),"")</f>
        <v/>
      </c>
      <c r="AD283" s="116" t="str" cm="1">
        <f t="array" ref="AD283">IFERROR(IF(OR(AC283="Insecta",AC283="Arachnida",AC283="#N/C"),"",INDEX(ClassificationClasses[[Class]:[Suborder]],MATCH(TRUE,ISNUMBER(SEARCH(AC283,ClassificationClasses[Key])),0),MATCH(AC283,INDEX(ClassificationClasses[#Data], MATCH(TRUE,ISNUMBER(SEARCH(AC283,ClassificationClasses[Key])),0), 0), 0)-1)),"")</f>
        <v/>
      </c>
      <c r="AE283" s="18" t="str">
        <f t="shared" si="10"/>
        <v>Insecta.Diptera.Brachycera.#N/C.#N/C.#N/C.#N/C.#N/C.#N/C</v>
      </c>
    </row>
    <row r="284" spans="1:31" x14ac:dyDescent="0.3">
      <c r="A284" s="91">
        <v>283</v>
      </c>
      <c r="B284" s="7">
        <v>44407</v>
      </c>
      <c r="C284" s="92" t="s">
        <v>505</v>
      </c>
      <c r="D284" s="93" t="str">
        <f>HYPERLINK(VLOOKUP(C284,Video_List!$F:$J,5),"video")</f>
        <v>video</v>
      </c>
      <c r="E284" s="94" t="str">
        <f>IFERROR(IF(MATCH(C284,Video_List!$F:$F,)&gt;0,"ok",""),"error")</f>
        <v>ok</v>
      </c>
      <c r="F284" s="92" t="s">
        <v>505</v>
      </c>
      <c r="G284" s="93" t="str">
        <f>HYPERLINK(VLOOKUP(F284,Video_List!$F:$J,5),"video")</f>
        <v>video</v>
      </c>
      <c r="H284" s="94" t="str">
        <f>IFERROR(IF(MATCH(F284,Video_List!$F:$F,)&gt;0,"ok",""),"error")</f>
        <v>ok</v>
      </c>
      <c r="I284" s="17">
        <v>44407.399386574078</v>
      </c>
      <c r="J284" s="8">
        <v>44407.407743055555</v>
      </c>
      <c r="K284" s="15">
        <f t="shared" si="9"/>
        <v>8.3564814776764251E-3</v>
      </c>
      <c r="L284" s="95" t="s">
        <v>44</v>
      </c>
      <c r="M284" s="95" t="s">
        <v>33</v>
      </c>
      <c r="N284" s="96" t="str">
        <f>IF(ISBLANK(C284),"",IF(C284=F284, "1 video",CONCATENATE((+COUNTIFS(Video_List!$C:$C,"&lt;=" &amp;Monitoring!J284)-COUNTIFS(Video_List!$C:$C,"&lt;=" &amp;Monitoring!I284))+1," videos")))</f>
        <v>1 video</v>
      </c>
      <c r="O284" s="29" t="s">
        <v>44</v>
      </c>
      <c r="P284" s="120" t="str">
        <f>+IFERROR(IF(Q284="#N/C","#N/C",INDEX(Taxonomy_UniqueValues!A:A,MATCH(Q284,Taxonomy_UniqueValues!B:B,0))),"#N/C")</f>
        <v>Insecta</v>
      </c>
      <c r="Q284" s="120" t="str">
        <f>+IFERROR(IF(R284="#N/C","#N/C",INDEX(Taxonomy_UniqueValues!B:B,MATCH(R284,Taxonomy_UniqueValues!C:C,0))),"#N/C")</f>
        <v>Hymenoptera</v>
      </c>
      <c r="R284" s="120" t="str">
        <f>+IFERROR(IF(S284="#N/C","#N/C",INDEX(Taxonomy_UniqueValues!C:C,MATCH(S284,Taxonomy_UniqueValues!D:D,0))),"#N/C")</f>
        <v>Apocrita</v>
      </c>
      <c r="S284" s="120" t="str">
        <f>+IFERROR(IF(T284="#N/C","#N/C",INDEX(Taxonomy_UniqueValues!D:D,MATCH(T284,Taxonomy_UniqueValues!E:E,0))),"#N/C")</f>
        <v>Aculeata</v>
      </c>
      <c r="T284" s="120" t="str">
        <f>+IFERROR(IF(U284="#N/C","#N/C",INDEX(Taxonomy_UniqueValues!E:E,MATCH(U284,Taxonomy_UniqueValues!F:F,0))),"#N/C")</f>
        <v>Formicoidea</v>
      </c>
      <c r="U284" s="120" t="str">
        <f>+IFERROR(IF(V284="#N/C","#N/C",INDEX(Taxonomy_UniqueValues!F:F,MATCH(V284,Taxonomy_UniqueValues!G:G,0))),"#N/C")</f>
        <v>Formicidae</v>
      </c>
      <c r="V284" s="120" t="s">
        <v>121</v>
      </c>
      <c r="W284" s="42" t="s">
        <v>35</v>
      </c>
      <c r="X284" s="28" t="s">
        <v>35</v>
      </c>
      <c r="Y284" s="69" t="str" cm="1">
        <f t="array" ref="Y284">_xlfn.LET(_xlpm.cls,P284, _xlpm.ord,IFERROR(Q284,"#N/C"), _xlpm.subord,IFERROR(R284,"#N/C"), _xlpm.infr,IFERROR(S284,"#N/C"), _xlpm.sf,IFERROR(T284,"#N/C"), _xlpm.fam,IFERROR(U284,"#N/C"), _xlpm.subfam,IF(TRIM(V284)="-","#N/C",IFERROR(V284,"#N/C")),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_xlpm.fallback,IF(IFERROR(Q284,"#N/C")="#N/C",P284,IF(IFERROR(R284,"#N/C")="#N/C",Q284,IF(IFERROR(S284,"#N/C")="#N/C",R284,IF(IFERROR(T284,"#N/C")="#N/C",S284,IF(IFERROR(U284,"#N/C")="#N/C",T284,IF(IFERROR(V284,"#N/C")="#N/C",U284,"#N/C")))))), _xlpm.finalResult,IF(OR(_xlpm.computedResult="",_xlpm.computedResult="#N/C"),_xlpm.fallback,_xlpm.computedResult), INDEX(_xlpm.finalResult,1))</f>
        <v>ant</v>
      </c>
      <c r="Z284" s="116" t="str" cm="1">
        <f t="array" ref="Z284">IF(OR(Y284="Insecta",Y284="Arachnida",Y284="#N/C"),"",IFERROR(_xlfn.LET(_xlpm.fc,IFERROR(_xlfn._xlws.FILTER(ClassificationClasses[],ClassificationClasses[Classification Class]=Y284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284,ClassificationClasses[Key])),0),MATCH(Y284,INDEX(ClassificationClasses[],MATCH(TRUE,ISNUMBER(SEARCH(Y284,ClassificationClasses[Key])),0),0),0)-1)))</f>
        <v>Aculeata</v>
      </c>
      <c r="AA284" s="116" t="str" cm="1">
        <f t="array" ref="AA284">IFERROR(IF(OR(Z284="Insecta",Z284="Arachnida",Z284="#N/C"),"",INDEX(ClassificationClasses[[Class]:[Infraorder]],MATCH(TRUE,ISNUMBER(SEARCH(Z284,ClassificationClasses[Key])),0),MATCH(Z284,INDEX(ClassificationClasses[#Data], MATCH(TRUE,ISNUMBER(SEARCH(Z284,ClassificationClasses[Key])),0), 0), 0)-1)),"")</f>
        <v>Apocrita</v>
      </c>
      <c r="AB284" s="116" t="str" cm="1">
        <f t="array" ref="AB284">IFERROR(IF(OR(AA284="Insecta",AA284="Arachnida",AA284="#N/C"),"",INDEX(ClassificationClasses[[Class]:[Suborder]],MATCH(TRUE,ISNUMBER(SEARCH(AA284,ClassificationClasses[Key])),0),MATCH(AA284,INDEX(ClassificationClasses[#Data], MATCH(TRUE,ISNUMBER(SEARCH(AA284,ClassificationClasses[Key])),0), 0), 0)-1)),"")</f>
        <v>Hymenoptera</v>
      </c>
      <c r="AC284" s="116" t="str" cm="1">
        <f t="array" ref="AC284">IFERROR(IF(OR(AB284="Insecta",AB284="Arachnida",AB284="#N/C"),"",INDEX(ClassificationClasses[[Class]:[Suborder]],MATCH(TRUE,ISNUMBER(SEARCH(AB284,ClassificationClasses[Key])),0),MATCH(AB284,INDEX(ClassificationClasses[#Data], MATCH(TRUE,ISNUMBER(SEARCH(AB284,ClassificationClasses[Key])),0), 0), 0)-1)),"")</f>
        <v>Insecta</v>
      </c>
      <c r="AD284" s="116" t="str" cm="1">
        <f t="array" ref="AD284">IFERROR(IF(OR(AC284="Insecta",AC284="Arachnida",AC284="#N/C"),"",INDEX(ClassificationClasses[[Class]:[Suborder]],MATCH(TRUE,ISNUMBER(SEARCH(AC284,ClassificationClasses[Key])),0),MATCH(AC284,INDEX(ClassificationClasses[#Data], MATCH(TRUE,ISNUMBER(SEARCH(AC284,ClassificationClasses[Key])),0), 0), 0)-1)),"")</f>
        <v/>
      </c>
      <c r="AE284" s="18" t="str">
        <f t="shared" si="10"/>
        <v>Insecta.Hymenoptera.Apocrita.Aculeata.Formicoidea.Formicidae.Formicinae.#N/C.#N/C</v>
      </c>
    </row>
    <row r="285" spans="1:31" x14ac:dyDescent="0.3">
      <c r="A285" s="91">
        <v>284</v>
      </c>
      <c r="B285" s="7">
        <v>44407</v>
      </c>
      <c r="C285" s="92" t="s">
        <v>506</v>
      </c>
      <c r="D285" s="93" t="str">
        <f>HYPERLINK(VLOOKUP(C285,Video_List!$F:$J,5),"video")</f>
        <v>video</v>
      </c>
      <c r="E285" s="94" t="str">
        <f>IFERROR(IF(MATCH(C285,Video_List!$F:$F,)&gt;0,"ok",""),"error")</f>
        <v>ok</v>
      </c>
      <c r="F285" s="92" t="s">
        <v>506</v>
      </c>
      <c r="G285" s="93" t="str">
        <f>HYPERLINK(VLOOKUP(F285,Video_List!$F:$J,5),"video")</f>
        <v>video</v>
      </c>
      <c r="H285" s="94" t="str">
        <f>IFERROR(IF(MATCH(F285,Video_List!$F:$F,)&gt;0,"ok",""),"error")</f>
        <v>ok</v>
      </c>
      <c r="I285" s="17">
        <v>44407.476412037038</v>
      </c>
      <c r="J285" s="8">
        <v>44407.476446759261</v>
      </c>
      <c r="K285" s="15">
        <f t="shared" si="9"/>
        <v>3.4722223062999547E-5</v>
      </c>
      <c r="L285" s="95" t="s">
        <v>32</v>
      </c>
      <c r="M285" s="95" t="s">
        <v>33</v>
      </c>
      <c r="N285" s="96" t="str">
        <f>IF(ISBLANK(C285),"",IF(C285=F285, "1 video",CONCATENATE((+COUNTIFS(Video_List!$C:$C,"&lt;=" &amp;Monitoring!J285)-COUNTIFS(Video_List!$C:$C,"&lt;=" &amp;Monitoring!I285))+1," videos")))</f>
        <v>1 video</v>
      </c>
      <c r="O285" s="29" t="s">
        <v>44</v>
      </c>
      <c r="P285" s="42" t="s">
        <v>37</v>
      </c>
      <c r="Q285" s="42" t="s">
        <v>38</v>
      </c>
      <c r="R285" s="42" t="s">
        <v>39</v>
      </c>
      <c r="S285" s="97" t="str">
        <f>+IFERROR(IF(T285="#N/C","#N/C",IF(U285=0,INDEX(Taxonomy_UniqueValues!D:D,MATCH(U285,Taxonomy_UniqueValues!F:F,0)),INDEX(Taxonomy_UniqueValues!D:D,MATCH(T285,Taxonomy_UniqueValues!E:E,0)))),"#N/C")</f>
        <v>#N/C</v>
      </c>
      <c r="T285" s="42" t="s">
        <v>35</v>
      </c>
      <c r="U285" s="42" t="s">
        <v>35</v>
      </c>
      <c r="V285" s="42" t="s">
        <v>35</v>
      </c>
      <c r="W285" s="42" t="s">
        <v>35</v>
      </c>
      <c r="X285" s="28" t="s">
        <v>35</v>
      </c>
      <c r="Y285" s="69" t="str" cm="1">
        <f t="array" ref="Y285">_xlfn.LET(_xlpm.cls,P285, _xlpm.ord,IFERROR(Q285,"#N/C"), _xlpm.subord,IFERROR(R285,"#N/C"), _xlpm.infr,IFERROR(S285,"#N/C"), _xlpm.sf,IFERROR(T285,"#N/C"), _xlpm.fam,IFERROR(U285,"#N/C"), _xlpm.subfam,IF(TRIM(V285)="-","#N/C",IFERROR(V285,"#N/C")),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_xlpm.fallback,IF(IFERROR(Q285,"#N/C")="#N/C",P285,IF(IFERROR(R285,"#N/C")="#N/C",Q285,IF(IFERROR(S285,"#N/C")="#N/C",R285,IF(IFERROR(T285,"#N/C")="#N/C",S285,IF(IFERROR(U285,"#N/C")="#N/C",T285,IF(IFERROR(V285,"#N/C")="#N/C",U285,"#N/C")))))), _xlpm.finalResult,IF(OR(_xlpm.computedResult="",_xlpm.computedResult="#N/C"),_xlpm.fallback,_xlpm.computedResult), INDEX(_xlpm.finalResult,1))</f>
        <v>Brachycera</v>
      </c>
      <c r="Z285" s="116" t="str" cm="1">
        <f t="array" ref="Z285">IF(OR(Y285="Insecta",Y285="Arachnida",Y285="#N/C"),"",IFERROR(_xlfn.LET(_xlpm.fc,IFERROR(_xlfn._xlws.FILTER(ClassificationClasses[],ClassificationClasses[Classification Class]=Y285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285,ClassificationClasses[Key])),0),MATCH(Y285,INDEX(ClassificationClasses[],MATCH(TRUE,ISNUMBER(SEARCH(Y285,ClassificationClasses[Key])),0),0),0)-1)))</f>
        <v>Diptera</v>
      </c>
      <c r="AA285" s="116" t="str" cm="1">
        <f t="array" ref="AA285">IFERROR(IF(OR(Z285="Insecta",Z285="Arachnida",Z285="#N/C"),"",INDEX(ClassificationClasses[[Class]:[Infraorder]],MATCH(TRUE,ISNUMBER(SEARCH(Z285,ClassificationClasses[Key])),0),MATCH(Z285,INDEX(ClassificationClasses[#Data], MATCH(TRUE,ISNUMBER(SEARCH(Z285,ClassificationClasses[Key])),0), 0), 0)-1)),"")</f>
        <v>Insecta</v>
      </c>
      <c r="AB285" s="116" t="str" cm="1">
        <f t="array" ref="AB285">IFERROR(IF(OR(AA285="Insecta",AA285="Arachnida",AA285="#N/C"),"",INDEX(ClassificationClasses[[Class]:[Suborder]],MATCH(TRUE,ISNUMBER(SEARCH(AA285,ClassificationClasses[Key])),0),MATCH(AA285,INDEX(ClassificationClasses[#Data], MATCH(TRUE,ISNUMBER(SEARCH(AA285,ClassificationClasses[Key])),0), 0), 0)-1)),"")</f>
        <v/>
      </c>
      <c r="AC285" s="116" t="str" cm="1">
        <f t="array" ref="AC285">IFERROR(IF(OR(AB285="Insecta",AB285="Arachnida",AB285="#N/C"),"",INDEX(ClassificationClasses[[Class]:[Suborder]],MATCH(TRUE,ISNUMBER(SEARCH(AB285,ClassificationClasses[Key])),0),MATCH(AB285,INDEX(ClassificationClasses[#Data], MATCH(TRUE,ISNUMBER(SEARCH(AB285,ClassificationClasses[Key])),0), 0), 0)-1)),"")</f>
        <v/>
      </c>
      <c r="AD285" s="116" t="str" cm="1">
        <f t="array" ref="AD285">IFERROR(IF(OR(AC285="Insecta",AC285="Arachnida",AC285="#N/C"),"",INDEX(ClassificationClasses[[Class]:[Suborder]],MATCH(TRUE,ISNUMBER(SEARCH(AC285,ClassificationClasses[Key])),0),MATCH(AC285,INDEX(ClassificationClasses[#Data], MATCH(TRUE,ISNUMBER(SEARCH(AC285,ClassificationClasses[Key])),0), 0), 0)-1)),"")</f>
        <v/>
      </c>
      <c r="AE285" s="18" t="str">
        <f t="shared" si="10"/>
        <v>Insecta.Diptera.Brachycera.#N/C.#N/C.#N/C.#N/C.#N/C.#N/C</v>
      </c>
    </row>
    <row r="286" spans="1:31" x14ac:dyDescent="0.3">
      <c r="A286" s="91">
        <v>285</v>
      </c>
      <c r="B286" s="7">
        <v>44407</v>
      </c>
      <c r="C286" s="92" t="s">
        <v>507</v>
      </c>
      <c r="D286" s="93" t="str">
        <f>HYPERLINK(VLOOKUP(C286,Video_List!$F:$J,5),"video")</f>
        <v>video</v>
      </c>
      <c r="E286" s="94" t="str">
        <f>IFERROR(IF(MATCH(C286,Video_List!$F:$F,)&gt;0,"ok",""),"error")</f>
        <v>ok</v>
      </c>
      <c r="F286" s="92" t="s">
        <v>507</v>
      </c>
      <c r="G286" s="93" t="str">
        <f>HYPERLINK(VLOOKUP(F286,Video_List!$F:$J,5),"video")</f>
        <v>video</v>
      </c>
      <c r="H286" s="94" t="str">
        <f>IFERROR(IF(MATCH(F286,Video_List!$F:$F,)&gt;0,"ok",""),"error")</f>
        <v>ok</v>
      </c>
      <c r="I286" s="17">
        <v>44407.515277777777</v>
      </c>
      <c r="J286" s="8">
        <v>44407.515567129631</v>
      </c>
      <c r="K286" s="15">
        <f t="shared" si="9"/>
        <v>2.8935185400769114E-4</v>
      </c>
      <c r="L286" s="4" t="s">
        <v>44</v>
      </c>
      <c r="M286" s="4" t="s">
        <v>33</v>
      </c>
      <c r="N286" s="96" t="str">
        <f>IF(ISBLANK(C286),"",IF(C286=F286, "1 video",CONCATENATE((+COUNTIFS(Video_List!$C:$C,"&lt;=" &amp;Monitoring!J286)-COUNTIFS(Video_List!$C:$C,"&lt;=" &amp;Monitoring!I286))+1," videos")))</f>
        <v>1 video</v>
      </c>
      <c r="O286" s="27" t="s">
        <v>32</v>
      </c>
      <c r="P286" s="42" t="s">
        <v>37</v>
      </c>
      <c r="Q286" s="42" t="s">
        <v>123</v>
      </c>
      <c r="R286" s="42" t="s">
        <v>287</v>
      </c>
      <c r="S286" s="97" t="str">
        <f>+IFERROR(IF(T286="#N/C","#N/C",IF(U286=0,INDEX(Taxonomy_UniqueValues!D:D,MATCH(U286,Taxonomy_UniqueValues!F:F,0)),INDEX(Taxonomy_UniqueValues!D:D,MATCH(T286,Taxonomy_UniqueValues!E:E,0)))),"#N/C")</f>
        <v>Tettigoniidea</v>
      </c>
      <c r="T286" s="42" t="s">
        <v>288</v>
      </c>
      <c r="U286" s="42" t="s">
        <v>289</v>
      </c>
      <c r="V286" s="42" t="s">
        <v>487</v>
      </c>
      <c r="W286" s="42" t="s">
        <v>488</v>
      </c>
      <c r="X286" s="28" t="s">
        <v>489</v>
      </c>
      <c r="Y286" s="69" t="str" cm="1">
        <f t="array" ref="Y286">_xlfn.LET(_xlpm.cls,P286, _xlpm.ord,IFERROR(Q286,"#N/C"), _xlpm.subord,IFERROR(R286,"#N/C"), _xlpm.infr,IFERROR(S286,"#N/C"), _xlpm.sf,IFERROR(T286,"#N/C"), _xlpm.fam,IFERROR(U286,"#N/C"), _xlpm.subfam,IF(TRIM(V286)="-","#N/C",IFERROR(V286,"#N/C")),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_xlpm.fallback,IF(IFERROR(Q286,"#N/C")="#N/C",P286,IF(IFERROR(R286,"#N/C")="#N/C",Q286,IF(IFERROR(S286,"#N/C")="#N/C",R286,IF(IFERROR(T286,"#N/C")="#N/C",S286,IF(IFERROR(U286,"#N/C")="#N/C",T286,IF(IFERROR(V286,"#N/C")="#N/C",U286,"#N/C")))))), _xlpm.finalResult,IF(OR(_xlpm.computedResult="",_xlpm.computedResult="#N/C"),_xlpm.fallback,_xlpm.computedResult), INDEX(_xlpm.finalResult,1))</f>
        <v>grasshopper</v>
      </c>
      <c r="Z286" s="116" t="str" cm="1">
        <f t="array" ref="Z286">IF(OR(Y286="Insecta",Y286="Arachnida",Y286="#N/C"),"",IFERROR(_xlfn.LET(_xlpm.fc,IFERROR(_xlfn._xlws.FILTER(ClassificationClasses[],ClassificationClasses[Classification Class]=Y286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286,ClassificationClasses[Key])),0),MATCH(Y286,INDEX(ClassificationClasses[],MATCH(TRUE,ISNUMBER(SEARCH(Y286,ClassificationClasses[Key])),0),0),0)-1)))</f>
        <v>Orthoptera</v>
      </c>
      <c r="AA286" s="116" t="str" cm="1">
        <f t="array" ref="AA286">IFERROR(IF(OR(Z286="Insecta",Z286="Arachnida",Z286="#N/C"),"",INDEX(ClassificationClasses[[Class]:[Infraorder]],MATCH(TRUE,ISNUMBER(SEARCH(Z286,ClassificationClasses[Key])),0),MATCH(Z286,INDEX(ClassificationClasses[#Data], MATCH(TRUE,ISNUMBER(SEARCH(Z286,ClassificationClasses[Key])),0), 0), 0)-1)),"")</f>
        <v>Insecta</v>
      </c>
      <c r="AB286" s="116" t="str" cm="1">
        <f t="array" ref="AB286">IFERROR(IF(OR(AA286="Insecta",AA286="Arachnida",AA286="#N/C"),"",INDEX(ClassificationClasses[[Class]:[Suborder]],MATCH(TRUE,ISNUMBER(SEARCH(AA286,ClassificationClasses[Key])),0),MATCH(AA286,INDEX(ClassificationClasses[#Data], MATCH(TRUE,ISNUMBER(SEARCH(AA286,ClassificationClasses[Key])),0), 0), 0)-1)),"")</f>
        <v/>
      </c>
      <c r="AC286" s="116" t="str" cm="1">
        <f t="array" ref="AC286">IFERROR(IF(OR(AB286="Insecta",AB286="Arachnida",AB286="#N/C"),"",INDEX(ClassificationClasses[[Class]:[Suborder]],MATCH(TRUE,ISNUMBER(SEARCH(AB286,ClassificationClasses[Key])),0),MATCH(AB286,INDEX(ClassificationClasses[#Data], MATCH(TRUE,ISNUMBER(SEARCH(AB286,ClassificationClasses[Key])),0), 0), 0)-1)),"")</f>
        <v/>
      </c>
      <c r="AD286" s="116" t="str" cm="1">
        <f t="array" ref="AD286">IFERROR(IF(OR(AC286="Insecta",AC286="Arachnida",AC286="#N/C"),"",INDEX(ClassificationClasses[[Class]:[Suborder]],MATCH(TRUE,ISNUMBER(SEARCH(AC286,ClassificationClasses[Key])),0),MATCH(AC286,INDEX(ClassificationClasses[#Data], MATCH(TRUE,ISNUMBER(SEARCH(AC286,ClassificationClasses[Key])),0), 0), 0)-1)),"")</f>
        <v/>
      </c>
      <c r="AE286" s="18" t="str">
        <f t="shared" si="10"/>
        <v>Insecta.Orthoptera.Ensifera.Tettigoniidea.Tettigonioidea.Tettigoniidae.Conocephalinae.Conocephalus.fuscus</v>
      </c>
    </row>
    <row r="287" spans="1:31" x14ac:dyDescent="0.3">
      <c r="A287" s="91">
        <v>286</v>
      </c>
      <c r="B287" s="7">
        <v>44407</v>
      </c>
      <c r="C287" s="92" t="s">
        <v>508</v>
      </c>
      <c r="D287" s="93" t="str">
        <f>HYPERLINK(VLOOKUP(C287,Video_List!$F:$J,5),"video")</f>
        <v>video</v>
      </c>
      <c r="E287" s="94" t="str">
        <f>IFERROR(IF(MATCH(C287,Video_List!$F:$F,)&gt;0,"ok",""),"error")</f>
        <v>ok</v>
      </c>
      <c r="F287" s="92" t="s">
        <v>508</v>
      </c>
      <c r="G287" s="93" t="str">
        <f>HYPERLINK(VLOOKUP(F287,Video_List!$F:$J,5),"video")</f>
        <v>video</v>
      </c>
      <c r="H287" s="94" t="str">
        <f>IFERROR(IF(MATCH(F287,Video_List!$F:$F,)&gt;0,"ok",""),"error")</f>
        <v>ok</v>
      </c>
      <c r="I287" s="17">
        <v>44407.518043981479</v>
      </c>
      <c r="J287" s="8">
        <v>44407.519166666665</v>
      </c>
      <c r="K287" s="15">
        <f t="shared" si="9"/>
        <v>1.1226851856918074E-3</v>
      </c>
      <c r="L287" s="95" t="s">
        <v>44</v>
      </c>
      <c r="M287" s="95" t="s">
        <v>33</v>
      </c>
      <c r="N287" s="96" t="str">
        <f>IF(ISBLANK(C287),"",IF(C287=F287, "1 video",CONCATENATE((+COUNTIFS(Video_List!$C:$C,"&lt;=" &amp;Monitoring!J287)-COUNTIFS(Video_List!$C:$C,"&lt;=" &amp;Monitoring!I287))+1," videos")))</f>
        <v>1 video</v>
      </c>
      <c r="O287" s="29" t="s">
        <v>44</v>
      </c>
      <c r="P287" s="42" t="s">
        <v>37</v>
      </c>
      <c r="Q287" s="42" t="s">
        <v>123</v>
      </c>
      <c r="R287" s="42" t="s">
        <v>287</v>
      </c>
      <c r="S287" s="97" t="str">
        <f>+IFERROR(IF(T287="#N/C","#N/C",IF(U287=0,INDEX(Taxonomy_UniqueValues!D:D,MATCH(U287,Taxonomy_UniqueValues!F:F,0)),INDEX(Taxonomy_UniqueValues!D:D,MATCH(T287,Taxonomy_UniqueValues!E:E,0)))),"#N/C")</f>
        <v>Tettigoniidea</v>
      </c>
      <c r="T287" s="42" t="s">
        <v>288</v>
      </c>
      <c r="U287" s="42" t="s">
        <v>289</v>
      </c>
      <c r="V287" s="42" t="s">
        <v>487</v>
      </c>
      <c r="W287" s="42" t="s">
        <v>488</v>
      </c>
      <c r="X287" s="28" t="s">
        <v>489</v>
      </c>
      <c r="Y287" s="69" t="str" cm="1">
        <f t="array" ref="Y287">_xlfn.LET(_xlpm.cls,P287, _xlpm.ord,IFERROR(Q287,"#N/C"), _xlpm.subord,IFERROR(R287,"#N/C"), _xlpm.infr,IFERROR(S287,"#N/C"), _xlpm.sf,IFERROR(T287,"#N/C"), _xlpm.fam,IFERROR(U287,"#N/C"), _xlpm.subfam,IF(TRIM(V287)="-","#N/C",IFERROR(V287,"#N/C")),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_xlpm.fallback,IF(IFERROR(Q287,"#N/C")="#N/C",P287,IF(IFERROR(R287,"#N/C")="#N/C",Q287,IF(IFERROR(S287,"#N/C")="#N/C",R287,IF(IFERROR(T287,"#N/C")="#N/C",S287,IF(IFERROR(U287,"#N/C")="#N/C",T287,IF(IFERROR(V287,"#N/C")="#N/C",U287,"#N/C")))))), _xlpm.finalResult,IF(OR(_xlpm.computedResult="",_xlpm.computedResult="#N/C"),_xlpm.fallback,_xlpm.computedResult), INDEX(_xlpm.finalResult,1))</f>
        <v>grasshopper</v>
      </c>
      <c r="Z287" s="116" t="str" cm="1">
        <f t="array" ref="Z287">IF(OR(Y287="Insecta",Y287="Arachnida",Y287="#N/C"),"",IFERROR(_xlfn.LET(_xlpm.fc,IFERROR(_xlfn._xlws.FILTER(ClassificationClasses[],ClassificationClasses[Classification Class]=Y287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287,ClassificationClasses[Key])),0),MATCH(Y287,INDEX(ClassificationClasses[],MATCH(TRUE,ISNUMBER(SEARCH(Y287,ClassificationClasses[Key])),0),0),0)-1)))</f>
        <v>Orthoptera</v>
      </c>
      <c r="AA287" s="116" t="str" cm="1">
        <f t="array" ref="AA287">IFERROR(IF(OR(Z287="Insecta",Z287="Arachnida",Z287="#N/C"),"",INDEX(ClassificationClasses[[Class]:[Infraorder]],MATCH(TRUE,ISNUMBER(SEARCH(Z287,ClassificationClasses[Key])),0),MATCH(Z287,INDEX(ClassificationClasses[#Data], MATCH(TRUE,ISNUMBER(SEARCH(Z287,ClassificationClasses[Key])),0), 0), 0)-1)),"")</f>
        <v>Insecta</v>
      </c>
      <c r="AB287" s="116" t="str" cm="1">
        <f t="array" ref="AB287">IFERROR(IF(OR(AA287="Insecta",AA287="Arachnida",AA287="#N/C"),"",INDEX(ClassificationClasses[[Class]:[Suborder]],MATCH(TRUE,ISNUMBER(SEARCH(AA287,ClassificationClasses[Key])),0),MATCH(AA287,INDEX(ClassificationClasses[#Data], MATCH(TRUE,ISNUMBER(SEARCH(AA287,ClassificationClasses[Key])),0), 0), 0)-1)),"")</f>
        <v/>
      </c>
      <c r="AC287" s="116" t="str" cm="1">
        <f t="array" ref="AC287">IFERROR(IF(OR(AB287="Insecta",AB287="Arachnida",AB287="#N/C"),"",INDEX(ClassificationClasses[[Class]:[Suborder]],MATCH(TRUE,ISNUMBER(SEARCH(AB287,ClassificationClasses[Key])),0),MATCH(AB287,INDEX(ClassificationClasses[#Data], MATCH(TRUE,ISNUMBER(SEARCH(AB287,ClassificationClasses[Key])),0), 0), 0)-1)),"")</f>
        <v/>
      </c>
      <c r="AD287" s="116" t="str" cm="1">
        <f t="array" ref="AD287">IFERROR(IF(OR(AC287="Insecta",AC287="Arachnida",AC287="#N/C"),"",INDEX(ClassificationClasses[[Class]:[Suborder]],MATCH(TRUE,ISNUMBER(SEARCH(AC287,ClassificationClasses[Key])),0),MATCH(AC287,INDEX(ClassificationClasses[#Data], MATCH(TRUE,ISNUMBER(SEARCH(AC287,ClassificationClasses[Key])),0), 0), 0)-1)),"")</f>
        <v/>
      </c>
      <c r="AE287" s="18" t="str">
        <f t="shared" si="10"/>
        <v>Insecta.Orthoptera.Ensifera.Tettigoniidea.Tettigonioidea.Tettigoniidae.Conocephalinae.Conocephalus.fuscus</v>
      </c>
    </row>
    <row r="288" spans="1:31" x14ac:dyDescent="0.3">
      <c r="A288" s="91">
        <v>287</v>
      </c>
      <c r="B288" s="7">
        <v>44407</v>
      </c>
      <c r="C288" s="92" t="s">
        <v>509</v>
      </c>
      <c r="D288" s="93" t="str">
        <f>HYPERLINK(VLOOKUP(C288,Video_List!$F:$J,5),"video")</f>
        <v>video</v>
      </c>
      <c r="E288" s="94" t="str">
        <f>IFERROR(IF(MATCH(C288,Video_List!$F:$F,)&gt;0,"ok",""),"error")</f>
        <v>ok</v>
      </c>
      <c r="F288" s="92" t="s">
        <v>509</v>
      </c>
      <c r="G288" s="93" t="str">
        <f>HYPERLINK(VLOOKUP(F288,Video_List!$F:$J,5),"video")</f>
        <v>video</v>
      </c>
      <c r="H288" s="94" t="str">
        <f>IFERROR(IF(MATCH(F288,Video_List!$F:$F,)&gt;0,"ok",""),"error")</f>
        <v>ok</v>
      </c>
      <c r="I288" s="17">
        <v>44407.634606481479</v>
      </c>
      <c r="J288" s="8">
        <v>44407.634722222225</v>
      </c>
      <c r="K288" s="15">
        <f t="shared" si="9"/>
        <v>1.1574074596865103E-4</v>
      </c>
      <c r="L288" s="4" t="s">
        <v>32</v>
      </c>
      <c r="M288" s="4" t="s">
        <v>33</v>
      </c>
      <c r="N288" s="96" t="str">
        <f>IF(ISBLANK(C288),"",IF(C288=F288, "1 video",CONCATENATE((+COUNTIFS(Video_List!$C:$C,"&lt;=" &amp;Monitoring!J288)-COUNTIFS(Video_List!$C:$C,"&lt;=" &amp;Monitoring!I288))+1," videos")))</f>
        <v>1 video</v>
      </c>
      <c r="O288" s="27" t="s">
        <v>32</v>
      </c>
      <c r="P288" s="42" t="s">
        <v>37</v>
      </c>
      <c r="Q288" s="42" t="s">
        <v>41</v>
      </c>
      <c r="R288" s="42" t="s">
        <v>42</v>
      </c>
      <c r="S288" s="97" t="str">
        <f>+IFERROR(IF(T288="#N/C","#N/C",IF(U288=0,INDEX(Taxonomy_UniqueValues!D:D,MATCH(U288,Taxonomy_UniqueValues!F:F,0)),INDEX(Taxonomy_UniqueValues!D:D,MATCH(T288,Taxonomy_UniqueValues!E:E,0)))),"#N/C")</f>
        <v>Parasitica</v>
      </c>
      <c r="T288" s="42" t="s">
        <v>71</v>
      </c>
      <c r="U288" s="42" t="s">
        <v>35</v>
      </c>
      <c r="V288" s="42" t="s">
        <v>35</v>
      </c>
      <c r="W288" s="42" t="s">
        <v>35</v>
      </c>
      <c r="X288" s="28" t="s">
        <v>35</v>
      </c>
      <c r="Y288" s="69" t="str" cm="1">
        <f t="array" ref="Y288">_xlfn.LET(_xlpm.cls,P288, _xlpm.ord,IFERROR(Q288,"#N/C"), _xlpm.subord,IFERROR(R288,"#N/C"), _xlpm.infr,IFERROR(S288,"#N/C"), _xlpm.sf,IFERROR(T288,"#N/C"), _xlpm.fam,IFERROR(U288,"#N/C"), _xlpm.subfam,IF(TRIM(V288)="-","#N/C",IFERROR(V288,"#N/C")),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_xlpm.fallback,IF(IFERROR(Q288,"#N/C")="#N/C",P288,IF(IFERROR(R288,"#N/C")="#N/C",Q288,IF(IFERROR(S288,"#N/C")="#N/C",R288,IF(IFERROR(T288,"#N/C")="#N/C",S288,IF(IFERROR(U288,"#N/C")="#N/C",T288,IF(IFERROR(V288,"#N/C")="#N/C",U288,"#N/C")))))), _xlpm.finalResult,IF(OR(_xlpm.computedResult="",_xlpm.computedResult="#N/C"),_xlpm.fallback,_xlpm.computedResult), INDEX(_xlpm.finalResult,1))</f>
        <v>Ichneumonoidea</v>
      </c>
      <c r="Z288" s="116" t="str" cm="1">
        <f t="array" ref="Z288">IF(OR(Y288="Insecta",Y288="Arachnida",Y288="#N/C"),"",IFERROR(_xlfn.LET(_xlpm.fc,IFERROR(_xlfn._xlws.FILTER(ClassificationClasses[],ClassificationClasses[Classification Class]=Y288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288,ClassificationClasses[Key])),0),MATCH(Y288,INDEX(ClassificationClasses[],MATCH(TRUE,ISNUMBER(SEARCH(Y288,ClassificationClasses[Key])),0),0),0)-1)))</f>
        <v>Parasitica</v>
      </c>
      <c r="AA288" s="116" t="str" cm="1">
        <f t="array" ref="AA288">IFERROR(IF(OR(Z288="Insecta",Z288="Arachnida",Z288="#N/C"),"",INDEX(ClassificationClasses[[Class]:[Infraorder]],MATCH(TRUE,ISNUMBER(SEARCH(Z288,ClassificationClasses[Key])),0),MATCH(Z288,INDEX(ClassificationClasses[#Data], MATCH(TRUE,ISNUMBER(SEARCH(Z288,ClassificationClasses[Key])),0), 0), 0)-1)),"")</f>
        <v>Apocrita</v>
      </c>
      <c r="AB288" s="116" t="str" cm="1">
        <f t="array" ref="AB288">IFERROR(IF(OR(AA288="Insecta",AA288="Arachnida",AA288="#N/C"),"",INDEX(ClassificationClasses[[Class]:[Suborder]],MATCH(TRUE,ISNUMBER(SEARCH(AA288,ClassificationClasses[Key])),0),MATCH(AA288,INDEX(ClassificationClasses[#Data], MATCH(TRUE,ISNUMBER(SEARCH(AA288,ClassificationClasses[Key])),0), 0), 0)-1)),"")</f>
        <v>Hymenoptera</v>
      </c>
      <c r="AC288" s="116" t="str" cm="1">
        <f t="array" ref="AC288">IFERROR(IF(OR(AB288="Insecta",AB288="Arachnida",AB288="#N/C"),"",INDEX(ClassificationClasses[[Class]:[Suborder]],MATCH(TRUE,ISNUMBER(SEARCH(AB288,ClassificationClasses[Key])),0),MATCH(AB288,INDEX(ClassificationClasses[#Data], MATCH(TRUE,ISNUMBER(SEARCH(AB288,ClassificationClasses[Key])),0), 0), 0)-1)),"")</f>
        <v>Insecta</v>
      </c>
      <c r="AD288" s="116" t="str" cm="1">
        <f t="array" ref="AD288">IFERROR(IF(OR(AC288="Insecta",AC288="Arachnida",AC288="#N/C"),"",INDEX(ClassificationClasses[[Class]:[Suborder]],MATCH(TRUE,ISNUMBER(SEARCH(AC288,ClassificationClasses[Key])),0),MATCH(AC288,INDEX(ClassificationClasses[#Data], MATCH(TRUE,ISNUMBER(SEARCH(AC288,ClassificationClasses[Key])),0), 0), 0)-1)),"")</f>
        <v/>
      </c>
      <c r="AE288" s="18" t="str">
        <f t="shared" si="10"/>
        <v>Insecta.Hymenoptera.Apocrita.Parasitica.Ichneumonoidea.#N/C.#N/C.#N/C.#N/C</v>
      </c>
    </row>
    <row r="289" spans="1:31" x14ac:dyDescent="0.3">
      <c r="A289" s="91">
        <v>288</v>
      </c>
      <c r="B289" s="7">
        <v>44407</v>
      </c>
      <c r="C289" s="92" t="s">
        <v>510</v>
      </c>
      <c r="D289" s="93" t="str">
        <f>HYPERLINK(VLOOKUP(C289,Video_List!$F:$J,5),"video")</f>
        <v>video</v>
      </c>
      <c r="E289" s="94" t="str">
        <f>IFERROR(IF(MATCH(C289,Video_List!$F:$F,)&gt;0,"ok",""),"error")</f>
        <v>ok</v>
      </c>
      <c r="F289" s="92" t="s">
        <v>510</v>
      </c>
      <c r="G289" s="93" t="str">
        <f>HYPERLINK(VLOOKUP(F289,Video_List!$F:$J,5),"video")</f>
        <v>video</v>
      </c>
      <c r="H289" s="94" t="str">
        <f>IFERROR(IF(MATCH(F289,Video_List!$F:$F,)&gt;0,"ok",""),"error")</f>
        <v>ok</v>
      </c>
      <c r="I289" s="17">
        <v>44407.635775462964</v>
      </c>
      <c r="J289" s="8">
        <v>44407.637754629628</v>
      </c>
      <c r="K289" s="15">
        <f t="shared" si="9"/>
        <v>1.9791666636592709E-3</v>
      </c>
      <c r="L289" s="95" t="s">
        <v>44</v>
      </c>
      <c r="M289" s="95" t="s">
        <v>118</v>
      </c>
      <c r="N289" s="96" t="str">
        <f>IF(ISBLANK(C289),"",IF(C289=F289, "1 video",CONCATENATE((+COUNTIFS(Video_List!$C:$C,"&lt;=" &amp;Monitoring!J289)-COUNTIFS(Video_List!$C:$C,"&lt;=" &amp;Monitoring!I289))+1," videos")))</f>
        <v>1 video</v>
      </c>
      <c r="O289" s="27" t="s">
        <v>32</v>
      </c>
      <c r="P289" s="42" t="s">
        <v>37</v>
      </c>
      <c r="Q289" s="42" t="s">
        <v>76</v>
      </c>
      <c r="R289" s="42" t="s">
        <v>77</v>
      </c>
      <c r="S289" s="97" t="str">
        <f>+IFERROR(IF(T289="#N/C","#N/C",IF(U289=0,INDEX(Taxonomy_UniqueValues!D:D,MATCH(U289,Taxonomy_UniqueValues!F:F,0)),INDEX(Taxonomy_UniqueValues!D:D,MATCH(T289,Taxonomy_UniqueValues!E:E,0)))),"#N/C")</f>
        <v>Cucujiformia</v>
      </c>
      <c r="T289" s="42" t="s">
        <v>78</v>
      </c>
      <c r="U289" s="42" t="s">
        <v>79</v>
      </c>
      <c r="V289" s="42" t="s">
        <v>80</v>
      </c>
      <c r="W289" s="42" t="s">
        <v>81</v>
      </c>
      <c r="X289" s="28" t="s">
        <v>82</v>
      </c>
      <c r="Y289" s="69" t="str" cm="1">
        <f t="array" ref="Y289">_xlfn.LET(_xlpm.cls,P289, _xlpm.ord,IFERROR(Q289,"#N/C"), _xlpm.subord,IFERROR(R289,"#N/C"), _xlpm.infr,IFERROR(S289,"#N/C"), _xlpm.sf,IFERROR(T289,"#N/C"), _xlpm.fam,IFERROR(U289,"#N/C"), _xlpm.subfam,IF(TRIM(V289)="-","#N/C",IFERROR(V289,"#N/C")),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_xlpm.fallback,IF(IFERROR(Q289,"#N/C")="#N/C",P289,IF(IFERROR(R289,"#N/C")="#N/C",Q289,IF(IFERROR(S289,"#N/C")="#N/C",R289,IF(IFERROR(T289,"#N/C")="#N/C",S289,IF(IFERROR(U289,"#N/C")="#N/C",T289,IF(IFERROR(V289,"#N/C")="#N/C",U289,"#N/C")))))), _xlpm.finalResult,IF(OR(_xlpm.computedResult="",_xlpm.computedResult="#N/C"),_xlpm.fallback,_xlpm.computedResult), INDEX(_xlpm.finalResult,1))</f>
        <v>ladybug</v>
      </c>
      <c r="Z289" s="116" t="str" cm="1">
        <f t="array" ref="Z289">IF(OR(Y289="Insecta",Y289="Arachnida",Y289="#N/C"),"",IFERROR(_xlfn.LET(_xlpm.fc,IFERROR(_xlfn._xlws.FILTER(ClassificationClasses[],ClassificationClasses[Classification Class]=Y289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289,ClassificationClasses[Key])),0),MATCH(Y289,INDEX(ClassificationClasses[],MATCH(TRUE,ISNUMBER(SEARCH(Y289,ClassificationClasses[Key])),0),0),0)-1)))</f>
        <v>Cucujiformia</v>
      </c>
      <c r="AA289" s="116" t="str" cm="1">
        <f t="array" ref="AA289">IFERROR(IF(OR(Z289="Insecta",Z289="Arachnida",Z289="#N/C"),"",INDEX(ClassificationClasses[[Class]:[Infraorder]],MATCH(TRUE,ISNUMBER(SEARCH(Z289,ClassificationClasses[Key])),0),MATCH(Z289,INDEX(ClassificationClasses[#Data], MATCH(TRUE,ISNUMBER(SEARCH(Z289,ClassificationClasses[Key])),0), 0), 0)-1)),"")</f>
        <v>Polyphaga</v>
      </c>
      <c r="AB289" s="116" t="str" cm="1">
        <f t="array" ref="AB289">IFERROR(IF(OR(AA289="Insecta",AA289="Arachnida",AA289="#N/C"),"",INDEX(ClassificationClasses[[Class]:[Suborder]],MATCH(TRUE,ISNUMBER(SEARCH(AA289,ClassificationClasses[Key])),0),MATCH(AA289,INDEX(ClassificationClasses[#Data], MATCH(TRUE,ISNUMBER(SEARCH(AA289,ClassificationClasses[Key])),0), 0), 0)-1)),"")</f>
        <v>Coleoptera</v>
      </c>
      <c r="AC289" s="116" t="str" cm="1">
        <f t="array" ref="AC289">IFERROR(IF(OR(AB289="Insecta",AB289="Arachnida",AB289="#N/C"),"",INDEX(ClassificationClasses[[Class]:[Suborder]],MATCH(TRUE,ISNUMBER(SEARCH(AB289,ClassificationClasses[Key])),0),MATCH(AB289,INDEX(ClassificationClasses[#Data], MATCH(TRUE,ISNUMBER(SEARCH(AB289,ClassificationClasses[Key])),0), 0), 0)-1)),"")</f>
        <v>Insecta</v>
      </c>
      <c r="AD289" s="116" t="str" cm="1">
        <f t="array" ref="AD289">IFERROR(IF(OR(AC289="Insecta",AC289="Arachnida",AC289="#N/C"),"",INDEX(ClassificationClasses[[Class]:[Suborder]],MATCH(TRUE,ISNUMBER(SEARCH(AC289,ClassificationClasses[Key])),0),MATCH(AC289,INDEX(ClassificationClasses[#Data], MATCH(TRUE,ISNUMBER(SEARCH(AC289,ClassificationClasses[Key])),0), 0), 0)-1)),"")</f>
        <v/>
      </c>
      <c r="AE289" s="18" t="str">
        <f t="shared" si="10"/>
        <v>Insecta.Coleoptera.Polyphaga.Cucujiformia.Coccinelloidea.Coccinellidae.Coccinellinae.Harmonia.axyridis</v>
      </c>
    </row>
    <row r="290" spans="1:31" x14ac:dyDescent="0.3">
      <c r="A290" s="91">
        <v>289</v>
      </c>
      <c r="B290" s="7">
        <v>44407</v>
      </c>
      <c r="C290" s="92" t="s">
        <v>511</v>
      </c>
      <c r="D290" s="93" t="str">
        <f>HYPERLINK(VLOOKUP(C290,Video_List!$F:$J,5),"video")</f>
        <v>video</v>
      </c>
      <c r="E290" s="94" t="str">
        <f>IFERROR(IF(MATCH(C290,Video_List!$F:$F,)&gt;0,"ok",""),"error")</f>
        <v>ok</v>
      </c>
      <c r="F290" s="92" t="s">
        <v>511</v>
      </c>
      <c r="G290" s="93" t="str">
        <f>HYPERLINK(VLOOKUP(F290,Video_List!$F:$J,5),"video")</f>
        <v>video</v>
      </c>
      <c r="H290" s="94" t="str">
        <f>IFERROR(IF(MATCH(F290,Video_List!$F:$F,)&gt;0,"ok",""),"error")</f>
        <v>ok</v>
      </c>
      <c r="I290" s="17">
        <v>44407.663263888891</v>
      </c>
      <c r="J290" s="8">
        <v>44407.663402777776</v>
      </c>
      <c r="K290" s="15">
        <f t="shared" si="9"/>
        <v>1.3888888497604057E-4</v>
      </c>
      <c r="L290" s="95" t="s">
        <v>55</v>
      </c>
      <c r="M290" s="95" t="s">
        <v>55</v>
      </c>
      <c r="N290" s="96" t="str">
        <f>IF(ISBLANK(C290),"",IF(C290=F290, "1 video",CONCATENATE((+COUNTIFS(Video_List!$C:$C,"&lt;=" &amp;Monitoring!J290)-COUNTIFS(Video_List!$C:$C,"&lt;=" &amp;Monitoring!I290))+1," videos")))</f>
        <v>1 video</v>
      </c>
      <c r="O290" s="29" t="s">
        <v>44</v>
      </c>
      <c r="P290" s="42" t="s">
        <v>37</v>
      </c>
      <c r="Q290" s="42" t="s">
        <v>76</v>
      </c>
      <c r="R290" s="42" t="s">
        <v>77</v>
      </c>
      <c r="S290" s="97" t="str">
        <f>+IFERROR(IF(T290="#N/C","#N/C",IF(U290=0,INDEX(Taxonomy_UniqueValues!D:D,MATCH(U290,Taxonomy_UniqueValues!F:F,0)),INDEX(Taxonomy_UniqueValues!D:D,MATCH(T290,Taxonomy_UniqueValues!E:E,0)))),"#N/C")</f>
        <v>Cucujiformia</v>
      </c>
      <c r="T290" s="42" t="s">
        <v>78</v>
      </c>
      <c r="U290" s="42" t="s">
        <v>79</v>
      </c>
      <c r="V290" s="42" t="s">
        <v>80</v>
      </c>
      <c r="W290" s="42" t="s">
        <v>81</v>
      </c>
      <c r="X290" s="28" t="s">
        <v>82</v>
      </c>
      <c r="Y290" s="69" t="str" cm="1">
        <f t="array" ref="Y290">_xlfn.LET(_xlpm.cls,P290, _xlpm.ord,IFERROR(Q290,"#N/C"), _xlpm.subord,IFERROR(R290,"#N/C"), _xlpm.infr,IFERROR(S290,"#N/C"), _xlpm.sf,IFERROR(T290,"#N/C"), _xlpm.fam,IFERROR(U290,"#N/C"), _xlpm.subfam,IF(TRIM(V290)="-","#N/C",IFERROR(V290,"#N/C")),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_xlpm.fallback,IF(IFERROR(Q290,"#N/C")="#N/C",P290,IF(IFERROR(R290,"#N/C")="#N/C",Q290,IF(IFERROR(S290,"#N/C")="#N/C",R290,IF(IFERROR(T290,"#N/C")="#N/C",S290,IF(IFERROR(U290,"#N/C")="#N/C",T290,IF(IFERROR(V290,"#N/C")="#N/C",U290,"#N/C")))))), _xlpm.finalResult,IF(OR(_xlpm.computedResult="",_xlpm.computedResult="#N/C"),_xlpm.fallback,_xlpm.computedResult), INDEX(_xlpm.finalResult,1))</f>
        <v>ladybug</v>
      </c>
      <c r="Z290" s="116" t="str" cm="1">
        <f t="array" ref="Z290">IF(OR(Y290="Insecta",Y290="Arachnida",Y290="#N/C"),"",IFERROR(_xlfn.LET(_xlpm.fc,IFERROR(_xlfn._xlws.FILTER(ClassificationClasses[],ClassificationClasses[Classification Class]=Y290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290,ClassificationClasses[Key])),0),MATCH(Y290,INDEX(ClassificationClasses[],MATCH(TRUE,ISNUMBER(SEARCH(Y290,ClassificationClasses[Key])),0),0),0)-1)))</f>
        <v>Cucujiformia</v>
      </c>
      <c r="AA290" s="116" t="str" cm="1">
        <f t="array" ref="AA290">IFERROR(IF(OR(Z290="Insecta",Z290="Arachnida",Z290="#N/C"),"",INDEX(ClassificationClasses[[Class]:[Infraorder]],MATCH(TRUE,ISNUMBER(SEARCH(Z290,ClassificationClasses[Key])),0),MATCH(Z290,INDEX(ClassificationClasses[#Data], MATCH(TRUE,ISNUMBER(SEARCH(Z290,ClassificationClasses[Key])),0), 0), 0)-1)),"")</f>
        <v>Polyphaga</v>
      </c>
      <c r="AB290" s="116" t="str" cm="1">
        <f t="array" ref="AB290">IFERROR(IF(OR(AA290="Insecta",AA290="Arachnida",AA290="#N/C"),"",INDEX(ClassificationClasses[[Class]:[Suborder]],MATCH(TRUE,ISNUMBER(SEARCH(AA290,ClassificationClasses[Key])),0),MATCH(AA290,INDEX(ClassificationClasses[#Data], MATCH(TRUE,ISNUMBER(SEARCH(AA290,ClassificationClasses[Key])),0), 0), 0)-1)),"")</f>
        <v>Coleoptera</v>
      </c>
      <c r="AC290" s="116" t="str" cm="1">
        <f t="array" ref="AC290">IFERROR(IF(OR(AB290="Insecta",AB290="Arachnida",AB290="#N/C"),"",INDEX(ClassificationClasses[[Class]:[Suborder]],MATCH(TRUE,ISNUMBER(SEARCH(AB290,ClassificationClasses[Key])),0),MATCH(AB290,INDEX(ClassificationClasses[#Data], MATCH(TRUE,ISNUMBER(SEARCH(AB290,ClassificationClasses[Key])),0), 0), 0)-1)),"")</f>
        <v>Insecta</v>
      </c>
      <c r="AD290" s="116" t="str" cm="1">
        <f t="array" ref="AD290">IFERROR(IF(OR(AC290="Insecta",AC290="Arachnida",AC290="#N/C"),"",INDEX(ClassificationClasses[[Class]:[Suborder]],MATCH(TRUE,ISNUMBER(SEARCH(AC290,ClassificationClasses[Key])),0),MATCH(AC290,INDEX(ClassificationClasses[#Data], MATCH(TRUE,ISNUMBER(SEARCH(AC290,ClassificationClasses[Key])),0), 0), 0)-1)),"")</f>
        <v/>
      </c>
      <c r="AE290" s="18" t="str">
        <f t="shared" si="10"/>
        <v>Insecta.Coleoptera.Polyphaga.Cucujiformia.Coccinelloidea.Coccinellidae.Coccinellinae.Harmonia.axyridis</v>
      </c>
    </row>
    <row r="291" spans="1:31" x14ac:dyDescent="0.3">
      <c r="A291" s="91">
        <v>290</v>
      </c>
      <c r="B291" s="7">
        <v>44407</v>
      </c>
      <c r="C291" s="92" t="s">
        <v>512</v>
      </c>
      <c r="D291" s="93" t="str">
        <f>HYPERLINK(VLOOKUP(C291,Video_List!$F:$J,5),"video")</f>
        <v>video</v>
      </c>
      <c r="E291" s="94" t="str">
        <f>IFERROR(IF(MATCH(C291,Video_List!$F:$F,)&gt;0,"ok",""),"error")</f>
        <v>ok</v>
      </c>
      <c r="F291" s="92" t="s">
        <v>512</v>
      </c>
      <c r="G291" s="93" t="str">
        <f>HYPERLINK(VLOOKUP(F291,Video_List!$F:$J,5),"video")</f>
        <v>video</v>
      </c>
      <c r="H291" s="94" t="str">
        <f>IFERROR(IF(MATCH(F291,Video_List!$F:$F,)&gt;0,"ok",""),"error")</f>
        <v>ok</v>
      </c>
      <c r="I291" s="17">
        <v>44407.639201388891</v>
      </c>
      <c r="J291" s="8">
        <v>44407.639363425929</v>
      </c>
      <c r="K291" s="15">
        <f t="shared" si="9"/>
        <v>1.6203703853534535E-4</v>
      </c>
      <c r="L291" s="4" t="s">
        <v>44</v>
      </c>
      <c r="M291" s="4" t="s">
        <v>33</v>
      </c>
      <c r="N291" s="96" t="str">
        <f>IF(ISBLANK(C291),"",IF(C291=F291, "1 video",CONCATENATE((+COUNTIFS(Video_List!$C:$C,"&lt;=" &amp;Monitoring!J291)-COUNTIFS(Video_List!$C:$C,"&lt;=" &amp;Monitoring!I291))+1," videos")))</f>
        <v>1 video</v>
      </c>
      <c r="O291" s="27" t="s">
        <v>32</v>
      </c>
      <c r="P291" s="42" t="s">
        <v>37</v>
      </c>
      <c r="Q291" s="42" t="s">
        <v>123</v>
      </c>
      <c r="R291" s="42" t="s">
        <v>124</v>
      </c>
      <c r="S291" s="97" t="str">
        <f>+IFERROR(IF(T291="#N/C","#N/C",IF(U291=0,INDEX(Taxonomy_UniqueValues!D:D,MATCH(U291,Taxonomy_UniqueValues!F:F,0)),INDEX(Taxonomy_UniqueValues!D:D,MATCH(T291,Taxonomy_UniqueValues!E:E,0)))),"#N/C")</f>
        <v>Acrididea</v>
      </c>
      <c r="T291" s="42" t="s">
        <v>125</v>
      </c>
      <c r="U291" s="42" t="s">
        <v>126</v>
      </c>
      <c r="V291" s="42" t="s">
        <v>173</v>
      </c>
      <c r="W291" s="42" t="s">
        <v>174</v>
      </c>
      <c r="X291" s="28" t="s">
        <v>35</v>
      </c>
      <c r="Y291" s="69" t="str" cm="1">
        <f t="array" ref="Y291">_xlfn.LET(_xlpm.cls,P291, _xlpm.ord,IFERROR(Q291,"#N/C"), _xlpm.subord,IFERROR(R291,"#N/C"), _xlpm.infr,IFERROR(S291,"#N/C"), _xlpm.sf,IFERROR(T291,"#N/C"), _xlpm.fam,IFERROR(U291,"#N/C"), _xlpm.subfam,IF(TRIM(V291)="-","#N/C",IFERROR(V291,"#N/C")),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_xlpm.fallback,IF(IFERROR(Q291,"#N/C")="#N/C",P291,IF(IFERROR(R291,"#N/C")="#N/C",Q291,IF(IFERROR(S291,"#N/C")="#N/C",R291,IF(IFERROR(T291,"#N/C")="#N/C",S291,IF(IFERROR(U291,"#N/C")="#N/C",T291,IF(IFERROR(V291,"#N/C")="#N/C",U291,"#N/C")))))), _xlpm.finalResult,IF(OR(_xlpm.computedResult="",_xlpm.computedResult="#N/C"),_xlpm.fallback,_xlpm.computedResult), INDEX(_xlpm.finalResult,1))</f>
        <v>grasshopper</v>
      </c>
      <c r="Z291" s="116" t="str" cm="1">
        <f t="array" ref="Z291">IF(OR(Y291="Insecta",Y291="Arachnida",Y291="#N/C"),"",IFERROR(_xlfn.LET(_xlpm.fc,IFERROR(_xlfn._xlws.FILTER(ClassificationClasses[],ClassificationClasses[Classification Class]=Y291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291,ClassificationClasses[Key])),0),MATCH(Y291,INDEX(ClassificationClasses[],MATCH(TRUE,ISNUMBER(SEARCH(Y291,ClassificationClasses[Key])),0),0),0)-1)))</f>
        <v>Orthoptera</v>
      </c>
      <c r="AA291" s="116" t="str" cm="1">
        <f t="array" ref="AA291">IFERROR(IF(OR(Z291="Insecta",Z291="Arachnida",Z291="#N/C"),"",INDEX(ClassificationClasses[[Class]:[Infraorder]],MATCH(TRUE,ISNUMBER(SEARCH(Z291,ClassificationClasses[Key])),0),MATCH(Z291,INDEX(ClassificationClasses[#Data], MATCH(TRUE,ISNUMBER(SEARCH(Z291,ClassificationClasses[Key])),0), 0), 0)-1)),"")</f>
        <v>Insecta</v>
      </c>
      <c r="AB291" s="116" t="str" cm="1">
        <f t="array" ref="AB291">IFERROR(IF(OR(AA291="Insecta",AA291="Arachnida",AA291="#N/C"),"",INDEX(ClassificationClasses[[Class]:[Suborder]],MATCH(TRUE,ISNUMBER(SEARCH(AA291,ClassificationClasses[Key])),0),MATCH(AA291,INDEX(ClassificationClasses[#Data], MATCH(TRUE,ISNUMBER(SEARCH(AA291,ClassificationClasses[Key])),0), 0), 0)-1)),"")</f>
        <v/>
      </c>
      <c r="AC291" s="116" t="str" cm="1">
        <f t="array" ref="AC291">IFERROR(IF(OR(AB291="Insecta",AB291="Arachnida",AB291="#N/C"),"",INDEX(ClassificationClasses[[Class]:[Suborder]],MATCH(TRUE,ISNUMBER(SEARCH(AB291,ClassificationClasses[Key])),0),MATCH(AB291,INDEX(ClassificationClasses[#Data], MATCH(TRUE,ISNUMBER(SEARCH(AB291,ClassificationClasses[Key])),0), 0), 0)-1)),"")</f>
        <v/>
      </c>
      <c r="AD291" s="116" t="str" cm="1">
        <f t="array" ref="AD291">IFERROR(IF(OR(AC291="Insecta",AC291="Arachnida",AC291="#N/C"),"",INDEX(ClassificationClasses[[Class]:[Suborder]],MATCH(TRUE,ISNUMBER(SEARCH(AC291,ClassificationClasses[Key])),0),MATCH(AC291,INDEX(ClassificationClasses[#Data], MATCH(TRUE,ISNUMBER(SEARCH(AC291,ClassificationClasses[Key])),0), 0), 0)-1)),"")</f>
        <v/>
      </c>
      <c r="AE291" s="18" t="str">
        <f t="shared" si="10"/>
        <v>Insecta.Orthoptera.Caelifera.Acrididea.Acridoidea.Acrididae.Gomphocerinae.Chorthippus.#N/C</v>
      </c>
    </row>
    <row r="292" spans="1:31" x14ac:dyDescent="0.3">
      <c r="A292" s="91">
        <v>291</v>
      </c>
      <c r="B292" s="7">
        <v>44407</v>
      </c>
      <c r="C292" s="92" t="s">
        <v>513</v>
      </c>
      <c r="D292" s="93" t="str">
        <f>HYPERLINK(VLOOKUP(C292,Video_List!$F:$J,5),"video")</f>
        <v>video</v>
      </c>
      <c r="E292" s="94" t="str">
        <f>IFERROR(IF(MATCH(C292,Video_List!$F:$F,)&gt;0,"ok",""),"error")</f>
        <v>ok</v>
      </c>
      <c r="F292" s="92" t="s">
        <v>513</v>
      </c>
      <c r="G292" s="93" t="str">
        <f>HYPERLINK(VLOOKUP(F292,Video_List!$F:$J,5),"video")</f>
        <v>video</v>
      </c>
      <c r="H292" s="94" t="str">
        <f>IFERROR(IF(MATCH(F292,Video_List!$F:$F,)&gt;0,"ok",""),"error")</f>
        <v>ok</v>
      </c>
      <c r="I292" s="17">
        <v>44407.71533564815</v>
      </c>
      <c r="J292" s="8">
        <v>44407.715381944443</v>
      </c>
      <c r="K292" s="15">
        <f t="shared" si="9"/>
        <v>4.6296292566694319E-5</v>
      </c>
      <c r="L292" s="95" t="s">
        <v>32</v>
      </c>
      <c r="M292" s="95" t="s">
        <v>33</v>
      </c>
      <c r="N292" s="96" t="str">
        <f>IF(ISBLANK(C292),"",IF(C292=F292, "1 video",CONCATENATE((+COUNTIFS(Video_List!$C:$C,"&lt;=" &amp;Monitoring!J292)-COUNTIFS(Video_List!$C:$C,"&lt;=" &amp;Monitoring!I292))+1," videos")))</f>
        <v>1 video</v>
      </c>
      <c r="O292" s="29" t="s">
        <v>44</v>
      </c>
      <c r="P292" s="42" t="s">
        <v>37</v>
      </c>
      <c r="Q292" s="42" t="s">
        <v>38</v>
      </c>
      <c r="R292" s="42" t="s">
        <v>39</v>
      </c>
      <c r="S292" s="97" t="str">
        <f>+IFERROR(IF(T292="#N/C","#N/C",IF(U292=0,INDEX(Taxonomy_UniqueValues!D:D,MATCH(U292,Taxonomy_UniqueValues!F:F,0)),INDEX(Taxonomy_UniqueValues!D:D,MATCH(T292,Taxonomy_UniqueValues!E:E,0)))),"#N/C")</f>
        <v>#N/C</v>
      </c>
      <c r="T292" s="42" t="s">
        <v>35</v>
      </c>
      <c r="U292" s="42" t="s">
        <v>35</v>
      </c>
      <c r="V292" s="42" t="s">
        <v>35</v>
      </c>
      <c r="W292" s="42" t="s">
        <v>35</v>
      </c>
      <c r="X292" s="28" t="s">
        <v>35</v>
      </c>
      <c r="Y292" s="69" t="str" cm="1">
        <f t="array" ref="Y292">_xlfn.LET(_xlpm.cls,P292, _xlpm.ord,IFERROR(Q292,"#N/C"), _xlpm.subord,IFERROR(R292,"#N/C"), _xlpm.infr,IFERROR(S292,"#N/C"), _xlpm.sf,IFERROR(T292,"#N/C"), _xlpm.fam,IFERROR(U292,"#N/C"), _xlpm.subfam,IF(TRIM(V292)="-","#N/C",IFERROR(V292,"#N/C")),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_xlpm.fallback,IF(IFERROR(Q292,"#N/C")="#N/C",P292,IF(IFERROR(R292,"#N/C")="#N/C",Q292,IF(IFERROR(S292,"#N/C")="#N/C",R292,IF(IFERROR(T292,"#N/C")="#N/C",S292,IF(IFERROR(U292,"#N/C")="#N/C",T292,IF(IFERROR(V292,"#N/C")="#N/C",U292,"#N/C")))))), _xlpm.finalResult,IF(OR(_xlpm.computedResult="",_xlpm.computedResult="#N/C"),_xlpm.fallback,_xlpm.computedResult), INDEX(_xlpm.finalResult,1))</f>
        <v>Brachycera</v>
      </c>
      <c r="Z292" s="116" t="str" cm="1">
        <f t="array" ref="Z292">IF(OR(Y292="Insecta",Y292="Arachnida",Y292="#N/C"),"",IFERROR(_xlfn.LET(_xlpm.fc,IFERROR(_xlfn._xlws.FILTER(ClassificationClasses[],ClassificationClasses[Classification Class]=Y292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292,ClassificationClasses[Key])),0),MATCH(Y292,INDEX(ClassificationClasses[],MATCH(TRUE,ISNUMBER(SEARCH(Y292,ClassificationClasses[Key])),0),0),0)-1)))</f>
        <v>Diptera</v>
      </c>
      <c r="AA292" s="116" t="str" cm="1">
        <f t="array" ref="AA292">IFERROR(IF(OR(Z292="Insecta",Z292="Arachnida",Z292="#N/C"),"",INDEX(ClassificationClasses[[Class]:[Infraorder]],MATCH(TRUE,ISNUMBER(SEARCH(Z292,ClassificationClasses[Key])),0),MATCH(Z292,INDEX(ClassificationClasses[#Data], MATCH(TRUE,ISNUMBER(SEARCH(Z292,ClassificationClasses[Key])),0), 0), 0)-1)),"")</f>
        <v>Insecta</v>
      </c>
      <c r="AB292" s="116" t="str" cm="1">
        <f t="array" ref="AB292">IFERROR(IF(OR(AA292="Insecta",AA292="Arachnida",AA292="#N/C"),"",INDEX(ClassificationClasses[[Class]:[Suborder]],MATCH(TRUE,ISNUMBER(SEARCH(AA292,ClassificationClasses[Key])),0),MATCH(AA292,INDEX(ClassificationClasses[#Data], MATCH(TRUE,ISNUMBER(SEARCH(AA292,ClassificationClasses[Key])),0), 0), 0)-1)),"")</f>
        <v/>
      </c>
      <c r="AC292" s="116" t="str" cm="1">
        <f t="array" ref="AC292">IFERROR(IF(OR(AB292="Insecta",AB292="Arachnida",AB292="#N/C"),"",INDEX(ClassificationClasses[[Class]:[Suborder]],MATCH(TRUE,ISNUMBER(SEARCH(AB292,ClassificationClasses[Key])),0),MATCH(AB292,INDEX(ClassificationClasses[#Data], MATCH(TRUE,ISNUMBER(SEARCH(AB292,ClassificationClasses[Key])),0), 0), 0)-1)),"")</f>
        <v/>
      </c>
      <c r="AD292" s="116" t="str" cm="1">
        <f t="array" ref="AD292">IFERROR(IF(OR(AC292="Insecta",AC292="Arachnida",AC292="#N/C"),"",INDEX(ClassificationClasses[[Class]:[Suborder]],MATCH(TRUE,ISNUMBER(SEARCH(AC292,ClassificationClasses[Key])),0),MATCH(AC292,INDEX(ClassificationClasses[#Data], MATCH(TRUE,ISNUMBER(SEARCH(AC292,ClassificationClasses[Key])),0), 0), 0)-1)),"")</f>
        <v/>
      </c>
      <c r="AE292" s="18" t="str">
        <f t="shared" si="10"/>
        <v>Insecta.Diptera.Brachycera.#N/C.#N/C.#N/C.#N/C.#N/C.#N/C</v>
      </c>
    </row>
    <row r="293" spans="1:31" x14ac:dyDescent="0.3">
      <c r="A293" s="91">
        <v>292</v>
      </c>
      <c r="B293" s="7">
        <v>44407</v>
      </c>
      <c r="C293" s="92" t="s">
        <v>514</v>
      </c>
      <c r="D293" s="93" t="str">
        <f>HYPERLINK(VLOOKUP(C293,Video_List!$F:$J,5),"video")</f>
        <v>video</v>
      </c>
      <c r="E293" s="94" t="str">
        <f>IFERROR(IF(MATCH(C293,Video_List!$F:$F,)&gt;0,"ok",""),"error")</f>
        <v>ok</v>
      </c>
      <c r="F293" s="92" t="s">
        <v>514</v>
      </c>
      <c r="G293" s="93" t="str">
        <f>HYPERLINK(VLOOKUP(F293,Video_List!$F:$J,5),"video")</f>
        <v>video</v>
      </c>
      <c r="H293" s="94" t="str">
        <f>IFERROR(IF(MATCH(F293,Video_List!$F:$F,)&gt;0,"ok",""),"error")</f>
        <v>ok</v>
      </c>
      <c r="I293" s="17">
        <v>44407.716157407405</v>
      </c>
      <c r="J293" s="8">
        <v>44407.716203703705</v>
      </c>
      <c r="K293" s="15">
        <f t="shared" si="9"/>
        <v>4.6296299842651933E-5</v>
      </c>
      <c r="L293" s="4" t="s">
        <v>32</v>
      </c>
      <c r="M293" s="4" t="s">
        <v>33</v>
      </c>
      <c r="N293" s="96" t="str">
        <f>IF(ISBLANK(C293),"",IF(C293=F293, "1 video",CONCATENATE((+COUNTIFS(Video_List!$C:$C,"&lt;=" &amp;Monitoring!J293)-COUNTIFS(Video_List!$C:$C,"&lt;=" &amp;Monitoring!I293))+1," videos")))</f>
        <v>1 video</v>
      </c>
      <c r="O293" s="27" t="s">
        <v>32</v>
      </c>
      <c r="P293" s="42" t="s">
        <v>37</v>
      </c>
      <c r="Q293" s="42" t="s">
        <v>38</v>
      </c>
      <c r="R293" s="42" t="s">
        <v>35</v>
      </c>
      <c r="S293" s="97" t="str">
        <f>+IFERROR(IF(T293="#N/C","#N/C",IF(U293=0,INDEX(Taxonomy_UniqueValues!D:D,MATCH(U293,Taxonomy_UniqueValues!F:F,0)),INDEX(Taxonomy_UniqueValues!D:D,MATCH(T293,Taxonomy_UniqueValues!E:E,0)))),"#N/C")</f>
        <v>#N/C</v>
      </c>
      <c r="T293" s="42" t="s">
        <v>35</v>
      </c>
      <c r="U293" s="42" t="s">
        <v>35</v>
      </c>
      <c r="V293" s="42" t="s">
        <v>35</v>
      </c>
      <c r="W293" s="42" t="s">
        <v>35</v>
      </c>
      <c r="X293" s="28" t="s">
        <v>35</v>
      </c>
      <c r="Y293" s="69" t="str" cm="1">
        <f t="array" ref="Y293">_xlfn.LET(_xlpm.cls,P293, _xlpm.ord,IFERROR(Q293,"#N/C"), _xlpm.subord,IFERROR(R293,"#N/C"), _xlpm.infr,IFERROR(S293,"#N/C"), _xlpm.sf,IFERROR(T293,"#N/C"), _xlpm.fam,IFERROR(U293,"#N/C"), _xlpm.subfam,IF(TRIM(V293)="-","#N/C",IFERROR(V293,"#N/C")),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_xlpm.fallback,IF(IFERROR(Q293,"#N/C")="#N/C",P293,IF(IFERROR(R293,"#N/C")="#N/C",Q293,IF(IFERROR(S293,"#N/C")="#N/C",R293,IF(IFERROR(T293,"#N/C")="#N/C",S293,IF(IFERROR(U293,"#N/C")="#N/C",T293,IF(IFERROR(V293,"#N/C")="#N/C",U293,"#N/C")))))), _xlpm.finalResult,IF(OR(_xlpm.computedResult="",_xlpm.computedResult="#N/C"),_xlpm.fallback,_xlpm.computedResult), INDEX(_xlpm.finalResult,1))</f>
        <v>Diptera</v>
      </c>
      <c r="Z293" s="116" t="str" cm="1">
        <f t="array" ref="Z293">IF(OR(Y293="Insecta",Y293="Arachnida",Y293="#N/C"),"",IFERROR(_xlfn.LET(_xlpm.fc,IFERROR(_xlfn._xlws.FILTER(ClassificationClasses[],ClassificationClasses[Classification Class]=Y293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293,ClassificationClasses[Key])),0),MATCH(Y293,INDEX(ClassificationClasses[],MATCH(TRUE,ISNUMBER(SEARCH(Y293,ClassificationClasses[Key])),0),0),0)-1)))</f>
        <v>Insecta</v>
      </c>
      <c r="AA293" s="116" t="str" cm="1">
        <f t="array" ref="AA293">IFERROR(IF(OR(Z293="Insecta",Z293="Arachnida",Z293="#N/C"),"",INDEX(ClassificationClasses[[Class]:[Infraorder]],MATCH(TRUE,ISNUMBER(SEARCH(Z293,ClassificationClasses[Key])),0),MATCH(Z293,INDEX(ClassificationClasses[#Data], MATCH(TRUE,ISNUMBER(SEARCH(Z293,ClassificationClasses[Key])),0), 0), 0)-1)),"")</f>
        <v/>
      </c>
      <c r="AB293" s="116" t="str" cm="1">
        <f t="array" ref="AB293">IFERROR(IF(OR(AA293="Insecta",AA293="Arachnida",AA293="#N/C"),"",INDEX(ClassificationClasses[[Class]:[Suborder]],MATCH(TRUE,ISNUMBER(SEARCH(AA293,ClassificationClasses[Key])),0),MATCH(AA293,INDEX(ClassificationClasses[#Data], MATCH(TRUE,ISNUMBER(SEARCH(AA293,ClassificationClasses[Key])),0), 0), 0)-1)),"")</f>
        <v/>
      </c>
      <c r="AC293" s="116" t="str" cm="1">
        <f t="array" ref="AC293">IFERROR(IF(OR(AB293="Insecta",AB293="Arachnida",AB293="#N/C"),"",INDEX(ClassificationClasses[[Class]:[Suborder]],MATCH(TRUE,ISNUMBER(SEARCH(AB293,ClassificationClasses[Key])),0),MATCH(AB293,INDEX(ClassificationClasses[#Data], MATCH(TRUE,ISNUMBER(SEARCH(AB293,ClassificationClasses[Key])),0), 0), 0)-1)),"")</f>
        <v/>
      </c>
      <c r="AD293" s="116" t="str" cm="1">
        <f t="array" ref="AD293">IFERROR(IF(OR(AC293="Insecta",AC293="Arachnida",AC293="#N/C"),"",INDEX(ClassificationClasses[[Class]:[Suborder]],MATCH(TRUE,ISNUMBER(SEARCH(AC293,ClassificationClasses[Key])),0),MATCH(AC293,INDEX(ClassificationClasses[#Data], MATCH(TRUE,ISNUMBER(SEARCH(AC293,ClassificationClasses[Key])),0), 0), 0)-1)),"")</f>
        <v/>
      </c>
      <c r="AE293" s="18" t="str">
        <f t="shared" si="10"/>
        <v>Insecta.Diptera.#N/C.#N/C.#N/C.#N/C.#N/C.#N/C.#N/C</v>
      </c>
    </row>
    <row r="294" spans="1:31" x14ac:dyDescent="0.3">
      <c r="A294" s="91">
        <v>293</v>
      </c>
      <c r="B294" s="7">
        <v>44407</v>
      </c>
      <c r="C294" s="92" t="s">
        <v>515</v>
      </c>
      <c r="D294" s="93" t="str">
        <f>HYPERLINK(VLOOKUP(C294,Video_List!$F:$J,5),"video")</f>
        <v>video</v>
      </c>
      <c r="E294" s="94" t="str">
        <f>IFERROR(IF(MATCH(C294,Video_List!$F:$F,)&gt;0,"ok",""),"error")</f>
        <v>ok</v>
      </c>
      <c r="F294" s="92" t="s">
        <v>515</v>
      </c>
      <c r="G294" s="93" t="str">
        <f>HYPERLINK(VLOOKUP(F294,Video_List!$F:$J,5),"video")</f>
        <v>video</v>
      </c>
      <c r="H294" s="94" t="str">
        <f>IFERROR(IF(MATCH(F294,Video_List!$F:$F,)&gt;0,"ok",""),"error")</f>
        <v>ok</v>
      </c>
      <c r="I294" s="17">
        <v>44407.755891203706</v>
      </c>
      <c r="J294" s="8">
        <v>44407.75644675926</v>
      </c>
      <c r="K294" s="15">
        <f t="shared" si="9"/>
        <v>5.5555555445607752E-4</v>
      </c>
      <c r="L294" s="95" t="s">
        <v>44</v>
      </c>
      <c r="M294" s="95" t="s">
        <v>33</v>
      </c>
      <c r="N294" s="96" t="str">
        <f>IF(ISBLANK(C294),"",IF(C294=F294, "1 video",CONCATENATE((+COUNTIFS(Video_List!$C:$C,"&lt;=" &amp;Monitoring!J294)-COUNTIFS(Video_List!$C:$C,"&lt;=" &amp;Monitoring!I294))+1," videos")))</f>
        <v>1 video</v>
      </c>
      <c r="O294" s="29" t="s">
        <v>44</v>
      </c>
      <c r="P294" s="42" t="s">
        <v>37</v>
      </c>
      <c r="Q294" s="42" t="s">
        <v>123</v>
      </c>
      <c r="R294" s="42" t="s">
        <v>287</v>
      </c>
      <c r="S294" s="97" t="str">
        <f>+IFERROR(IF(T294="#N/C","#N/C",IF(U294=0,INDEX(Taxonomy_UniqueValues!D:D,MATCH(U294,Taxonomy_UniqueValues!F:F,0)),INDEX(Taxonomy_UniqueValues!D:D,MATCH(T294,Taxonomy_UniqueValues!E:E,0)))),"#N/C")</f>
        <v>Tettigoniidea</v>
      </c>
      <c r="T294" s="42" t="s">
        <v>288</v>
      </c>
      <c r="U294" s="42" t="s">
        <v>289</v>
      </c>
      <c r="V294" s="42" t="s">
        <v>487</v>
      </c>
      <c r="W294" s="42" t="s">
        <v>488</v>
      </c>
      <c r="X294" s="28" t="s">
        <v>35</v>
      </c>
      <c r="Y294" s="69" t="str" cm="1">
        <f t="array" ref="Y294">_xlfn.LET(_xlpm.cls,P294, _xlpm.ord,IFERROR(Q294,"#N/C"), _xlpm.subord,IFERROR(R294,"#N/C"), _xlpm.infr,IFERROR(S294,"#N/C"), _xlpm.sf,IFERROR(T294,"#N/C"), _xlpm.fam,IFERROR(U294,"#N/C"), _xlpm.subfam,IF(TRIM(V294)="-","#N/C",IFERROR(V294,"#N/C")),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_xlpm.fallback,IF(IFERROR(Q294,"#N/C")="#N/C",P294,IF(IFERROR(R294,"#N/C")="#N/C",Q294,IF(IFERROR(S294,"#N/C")="#N/C",R294,IF(IFERROR(T294,"#N/C")="#N/C",S294,IF(IFERROR(U294,"#N/C")="#N/C",T294,IF(IFERROR(V294,"#N/C")="#N/C",U294,"#N/C")))))), _xlpm.finalResult,IF(OR(_xlpm.computedResult="",_xlpm.computedResult="#N/C"),_xlpm.fallback,_xlpm.computedResult), INDEX(_xlpm.finalResult,1))</f>
        <v>grasshopper</v>
      </c>
      <c r="Z294" s="116" t="str" cm="1">
        <f t="array" ref="Z294">IF(OR(Y294="Insecta",Y294="Arachnida",Y294="#N/C"),"",IFERROR(_xlfn.LET(_xlpm.fc,IFERROR(_xlfn._xlws.FILTER(ClassificationClasses[],ClassificationClasses[Classification Class]=Y294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294,ClassificationClasses[Key])),0),MATCH(Y294,INDEX(ClassificationClasses[],MATCH(TRUE,ISNUMBER(SEARCH(Y294,ClassificationClasses[Key])),0),0),0)-1)))</f>
        <v>Orthoptera</v>
      </c>
      <c r="AA294" s="116" t="str" cm="1">
        <f t="array" ref="AA294">IFERROR(IF(OR(Z294="Insecta",Z294="Arachnida",Z294="#N/C"),"",INDEX(ClassificationClasses[[Class]:[Infraorder]],MATCH(TRUE,ISNUMBER(SEARCH(Z294,ClassificationClasses[Key])),0),MATCH(Z294,INDEX(ClassificationClasses[#Data], MATCH(TRUE,ISNUMBER(SEARCH(Z294,ClassificationClasses[Key])),0), 0), 0)-1)),"")</f>
        <v>Insecta</v>
      </c>
      <c r="AB294" s="116" t="str" cm="1">
        <f t="array" ref="AB294">IFERROR(IF(OR(AA294="Insecta",AA294="Arachnida",AA294="#N/C"),"",INDEX(ClassificationClasses[[Class]:[Suborder]],MATCH(TRUE,ISNUMBER(SEARCH(AA294,ClassificationClasses[Key])),0),MATCH(AA294,INDEX(ClassificationClasses[#Data], MATCH(TRUE,ISNUMBER(SEARCH(AA294,ClassificationClasses[Key])),0), 0), 0)-1)),"")</f>
        <v/>
      </c>
      <c r="AC294" s="116" t="str" cm="1">
        <f t="array" ref="AC294">IFERROR(IF(OR(AB294="Insecta",AB294="Arachnida",AB294="#N/C"),"",INDEX(ClassificationClasses[[Class]:[Suborder]],MATCH(TRUE,ISNUMBER(SEARCH(AB294,ClassificationClasses[Key])),0),MATCH(AB294,INDEX(ClassificationClasses[#Data], MATCH(TRUE,ISNUMBER(SEARCH(AB294,ClassificationClasses[Key])),0), 0), 0)-1)),"")</f>
        <v/>
      </c>
      <c r="AD294" s="116" t="str" cm="1">
        <f t="array" ref="AD294">IFERROR(IF(OR(AC294="Insecta",AC294="Arachnida",AC294="#N/C"),"",INDEX(ClassificationClasses[[Class]:[Suborder]],MATCH(TRUE,ISNUMBER(SEARCH(AC294,ClassificationClasses[Key])),0),MATCH(AC294,INDEX(ClassificationClasses[#Data], MATCH(TRUE,ISNUMBER(SEARCH(AC294,ClassificationClasses[Key])),0), 0), 0)-1)),"")</f>
        <v/>
      </c>
      <c r="AE294" s="18" t="str">
        <f t="shared" si="10"/>
        <v>Insecta.Orthoptera.Ensifera.Tettigoniidea.Tettigonioidea.Tettigoniidae.Conocephalinae.Conocephalus.#N/C</v>
      </c>
    </row>
    <row r="295" spans="1:31" x14ac:dyDescent="0.3">
      <c r="A295" s="91">
        <v>294</v>
      </c>
      <c r="B295" s="7">
        <v>44408</v>
      </c>
      <c r="C295" s="92" t="s">
        <v>516</v>
      </c>
      <c r="D295" s="93" t="str">
        <f>HYPERLINK(VLOOKUP(C295,Video_List!$F:$J,5),"video")</f>
        <v>video</v>
      </c>
      <c r="E295" s="94" t="str">
        <f>IFERROR(IF(MATCH(C295,Video_List!$F:$F,)&gt;0,"ok",""),"error")</f>
        <v>ok</v>
      </c>
      <c r="F295" s="92" t="s">
        <v>517</v>
      </c>
      <c r="G295" s="93" t="str">
        <f>HYPERLINK(VLOOKUP(F295,Video_List!$F:$J,5),"video")</f>
        <v>video</v>
      </c>
      <c r="H295" s="94" t="str">
        <f>IFERROR(IF(MATCH(F295,Video_List!$F:$F,)&gt;0,"ok",""),"error")</f>
        <v>ok</v>
      </c>
      <c r="I295" s="17">
        <v>44408.286620370367</v>
      </c>
      <c r="J295" s="8">
        <v>44408.788541666669</v>
      </c>
      <c r="K295" s="15">
        <f t="shared" si="9"/>
        <v>0.50192129630158888</v>
      </c>
      <c r="L295" s="95" t="s">
        <v>55</v>
      </c>
      <c r="M295" s="95" t="s">
        <v>55</v>
      </c>
      <c r="N295" s="96" t="str">
        <f>IF(ISBLANK(C295),"",IF(C295=F295, "1 video",CONCATENATE((+COUNTIFS(Video_List!$C:$C,"&lt;=" &amp;Monitoring!J295)-COUNTIFS(Video_List!$C:$C,"&lt;=" &amp;Monitoring!I295))+1," videos")))</f>
        <v>7 videos</v>
      </c>
      <c r="O295" s="27" t="s">
        <v>32</v>
      </c>
      <c r="P295" s="42" t="s">
        <v>37</v>
      </c>
      <c r="Q295" s="42" t="s">
        <v>56</v>
      </c>
      <c r="R295" s="42" t="s">
        <v>57</v>
      </c>
      <c r="S295" s="97" t="str">
        <f>+IFERROR(IF(T295="#N/C","#N/C",IF(U295=0,INDEX(Taxonomy_UniqueValues!D:D,MATCH(U295,Taxonomy_UniqueValues!F:F,0)),INDEX(Taxonomy_UniqueValues!D:D,MATCH(T295,Taxonomy_UniqueValues!E:E,0)))),"#N/C")</f>
        <v>Heterocera</v>
      </c>
      <c r="T295" s="42" t="s">
        <v>518</v>
      </c>
      <c r="U295" s="42" t="s">
        <v>519</v>
      </c>
      <c r="V295" s="42" t="s">
        <v>520</v>
      </c>
      <c r="W295" s="42" t="s">
        <v>521</v>
      </c>
      <c r="X295" s="28" t="s">
        <v>522</v>
      </c>
      <c r="Y295" s="69" t="str" cm="1">
        <f t="array" ref="Y295">_xlfn.LET(_xlpm.cls,P295, _xlpm.ord,IFERROR(Q295,"#N/C"), _xlpm.subord,IFERROR(R295,"#N/C"), _xlpm.infr,IFERROR(S295,"#N/C"), _xlpm.sf,IFERROR(T295,"#N/C"), _xlpm.fam,IFERROR(U295,"#N/C"), _xlpm.subfam,IF(TRIM(V295)="-","#N/C",IFERROR(V295,"#N/C")),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_xlpm.fallback,IF(IFERROR(Q295,"#N/C")="#N/C",P295,IF(IFERROR(R295,"#N/C")="#N/C",Q295,IF(IFERROR(S295,"#N/C")="#N/C",R295,IF(IFERROR(T295,"#N/C")="#N/C",S295,IF(IFERROR(U295,"#N/C")="#N/C",T295,IF(IFERROR(V295,"#N/C")="#N/C",U295,"#N/C")))))), _xlpm.finalResult,IF(OR(_xlpm.computedResult="",_xlpm.computedResult="#N/C"),_xlpm.fallback,_xlpm.computedResult), INDEX(_xlpm.finalResult,1))</f>
        <v>moth</v>
      </c>
      <c r="Z295" s="116" t="str" cm="1">
        <f t="array" ref="Z295">IF(OR(Y295="Insecta",Y295="Arachnida",Y295="#N/C"),"",IFERROR(_xlfn.LET(_xlpm.fc,IFERROR(_xlfn._xlws.FILTER(ClassificationClasses[],ClassificationClasses[Classification Class]=Y295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295,ClassificationClasses[Key])),0),MATCH(Y295,INDEX(ClassificationClasses[],MATCH(TRUE,ISNUMBER(SEARCH(Y295,ClassificationClasses[Key])),0),0),0)-1)))</f>
        <v>Heterocera</v>
      </c>
      <c r="AA295" s="116" t="str" cm="1">
        <f t="array" ref="AA295">IFERROR(IF(OR(Z295="Insecta",Z295="Arachnida",Z295="#N/C"),"",INDEX(ClassificationClasses[[Class]:[Infraorder]],MATCH(TRUE,ISNUMBER(SEARCH(Z295,ClassificationClasses[Key])),0),MATCH(Z295,INDEX(ClassificationClasses[#Data], MATCH(TRUE,ISNUMBER(SEARCH(Z295,ClassificationClasses[Key])),0), 0), 0)-1)),"")</f>
        <v>Glossata</v>
      </c>
      <c r="AB295" s="116" t="str" cm="1">
        <f t="array" ref="AB295">IFERROR(IF(OR(AA295="Insecta",AA295="Arachnida",AA295="#N/C"),"",INDEX(ClassificationClasses[[Class]:[Suborder]],MATCH(TRUE,ISNUMBER(SEARCH(AA295,ClassificationClasses[Key])),0),MATCH(AA295,INDEX(ClassificationClasses[#Data], MATCH(TRUE,ISNUMBER(SEARCH(AA295,ClassificationClasses[Key])),0), 0), 0)-1)),"")</f>
        <v>Lepidoptera</v>
      </c>
      <c r="AC295" s="116" t="str" cm="1">
        <f t="array" ref="AC295">IFERROR(IF(OR(AB295="Insecta",AB295="Arachnida",AB295="#N/C"),"",INDEX(ClassificationClasses[[Class]:[Suborder]],MATCH(TRUE,ISNUMBER(SEARCH(AB295,ClassificationClasses[Key])),0),MATCH(AB295,INDEX(ClassificationClasses[#Data], MATCH(TRUE,ISNUMBER(SEARCH(AB295,ClassificationClasses[Key])),0), 0), 0)-1)),"")</f>
        <v>Insecta</v>
      </c>
      <c r="AD295" s="116" t="str" cm="1">
        <f t="array" ref="AD295">IFERROR(IF(OR(AC295="Insecta",AC295="Arachnida",AC295="#N/C"),"",INDEX(ClassificationClasses[[Class]:[Suborder]],MATCH(TRUE,ISNUMBER(SEARCH(AC295,ClassificationClasses[Key])),0),MATCH(AC295,INDEX(ClassificationClasses[#Data], MATCH(TRUE,ISNUMBER(SEARCH(AC295,ClassificationClasses[Key])),0), 0), 0)-1)),"")</f>
        <v/>
      </c>
      <c r="AE295" s="18" t="str">
        <f t="shared" si="10"/>
        <v>Insecta.Lepidoptera.Glossata.Heterocera.Geometroidea.Geometridae.Larentiinae.Epirrhoe.alternata</v>
      </c>
    </row>
    <row r="296" spans="1:31" x14ac:dyDescent="0.3">
      <c r="A296" s="91">
        <v>295</v>
      </c>
      <c r="B296" s="7">
        <v>44408</v>
      </c>
      <c r="C296" s="92" t="s">
        <v>523</v>
      </c>
      <c r="D296" s="93" t="str">
        <f>HYPERLINK(VLOOKUP(C296,Video_List!$F:$J,5),"video")</f>
        <v>video</v>
      </c>
      <c r="E296" s="94" t="str">
        <f>IFERROR(IF(MATCH(C296,Video_List!$F:$F,)&gt;0,"ok",""),"error")</f>
        <v>error</v>
      </c>
      <c r="F296" s="92" t="s">
        <v>523</v>
      </c>
      <c r="G296" s="93" t="str">
        <f>HYPERLINK(VLOOKUP(F296,Video_List!$F:$J,5),"video")</f>
        <v>video</v>
      </c>
      <c r="H296" s="94" t="str">
        <f>IFERROR(IF(MATCH(F296,Video_List!$F:$F,)&gt;0,"ok",""),"error")</f>
        <v>error</v>
      </c>
      <c r="I296" s="17">
        <v>44408.520775462966</v>
      </c>
      <c r="J296" s="8">
        <v>44408.527928240743</v>
      </c>
      <c r="K296" s="15">
        <f t="shared" si="9"/>
        <v>7.1527777763549238E-3</v>
      </c>
      <c r="L296" s="4" t="s">
        <v>44</v>
      </c>
      <c r="M296" s="4" t="s">
        <v>33</v>
      </c>
      <c r="N296" s="96" t="str">
        <f>IF(ISBLANK(C296),"",IF(C296=F296, "1 video",CONCATENATE((+COUNTIFS(Video_List!$C:$C,"&lt;=" &amp;Monitoring!J296)-COUNTIFS(Video_List!$C:$C,"&lt;=" &amp;Monitoring!I296))+1," videos")))</f>
        <v>1 video</v>
      </c>
      <c r="O296" s="27" t="s">
        <v>32</v>
      </c>
      <c r="P296" s="42" t="s">
        <v>37</v>
      </c>
      <c r="Q296" s="42" t="s">
        <v>41</v>
      </c>
      <c r="R296" s="42" t="s">
        <v>42</v>
      </c>
      <c r="S296" s="97" t="str">
        <f>+IFERROR(IF(T296="#N/C","#N/C",IF(U296=0,INDEX(Taxonomy_UniqueValues!D:D,MATCH(U296,Taxonomy_UniqueValues!F:F,0)),INDEX(Taxonomy_UniqueValues!D:D,MATCH(T296,Taxonomy_UniqueValues!E:E,0)))),"#N/C")</f>
        <v>Parasitica</v>
      </c>
      <c r="T296" s="42" t="s">
        <v>71</v>
      </c>
      <c r="U296" s="42" t="s">
        <v>35</v>
      </c>
      <c r="V296" s="42" t="s">
        <v>35</v>
      </c>
      <c r="W296" s="42" t="s">
        <v>35</v>
      </c>
      <c r="X296" s="28" t="s">
        <v>35</v>
      </c>
      <c r="Y296" s="69" t="str" cm="1">
        <f t="array" ref="Y296">_xlfn.LET(_xlpm.cls,P296, _xlpm.ord,IFERROR(Q296,"#N/C"), _xlpm.subord,IFERROR(R296,"#N/C"), _xlpm.infr,IFERROR(S296,"#N/C"), _xlpm.sf,IFERROR(T296,"#N/C"), _xlpm.fam,IFERROR(U296,"#N/C"), _xlpm.subfam,IF(TRIM(V296)="-","#N/C",IFERROR(V296,"#N/C")),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_xlpm.fallback,IF(IFERROR(Q296,"#N/C")="#N/C",P296,IF(IFERROR(R296,"#N/C")="#N/C",Q296,IF(IFERROR(S296,"#N/C")="#N/C",R296,IF(IFERROR(T296,"#N/C")="#N/C",S296,IF(IFERROR(U296,"#N/C")="#N/C",T296,IF(IFERROR(V296,"#N/C")="#N/C",U296,"#N/C")))))), _xlpm.finalResult,IF(OR(_xlpm.computedResult="",_xlpm.computedResult="#N/C"),_xlpm.fallback,_xlpm.computedResult), INDEX(_xlpm.finalResult,1))</f>
        <v>Ichneumonoidea</v>
      </c>
      <c r="Z296" s="116" t="str" cm="1">
        <f t="array" ref="Z296">IF(OR(Y296="Insecta",Y296="Arachnida",Y296="#N/C"),"",IFERROR(_xlfn.LET(_xlpm.fc,IFERROR(_xlfn._xlws.FILTER(ClassificationClasses[],ClassificationClasses[Classification Class]=Y296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296,ClassificationClasses[Key])),0),MATCH(Y296,INDEX(ClassificationClasses[],MATCH(TRUE,ISNUMBER(SEARCH(Y296,ClassificationClasses[Key])),0),0),0)-1)))</f>
        <v>Parasitica</v>
      </c>
      <c r="AA296" s="116" t="str" cm="1">
        <f t="array" ref="AA296">IFERROR(IF(OR(Z296="Insecta",Z296="Arachnida",Z296="#N/C"),"",INDEX(ClassificationClasses[[Class]:[Infraorder]],MATCH(TRUE,ISNUMBER(SEARCH(Z296,ClassificationClasses[Key])),0),MATCH(Z296,INDEX(ClassificationClasses[#Data], MATCH(TRUE,ISNUMBER(SEARCH(Z296,ClassificationClasses[Key])),0), 0), 0)-1)),"")</f>
        <v>Apocrita</v>
      </c>
      <c r="AB296" s="116" t="str" cm="1">
        <f t="array" ref="AB296">IFERROR(IF(OR(AA296="Insecta",AA296="Arachnida",AA296="#N/C"),"",INDEX(ClassificationClasses[[Class]:[Suborder]],MATCH(TRUE,ISNUMBER(SEARCH(AA296,ClassificationClasses[Key])),0),MATCH(AA296,INDEX(ClassificationClasses[#Data], MATCH(TRUE,ISNUMBER(SEARCH(AA296,ClassificationClasses[Key])),0), 0), 0)-1)),"")</f>
        <v>Hymenoptera</v>
      </c>
      <c r="AC296" s="116" t="str" cm="1">
        <f t="array" ref="AC296">IFERROR(IF(OR(AB296="Insecta",AB296="Arachnida",AB296="#N/C"),"",INDEX(ClassificationClasses[[Class]:[Suborder]],MATCH(TRUE,ISNUMBER(SEARCH(AB296,ClassificationClasses[Key])),0),MATCH(AB296,INDEX(ClassificationClasses[#Data], MATCH(TRUE,ISNUMBER(SEARCH(AB296,ClassificationClasses[Key])),0), 0), 0)-1)),"")</f>
        <v>Insecta</v>
      </c>
      <c r="AD296" s="116" t="str" cm="1">
        <f t="array" ref="AD296">IFERROR(IF(OR(AC296="Insecta",AC296="Arachnida",AC296="#N/C"),"",INDEX(ClassificationClasses[[Class]:[Suborder]],MATCH(TRUE,ISNUMBER(SEARCH(AC296,ClassificationClasses[Key])),0),MATCH(AC296,INDEX(ClassificationClasses[#Data], MATCH(TRUE,ISNUMBER(SEARCH(AC296,ClassificationClasses[Key])),0), 0), 0)-1)),"")</f>
        <v/>
      </c>
      <c r="AE296" s="18" t="str">
        <f t="shared" si="10"/>
        <v>Insecta.Hymenoptera.Apocrita.Parasitica.Ichneumonoidea.#N/C.#N/C.#N/C.#N/C</v>
      </c>
    </row>
    <row r="297" spans="1:31" x14ac:dyDescent="0.3">
      <c r="A297" s="91">
        <v>296</v>
      </c>
      <c r="B297" s="7">
        <v>44408</v>
      </c>
      <c r="C297" s="92" t="s">
        <v>523</v>
      </c>
      <c r="D297" s="93" t="str">
        <f>HYPERLINK(VLOOKUP(C297,Video_List!$F:$J,5),"video")</f>
        <v>video</v>
      </c>
      <c r="E297" s="94" t="str">
        <f>IFERROR(IF(MATCH(C297,Video_List!$F:$F,)&gt;0,"ok",""),"error")</f>
        <v>error</v>
      </c>
      <c r="F297" s="92" t="s">
        <v>524</v>
      </c>
      <c r="G297" s="93" t="str">
        <f>HYPERLINK(VLOOKUP(F297,Video_List!$F:$J,5),"video")</f>
        <v>video</v>
      </c>
      <c r="H297" s="94" t="str">
        <f>IFERROR(IF(MATCH(F297,Video_List!$F:$F,)&gt;0,"ok",""),"error")</f>
        <v>ok</v>
      </c>
      <c r="I297" s="17">
        <v>44408.526284722226</v>
      </c>
      <c r="J297" s="8">
        <v>44408.544629629629</v>
      </c>
      <c r="K297" s="15">
        <f t="shared" si="9"/>
        <v>1.8344907402934041E-2</v>
      </c>
      <c r="L297" s="95" t="s">
        <v>32</v>
      </c>
      <c r="M297" s="95" t="s">
        <v>33</v>
      </c>
      <c r="N297" s="96" t="str">
        <f>IF(ISBLANK(C297),"",IF(C297=F297, "1 video",CONCATENATE((+COUNTIFS(Video_List!$C:$C,"&lt;=" &amp;Monitoring!J297)-COUNTIFS(Video_List!$C:$C,"&lt;=" &amp;Monitoring!I297))+1," videos")))</f>
        <v>2 videos</v>
      </c>
      <c r="O297" s="27" t="s">
        <v>32</v>
      </c>
      <c r="P297" s="42" t="s">
        <v>37</v>
      </c>
      <c r="Q297" s="42" t="s">
        <v>38</v>
      </c>
      <c r="R297" s="42" t="s">
        <v>39</v>
      </c>
      <c r="S297" s="97" t="str">
        <f>+IFERROR(IF(T297="#N/C","#N/C",IF(U297=0,INDEX(Taxonomy_UniqueValues!D:D,MATCH(U297,Taxonomy_UniqueValues!F:F,0)),INDEX(Taxonomy_UniqueValues!D:D,MATCH(T297,Taxonomy_UniqueValues!E:E,0)))),"#N/C")</f>
        <v>Muscomorpha</v>
      </c>
      <c r="T297" s="42" t="s">
        <v>335</v>
      </c>
      <c r="U297" s="42" t="s">
        <v>525</v>
      </c>
      <c r="V297" s="42" t="s">
        <v>526</v>
      </c>
      <c r="W297" s="42" t="s">
        <v>527</v>
      </c>
      <c r="X297" s="28" t="s">
        <v>35</v>
      </c>
      <c r="Y297" s="69" t="str" cm="1">
        <f t="array" ref="Y297">_xlfn.LET(_xlpm.cls,P297, _xlpm.ord,IFERROR(Q297,"#N/C"), _xlpm.subord,IFERROR(R297,"#N/C"), _xlpm.infr,IFERROR(S297,"#N/C"), _xlpm.sf,IFERROR(T297,"#N/C"), _xlpm.fam,IFERROR(U297,"#N/C"), _xlpm.subfam,IF(TRIM(V297)="-","#N/C",IFERROR(V297,"#N/C")),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_xlpm.fallback,IF(IFERROR(Q297,"#N/C")="#N/C",P297,IF(IFERROR(R297,"#N/C")="#N/C",Q297,IF(IFERROR(S297,"#N/C")="#N/C",R297,IF(IFERROR(T297,"#N/C")="#N/C",S297,IF(IFERROR(U297,"#N/C")="#N/C",T297,IF(IFERROR(V297,"#N/C")="#N/C",U297,"#N/C")))))), _xlpm.finalResult,IF(OR(_xlpm.computedResult="",_xlpm.computedResult="#N/C"),_xlpm.fallback,_xlpm.computedResult), INDEX(_xlpm.finalResult,1))</f>
        <v>flesh_fly</v>
      </c>
      <c r="Z297" s="116" t="str" cm="1">
        <f t="array" ref="Z297">IF(OR(Y297="Insecta",Y297="Arachnida",Y297="#N/C"),"",IFERROR(_xlfn.LET(_xlpm.fc,IFERROR(_xlfn._xlws.FILTER(ClassificationClasses[],ClassificationClasses[Classification Class]=Y297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297,ClassificationClasses[Key])),0),MATCH(Y297,INDEX(ClassificationClasses[],MATCH(TRUE,ISNUMBER(SEARCH(Y297,ClassificationClasses[Key])),0),0),0)-1)))</f>
        <v>Muscomorpha</v>
      </c>
      <c r="AA297" s="116" t="str" cm="1">
        <f t="array" ref="AA297">IFERROR(IF(OR(Z297="Insecta",Z297="Arachnida",Z297="#N/C"),"",INDEX(ClassificationClasses[[Class]:[Infraorder]],MATCH(TRUE,ISNUMBER(SEARCH(Z297,ClassificationClasses[Key])),0),MATCH(Z297,INDEX(ClassificationClasses[#Data], MATCH(TRUE,ISNUMBER(SEARCH(Z297,ClassificationClasses[Key])),0), 0), 0)-1)),"")</f>
        <v>Brachycera</v>
      </c>
      <c r="AB297" s="116" t="str" cm="1">
        <f t="array" ref="AB297">IFERROR(IF(OR(AA297="Insecta",AA297="Arachnida",AA297="#N/C"),"",INDEX(ClassificationClasses[[Class]:[Suborder]],MATCH(TRUE,ISNUMBER(SEARCH(AA297,ClassificationClasses[Key])),0),MATCH(AA297,INDEX(ClassificationClasses[#Data], MATCH(TRUE,ISNUMBER(SEARCH(AA297,ClassificationClasses[Key])),0), 0), 0)-1)),"")</f>
        <v>Diptera</v>
      </c>
      <c r="AC297" s="116" t="str" cm="1">
        <f t="array" ref="AC297">IFERROR(IF(OR(AB297="Insecta",AB297="Arachnida",AB297="#N/C"),"",INDEX(ClassificationClasses[[Class]:[Suborder]],MATCH(TRUE,ISNUMBER(SEARCH(AB297,ClassificationClasses[Key])),0),MATCH(AB297,INDEX(ClassificationClasses[#Data], MATCH(TRUE,ISNUMBER(SEARCH(AB297,ClassificationClasses[Key])),0), 0), 0)-1)),"")</f>
        <v>Insecta</v>
      </c>
      <c r="AD297" s="116" t="str" cm="1">
        <f t="array" ref="AD297">IFERROR(IF(OR(AC297="Insecta",AC297="Arachnida",AC297="#N/C"),"",INDEX(ClassificationClasses[[Class]:[Suborder]],MATCH(TRUE,ISNUMBER(SEARCH(AC297,ClassificationClasses[Key])),0),MATCH(AC297,INDEX(ClassificationClasses[#Data], MATCH(TRUE,ISNUMBER(SEARCH(AC297,ClassificationClasses[Key])),0), 0), 0)-1)),"")</f>
        <v/>
      </c>
      <c r="AE297" s="18" t="str">
        <f t="shared" si="10"/>
        <v>Insecta.Diptera.Brachycera.Muscomorpha.Oestroidea.Tachinidae.Phasiinae.Gymnosoma.#N/C</v>
      </c>
    </row>
    <row r="298" spans="1:31" x14ac:dyDescent="0.3">
      <c r="A298" s="91">
        <v>297</v>
      </c>
      <c r="B298" s="101">
        <v>44408</v>
      </c>
      <c r="C298" s="92" t="s">
        <v>528</v>
      </c>
      <c r="D298" s="93" t="str">
        <f>HYPERLINK(VLOOKUP(C298,Video_List!$F:$J,5),"video")</f>
        <v>video</v>
      </c>
      <c r="E298" s="94" t="str">
        <f>IFERROR(IF(MATCH(C298,Video_List!$F:$F,)&gt;0,"ok",""),"error")</f>
        <v>ok</v>
      </c>
      <c r="F298" s="92" t="s">
        <v>529</v>
      </c>
      <c r="G298" s="93" t="str">
        <f>HYPERLINK(VLOOKUP(F298,Video_List!$F:$J,5),"video")</f>
        <v>video</v>
      </c>
      <c r="H298" s="94" t="str">
        <f>IFERROR(IF(MATCH(F298,Video_List!$F:$F,)&gt;0,"ok",""),"error")</f>
        <v>ok</v>
      </c>
      <c r="I298" s="102">
        <v>44408.689409722225</v>
      </c>
      <c r="J298" s="8">
        <v>44408.779351851852</v>
      </c>
      <c r="K298" s="15">
        <f t="shared" si="9"/>
        <v>8.9942129627161194E-2</v>
      </c>
      <c r="L298" s="95" t="s">
        <v>55</v>
      </c>
      <c r="M298" s="95" t="s">
        <v>55</v>
      </c>
      <c r="N298" s="96" t="str">
        <f>IF(ISBLANK(C298),"",IF(C298=F298, "1 video",CONCATENATE((+COUNTIFS(Video_List!$C:$C,"&lt;=" &amp;Monitoring!J298)-COUNTIFS(Video_List!$C:$C,"&lt;=" &amp;Monitoring!I298))+1," videos")))</f>
        <v>4 videos</v>
      </c>
      <c r="O298" s="29" t="s">
        <v>44</v>
      </c>
      <c r="P298" s="42" t="s">
        <v>37</v>
      </c>
      <c r="Q298" s="42" t="s">
        <v>76</v>
      </c>
      <c r="R298" s="42" t="s">
        <v>77</v>
      </c>
      <c r="S298" s="97" t="str">
        <f>+IFERROR(IF(T298="#N/C","#N/C",IF(U298=0,INDEX(Taxonomy_UniqueValues!D:D,MATCH(U298,Taxonomy_UniqueValues!F:F,0)),INDEX(Taxonomy_UniqueValues!D:D,MATCH(T298,Taxonomy_UniqueValues!E:E,0)))),"#N/C")</f>
        <v>Cucujiformia</v>
      </c>
      <c r="T298" s="42" t="s">
        <v>428</v>
      </c>
      <c r="U298" s="42" t="s">
        <v>429</v>
      </c>
      <c r="V298" s="42" t="s">
        <v>481</v>
      </c>
      <c r="W298" s="42" t="s">
        <v>483</v>
      </c>
      <c r="X298" s="28" t="s">
        <v>530</v>
      </c>
      <c r="Y298" s="69" t="str" cm="1">
        <f t="array" ref="Y298">_xlfn.LET(_xlpm.cls,P298, _xlpm.ord,IFERROR(Q298,"#N/C"), _xlpm.subord,IFERROR(R298,"#N/C"), _xlpm.infr,IFERROR(S298,"#N/C"), _xlpm.sf,IFERROR(T298,"#N/C"), _xlpm.fam,IFERROR(U298,"#N/C"), _xlpm.subfam,IF(TRIM(V298)="-","#N/C",IFERROR(V298,"#N/C")),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_xlpm.fallback,IF(IFERROR(Q298,"#N/C")="#N/C",P298,IF(IFERROR(R298,"#N/C")="#N/C",Q298,IF(IFERROR(S298,"#N/C")="#N/C",R298,IF(IFERROR(T298,"#N/C")="#N/C",S298,IF(IFERROR(U298,"#N/C")="#N/C",T298,IF(IFERROR(V298,"#N/C")="#N/C",U298,"#N/C")))))), _xlpm.finalResult,IF(OR(_xlpm.computedResult="",_xlpm.computedResult="#N/C"),_xlpm.fallback,_xlpm.computedResult), INDEX(_xlpm.finalResult,1))</f>
        <v>weevil</v>
      </c>
      <c r="Z298" s="116" t="str" cm="1">
        <f t="array" ref="Z298">IF(OR(Y298="Insecta",Y298="Arachnida",Y298="#N/C"),"",IFERROR(_xlfn.LET(_xlpm.fc,IFERROR(_xlfn._xlws.FILTER(ClassificationClasses[],ClassificationClasses[Classification Class]=Y298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298,ClassificationClasses[Key])),0),MATCH(Y298,INDEX(ClassificationClasses[],MATCH(TRUE,ISNUMBER(SEARCH(Y298,ClassificationClasses[Key])),0),0),0)-1)))</f>
        <v>Cucujiformia</v>
      </c>
      <c r="AA298" s="116" t="str" cm="1">
        <f t="array" ref="AA298">IFERROR(IF(OR(Z298="Insecta",Z298="Arachnida",Z298="#N/C"),"",INDEX(ClassificationClasses[[Class]:[Infraorder]],MATCH(TRUE,ISNUMBER(SEARCH(Z298,ClassificationClasses[Key])),0),MATCH(Z298,INDEX(ClassificationClasses[#Data], MATCH(TRUE,ISNUMBER(SEARCH(Z298,ClassificationClasses[Key])),0), 0), 0)-1)),"")</f>
        <v>Polyphaga</v>
      </c>
      <c r="AB298" s="116" t="str" cm="1">
        <f t="array" ref="AB298">IFERROR(IF(OR(AA298="Insecta",AA298="Arachnida",AA298="#N/C"),"",INDEX(ClassificationClasses[[Class]:[Suborder]],MATCH(TRUE,ISNUMBER(SEARCH(AA298,ClassificationClasses[Key])),0),MATCH(AA298,INDEX(ClassificationClasses[#Data], MATCH(TRUE,ISNUMBER(SEARCH(AA298,ClassificationClasses[Key])),0), 0), 0)-1)),"")</f>
        <v>Coleoptera</v>
      </c>
      <c r="AC298" s="116" t="str" cm="1">
        <f t="array" ref="AC298">IFERROR(IF(OR(AB298="Insecta",AB298="Arachnida",AB298="#N/C"),"",INDEX(ClassificationClasses[[Class]:[Suborder]],MATCH(TRUE,ISNUMBER(SEARCH(AB298,ClassificationClasses[Key])),0),MATCH(AB298,INDEX(ClassificationClasses[#Data], MATCH(TRUE,ISNUMBER(SEARCH(AB298,ClassificationClasses[Key])),0), 0), 0)-1)),"")</f>
        <v>Insecta</v>
      </c>
      <c r="AD298" s="116" t="str" cm="1">
        <f t="array" ref="AD298">IFERROR(IF(OR(AC298="Insecta",AC298="Arachnida",AC298="#N/C"),"",INDEX(ClassificationClasses[[Class]:[Suborder]],MATCH(TRUE,ISNUMBER(SEARCH(AC298,ClassificationClasses[Key])),0),MATCH(AC298,INDEX(ClassificationClasses[#Data], MATCH(TRUE,ISNUMBER(SEARCH(AC298,ClassificationClasses[Key])),0), 0), 0)-1)),"")</f>
        <v/>
      </c>
      <c r="AE298" s="18" t="str">
        <f t="shared" si="10"/>
        <v>Insecta.Coleoptera.Polyphaga.Cucujiformia.Curculionoidea.Curculionidae.Brentidae.Apion.frumentarium</v>
      </c>
    </row>
    <row r="299" spans="1:31" x14ac:dyDescent="0.3">
      <c r="A299" s="91">
        <v>298</v>
      </c>
      <c r="B299" s="101">
        <v>44408</v>
      </c>
      <c r="C299" s="92" t="s">
        <v>531</v>
      </c>
      <c r="D299" s="93" t="str">
        <f>HYPERLINK(VLOOKUP(C299,Video_List!$F:$J,5),"video")</f>
        <v>video</v>
      </c>
      <c r="E299" s="94" t="str">
        <f>IFERROR(IF(MATCH(C299,Video_List!$F:$F,)&gt;0,"ok",""),"error")</f>
        <v>ok</v>
      </c>
      <c r="F299" s="92" t="s">
        <v>532</v>
      </c>
      <c r="G299" s="93" t="str">
        <f>HYPERLINK(VLOOKUP(F299,Video_List!$F:$J,5),"video")</f>
        <v>video</v>
      </c>
      <c r="H299" s="94" t="str">
        <f>IFERROR(IF(MATCH(F299,Video_List!$F:$F,)&gt;0,"ok",""),"error")</f>
        <v>error</v>
      </c>
      <c r="I299" s="102">
        <v>44408.716874999998</v>
      </c>
      <c r="J299" s="8">
        <v>44411.501203703701</v>
      </c>
      <c r="K299" s="15">
        <f t="shared" si="9"/>
        <v>2.7843287037030677</v>
      </c>
      <c r="L299" s="95" t="s">
        <v>55</v>
      </c>
      <c r="M299" s="95" t="s">
        <v>55</v>
      </c>
      <c r="N299" s="96" t="str">
        <f>IF(ISBLANK(C299),"",IF(C299=F299, "1 video",CONCATENATE((+COUNTIFS(Video_List!$C:$C,"&lt;=" &amp;Monitoring!J299)-COUNTIFS(Video_List!$C:$C,"&lt;=" &amp;Monitoring!I299))+1," videos")))</f>
        <v>49 videos</v>
      </c>
      <c r="O299" s="27" t="s">
        <v>32</v>
      </c>
      <c r="P299" s="120" t="str">
        <f>+IFERROR(IF(Q299="#N/C","#N/C",INDEX(Taxonomy_UniqueValues!A:A,MATCH(Q299,Taxonomy_UniqueValues!B:B,0))),"#N/C")</f>
        <v>Insecta</v>
      </c>
      <c r="Q299" s="120" t="str">
        <f>+IFERROR(IF(R299="#N/C","#N/C",INDEX(Taxonomy_UniqueValues!B:B,MATCH(R299,Taxonomy_UniqueValues!C:C,0))),"#N/C")</f>
        <v>Hymenoptera</v>
      </c>
      <c r="R299" s="120" t="str">
        <f>+IFERROR(IF(S299="#N/C","#N/C",INDEX(Taxonomy_UniqueValues!C:C,MATCH(S299,Taxonomy_UniqueValues!D:D,0))),"#N/C")</f>
        <v>Apocrita</v>
      </c>
      <c r="S299" s="120" t="str">
        <f>+IFERROR(IF(T299="#N/C","#N/C",INDEX(Taxonomy_UniqueValues!D:D,MATCH(T299,Taxonomy_UniqueValues!E:E,0))),"#N/C")</f>
        <v>Aculeata</v>
      </c>
      <c r="T299" s="120" t="str">
        <f>+IFERROR(IF(U299="#N/C","#N/C",INDEX(Taxonomy_UniqueValues!E:E,MATCH(U299,Taxonomy_UniqueValues!F:F,0))),"#N/C")</f>
        <v>Formicoidea</v>
      </c>
      <c r="U299" s="120" t="str">
        <f>+IFERROR(IF(V299="#N/C","#N/C",INDEX(Taxonomy_UniqueValues!F:F,MATCH(V299,Taxonomy_UniqueValues!G:G,0))),"#N/C")</f>
        <v>Formicidae</v>
      </c>
      <c r="V299" s="42" t="s">
        <v>121</v>
      </c>
      <c r="W299" s="42" t="s">
        <v>321</v>
      </c>
      <c r="X299" s="28" t="s">
        <v>35</v>
      </c>
      <c r="Y299" s="69" t="str" cm="1">
        <f t="array" ref="Y299">_xlfn.LET(_xlpm.cls,P299, _xlpm.ord,IFERROR(Q299,"#N/C"), _xlpm.subord,IFERROR(R299,"#N/C"), _xlpm.infr,IFERROR(S299,"#N/C"), _xlpm.sf,IFERROR(T299,"#N/C"), _xlpm.fam,IFERROR(U299,"#N/C"), _xlpm.subfam,IF(TRIM(V299)="-","#N/C",IFERROR(V299,"#N/C")),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_xlpm.fallback,IF(IFERROR(Q299,"#N/C")="#N/C",P299,IF(IFERROR(R299,"#N/C")="#N/C",Q299,IF(IFERROR(S299,"#N/C")="#N/C",R299,IF(IFERROR(T299,"#N/C")="#N/C",S299,IF(IFERROR(U299,"#N/C")="#N/C",T299,IF(IFERROR(V299,"#N/C")="#N/C",U299,"#N/C")))))), _xlpm.finalResult,IF(OR(_xlpm.computedResult="",_xlpm.computedResult="#N/C"),_xlpm.fallback,_xlpm.computedResult), INDEX(_xlpm.finalResult,1))</f>
        <v>ant</v>
      </c>
      <c r="Z299" s="116" t="str" cm="1">
        <f t="array" ref="Z299">IF(OR(Y299="Insecta",Y299="Arachnida",Y299="#N/C"),"",IFERROR(_xlfn.LET(_xlpm.fc,IFERROR(_xlfn._xlws.FILTER(ClassificationClasses[],ClassificationClasses[Classification Class]=Y299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299,ClassificationClasses[Key])),0),MATCH(Y299,INDEX(ClassificationClasses[],MATCH(TRUE,ISNUMBER(SEARCH(Y299,ClassificationClasses[Key])),0),0),0)-1)))</f>
        <v>Aculeata</v>
      </c>
      <c r="AA299" s="116" t="str" cm="1">
        <f t="array" ref="AA299">IFERROR(IF(OR(Z299="Insecta",Z299="Arachnida",Z299="#N/C"),"",INDEX(ClassificationClasses[[Class]:[Infraorder]],MATCH(TRUE,ISNUMBER(SEARCH(Z299,ClassificationClasses[Key])),0),MATCH(Z299,INDEX(ClassificationClasses[#Data], MATCH(TRUE,ISNUMBER(SEARCH(Z299,ClassificationClasses[Key])),0), 0), 0)-1)),"")</f>
        <v>Apocrita</v>
      </c>
      <c r="AB299" s="116" t="str" cm="1">
        <f t="array" ref="AB299">IFERROR(IF(OR(AA299="Insecta",AA299="Arachnida",AA299="#N/C"),"",INDEX(ClassificationClasses[[Class]:[Suborder]],MATCH(TRUE,ISNUMBER(SEARCH(AA299,ClassificationClasses[Key])),0),MATCH(AA299,INDEX(ClassificationClasses[#Data], MATCH(TRUE,ISNUMBER(SEARCH(AA299,ClassificationClasses[Key])),0), 0), 0)-1)),"")</f>
        <v>Hymenoptera</v>
      </c>
      <c r="AC299" s="116" t="str" cm="1">
        <f t="array" ref="AC299">IFERROR(IF(OR(AB299="Insecta",AB299="Arachnida",AB299="#N/C"),"",INDEX(ClassificationClasses[[Class]:[Suborder]],MATCH(TRUE,ISNUMBER(SEARCH(AB299,ClassificationClasses[Key])),0),MATCH(AB299,INDEX(ClassificationClasses[#Data], MATCH(TRUE,ISNUMBER(SEARCH(AB299,ClassificationClasses[Key])),0), 0), 0)-1)),"")</f>
        <v>Insecta</v>
      </c>
      <c r="AD299" s="116" t="str" cm="1">
        <f t="array" ref="AD299">IFERROR(IF(OR(AC299="Insecta",AC299="Arachnida",AC299="#N/C"),"",INDEX(ClassificationClasses[[Class]:[Suborder]],MATCH(TRUE,ISNUMBER(SEARCH(AC299,ClassificationClasses[Key])),0),MATCH(AC299,INDEX(ClassificationClasses[#Data], MATCH(TRUE,ISNUMBER(SEARCH(AC299,ClassificationClasses[Key])),0), 0), 0)-1)),"")</f>
        <v/>
      </c>
      <c r="AE299" s="18" t="str">
        <f t="shared" si="10"/>
        <v>Insecta.Hymenoptera.Apocrita.Aculeata.Formicoidea.Formicidae.Formicinae.Formica.#N/C</v>
      </c>
    </row>
    <row r="300" spans="1:31" x14ac:dyDescent="0.3">
      <c r="A300" s="91">
        <v>299</v>
      </c>
      <c r="B300" s="7">
        <v>44408</v>
      </c>
      <c r="C300" s="92" t="s">
        <v>533</v>
      </c>
      <c r="D300" s="93" t="str">
        <f>HYPERLINK(VLOOKUP(C300,Video_List!$F:$J,5),"video")</f>
        <v>video</v>
      </c>
      <c r="E300" s="94" t="str">
        <f>IFERROR(IF(MATCH(C300,Video_List!$F:$F,)&gt;0,"ok",""),"error")</f>
        <v>ok</v>
      </c>
      <c r="F300" s="92" t="s">
        <v>533</v>
      </c>
      <c r="G300" s="93" t="str">
        <f>HYPERLINK(VLOOKUP(F300,Video_List!$F:$J,5),"video")</f>
        <v>video</v>
      </c>
      <c r="H300" s="94" t="str">
        <f>IFERROR(IF(MATCH(F300,Video_List!$F:$F,)&gt;0,"ok",""),"error")</f>
        <v>ok</v>
      </c>
      <c r="I300" s="102">
        <v>44408.766064814816</v>
      </c>
      <c r="J300" s="8">
        <v>44408.767164351855</v>
      </c>
      <c r="K300" s="15">
        <f t="shared" si="9"/>
        <v>1.0995370394084603E-3</v>
      </c>
      <c r="L300" s="4" t="s">
        <v>32</v>
      </c>
      <c r="M300" s="4" t="s">
        <v>118</v>
      </c>
      <c r="N300" s="96" t="str">
        <f>IF(ISBLANK(C300),"",IF(C300=F300, "1 video",CONCATENATE((+COUNTIFS(Video_List!$C:$C,"&lt;=" &amp;Monitoring!J300)-COUNTIFS(Video_List!$C:$C,"&lt;=" &amp;Monitoring!I300))+1," videos")))</f>
        <v>1 video</v>
      </c>
      <c r="O300" s="27" t="s">
        <v>32</v>
      </c>
      <c r="P300" s="42" t="s">
        <v>37</v>
      </c>
      <c r="Q300" s="42" t="s">
        <v>41</v>
      </c>
      <c r="R300" s="42" t="s">
        <v>42</v>
      </c>
      <c r="S300" s="97" t="str">
        <f>+IFERROR(IF(T300="#N/C","#N/C",IF(U300=0,INDEX(Taxonomy_UniqueValues!D:D,MATCH(U300,Taxonomy_UniqueValues!F:F,0)),INDEX(Taxonomy_UniqueValues!D:D,MATCH(T300,Taxonomy_UniqueValues!E:E,0)))),"#N/C")</f>
        <v>Parasitica</v>
      </c>
      <c r="T300" s="42" t="s">
        <v>71</v>
      </c>
      <c r="U300" s="42" t="s">
        <v>35</v>
      </c>
      <c r="V300" s="42" t="s">
        <v>35</v>
      </c>
      <c r="W300" s="42" t="s">
        <v>35</v>
      </c>
      <c r="X300" s="28" t="s">
        <v>35</v>
      </c>
      <c r="Y300" s="69" t="str" cm="1">
        <f t="array" ref="Y300">_xlfn.LET(_xlpm.cls,P300, _xlpm.ord,IFERROR(Q300,"#N/C"), _xlpm.subord,IFERROR(R300,"#N/C"), _xlpm.infr,IFERROR(S300,"#N/C"), _xlpm.sf,IFERROR(T300,"#N/C"), _xlpm.fam,IFERROR(U300,"#N/C"), _xlpm.subfam,IF(TRIM(V300)="-","#N/C",IFERROR(V300,"#N/C")),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_xlpm.fallback,IF(IFERROR(Q300,"#N/C")="#N/C",P300,IF(IFERROR(R300,"#N/C")="#N/C",Q300,IF(IFERROR(S300,"#N/C")="#N/C",R300,IF(IFERROR(T300,"#N/C")="#N/C",S300,IF(IFERROR(U300,"#N/C")="#N/C",T300,IF(IFERROR(V300,"#N/C")="#N/C",U300,"#N/C")))))), _xlpm.finalResult,IF(OR(_xlpm.computedResult="",_xlpm.computedResult="#N/C"),_xlpm.fallback,_xlpm.computedResult), INDEX(_xlpm.finalResult,1))</f>
        <v>Ichneumonoidea</v>
      </c>
      <c r="Z300" s="116" t="str" cm="1">
        <f t="array" ref="Z300">IF(OR(Y300="Insecta",Y300="Arachnida",Y300="#N/C"),"",IFERROR(_xlfn.LET(_xlpm.fc,IFERROR(_xlfn._xlws.FILTER(ClassificationClasses[],ClassificationClasses[Classification Class]=Y300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300,ClassificationClasses[Key])),0),MATCH(Y300,INDEX(ClassificationClasses[],MATCH(TRUE,ISNUMBER(SEARCH(Y300,ClassificationClasses[Key])),0),0),0)-1)))</f>
        <v>Parasitica</v>
      </c>
      <c r="AA300" s="116" t="str" cm="1">
        <f t="array" ref="AA300">IFERROR(IF(OR(Z300="Insecta",Z300="Arachnida",Z300="#N/C"),"",INDEX(ClassificationClasses[[Class]:[Infraorder]],MATCH(TRUE,ISNUMBER(SEARCH(Z300,ClassificationClasses[Key])),0),MATCH(Z300,INDEX(ClassificationClasses[#Data], MATCH(TRUE,ISNUMBER(SEARCH(Z300,ClassificationClasses[Key])),0), 0), 0)-1)),"")</f>
        <v>Apocrita</v>
      </c>
      <c r="AB300" s="116" t="str" cm="1">
        <f t="array" ref="AB300">IFERROR(IF(OR(AA300="Insecta",AA300="Arachnida",AA300="#N/C"),"",INDEX(ClassificationClasses[[Class]:[Suborder]],MATCH(TRUE,ISNUMBER(SEARCH(AA300,ClassificationClasses[Key])),0),MATCH(AA300,INDEX(ClassificationClasses[#Data], MATCH(TRUE,ISNUMBER(SEARCH(AA300,ClassificationClasses[Key])),0), 0), 0)-1)),"")</f>
        <v>Hymenoptera</v>
      </c>
      <c r="AC300" s="116" t="str" cm="1">
        <f t="array" ref="AC300">IFERROR(IF(OR(AB300="Insecta",AB300="Arachnida",AB300="#N/C"),"",INDEX(ClassificationClasses[[Class]:[Suborder]],MATCH(TRUE,ISNUMBER(SEARCH(AB300,ClassificationClasses[Key])),0),MATCH(AB300,INDEX(ClassificationClasses[#Data], MATCH(TRUE,ISNUMBER(SEARCH(AB300,ClassificationClasses[Key])),0), 0), 0)-1)),"")</f>
        <v>Insecta</v>
      </c>
      <c r="AD300" s="116" t="str" cm="1">
        <f t="array" ref="AD300">IFERROR(IF(OR(AC300="Insecta",AC300="Arachnida",AC300="#N/C"),"",INDEX(ClassificationClasses[[Class]:[Suborder]],MATCH(TRUE,ISNUMBER(SEARCH(AC300,ClassificationClasses[Key])),0),MATCH(AC300,INDEX(ClassificationClasses[#Data], MATCH(TRUE,ISNUMBER(SEARCH(AC300,ClassificationClasses[Key])),0), 0), 0)-1)),"")</f>
        <v/>
      </c>
      <c r="AE300" s="18" t="str">
        <f t="shared" si="10"/>
        <v>Insecta.Hymenoptera.Apocrita.Parasitica.Ichneumonoidea.#N/C.#N/C.#N/C.#N/C</v>
      </c>
    </row>
    <row r="301" spans="1:31" x14ac:dyDescent="0.3">
      <c r="A301" s="91">
        <v>300</v>
      </c>
      <c r="B301" s="101">
        <v>44409</v>
      </c>
      <c r="C301" s="92" t="s">
        <v>534</v>
      </c>
      <c r="D301" s="93" t="str">
        <f>HYPERLINK(VLOOKUP(C301,Video_List!$F:$J,5),"video")</f>
        <v>video</v>
      </c>
      <c r="E301" s="94" t="str">
        <f>IFERROR(IF(MATCH(C301,Video_List!$F:$F,)&gt;0,"ok",""),"error")</f>
        <v>ok</v>
      </c>
      <c r="F301" s="92" t="s">
        <v>534</v>
      </c>
      <c r="G301" s="93" t="str">
        <f>HYPERLINK(VLOOKUP(F301,Video_List!$F:$J,5),"video")</f>
        <v>video</v>
      </c>
      <c r="H301" s="94" t="str">
        <f>IFERROR(IF(MATCH(F301,Video_List!$F:$F,)&gt;0,"ok",""),"error")</f>
        <v>ok</v>
      </c>
      <c r="I301" s="102">
        <v>44409.321585648147</v>
      </c>
      <c r="J301" s="8">
        <v>44409.322824074072</v>
      </c>
      <c r="K301" s="15">
        <f t="shared" si="9"/>
        <v>1.2384259243845008E-3</v>
      </c>
      <c r="L301" s="95" t="s">
        <v>44</v>
      </c>
      <c r="M301" s="95" t="s">
        <v>33</v>
      </c>
      <c r="N301" s="96" t="str">
        <f>IF(ISBLANK(C301),"",IF(C301=F301, "1 video",CONCATENATE((+COUNTIFS(Video_List!$C:$C,"&lt;=" &amp;Monitoring!J301)-COUNTIFS(Video_List!$C:$C,"&lt;=" &amp;Monitoring!I301))+1," videos")))</f>
        <v>1 video</v>
      </c>
      <c r="O301" s="29" t="s">
        <v>44</v>
      </c>
      <c r="P301" s="42" t="s">
        <v>37</v>
      </c>
      <c r="Q301" s="42" t="s">
        <v>123</v>
      </c>
      <c r="R301" s="42" t="s">
        <v>287</v>
      </c>
      <c r="S301" s="97" t="str">
        <f>+IFERROR(IF(T301="#N/C","#N/C",IF(U301=0,INDEX(Taxonomy_UniqueValues!D:D,MATCH(U301,Taxonomy_UniqueValues!F:F,0)),INDEX(Taxonomy_UniqueValues!D:D,MATCH(T301,Taxonomy_UniqueValues!E:E,0)))),"#N/C")</f>
        <v>Tettigoniidea</v>
      </c>
      <c r="T301" s="42" t="s">
        <v>288</v>
      </c>
      <c r="U301" s="42" t="s">
        <v>289</v>
      </c>
      <c r="V301" s="42" t="s">
        <v>487</v>
      </c>
      <c r="W301" s="42" t="s">
        <v>488</v>
      </c>
      <c r="X301" s="28" t="s">
        <v>35</v>
      </c>
      <c r="Y301" s="69" t="str" cm="1">
        <f t="array" ref="Y301">_xlfn.LET(_xlpm.cls,P301, _xlpm.ord,IFERROR(Q301,"#N/C"), _xlpm.subord,IFERROR(R301,"#N/C"), _xlpm.infr,IFERROR(S301,"#N/C"), _xlpm.sf,IFERROR(T301,"#N/C"), _xlpm.fam,IFERROR(U301,"#N/C"), _xlpm.subfam,IF(TRIM(V301)="-","#N/C",IFERROR(V301,"#N/C")),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_xlpm.fallback,IF(IFERROR(Q301,"#N/C")="#N/C",P301,IF(IFERROR(R301,"#N/C")="#N/C",Q301,IF(IFERROR(S301,"#N/C")="#N/C",R301,IF(IFERROR(T301,"#N/C")="#N/C",S301,IF(IFERROR(U301,"#N/C")="#N/C",T301,IF(IFERROR(V301,"#N/C")="#N/C",U301,"#N/C")))))), _xlpm.finalResult,IF(OR(_xlpm.computedResult="",_xlpm.computedResult="#N/C"),_xlpm.fallback,_xlpm.computedResult), INDEX(_xlpm.finalResult,1))</f>
        <v>grasshopper</v>
      </c>
      <c r="Z301" s="116" t="str" cm="1">
        <f t="array" ref="Z301">IF(OR(Y301="Insecta",Y301="Arachnida",Y301="#N/C"),"",IFERROR(_xlfn.LET(_xlpm.fc,IFERROR(_xlfn._xlws.FILTER(ClassificationClasses[],ClassificationClasses[Classification Class]=Y301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301,ClassificationClasses[Key])),0),MATCH(Y301,INDEX(ClassificationClasses[],MATCH(TRUE,ISNUMBER(SEARCH(Y301,ClassificationClasses[Key])),0),0),0)-1)))</f>
        <v>Orthoptera</v>
      </c>
      <c r="AA301" s="116" t="str" cm="1">
        <f t="array" ref="AA301">IFERROR(IF(OR(Z301="Insecta",Z301="Arachnida",Z301="#N/C"),"",INDEX(ClassificationClasses[[Class]:[Infraorder]],MATCH(TRUE,ISNUMBER(SEARCH(Z301,ClassificationClasses[Key])),0),MATCH(Z301,INDEX(ClassificationClasses[#Data], MATCH(TRUE,ISNUMBER(SEARCH(Z301,ClassificationClasses[Key])),0), 0), 0)-1)),"")</f>
        <v>Insecta</v>
      </c>
      <c r="AB301" s="116" t="str" cm="1">
        <f t="array" ref="AB301">IFERROR(IF(OR(AA301="Insecta",AA301="Arachnida",AA301="#N/C"),"",INDEX(ClassificationClasses[[Class]:[Suborder]],MATCH(TRUE,ISNUMBER(SEARCH(AA301,ClassificationClasses[Key])),0),MATCH(AA301,INDEX(ClassificationClasses[#Data], MATCH(TRUE,ISNUMBER(SEARCH(AA301,ClassificationClasses[Key])),0), 0), 0)-1)),"")</f>
        <v/>
      </c>
      <c r="AC301" s="116" t="str" cm="1">
        <f t="array" ref="AC301">IFERROR(IF(OR(AB301="Insecta",AB301="Arachnida",AB301="#N/C"),"",INDEX(ClassificationClasses[[Class]:[Suborder]],MATCH(TRUE,ISNUMBER(SEARCH(AB301,ClassificationClasses[Key])),0),MATCH(AB301,INDEX(ClassificationClasses[#Data], MATCH(TRUE,ISNUMBER(SEARCH(AB301,ClassificationClasses[Key])),0), 0), 0)-1)),"")</f>
        <v/>
      </c>
      <c r="AD301" s="116" t="str" cm="1">
        <f t="array" ref="AD301">IFERROR(IF(OR(AC301="Insecta",AC301="Arachnida",AC301="#N/C"),"",INDEX(ClassificationClasses[[Class]:[Suborder]],MATCH(TRUE,ISNUMBER(SEARCH(AC301,ClassificationClasses[Key])),0),MATCH(AC301,INDEX(ClassificationClasses[#Data], MATCH(TRUE,ISNUMBER(SEARCH(AC301,ClassificationClasses[Key])),0), 0), 0)-1)),"")</f>
        <v/>
      </c>
      <c r="AE301" s="18" t="str">
        <f t="shared" si="10"/>
        <v>Insecta.Orthoptera.Ensifera.Tettigoniidea.Tettigonioidea.Tettigoniidae.Conocephalinae.Conocephalus.#N/C</v>
      </c>
    </row>
    <row r="302" spans="1:31" x14ac:dyDescent="0.3">
      <c r="A302" s="91">
        <v>301</v>
      </c>
      <c r="B302" s="7">
        <v>44409</v>
      </c>
      <c r="C302" s="92" t="s">
        <v>535</v>
      </c>
      <c r="D302" s="93" t="str">
        <f>HYPERLINK(VLOOKUP(C302,Video_List!$F:$J,5),"video")</f>
        <v>video</v>
      </c>
      <c r="E302" s="94" t="str">
        <f>IFERROR(IF(MATCH(C302,Video_List!$F:$F,)&gt;0,"ok",""),"error")</f>
        <v>ok</v>
      </c>
      <c r="F302" s="92" t="s">
        <v>535</v>
      </c>
      <c r="G302" s="93" t="str">
        <f>HYPERLINK(VLOOKUP(F302,Video_List!$F:$J,5),"video")</f>
        <v>video</v>
      </c>
      <c r="H302" s="94" t="str">
        <f>IFERROR(IF(MATCH(F302,Video_List!$F:$F,)&gt;0,"ok",""),"error")</f>
        <v>ok</v>
      </c>
      <c r="I302" s="17">
        <v>44409.463275462964</v>
      </c>
      <c r="J302" s="8">
        <v>44409.463321759256</v>
      </c>
      <c r="K302" s="15">
        <f t="shared" si="9"/>
        <v>4.6296292566694319E-5</v>
      </c>
      <c r="L302" s="95" t="s">
        <v>32</v>
      </c>
      <c r="M302" s="95" t="s">
        <v>33</v>
      </c>
      <c r="N302" s="96" t="str">
        <f>IF(ISBLANK(C302),"",IF(C302=F302, "1 video",CONCATENATE((+COUNTIFS(Video_List!$C:$C,"&lt;=" &amp;Monitoring!J302)-COUNTIFS(Video_List!$C:$C,"&lt;=" &amp;Monitoring!I302))+1," videos")))</f>
        <v>1 video</v>
      </c>
      <c r="O302" s="29" t="s">
        <v>44</v>
      </c>
      <c r="P302" s="42" t="s">
        <v>37</v>
      </c>
      <c r="Q302" s="42" t="s">
        <v>38</v>
      </c>
      <c r="R302" s="42" t="s">
        <v>39</v>
      </c>
      <c r="S302" s="97" t="str">
        <f>+IFERROR(IF(T302="#N/C","#N/C",IF(U302=0,INDEX(Taxonomy_UniqueValues!D:D,MATCH(U302,Taxonomy_UniqueValues!F:F,0)),INDEX(Taxonomy_UniqueValues!D:D,MATCH(T302,Taxonomy_UniqueValues!E:E,0)))),"#N/C")</f>
        <v>Muscomorpha</v>
      </c>
      <c r="T302" s="42" t="s">
        <v>335</v>
      </c>
      <c r="U302" s="42" t="s">
        <v>375</v>
      </c>
      <c r="V302" s="42" t="s">
        <v>376</v>
      </c>
      <c r="W302" s="42" t="s">
        <v>377</v>
      </c>
      <c r="X302" s="28" t="s">
        <v>35</v>
      </c>
      <c r="Y302" s="69" t="str" cm="1">
        <f t="array" ref="Y302">_xlfn.LET(_xlpm.cls,P302, _xlpm.ord,IFERROR(Q302,"#N/C"), _xlpm.subord,IFERROR(R302,"#N/C"), _xlpm.infr,IFERROR(S302,"#N/C"), _xlpm.sf,IFERROR(T302,"#N/C"), _xlpm.fam,IFERROR(U302,"#N/C"), _xlpm.subfam,IF(TRIM(V302)="-","#N/C",IFERROR(V302,"#N/C")),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_xlpm.fallback,IF(IFERROR(Q302,"#N/C")="#N/C",P302,IF(IFERROR(R302,"#N/C")="#N/C",Q302,IF(IFERROR(S302,"#N/C")="#N/C",R302,IF(IFERROR(T302,"#N/C")="#N/C",S302,IF(IFERROR(U302,"#N/C")="#N/C",T302,IF(IFERROR(V302,"#N/C")="#N/C",U302,"#N/C")))))), _xlpm.finalResult,IF(OR(_xlpm.computedResult="",_xlpm.computedResult="#N/C"),_xlpm.fallback,_xlpm.computedResult), INDEX(_xlpm.finalResult,1))</f>
        <v>flesh_fly</v>
      </c>
      <c r="Z302" s="116" t="str" cm="1">
        <f t="array" ref="Z302">IF(OR(Y302="Insecta",Y302="Arachnida",Y302="#N/C"),"",IFERROR(_xlfn.LET(_xlpm.fc,IFERROR(_xlfn._xlws.FILTER(ClassificationClasses[],ClassificationClasses[Classification Class]=Y302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302,ClassificationClasses[Key])),0),MATCH(Y302,INDEX(ClassificationClasses[],MATCH(TRUE,ISNUMBER(SEARCH(Y302,ClassificationClasses[Key])),0),0),0)-1)))</f>
        <v>Muscomorpha</v>
      </c>
      <c r="AA302" s="116" t="str" cm="1">
        <f t="array" ref="AA302">IFERROR(IF(OR(Z302="Insecta",Z302="Arachnida",Z302="#N/C"),"",INDEX(ClassificationClasses[[Class]:[Infraorder]],MATCH(TRUE,ISNUMBER(SEARCH(Z302,ClassificationClasses[Key])),0),MATCH(Z302,INDEX(ClassificationClasses[#Data], MATCH(TRUE,ISNUMBER(SEARCH(Z302,ClassificationClasses[Key])),0), 0), 0)-1)),"")</f>
        <v>Brachycera</v>
      </c>
      <c r="AB302" s="116" t="str" cm="1">
        <f t="array" ref="AB302">IFERROR(IF(OR(AA302="Insecta",AA302="Arachnida",AA302="#N/C"),"",INDEX(ClassificationClasses[[Class]:[Suborder]],MATCH(TRUE,ISNUMBER(SEARCH(AA302,ClassificationClasses[Key])),0),MATCH(AA302,INDEX(ClassificationClasses[#Data], MATCH(TRUE,ISNUMBER(SEARCH(AA302,ClassificationClasses[Key])),0), 0), 0)-1)),"")</f>
        <v>Diptera</v>
      </c>
      <c r="AC302" s="116" t="str" cm="1">
        <f t="array" ref="AC302">IFERROR(IF(OR(AB302="Insecta",AB302="Arachnida",AB302="#N/C"),"",INDEX(ClassificationClasses[[Class]:[Suborder]],MATCH(TRUE,ISNUMBER(SEARCH(AB302,ClassificationClasses[Key])),0),MATCH(AB302,INDEX(ClassificationClasses[#Data], MATCH(TRUE,ISNUMBER(SEARCH(AB302,ClassificationClasses[Key])),0), 0), 0)-1)),"")</f>
        <v>Insecta</v>
      </c>
      <c r="AD302" s="116" t="str" cm="1">
        <f t="array" ref="AD302">IFERROR(IF(OR(AC302="Insecta",AC302="Arachnida",AC302="#N/C"),"",INDEX(ClassificationClasses[[Class]:[Suborder]],MATCH(TRUE,ISNUMBER(SEARCH(AC302,ClassificationClasses[Key])),0),MATCH(AC302,INDEX(ClassificationClasses[#Data], MATCH(TRUE,ISNUMBER(SEARCH(AC302,ClassificationClasses[Key])),0), 0), 0)-1)),"")</f>
        <v/>
      </c>
      <c r="AE302" s="18" t="str">
        <f t="shared" si="10"/>
        <v>Insecta.Diptera.Brachycera.Muscomorpha.Oestroidea.Sarcophagidae.Sarcophaginae.Sarcophaga.#N/C</v>
      </c>
    </row>
    <row r="303" spans="1:31" x14ac:dyDescent="0.3">
      <c r="A303" s="91">
        <v>302</v>
      </c>
      <c r="B303" s="101">
        <v>44409</v>
      </c>
      <c r="C303" s="92" t="s">
        <v>536</v>
      </c>
      <c r="D303" s="93" t="str">
        <f>HYPERLINK(VLOOKUP(C303,Video_List!$F:$J,5),"video")</f>
        <v>video</v>
      </c>
      <c r="E303" s="94" t="str">
        <f>IFERROR(IF(MATCH(C303,Video_List!$F:$F,)&gt;0,"ok",""),"error")</f>
        <v>ok</v>
      </c>
      <c r="F303" s="92" t="s">
        <v>536</v>
      </c>
      <c r="G303" s="93" t="str">
        <f>HYPERLINK(VLOOKUP(F303,Video_List!$F:$J,5),"video")</f>
        <v>video</v>
      </c>
      <c r="H303" s="94" t="str">
        <f>IFERROR(IF(MATCH(F303,Video_List!$F:$F,)&gt;0,"ok",""),"error")</f>
        <v>ok</v>
      </c>
      <c r="I303" s="102">
        <v>44409.584236111114</v>
      </c>
      <c r="J303" s="8">
        <v>44409.584548611114</v>
      </c>
      <c r="K303" s="15">
        <f t="shared" si="9"/>
        <v>3.125000002910383E-4</v>
      </c>
      <c r="L303" s="4" t="s">
        <v>44</v>
      </c>
      <c r="M303" s="4" t="s">
        <v>33</v>
      </c>
      <c r="N303" s="96" t="str">
        <f>IF(ISBLANK(C303),"",IF(C303=F303, "1 video",CONCATENATE((+COUNTIFS(Video_List!$C:$C,"&lt;=" &amp;Monitoring!J303)-COUNTIFS(Video_List!$C:$C,"&lt;=" &amp;Monitoring!I303))+1," videos")))</f>
        <v>1 video</v>
      </c>
      <c r="O303" s="27" t="s">
        <v>32</v>
      </c>
      <c r="P303" s="42" t="s">
        <v>37</v>
      </c>
      <c r="Q303" s="42" t="s">
        <v>110</v>
      </c>
      <c r="R303" s="42">
        <v>0</v>
      </c>
      <c r="S303" s="97">
        <f>+IFERROR(IF(T303="#N/C","#N/C",IF(U303=0,INDEX(Taxonomy_UniqueValues!D:D,MATCH(U303,Taxonomy_UniqueValues!F:F,0)),INDEX(Taxonomy_UniqueValues!D:D,MATCH(T303,Taxonomy_UniqueValues!E:E,0)))),"#N/C")</f>
        <v>0</v>
      </c>
      <c r="T303" s="42" t="s">
        <v>111</v>
      </c>
      <c r="U303" s="42" t="s">
        <v>112</v>
      </c>
      <c r="V303" s="42">
        <v>0</v>
      </c>
      <c r="W303" s="42" t="s">
        <v>113</v>
      </c>
      <c r="X303" s="28" t="s">
        <v>537</v>
      </c>
      <c r="Y303" s="69" t="str" cm="1">
        <f t="array" ref="Y303">_xlfn.LET(_xlpm.cls,P303, _xlpm.ord,IFERROR(Q303,"#N/C"), _xlpm.subord,IFERROR(R303,"#N/C"), _xlpm.infr,IFERROR(S303,"#N/C"), _xlpm.sf,IFERROR(T303,"#N/C"), _xlpm.fam,IFERROR(U303,"#N/C"), _xlpm.subfam,IF(TRIM(V303)="-","#N/C",IFERROR(V303,"#N/C")),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_xlpm.fallback,IF(IFERROR(Q303,"#N/C")="#N/C",P303,IF(IFERROR(R303,"#N/C")="#N/C",Q303,IF(IFERROR(S303,"#N/C")="#N/C",R303,IF(IFERROR(T303,"#N/C")="#N/C",S303,IF(IFERROR(U303,"#N/C")="#N/C",T303,IF(IFERROR(V303,"#N/C")="#N/C",U303,"#N/C")))))), _xlpm.finalResult,IF(OR(_xlpm.computedResult="",_xlpm.computedResult="#N/C"),_xlpm.fallback,_xlpm.computedResult), INDEX(_xlpm.finalResult,1))</f>
        <v>scorpion_fly</v>
      </c>
      <c r="Z303" s="116" t="str" cm="1">
        <f t="array" ref="Z303">IF(OR(Y303="Insecta",Y303="Arachnida",Y303="#N/C"),"",IFERROR(_xlfn.LET(_xlpm.fc,IFERROR(_xlfn._xlws.FILTER(ClassificationClasses[],ClassificationClasses[Classification Class]=Y303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303,ClassificationClasses[Key])),0),MATCH(Y303,INDEX(ClassificationClasses[],MATCH(TRUE,ISNUMBER(SEARCH(Y303,ClassificationClasses[Key])),0),0),0)-1)))</f>
        <v>Mecoptera</v>
      </c>
      <c r="AA303" s="116" t="str" cm="1">
        <f t="array" ref="AA303">IFERROR(IF(OR(Z303="Insecta",Z303="Arachnida",Z303="#N/C"),"",INDEX(ClassificationClasses[[Class]:[Infraorder]],MATCH(TRUE,ISNUMBER(SEARCH(Z303,ClassificationClasses[Key])),0),MATCH(Z303,INDEX(ClassificationClasses[#Data], MATCH(TRUE,ISNUMBER(SEARCH(Z303,ClassificationClasses[Key])),0), 0), 0)-1)),"")</f>
        <v>Insecta</v>
      </c>
      <c r="AB303" s="116" t="str" cm="1">
        <f t="array" ref="AB303">IFERROR(IF(OR(AA303="Insecta",AA303="Arachnida",AA303="#N/C"),"",INDEX(ClassificationClasses[[Class]:[Suborder]],MATCH(TRUE,ISNUMBER(SEARCH(AA303,ClassificationClasses[Key])),0),MATCH(AA303,INDEX(ClassificationClasses[#Data], MATCH(TRUE,ISNUMBER(SEARCH(AA303,ClassificationClasses[Key])),0), 0), 0)-1)),"")</f>
        <v/>
      </c>
      <c r="AC303" s="116" t="str" cm="1">
        <f t="array" ref="AC303">IFERROR(IF(OR(AB303="Insecta",AB303="Arachnida",AB303="#N/C"),"",INDEX(ClassificationClasses[[Class]:[Suborder]],MATCH(TRUE,ISNUMBER(SEARCH(AB303,ClassificationClasses[Key])),0),MATCH(AB303,INDEX(ClassificationClasses[#Data], MATCH(TRUE,ISNUMBER(SEARCH(AB303,ClassificationClasses[Key])),0), 0), 0)-1)),"")</f>
        <v/>
      </c>
      <c r="AD303" s="116" t="str" cm="1">
        <f t="array" ref="AD303">IFERROR(IF(OR(AC303="Insecta",AC303="Arachnida",AC303="#N/C"),"",INDEX(ClassificationClasses[[Class]:[Suborder]],MATCH(TRUE,ISNUMBER(SEARCH(AC303,ClassificationClasses[Key])),0),MATCH(AC303,INDEX(ClassificationClasses[#Data], MATCH(TRUE,ISNUMBER(SEARCH(AC303,ClassificationClasses[Key])),0), 0), 0)-1)),"")</f>
        <v/>
      </c>
      <c r="AE303" s="18" t="str">
        <f t="shared" si="10"/>
        <v>Insecta.Mecoptera.0.0.Panorpoidea.Panorpidae.0.Panorpa.germanica</v>
      </c>
    </row>
    <row r="304" spans="1:31" x14ac:dyDescent="0.3">
      <c r="A304" s="91">
        <v>303</v>
      </c>
      <c r="B304" s="101">
        <v>44409</v>
      </c>
      <c r="C304" s="92" t="s">
        <v>538</v>
      </c>
      <c r="D304" s="93" t="str">
        <f>HYPERLINK(VLOOKUP(C304,Video_List!$F:$J,5),"video")</f>
        <v>video</v>
      </c>
      <c r="E304" s="94" t="str">
        <f>IFERROR(IF(MATCH(C304,Video_List!$F:$F,)&gt;0,"ok",""),"error")</f>
        <v>ok</v>
      </c>
      <c r="F304" s="92" t="s">
        <v>539</v>
      </c>
      <c r="G304" s="93" t="str">
        <f>HYPERLINK(VLOOKUP(F304,Video_List!$F:$J,5),"video")</f>
        <v>video</v>
      </c>
      <c r="H304" s="94" t="str">
        <f>IFERROR(IF(MATCH(F304,Video_List!$F:$F,)&gt;0,"ok",""),"error")</f>
        <v>ok</v>
      </c>
      <c r="I304" s="102">
        <v>44409.64</v>
      </c>
      <c r="J304" s="8">
        <v>44409.651145833333</v>
      </c>
      <c r="K304" s="15">
        <f t="shared" si="9"/>
        <v>1.1145833334012423E-2</v>
      </c>
      <c r="L304" s="95" t="s">
        <v>44</v>
      </c>
      <c r="M304" s="95" t="s">
        <v>33</v>
      </c>
      <c r="N304" s="96" t="str">
        <f>IF(ISBLANK(C304),"",IF(C304=F304, "1 video",CONCATENATE((+COUNTIFS(Video_List!$C:$C,"&lt;=" &amp;Monitoring!J304)-COUNTIFS(Video_List!$C:$C,"&lt;=" &amp;Monitoring!I304))+1," videos")))</f>
        <v>2 videos</v>
      </c>
      <c r="O304" s="29" t="s">
        <v>44</v>
      </c>
      <c r="P304" s="43" t="s">
        <v>37</v>
      </c>
      <c r="Q304" s="43" t="s">
        <v>123</v>
      </c>
      <c r="R304" s="43" t="s">
        <v>287</v>
      </c>
      <c r="S304" s="97" t="str">
        <f>+IFERROR(IF(T304="#N/C","#N/C",IF(U304=0,INDEX(Taxonomy_UniqueValues!D:D,MATCH(U304,Taxonomy_UniqueValues!F:F,0)),INDEX(Taxonomy_UniqueValues!D:D,MATCH(T304,Taxonomy_UniqueValues!E:E,0)))),"#N/C")</f>
        <v>Tettigoniidea</v>
      </c>
      <c r="T304" s="43" t="s">
        <v>288</v>
      </c>
      <c r="U304" s="43" t="s">
        <v>289</v>
      </c>
      <c r="V304" s="43" t="s">
        <v>487</v>
      </c>
      <c r="W304" s="43" t="s">
        <v>488</v>
      </c>
      <c r="X304" s="30" t="s">
        <v>35</v>
      </c>
      <c r="Y304" s="69" t="str" cm="1">
        <f t="array" ref="Y304">_xlfn.LET(_xlpm.cls,P304, _xlpm.ord,IFERROR(Q304,"#N/C"), _xlpm.subord,IFERROR(R304,"#N/C"), _xlpm.infr,IFERROR(S304,"#N/C"), _xlpm.sf,IFERROR(T304,"#N/C"), _xlpm.fam,IFERROR(U304,"#N/C"), _xlpm.subfam,IF(TRIM(V304)="-","#N/C",IFERROR(V304,"#N/C")),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_xlpm.fallback,IF(IFERROR(Q304,"#N/C")="#N/C",P304,IF(IFERROR(R304,"#N/C")="#N/C",Q304,IF(IFERROR(S304,"#N/C")="#N/C",R304,IF(IFERROR(T304,"#N/C")="#N/C",S304,IF(IFERROR(U304,"#N/C")="#N/C",T304,IF(IFERROR(V304,"#N/C")="#N/C",U304,"#N/C")))))), _xlpm.finalResult,IF(OR(_xlpm.computedResult="",_xlpm.computedResult="#N/C"),_xlpm.fallback,_xlpm.computedResult), INDEX(_xlpm.finalResult,1))</f>
        <v>grasshopper</v>
      </c>
      <c r="Z304" s="116" t="str" cm="1">
        <f t="array" ref="Z304">IF(OR(Y304="Insecta",Y304="Arachnida",Y304="#N/C"),"",IFERROR(_xlfn.LET(_xlpm.fc,IFERROR(_xlfn._xlws.FILTER(ClassificationClasses[],ClassificationClasses[Classification Class]=Y304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304,ClassificationClasses[Key])),0),MATCH(Y304,INDEX(ClassificationClasses[],MATCH(TRUE,ISNUMBER(SEARCH(Y304,ClassificationClasses[Key])),0),0),0)-1)))</f>
        <v>Orthoptera</v>
      </c>
      <c r="AA304" s="116" t="str" cm="1">
        <f t="array" ref="AA304">IFERROR(IF(OR(Z304="Insecta",Z304="Arachnida",Z304="#N/C"),"",INDEX(ClassificationClasses[[Class]:[Infraorder]],MATCH(TRUE,ISNUMBER(SEARCH(Z304,ClassificationClasses[Key])),0),MATCH(Z304,INDEX(ClassificationClasses[#Data], MATCH(TRUE,ISNUMBER(SEARCH(Z304,ClassificationClasses[Key])),0), 0), 0)-1)),"")</f>
        <v>Insecta</v>
      </c>
      <c r="AB304" s="116" t="str" cm="1">
        <f t="array" ref="AB304">IFERROR(IF(OR(AA304="Insecta",AA304="Arachnida",AA304="#N/C"),"",INDEX(ClassificationClasses[[Class]:[Suborder]],MATCH(TRUE,ISNUMBER(SEARCH(AA304,ClassificationClasses[Key])),0),MATCH(AA304,INDEX(ClassificationClasses[#Data], MATCH(TRUE,ISNUMBER(SEARCH(AA304,ClassificationClasses[Key])),0), 0), 0)-1)),"")</f>
        <v/>
      </c>
      <c r="AC304" s="116" t="str" cm="1">
        <f t="array" ref="AC304">IFERROR(IF(OR(AB304="Insecta",AB304="Arachnida",AB304="#N/C"),"",INDEX(ClassificationClasses[[Class]:[Suborder]],MATCH(TRUE,ISNUMBER(SEARCH(AB304,ClassificationClasses[Key])),0),MATCH(AB304,INDEX(ClassificationClasses[#Data], MATCH(TRUE,ISNUMBER(SEARCH(AB304,ClassificationClasses[Key])),0), 0), 0)-1)),"")</f>
        <v/>
      </c>
      <c r="AD304" s="116" t="str" cm="1">
        <f t="array" ref="AD304">IFERROR(IF(OR(AC304="Insecta",AC304="Arachnida",AC304="#N/C"),"",INDEX(ClassificationClasses[[Class]:[Suborder]],MATCH(TRUE,ISNUMBER(SEARCH(AC304,ClassificationClasses[Key])),0),MATCH(AC304,INDEX(ClassificationClasses[#Data], MATCH(TRUE,ISNUMBER(SEARCH(AC304,ClassificationClasses[Key])),0), 0), 0)-1)),"")</f>
        <v/>
      </c>
      <c r="AE304" s="18" t="str">
        <f t="shared" si="10"/>
        <v>Insecta.Orthoptera.Ensifera.Tettigoniidea.Tettigonioidea.Tettigoniidae.Conocephalinae.Conocephalus.#N/C</v>
      </c>
    </row>
    <row r="305" spans="1:31" x14ac:dyDescent="0.3">
      <c r="A305" s="91">
        <v>304</v>
      </c>
      <c r="B305" s="101">
        <v>44409</v>
      </c>
      <c r="C305" s="92" t="s">
        <v>538</v>
      </c>
      <c r="D305" s="93" t="str">
        <f>HYPERLINK(VLOOKUP(C305,Video_List!$F:$J,5),"video")</f>
        <v>video</v>
      </c>
      <c r="E305" s="94" t="str">
        <f>IFERROR(IF(MATCH(C305,Video_List!$F:$F,)&gt;0,"ok",""),"error")</f>
        <v>ok</v>
      </c>
      <c r="F305" s="92" t="s">
        <v>538</v>
      </c>
      <c r="G305" s="93" t="str">
        <f>HYPERLINK(VLOOKUP(F305,Video_List!$F:$J,5),"video")</f>
        <v>video</v>
      </c>
      <c r="H305" s="94" t="str">
        <f>IFERROR(IF(MATCH(F305,Video_List!$F:$F,)&gt;0,"ok",""),"error")</f>
        <v>ok</v>
      </c>
      <c r="I305" s="102">
        <v>44409.640092592592</v>
      </c>
      <c r="J305" s="8">
        <v>44409.641875000001</v>
      </c>
      <c r="K305" s="15">
        <f t="shared" si="9"/>
        <v>1.7824074093368836E-3</v>
      </c>
      <c r="L305" s="95" t="s">
        <v>44</v>
      </c>
      <c r="M305" s="95" t="s">
        <v>33</v>
      </c>
      <c r="N305" s="96" t="str">
        <f>IF(ISBLANK(C305),"",IF(C305=F305, "1 video",CONCATENATE((+COUNTIFS(Video_List!$C:$C,"&lt;=" &amp;Monitoring!J305)-COUNTIFS(Video_List!$C:$C,"&lt;=" &amp;Monitoring!I305))+1," videos")))</f>
        <v>1 video</v>
      </c>
      <c r="O305" s="29" t="s">
        <v>44</v>
      </c>
      <c r="P305" s="43" t="s">
        <v>37</v>
      </c>
      <c r="Q305" s="43" t="s">
        <v>123</v>
      </c>
      <c r="R305" s="43" t="s">
        <v>287</v>
      </c>
      <c r="S305" s="97" t="str">
        <f>+IFERROR(IF(T305="#N/C","#N/C",IF(U305=0,INDEX(Taxonomy_UniqueValues!D:D,MATCH(U305,Taxonomy_UniqueValues!F:F,0)),INDEX(Taxonomy_UniqueValues!D:D,MATCH(T305,Taxonomy_UniqueValues!E:E,0)))),"#N/C")</f>
        <v>Tettigoniidea</v>
      </c>
      <c r="T305" s="43" t="s">
        <v>288</v>
      </c>
      <c r="U305" s="43" t="s">
        <v>289</v>
      </c>
      <c r="V305" s="43" t="s">
        <v>487</v>
      </c>
      <c r="W305" s="43" t="s">
        <v>488</v>
      </c>
      <c r="X305" s="30" t="s">
        <v>35</v>
      </c>
      <c r="Y305" s="69" t="str" cm="1">
        <f t="array" ref="Y305">_xlfn.LET(_xlpm.cls,P305, _xlpm.ord,IFERROR(Q305,"#N/C"), _xlpm.subord,IFERROR(R305,"#N/C"), _xlpm.infr,IFERROR(S305,"#N/C"), _xlpm.sf,IFERROR(T305,"#N/C"), _xlpm.fam,IFERROR(U305,"#N/C"), _xlpm.subfam,IF(TRIM(V305)="-","#N/C",IFERROR(V305,"#N/C")),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_xlpm.fallback,IF(IFERROR(Q305,"#N/C")="#N/C",P305,IF(IFERROR(R305,"#N/C")="#N/C",Q305,IF(IFERROR(S305,"#N/C")="#N/C",R305,IF(IFERROR(T305,"#N/C")="#N/C",S305,IF(IFERROR(U305,"#N/C")="#N/C",T305,IF(IFERROR(V305,"#N/C")="#N/C",U305,"#N/C")))))), _xlpm.finalResult,IF(OR(_xlpm.computedResult="",_xlpm.computedResult="#N/C"),_xlpm.fallback,_xlpm.computedResult), INDEX(_xlpm.finalResult,1))</f>
        <v>grasshopper</v>
      </c>
      <c r="Z305" s="116" t="str" cm="1">
        <f t="array" ref="Z305">IF(OR(Y305="Insecta",Y305="Arachnida",Y305="#N/C"),"",IFERROR(_xlfn.LET(_xlpm.fc,IFERROR(_xlfn._xlws.FILTER(ClassificationClasses[],ClassificationClasses[Classification Class]=Y305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305,ClassificationClasses[Key])),0),MATCH(Y305,INDEX(ClassificationClasses[],MATCH(TRUE,ISNUMBER(SEARCH(Y305,ClassificationClasses[Key])),0),0),0)-1)))</f>
        <v>Orthoptera</v>
      </c>
      <c r="AA305" s="116" t="str" cm="1">
        <f t="array" ref="AA305">IFERROR(IF(OR(Z305="Insecta",Z305="Arachnida",Z305="#N/C"),"",INDEX(ClassificationClasses[[Class]:[Infraorder]],MATCH(TRUE,ISNUMBER(SEARCH(Z305,ClassificationClasses[Key])),0),MATCH(Z305,INDEX(ClassificationClasses[#Data], MATCH(TRUE,ISNUMBER(SEARCH(Z305,ClassificationClasses[Key])),0), 0), 0)-1)),"")</f>
        <v>Insecta</v>
      </c>
      <c r="AB305" s="116" t="str" cm="1">
        <f t="array" ref="AB305">IFERROR(IF(OR(AA305="Insecta",AA305="Arachnida",AA305="#N/C"),"",INDEX(ClassificationClasses[[Class]:[Suborder]],MATCH(TRUE,ISNUMBER(SEARCH(AA305,ClassificationClasses[Key])),0),MATCH(AA305,INDEX(ClassificationClasses[#Data], MATCH(TRUE,ISNUMBER(SEARCH(AA305,ClassificationClasses[Key])),0), 0), 0)-1)),"")</f>
        <v/>
      </c>
      <c r="AC305" s="116" t="str" cm="1">
        <f t="array" ref="AC305">IFERROR(IF(OR(AB305="Insecta",AB305="Arachnida",AB305="#N/C"),"",INDEX(ClassificationClasses[[Class]:[Suborder]],MATCH(TRUE,ISNUMBER(SEARCH(AB305,ClassificationClasses[Key])),0),MATCH(AB305,INDEX(ClassificationClasses[#Data], MATCH(TRUE,ISNUMBER(SEARCH(AB305,ClassificationClasses[Key])),0), 0), 0)-1)),"")</f>
        <v/>
      </c>
      <c r="AD305" s="116" t="str" cm="1">
        <f t="array" ref="AD305">IFERROR(IF(OR(AC305="Insecta",AC305="Arachnida",AC305="#N/C"),"",INDEX(ClassificationClasses[[Class]:[Suborder]],MATCH(TRUE,ISNUMBER(SEARCH(AC305,ClassificationClasses[Key])),0),MATCH(AC305,INDEX(ClassificationClasses[#Data], MATCH(TRUE,ISNUMBER(SEARCH(AC305,ClassificationClasses[Key])),0), 0), 0)-1)),"")</f>
        <v/>
      </c>
      <c r="AE305" s="18" t="str">
        <f t="shared" si="10"/>
        <v>Insecta.Orthoptera.Ensifera.Tettigoniidea.Tettigonioidea.Tettigoniidae.Conocephalinae.Conocephalus.#N/C</v>
      </c>
    </row>
    <row r="306" spans="1:31" x14ac:dyDescent="0.3">
      <c r="A306" s="91">
        <v>305</v>
      </c>
      <c r="B306" s="101">
        <v>44409</v>
      </c>
      <c r="C306" s="92" t="s">
        <v>540</v>
      </c>
      <c r="D306" s="93" t="str">
        <f>HYPERLINK(VLOOKUP(C306,Video_List!$F:$J,5),"video")</f>
        <v>video</v>
      </c>
      <c r="E306" s="94" t="str">
        <f>IFERROR(IF(MATCH(C306,Video_List!$F:$F,)&gt;0,"ok",""),"error")</f>
        <v>ok</v>
      </c>
      <c r="F306" s="92" t="s">
        <v>540</v>
      </c>
      <c r="G306" s="93" t="str">
        <f>HYPERLINK(VLOOKUP(F306,Video_List!$F:$J,5),"video")</f>
        <v>video</v>
      </c>
      <c r="H306" s="94" t="str">
        <f>IFERROR(IF(MATCH(F306,Video_List!$F:$F,)&gt;0,"ok",""),"error")</f>
        <v>ok</v>
      </c>
      <c r="I306" s="102">
        <v>44409.6640162037</v>
      </c>
      <c r="J306" s="8">
        <v>44409.667754629627</v>
      </c>
      <c r="K306" s="15">
        <f t="shared" si="9"/>
        <v>3.7384259267128073E-3</v>
      </c>
      <c r="L306" s="4" t="s">
        <v>44</v>
      </c>
      <c r="M306" s="4" t="s">
        <v>33</v>
      </c>
      <c r="N306" s="96" t="str">
        <f>IF(ISBLANK(C306),"",IF(C306=F306, "1 video",CONCATENATE((+COUNTIFS(Video_List!$C:$C,"&lt;=" &amp;Monitoring!J306)-COUNTIFS(Video_List!$C:$C,"&lt;=" &amp;Monitoring!I306))+1," videos")))</f>
        <v>1 video</v>
      </c>
      <c r="O306" s="27" t="s">
        <v>32</v>
      </c>
      <c r="P306" s="120" t="str">
        <f>+IFERROR(IF(Q306="#N/C","#N/C",INDEX(Taxonomy_UniqueValues!A:A,MATCH(Q306,Taxonomy_UniqueValues!B:B,0))),"#N/C")</f>
        <v>Insecta</v>
      </c>
      <c r="Q306" s="120" t="str">
        <f>+IFERROR(IF(R306="#N/C","#N/C",INDEX(Taxonomy_UniqueValues!B:B,MATCH(R306,Taxonomy_UniqueValues!C:C,0))),"#N/C")</f>
        <v>Hymenoptera</v>
      </c>
      <c r="R306" s="120" t="str">
        <f>+IFERROR(IF(S306="#N/C","#N/C",INDEX(Taxonomy_UniqueValues!C:C,MATCH(S306,Taxonomy_UniqueValues!D:D,0))),"#N/C")</f>
        <v>Apocrita</v>
      </c>
      <c r="S306" s="120" t="str">
        <f>+IFERROR(IF(T306="#N/C","#N/C",INDEX(Taxonomy_UniqueValues!D:D,MATCH(T306,Taxonomy_UniqueValues!E:E,0))),"#N/C")</f>
        <v>Aculeata</v>
      </c>
      <c r="T306" s="120" t="str">
        <f>+IFERROR(IF(U306="#N/C","#N/C",INDEX(Taxonomy_UniqueValues!E:E,MATCH(U306,Taxonomy_UniqueValues!F:F,0))),"#N/C")</f>
        <v>Formicoidea</v>
      </c>
      <c r="U306" s="120" t="str">
        <f>+IFERROR(IF(V306="#N/C","#N/C",INDEX(Taxonomy_UniqueValues!F:F,MATCH(V306,Taxonomy_UniqueValues!G:G,0))),"#N/C")</f>
        <v>Formicidae</v>
      </c>
      <c r="V306" s="43" t="s">
        <v>121</v>
      </c>
      <c r="W306" s="43" t="s">
        <v>321</v>
      </c>
      <c r="X306" s="30" t="s">
        <v>35</v>
      </c>
      <c r="Y306" s="69" t="str" cm="1">
        <f t="array" ref="Y306">_xlfn.LET(_xlpm.cls,P306, _xlpm.ord,IFERROR(Q306,"#N/C"), _xlpm.subord,IFERROR(R306,"#N/C"), _xlpm.infr,IFERROR(S306,"#N/C"), _xlpm.sf,IFERROR(T306,"#N/C"), _xlpm.fam,IFERROR(U306,"#N/C"), _xlpm.subfam,IF(TRIM(V306)="-","#N/C",IFERROR(V306,"#N/C")),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_xlpm.fallback,IF(IFERROR(Q306,"#N/C")="#N/C",P306,IF(IFERROR(R306,"#N/C")="#N/C",Q306,IF(IFERROR(S306,"#N/C")="#N/C",R306,IF(IFERROR(T306,"#N/C")="#N/C",S306,IF(IFERROR(U306,"#N/C")="#N/C",T306,IF(IFERROR(V306,"#N/C")="#N/C",U306,"#N/C")))))), _xlpm.finalResult,IF(OR(_xlpm.computedResult="",_xlpm.computedResult="#N/C"),_xlpm.fallback,_xlpm.computedResult), INDEX(_xlpm.finalResult,1))</f>
        <v>ant</v>
      </c>
      <c r="Z306" s="116" t="str" cm="1">
        <f t="array" ref="Z306">IF(OR(Y306="Insecta",Y306="Arachnida",Y306="#N/C"),"",IFERROR(_xlfn.LET(_xlpm.fc,IFERROR(_xlfn._xlws.FILTER(ClassificationClasses[],ClassificationClasses[Classification Class]=Y306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306,ClassificationClasses[Key])),0),MATCH(Y306,INDEX(ClassificationClasses[],MATCH(TRUE,ISNUMBER(SEARCH(Y306,ClassificationClasses[Key])),0),0),0)-1)))</f>
        <v>Aculeata</v>
      </c>
      <c r="AA306" s="116" t="str" cm="1">
        <f t="array" ref="AA306">IFERROR(IF(OR(Z306="Insecta",Z306="Arachnida",Z306="#N/C"),"",INDEX(ClassificationClasses[[Class]:[Infraorder]],MATCH(TRUE,ISNUMBER(SEARCH(Z306,ClassificationClasses[Key])),0),MATCH(Z306,INDEX(ClassificationClasses[#Data], MATCH(TRUE,ISNUMBER(SEARCH(Z306,ClassificationClasses[Key])),0), 0), 0)-1)),"")</f>
        <v>Apocrita</v>
      </c>
      <c r="AB306" s="116" t="str" cm="1">
        <f t="array" ref="AB306">IFERROR(IF(OR(AA306="Insecta",AA306="Arachnida",AA306="#N/C"),"",INDEX(ClassificationClasses[[Class]:[Suborder]],MATCH(TRUE,ISNUMBER(SEARCH(AA306,ClassificationClasses[Key])),0),MATCH(AA306,INDEX(ClassificationClasses[#Data], MATCH(TRUE,ISNUMBER(SEARCH(AA306,ClassificationClasses[Key])),0), 0), 0)-1)),"")</f>
        <v>Hymenoptera</v>
      </c>
      <c r="AC306" s="116" t="str" cm="1">
        <f t="array" ref="AC306">IFERROR(IF(OR(AB306="Insecta",AB306="Arachnida",AB306="#N/C"),"",INDEX(ClassificationClasses[[Class]:[Suborder]],MATCH(TRUE,ISNUMBER(SEARCH(AB306,ClassificationClasses[Key])),0),MATCH(AB306,INDEX(ClassificationClasses[#Data], MATCH(TRUE,ISNUMBER(SEARCH(AB306,ClassificationClasses[Key])),0), 0), 0)-1)),"")</f>
        <v>Insecta</v>
      </c>
      <c r="AD306" s="116" t="str" cm="1">
        <f t="array" ref="AD306">IFERROR(IF(OR(AC306="Insecta",AC306="Arachnida",AC306="#N/C"),"",INDEX(ClassificationClasses[[Class]:[Suborder]],MATCH(TRUE,ISNUMBER(SEARCH(AC306,ClassificationClasses[Key])),0),MATCH(AC306,INDEX(ClassificationClasses[#Data], MATCH(TRUE,ISNUMBER(SEARCH(AC306,ClassificationClasses[Key])),0), 0), 0)-1)),"")</f>
        <v/>
      </c>
      <c r="AE306" s="18" t="str">
        <f t="shared" si="10"/>
        <v>Insecta.Hymenoptera.Apocrita.Aculeata.Formicoidea.Formicidae.Formicinae.Formica.#N/C</v>
      </c>
    </row>
    <row r="307" spans="1:31" x14ac:dyDescent="0.3">
      <c r="A307" s="91">
        <v>306</v>
      </c>
      <c r="B307" s="101">
        <v>44409</v>
      </c>
      <c r="C307" s="92" t="s">
        <v>541</v>
      </c>
      <c r="D307" s="93" t="str">
        <f>HYPERLINK(VLOOKUP(C307,Video_List!$F:$J,5),"video")</f>
        <v>video</v>
      </c>
      <c r="E307" s="94" t="str">
        <f>IFERROR(IF(MATCH(C307,Video_List!$F:$F,)&gt;0,"ok",""),"error")</f>
        <v>ok</v>
      </c>
      <c r="F307" s="92" t="s">
        <v>541</v>
      </c>
      <c r="G307" s="93" t="str">
        <f>HYPERLINK(VLOOKUP(F307,Video_List!$F:$J,5),"video")</f>
        <v>video</v>
      </c>
      <c r="H307" s="94" t="str">
        <f>IFERROR(IF(MATCH(F307,Video_List!$F:$F,)&gt;0,"ok",""),"error")</f>
        <v>ok</v>
      </c>
      <c r="I307" s="102">
        <v>44409.680277777778</v>
      </c>
      <c r="J307" s="8">
        <v>44409.680347222224</v>
      </c>
      <c r="K307" s="15">
        <f t="shared" si="9"/>
        <v>6.9444446125999093E-5</v>
      </c>
      <c r="L307" s="4" t="s">
        <v>32</v>
      </c>
      <c r="M307" s="4" t="s">
        <v>33</v>
      </c>
      <c r="N307" s="96" t="str">
        <f>IF(ISBLANK(C307),"",IF(C307=F307, "1 video",CONCATENATE((+COUNTIFS(Video_List!$C:$C,"&lt;=" &amp;Monitoring!J307)-COUNTIFS(Video_List!$C:$C,"&lt;=" &amp;Monitoring!I307))+1," videos")))</f>
        <v>1 video</v>
      </c>
      <c r="O307" s="27" t="s">
        <v>32</v>
      </c>
      <c r="P307" s="120" t="str">
        <f>+IFERROR(IF(Q307="#N/C","#N/C",INDEX(Taxonomy_UniqueValues!A:A,MATCH(Q307,Taxonomy_UniqueValues!B:B,0))),"#N/C")</f>
        <v>Insecta</v>
      </c>
      <c r="Q307" s="120" t="str">
        <f>+IFERROR(IF(R307="#N/C","#N/C",INDEX(Taxonomy_UniqueValues!B:B,MATCH(R307,Taxonomy_UniqueValues!C:C,0))),"#N/C")</f>
        <v>Hymenoptera</v>
      </c>
      <c r="R307" s="120" t="str">
        <f>+IFERROR(IF(S307="#N/C","#N/C",INDEX(Taxonomy_UniqueValues!C:C,MATCH(S307,Taxonomy_UniqueValues!D:D,0))),"#N/C")</f>
        <v>Apocrita</v>
      </c>
      <c r="S307" s="120" t="str">
        <f>+IFERROR(IF(T307="#N/C","#N/C",INDEX(Taxonomy_UniqueValues!D:D,MATCH(T307,Taxonomy_UniqueValues!E:E,0))),"#N/C")</f>
        <v>Aculeata</v>
      </c>
      <c r="T307" s="120" t="str">
        <f>+IFERROR(IF(U307="#N/C","#N/C",INDEX(Taxonomy_UniqueValues!E:E,MATCH(U307,Taxonomy_UniqueValues!F:F,0))),"#N/C")</f>
        <v>Vespoidea</v>
      </c>
      <c r="U307" s="120" t="str">
        <f>+IFERROR(IF(V307="#N/C","#N/C",INDEX(Taxonomy_UniqueValues!F:F,MATCH(V307,Taxonomy_UniqueValues!G:G,0))),"#N/C")</f>
        <v>Vespidae</v>
      </c>
      <c r="V307" s="43" t="s">
        <v>543</v>
      </c>
      <c r="W307" s="43" t="s">
        <v>544</v>
      </c>
      <c r="X307" s="30" t="s">
        <v>353</v>
      </c>
      <c r="Y307" s="69" t="str" cm="1">
        <f t="array" ref="Y307">_xlfn.LET(_xlpm.cls,P307, _xlpm.ord,IFERROR(Q307,"#N/C"), _xlpm.subord,IFERROR(R307,"#N/C"), _xlpm.infr,IFERROR(S307,"#N/C"), _xlpm.sf,IFERROR(T307,"#N/C"), _xlpm.fam,IFERROR(U307,"#N/C"), _xlpm.subfam,IF(TRIM(V307)="-","#N/C",IFERROR(V307,"#N/C")),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_xlpm.fallback,IF(IFERROR(Q307,"#N/C")="#N/C",P307,IF(IFERROR(R307,"#N/C")="#N/C",Q307,IF(IFERROR(S307,"#N/C")="#N/C",R307,IF(IFERROR(T307,"#N/C")="#N/C",S307,IF(IFERROR(U307,"#N/C")="#N/C",T307,IF(IFERROR(V307,"#N/C")="#N/C",U307,"#N/C")))))), _xlpm.finalResult,IF(OR(_xlpm.computedResult="",_xlpm.computedResult="#N/C"),_xlpm.fallback,_xlpm.computedResult), INDEX(_xlpm.finalResult,1))</f>
        <v>wasp</v>
      </c>
      <c r="Z307" s="116" t="str" cm="1">
        <f t="array" ref="Z307">IF(OR(Y307="Insecta",Y307="Arachnida",Y307="#N/C"),"",IFERROR(_xlfn.LET(_xlpm.fc,IFERROR(_xlfn._xlws.FILTER(ClassificationClasses[],ClassificationClasses[Classification Class]=Y307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307,ClassificationClasses[Key])),0),MATCH(Y307,INDEX(ClassificationClasses[],MATCH(TRUE,ISNUMBER(SEARCH(Y307,ClassificationClasses[Key])),0),0),0)-1)))</f>
        <v>Aculeata</v>
      </c>
      <c r="AA307" s="116" t="str" cm="1">
        <f t="array" ref="AA307">IFERROR(IF(OR(Z307="Insecta",Z307="Arachnida",Z307="#N/C"),"",INDEX(ClassificationClasses[[Class]:[Infraorder]],MATCH(TRUE,ISNUMBER(SEARCH(Z307,ClassificationClasses[Key])),0),MATCH(Z307,INDEX(ClassificationClasses[#Data], MATCH(TRUE,ISNUMBER(SEARCH(Z307,ClassificationClasses[Key])),0), 0), 0)-1)),"")</f>
        <v>Apocrita</v>
      </c>
      <c r="AB307" s="116" t="str" cm="1">
        <f t="array" ref="AB307">IFERROR(IF(OR(AA307="Insecta",AA307="Arachnida",AA307="#N/C"),"",INDEX(ClassificationClasses[[Class]:[Suborder]],MATCH(TRUE,ISNUMBER(SEARCH(AA307,ClassificationClasses[Key])),0),MATCH(AA307,INDEX(ClassificationClasses[#Data], MATCH(TRUE,ISNUMBER(SEARCH(AA307,ClassificationClasses[Key])),0), 0), 0)-1)),"")</f>
        <v>Hymenoptera</v>
      </c>
      <c r="AC307" s="116" t="str" cm="1">
        <f t="array" ref="AC307">IFERROR(IF(OR(AB307="Insecta",AB307="Arachnida",AB307="#N/C"),"",INDEX(ClassificationClasses[[Class]:[Suborder]],MATCH(TRUE,ISNUMBER(SEARCH(AB307,ClassificationClasses[Key])),0),MATCH(AB307,INDEX(ClassificationClasses[#Data], MATCH(TRUE,ISNUMBER(SEARCH(AB307,ClassificationClasses[Key])),0), 0), 0)-1)),"")</f>
        <v>Insecta</v>
      </c>
      <c r="AD307" s="116" t="str" cm="1">
        <f t="array" ref="AD307">IFERROR(IF(OR(AC307="Insecta",AC307="Arachnida",AC307="#N/C"),"",INDEX(ClassificationClasses[[Class]:[Suborder]],MATCH(TRUE,ISNUMBER(SEARCH(AC307,ClassificationClasses[Key])),0),MATCH(AC307,INDEX(ClassificationClasses[#Data], MATCH(TRUE,ISNUMBER(SEARCH(AC307,ClassificationClasses[Key])),0), 0), 0)-1)),"")</f>
        <v/>
      </c>
      <c r="AE307" s="18" t="str">
        <f t="shared" si="10"/>
        <v>Insecta.Hymenoptera.Apocrita.Aculeata.Vespoidea.Vespidae.Vespinae.Vespula.vulgaris</v>
      </c>
    </row>
    <row r="308" spans="1:31" x14ac:dyDescent="0.3">
      <c r="A308" s="91">
        <v>307</v>
      </c>
      <c r="B308" s="101">
        <v>44409</v>
      </c>
      <c r="C308" s="92" t="s">
        <v>545</v>
      </c>
      <c r="D308" s="93" t="str">
        <f>HYPERLINK(VLOOKUP(C308,Video_List!$F:$J,5),"video")</f>
        <v>video</v>
      </c>
      <c r="E308" s="94" t="str">
        <f>IFERROR(IF(MATCH(C308,Video_List!$F:$F,)&gt;0,"ok",""),"error")</f>
        <v>ok</v>
      </c>
      <c r="F308" s="92" t="s">
        <v>545</v>
      </c>
      <c r="G308" s="93" t="str">
        <f>HYPERLINK(VLOOKUP(F308,Video_List!$F:$J,5),"video")</f>
        <v>video</v>
      </c>
      <c r="H308" s="94" t="str">
        <f>IFERROR(IF(MATCH(F308,Video_List!$F:$F,)&gt;0,"ok",""),"error")</f>
        <v>ok</v>
      </c>
      <c r="I308" s="102">
        <v>44409.69295138889</v>
      </c>
      <c r="J308" s="8">
        <v>44409.693020833336</v>
      </c>
      <c r="K308" s="15">
        <f t="shared" si="9"/>
        <v>6.9444446125999093E-5</v>
      </c>
      <c r="L308" s="95" t="s">
        <v>32</v>
      </c>
      <c r="M308" s="95" t="s">
        <v>33</v>
      </c>
      <c r="N308" s="96" t="str">
        <f>IF(ISBLANK(C308),"",IF(C308=F308, "1 video",CONCATENATE((+COUNTIFS(Video_List!$C:$C,"&lt;=" &amp;Monitoring!J308)-COUNTIFS(Video_List!$C:$C,"&lt;=" &amp;Monitoring!I308))+1," videos")))</f>
        <v>1 video</v>
      </c>
      <c r="O308" s="29" t="s">
        <v>44</v>
      </c>
      <c r="P308" s="43" t="s">
        <v>37</v>
      </c>
      <c r="Q308" s="43" t="s">
        <v>38</v>
      </c>
      <c r="R308" s="43" t="s">
        <v>185</v>
      </c>
      <c r="S308" s="97" t="str">
        <f>+IFERROR(IF(T308="#N/C","#N/C",IF(U308=0,INDEX(Taxonomy_UniqueValues!D:D,MATCH(U308,Taxonomy_UniqueValues!F:F,0)),INDEX(Taxonomy_UniqueValues!D:D,MATCH(T308,Taxonomy_UniqueValues!E:E,0)))),"#N/C")</f>
        <v>Bibionomorpha</v>
      </c>
      <c r="T308" s="43" t="s">
        <v>186</v>
      </c>
      <c r="U308" s="43" t="s">
        <v>419</v>
      </c>
      <c r="V308" s="43" t="s">
        <v>35</v>
      </c>
      <c r="W308" s="43" t="s">
        <v>35</v>
      </c>
      <c r="X308" s="30" t="s">
        <v>35</v>
      </c>
      <c r="Y308" s="69" t="str" cm="1">
        <f t="array" ref="Y308">_xlfn.LET(_xlpm.cls,P308, _xlpm.ord,IFERROR(Q308,"#N/C"), _xlpm.subord,IFERROR(R308,"#N/C"), _xlpm.infr,IFERROR(S308,"#N/C"), _xlpm.sf,IFERROR(T308,"#N/C"), _xlpm.fam,IFERROR(U308,"#N/C"), _xlpm.subfam,IF(TRIM(V308)="-","#N/C",IFERROR(V308,"#N/C")),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_xlpm.fallback,IF(IFERROR(Q308,"#N/C")="#N/C",P308,IF(IFERROR(R308,"#N/C")="#N/C",Q308,IF(IFERROR(S308,"#N/C")="#N/C",R308,IF(IFERROR(T308,"#N/C")="#N/C",S308,IF(IFERROR(U308,"#N/C")="#N/C",T308,IF(IFERROR(V308,"#N/C")="#N/C",U308,"#N/C")))))), _xlpm.finalResult,IF(OR(_xlpm.computedResult="",_xlpm.computedResult="#N/C"),_xlpm.fallback,_xlpm.computedResult), INDEX(_xlpm.finalResult,1))</f>
        <v>Sciaroidea</v>
      </c>
      <c r="Z308" s="116" t="str" cm="1">
        <f t="array" ref="Z308">IF(OR(Y308="Insecta",Y308="Arachnida",Y308="#N/C"),"",IFERROR(_xlfn.LET(_xlpm.fc,IFERROR(_xlfn._xlws.FILTER(ClassificationClasses[],ClassificationClasses[Classification Class]=Y308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308,ClassificationClasses[Key])),0),MATCH(Y308,INDEX(ClassificationClasses[],MATCH(TRUE,ISNUMBER(SEARCH(Y308,ClassificationClasses[Key])),0),0),0)-1)))</f>
        <v>Bibionomorpha</v>
      </c>
      <c r="AA308" s="116" t="str" cm="1">
        <f t="array" ref="AA308">IFERROR(IF(OR(Z308="Insecta",Z308="Arachnida",Z308="#N/C"),"",INDEX(ClassificationClasses[[Class]:[Infraorder]],MATCH(TRUE,ISNUMBER(SEARCH(Z308,ClassificationClasses[Key])),0),MATCH(Z308,INDEX(ClassificationClasses[#Data], MATCH(TRUE,ISNUMBER(SEARCH(Z308,ClassificationClasses[Key])),0), 0), 0)-1)),"")</f>
        <v>Nematocera</v>
      </c>
      <c r="AB308" s="116" t="str" cm="1">
        <f t="array" ref="AB308">IFERROR(IF(OR(AA308="Insecta",AA308="Arachnida",AA308="#N/C"),"",INDEX(ClassificationClasses[[Class]:[Suborder]],MATCH(TRUE,ISNUMBER(SEARCH(AA308,ClassificationClasses[Key])),0),MATCH(AA308,INDEX(ClassificationClasses[#Data], MATCH(TRUE,ISNUMBER(SEARCH(AA308,ClassificationClasses[Key])),0), 0), 0)-1)),"")</f>
        <v>Diptera</v>
      </c>
      <c r="AC308" s="116" t="str" cm="1">
        <f t="array" ref="AC308">IFERROR(IF(OR(AB308="Insecta",AB308="Arachnida",AB308="#N/C"),"",INDEX(ClassificationClasses[[Class]:[Suborder]],MATCH(TRUE,ISNUMBER(SEARCH(AB308,ClassificationClasses[Key])),0),MATCH(AB308,INDEX(ClassificationClasses[#Data], MATCH(TRUE,ISNUMBER(SEARCH(AB308,ClassificationClasses[Key])),0), 0), 0)-1)),"")</f>
        <v>Insecta</v>
      </c>
      <c r="AD308" s="116" t="str" cm="1">
        <f t="array" ref="AD308">IFERROR(IF(OR(AC308="Insecta",AC308="Arachnida",AC308="#N/C"),"",INDEX(ClassificationClasses[[Class]:[Suborder]],MATCH(TRUE,ISNUMBER(SEARCH(AC308,ClassificationClasses[Key])),0),MATCH(AC308,INDEX(ClassificationClasses[#Data], MATCH(TRUE,ISNUMBER(SEARCH(AC308,ClassificationClasses[Key])),0), 0), 0)-1)),"")</f>
        <v/>
      </c>
      <c r="AE308" s="18" t="str">
        <f t="shared" si="10"/>
        <v>Insecta.Diptera.Nematocera.Bibionomorpha.Sciaroidea.Mycetophilidae.#N/C.#N/C.#N/C</v>
      </c>
    </row>
    <row r="309" spans="1:31" x14ac:dyDescent="0.3">
      <c r="A309" s="91">
        <v>308</v>
      </c>
      <c r="B309" s="7">
        <v>44409</v>
      </c>
      <c r="C309" s="92" t="s">
        <v>546</v>
      </c>
      <c r="D309" s="93" t="str">
        <f>HYPERLINK(VLOOKUP(C309,Video_List!$F:$J,5),"video")</f>
        <v>video</v>
      </c>
      <c r="E309" s="94" t="str">
        <f>IFERROR(IF(MATCH(C309,Video_List!$F:$F,)&gt;0,"ok",""),"error")</f>
        <v>ok</v>
      </c>
      <c r="F309" s="92" t="s">
        <v>546</v>
      </c>
      <c r="G309" s="93" t="str">
        <f>HYPERLINK(VLOOKUP(F309,Video_List!$F:$J,5),"video")</f>
        <v>video</v>
      </c>
      <c r="H309" s="94" t="str">
        <f>IFERROR(IF(MATCH(F309,Video_List!$F:$F,)&gt;0,"ok",""),"error")</f>
        <v>ok</v>
      </c>
      <c r="I309" s="17">
        <v>44409.740624999999</v>
      </c>
      <c r="J309" s="8">
        <v>44409.740752314814</v>
      </c>
      <c r="K309" s="15">
        <f t="shared" si="9"/>
        <v>1.273148154723458E-4</v>
      </c>
      <c r="L309" s="4" t="s">
        <v>32</v>
      </c>
      <c r="M309" s="4" t="s">
        <v>33</v>
      </c>
      <c r="N309" s="96" t="str">
        <f>IF(ISBLANK(C309),"",IF(C309=F309, "1 video",CONCATENATE((+COUNTIFS(Video_List!$C:$C,"&lt;=" &amp;Monitoring!J309)-COUNTIFS(Video_List!$C:$C,"&lt;=" &amp;Monitoring!I309))+1," videos")))</f>
        <v>1 video</v>
      </c>
      <c r="O309" s="29" t="s">
        <v>44</v>
      </c>
      <c r="P309" s="43" t="s">
        <v>37</v>
      </c>
      <c r="Q309" s="43" t="s">
        <v>38</v>
      </c>
      <c r="R309" s="43" t="s">
        <v>39</v>
      </c>
      <c r="S309" s="97" t="str">
        <f>+IFERROR(IF(T309="#N/C","#N/C",IF(U309=0,INDEX(Taxonomy_UniqueValues!D:D,MATCH(U309,Taxonomy_UniqueValues!F:F,0)),INDEX(Taxonomy_UniqueValues!D:D,MATCH(T309,Taxonomy_UniqueValues!E:E,0)))),"#N/C")</f>
        <v>Asilomorpha</v>
      </c>
      <c r="T309" s="43" t="s">
        <v>439</v>
      </c>
      <c r="U309" s="43" t="s">
        <v>440</v>
      </c>
      <c r="V309" s="43" t="s">
        <v>547</v>
      </c>
      <c r="W309" s="43" t="s">
        <v>548</v>
      </c>
      <c r="X309" s="30" t="s">
        <v>35</v>
      </c>
      <c r="Y309" s="69" t="str" cm="1">
        <f t="array" ref="Y309">_xlfn.LET(_xlpm.cls,P309, _xlpm.ord,IFERROR(Q309,"#N/C"), _xlpm.subord,IFERROR(R309,"#N/C"), _xlpm.infr,IFERROR(S309,"#N/C"), _xlpm.sf,IFERROR(T309,"#N/C"), _xlpm.fam,IFERROR(U309,"#N/C"), _xlpm.subfam,IF(TRIM(V309)="-","#N/C",IFERROR(V309,"#N/C")),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_xlpm.fallback,IF(IFERROR(Q309,"#N/C")="#N/C",P309,IF(IFERROR(R309,"#N/C")="#N/C",Q309,IF(IFERROR(S309,"#N/C")="#N/C",R309,IF(IFERROR(T309,"#N/C")="#N/C",S309,IF(IFERROR(U309,"#N/C")="#N/C",T309,IF(IFERROR(V309,"#N/C")="#N/C",U309,"#N/C")))))), _xlpm.finalResult,IF(OR(_xlpm.computedResult="",_xlpm.computedResult="#N/C"),_xlpm.fallback,_xlpm.computedResult), INDEX(_xlpm.finalResult,1))</f>
        <v>dance_fly</v>
      </c>
      <c r="Z309" s="116" t="str" cm="1">
        <f t="array" ref="Z309">IF(OR(Y309="Insecta",Y309="Arachnida",Y309="#N/C"),"",IFERROR(_xlfn.LET(_xlpm.fc,IFERROR(_xlfn._xlws.FILTER(ClassificationClasses[],ClassificationClasses[Classification Class]=Y309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309,ClassificationClasses[Key])),0),MATCH(Y309,INDEX(ClassificationClasses[],MATCH(TRUE,ISNUMBER(SEARCH(Y309,ClassificationClasses[Key])),0),0),0)-1)))</f>
        <v>Asilomorpha</v>
      </c>
      <c r="AA309" s="116" t="str" cm="1">
        <f t="array" ref="AA309">IFERROR(IF(OR(Z309="Insecta",Z309="Arachnida",Z309="#N/C"),"",INDEX(ClassificationClasses[[Class]:[Infraorder]],MATCH(TRUE,ISNUMBER(SEARCH(Z309,ClassificationClasses[Key])),0),MATCH(Z309,INDEX(ClassificationClasses[#Data], MATCH(TRUE,ISNUMBER(SEARCH(Z309,ClassificationClasses[Key])),0), 0), 0)-1)),"")</f>
        <v>Brachycera</v>
      </c>
      <c r="AB309" s="116" t="str" cm="1">
        <f t="array" ref="AB309">IFERROR(IF(OR(AA309="Insecta",AA309="Arachnida",AA309="#N/C"),"",INDEX(ClassificationClasses[[Class]:[Suborder]],MATCH(TRUE,ISNUMBER(SEARCH(AA309,ClassificationClasses[Key])),0),MATCH(AA309,INDEX(ClassificationClasses[#Data], MATCH(TRUE,ISNUMBER(SEARCH(AA309,ClassificationClasses[Key])),0), 0), 0)-1)),"")</f>
        <v>Diptera</v>
      </c>
      <c r="AC309" s="116" t="str" cm="1">
        <f t="array" ref="AC309">IFERROR(IF(OR(AB309="Insecta",AB309="Arachnida",AB309="#N/C"),"",INDEX(ClassificationClasses[[Class]:[Suborder]],MATCH(TRUE,ISNUMBER(SEARCH(AB309,ClassificationClasses[Key])),0),MATCH(AB309,INDEX(ClassificationClasses[#Data], MATCH(TRUE,ISNUMBER(SEARCH(AB309,ClassificationClasses[Key])),0), 0), 0)-1)),"")</f>
        <v>Insecta</v>
      </c>
      <c r="AD309" s="116" t="str" cm="1">
        <f t="array" ref="AD309">IFERROR(IF(OR(AC309="Insecta",AC309="Arachnida",AC309="#N/C"),"",INDEX(ClassificationClasses[[Class]:[Suborder]],MATCH(TRUE,ISNUMBER(SEARCH(AC309,ClassificationClasses[Key])),0),MATCH(AC309,INDEX(ClassificationClasses[#Data], MATCH(TRUE,ISNUMBER(SEARCH(AC309,ClassificationClasses[Key])),0), 0), 0)-1)),"")</f>
        <v/>
      </c>
      <c r="AE309" s="18" t="str">
        <f t="shared" si="10"/>
        <v>Insecta.Diptera.Brachycera.Asilomorpha.Empidoidea.Dolichopodidae.Medeterinae.Medetera.#N/C</v>
      </c>
    </row>
    <row r="310" spans="1:31" x14ac:dyDescent="0.3">
      <c r="A310" s="91">
        <v>309</v>
      </c>
      <c r="B310" s="101">
        <v>44409</v>
      </c>
      <c r="C310" s="92" t="s">
        <v>546</v>
      </c>
      <c r="D310" s="93" t="str">
        <f>HYPERLINK(VLOOKUP(C310,Video_List!$F:$J,5),"video")</f>
        <v>video</v>
      </c>
      <c r="E310" s="94" t="str">
        <f>IFERROR(IF(MATCH(C310,Video_List!$F:$F,)&gt;0,"ok",""),"error")</f>
        <v>ok</v>
      </c>
      <c r="F310" s="92" t="s">
        <v>546</v>
      </c>
      <c r="G310" s="93" t="str">
        <f>HYPERLINK(VLOOKUP(F310,Video_List!$F:$J,5),"video")</f>
        <v>video</v>
      </c>
      <c r="H310" s="94" t="str">
        <f>IFERROR(IF(MATCH(F310,Video_List!$F:$F,)&gt;0,"ok",""),"error")</f>
        <v>ok</v>
      </c>
      <c r="I310" s="102">
        <v>44409.749305555553</v>
      </c>
      <c r="J310" s="8">
        <v>44409.749328703707</v>
      </c>
      <c r="K310" s="15">
        <f t="shared" si="9"/>
        <v>2.3148153559304774E-5</v>
      </c>
      <c r="L310" s="95" t="s">
        <v>32</v>
      </c>
      <c r="M310" s="95" t="s">
        <v>33</v>
      </c>
      <c r="N310" s="96" t="str">
        <f>IF(ISBLANK(C310),"",IF(C310=F310, "1 video",CONCATENATE((+COUNTIFS(Video_List!$C:$C,"&lt;=" &amp;Monitoring!J310)-COUNTIFS(Video_List!$C:$C,"&lt;=" &amp;Monitoring!I310))+1," videos")))</f>
        <v>1 video</v>
      </c>
      <c r="O310" s="29" t="s">
        <v>44</v>
      </c>
      <c r="P310" s="43" t="s">
        <v>37</v>
      </c>
      <c r="Q310" s="43" t="s">
        <v>38</v>
      </c>
      <c r="R310" s="43" t="s">
        <v>185</v>
      </c>
      <c r="S310" s="97" t="str">
        <f>+IFERROR(IF(T310="#N/C","#N/C",IF(U310=0,INDEX(Taxonomy_UniqueValues!D:D,MATCH(U310,Taxonomy_UniqueValues!F:F,0)),INDEX(Taxonomy_UniqueValues!D:D,MATCH(T310,Taxonomy_UniqueValues!E:E,0)))),"#N/C")</f>
        <v>Bibionomorpha</v>
      </c>
      <c r="T310" s="43" t="s">
        <v>186</v>
      </c>
      <c r="U310" s="43" t="s">
        <v>419</v>
      </c>
      <c r="V310" s="43" t="s">
        <v>35</v>
      </c>
      <c r="W310" s="43" t="s">
        <v>35</v>
      </c>
      <c r="X310" s="30" t="s">
        <v>35</v>
      </c>
      <c r="Y310" s="69" t="str" cm="1">
        <f t="array" ref="Y310">_xlfn.LET(_xlpm.cls,P310, _xlpm.ord,IFERROR(Q310,"#N/C"), _xlpm.subord,IFERROR(R310,"#N/C"), _xlpm.infr,IFERROR(S310,"#N/C"), _xlpm.sf,IFERROR(T310,"#N/C"), _xlpm.fam,IFERROR(U310,"#N/C"), _xlpm.subfam,IF(TRIM(V310)="-","#N/C",IFERROR(V310,"#N/C")),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_xlpm.fallback,IF(IFERROR(Q310,"#N/C")="#N/C",P310,IF(IFERROR(R310,"#N/C")="#N/C",Q310,IF(IFERROR(S310,"#N/C")="#N/C",R310,IF(IFERROR(T310,"#N/C")="#N/C",S310,IF(IFERROR(U310,"#N/C")="#N/C",T310,IF(IFERROR(V310,"#N/C")="#N/C",U310,"#N/C")))))), _xlpm.finalResult,IF(OR(_xlpm.computedResult="",_xlpm.computedResult="#N/C"),_xlpm.fallback,_xlpm.computedResult), INDEX(_xlpm.finalResult,1))</f>
        <v>Sciaroidea</v>
      </c>
      <c r="Z310" s="116" t="str" cm="1">
        <f t="array" ref="Z310">IF(OR(Y310="Insecta",Y310="Arachnida",Y310="#N/C"),"",IFERROR(_xlfn.LET(_xlpm.fc,IFERROR(_xlfn._xlws.FILTER(ClassificationClasses[],ClassificationClasses[Classification Class]=Y310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310,ClassificationClasses[Key])),0),MATCH(Y310,INDEX(ClassificationClasses[],MATCH(TRUE,ISNUMBER(SEARCH(Y310,ClassificationClasses[Key])),0),0),0)-1)))</f>
        <v>Bibionomorpha</v>
      </c>
      <c r="AA310" s="116" t="str" cm="1">
        <f t="array" ref="AA310">IFERROR(IF(OR(Z310="Insecta",Z310="Arachnida",Z310="#N/C"),"",INDEX(ClassificationClasses[[Class]:[Infraorder]],MATCH(TRUE,ISNUMBER(SEARCH(Z310,ClassificationClasses[Key])),0),MATCH(Z310,INDEX(ClassificationClasses[#Data], MATCH(TRUE,ISNUMBER(SEARCH(Z310,ClassificationClasses[Key])),0), 0), 0)-1)),"")</f>
        <v>Nematocera</v>
      </c>
      <c r="AB310" s="116" t="str" cm="1">
        <f t="array" ref="AB310">IFERROR(IF(OR(AA310="Insecta",AA310="Arachnida",AA310="#N/C"),"",INDEX(ClassificationClasses[[Class]:[Suborder]],MATCH(TRUE,ISNUMBER(SEARCH(AA310,ClassificationClasses[Key])),0),MATCH(AA310,INDEX(ClassificationClasses[#Data], MATCH(TRUE,ISNUMBER(SEARCH(AA310,ClassificationClasses[Key])),0), 0), 0)-1)),"")</f>
        <v>Diptera</v>
      </c>
      <c r="AC310" s="116" t="str" cm="1">
        <f t="array" ref="AC310">IFERROR(IF(OR(AB310="Insecta",AB310="Arachnida",AB310="#N/C"),"",INDEX(ClassificationClasses[[Class]:[Suborder]],MATCH(TRUE,ISNUMBER(SEARCH(AB310,ClassificationClasses[Key])),0),MATCH(AB310,INDEX(ClassificationClasses[#Data], MATCH(TRUE,ISNUMBER(SEARCH(AB310,ClassificationClasses[Key])),0), 0), 0)-1)),"")</f>
        <v>Insecta</v>
      </c>
      <c r="AD310" s="116" t="str" cm="1">
        <f t="array" ref="AD310">IFERROR(IF(OR(AC310="Insecta",AC310="Arachnida",AC310="#N/C"),"",INDEX(ClassificationClasses[[Class]:[Suborder]],MATCH(TRUE,ISNUMBER(SEARCH(AC310,ClassificationClasses[Key])),0),MATCH(AC310,INDEX(ClassificationClasses[#Data], MATCH(TRUE,ISNUMBER(SEARCH(AC310,ClassificationClasses[Key])),0), 0), 0)-1)),"")</f>
        <v/>
      </c>
      <c r="AE310" s="18" t="str">
        <f t="shared" si="10"/>
        <v>Insecta.Diptera.Nematocera.Bibionomorpha.Sciaroidea.Mycetophilidae.#N/C.#N/C.#N/C</v>
      </c>
    </row>
    <row r="311" spans="1:31" x14ac:dyDescent="0.3">
      <c r="A311" s="91">
        <v>310</v>
      </c>
      <c r="B311" s="101">
        <v>44409</v>
      </c>
      <c r="C311" s="92" t="s">
        <v>549</v>
      </c>
      <c r="D311" s="93" t="str">
        <f>HYPERLINK(VLOOKUP(C311,Video_List!$F:$J,5),"video")</f>
        <v>video</v>
      </c>
      <c r="E311" s="94" t="str">
        <f>IFERROR(IF(MATCH(C311,Video_List!$F:$F,)&gt;0,"ok",""),"error")</f>
        <v>ok</v>
      </c>
      <c r="F311" s="92" t="s">
        <v>549</v>
      </c>
      <c r="G311" s="93" t="str">
        <f>HYPERLINK(VLOOKUP(F311,Video_List!$F:$J,5),"video")</f>
        <v>video</v>
      </c>
      <c r="H311" s="94" t="str">
        <f>IFERROR(IF(MATCH(F311,Video_List!$F:$F,)&gt;0,"ok",""),"error")</f>
        <v>ok</v>
      </c>
      <c r="I311" s="102">
        <v>44409.781469907408</v>
      </c>
      <c r="J311" s="8">
        <v>44409.781539351854</v>
      </c>
      <c r="K311" s="15">
        <f t="shared" si="9"/>
        <v>6.9444446125999093E-5</v>
      </c>
      <c r="L311" s="95" t="s">
        <v>32</v>
      </c>
      <c r="M311" s="95" t="s">
        <v>33</v>
      </c>
      <c r="N311" s="96" t="str">
        <f>IF(ISBLANK(C311),"",IF(C311=F311, "1 video",CONCATENATE((+COUNTIFS(Video_List!$C:$C,"&lt;=" &amp;Monitoring!J311)-COUNTIFS(Video_List!$C:$C,"&lt;=" &amp;Monitoring!I311))+1," videos")))</f>
        <v>1 video</v>
      </c>
      <c r="O311" s="27" t="s">
        <v>32</v>
      </c>
      <c r="P311" s="43" t="s">
        <v>37</v>
      </c>
      <c r="Q311" s="43" t="s">
        <v>38</v>
      </c>
      <c r="R311" s="43" t="s">
        <v>39</v>
      </c>
      <c r="S311" s="97" t="str">
        <f>+IFERROR(IF(T311="#N/C","#N/C",IF(U311=0,INDEX(Taxonomy_UniqueValues!D:D,MATCH(U311,Taxonomy_UniqueValues!F:F,0)),INDEX(Taxonomy_UniqueValues!D:D,MATCH(T311,Taxonomy_UniqueValues!E:E,0)))),"#N/C")</f>
        <v>Muscomorpha</v>
      </c>
      <c r="T311" s="43" t="s">
        <v>175</v>
      </c>
      <c r="U311" s="43" t="s">
        <v>176</v>
      </c>
      <c r="V311" s="43">
        <v>0</v>
      </c>
      <c r="W311" s="43" t="s">
        <v>177</v>
      </c>
      <c r="X311" s="30" t="s">
        <v>550</v>
      </c>
      <c r="Y311" s="69" t="str" cm="1">
        <f t="array" ref="Y311">_xlfn.LET(_xlpm.cls,P311, _xlpm.ord,IFERROR(Q311,"#N/C"), _xlpm.subord,IFERROR(R311,"#N/C"), _xlpm.infr,IFERROR(S311,"#N/C"), _xlpm.sf,IFERROR(T311,"#N/C"), _xlpm.fam,IFERROR(U311,"#N/C"), _xlpm.subfam,IF(TRIM(V311)="-","#N/C",IFERROR(V311,"#N/C")),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_xlpm.fallback,IF(IFERROR(Q311,"#N/C")="#N/C",P311,IF(IFERROR(R311,"#N/C")="#N/C",Q311,IF(IFERROR(S311,"#N/C")="#N/C",R311,IF(IFERROR(T311,"#N/C")="#N/C",S311,IF(IFERROR(U311,"#N/C")="#N/C",T311,IF(IFERROR(V311,"#N/C")="#N/C",U311,"#N/C")))))), _xlpm.finalResult,IF(OR(_xlpm.computedResult="",_xlpm.computedResult="#N/C"),_xlpm.fallback,_xlpm.computedResult), INDEX(_xlpm.finalResult,1))</f>
        <v>fly</v>
      </c>
      <c r="Z311" s="116" t="str" cm="1">
        <f t="array" ref="Z311">IF(OR(Y311="Insecta",Y311="Arachnida",Y311="#N/C"),"",IFERROR(_xlfn.LET(_xlpm.fc,IFERROR(_xlfn._xlws.FILTER(ClassificationClasses[],ClassificationClasses[Classification Class]=Y311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311,ClassificationClasses[Key])),0),MATCH(Y311,INDEX(ClassificationClasses[],MATCH(TRUE,ISNUMBER(SEARCH(Y311,ClassificationClasses[Key])),0),0),0)-1)))</f>
        <v>Muscomorpha</v>
      </c>
      <c r="AA311" s="116" t="str" cm="1">
        <f t="array" ref="AA311">IFERROR(IF(OR(Z311="Insecta",Z311="Arachnida",Z311="#N/C"),"",INDEX(ClassificationClasses[[Class]:[Infraorder]],MATCH(TRUE,ISNUMBER(SEARCH(Z311,ClassificationClasses[Key])),0),MATCH(Z311,INDEX(ClassificationClasses[#Data], MATCH(TRUE,ISNUMBER(SEARCH(Z311,ClassificationClasses[Key])),0), 0), 0)-1)),"")</f>
        <v>Brachycera</v>
      </c>
      <c r="AB311" s="116" t="str" cm="1">
        <f t="array" ref="AB311">IFERROR(IF(OR(AA311="Insecta",AA311="Arachnida",AA311="#N/C"),"",INDEX(ClassificationClasses[[Class]:[Suborder]],MATCH(TRUE,ISNUMBER(SEARCH(AA311,ClassificationClasses[Key])),0),MATCH(AA311,INDEX(ClassificationClasses[#Data], MATCH(TRUE,ISNUMBER(SEARCH(AA311,ClassificationClasses[Key])),0), 0), 0)-1)),"")</f>
        <v>Diptera</v>
      </c>
      <c r="AC311" s="116" t="str" cm="1">
        <f t="array" ref="AC311">IFERROR(IF(OR(AB311="Insecta",AB311="Arachnida",AB311="#N/C"),"",INDEX(ClassificationClasses[[Class]:[Suborder]],MATCH(TRUE,ISNUMBER(SEARCH(AB311,ClassificationClasses[Key])),0),MATCH(AB311,INDEX(ClassificationClasses[#Data], MATCH(TRUE,ISNUMBER(SEARCH(AB311,ClassificationClasses[Key])),0), 0), 0)-1)),"")</f>
        <v>Insecta</v>
      </c>
      <c r="AD311" s="116" t="str" cm="1">
        <f t="array" ref="AD311">IFERROR(IF(OR(AC311="Insecta",AC311="Arachnida",AC311="#N/C"),"",INDEX(ClassificationClasses[[Class]:[Suborder]],MATCH(TRUE,ISNUMBER(SEARCH(AC311,ClassificationClasses[Key])),0),MATCH(AC311,INDEX(ClassificationClasses[#Data], MATCH(TRUE,ISNUMBER(SEARCH(AC311,ClassificationClasses[Key])),0), 0), 0)-1)),"")</f>
        <v/>
      </c>
      <c r="AE311" s="18" t="str">
        <f t="shared" si="10"/>
        <v>Insecta.Diptera.Brachycera.Muscomorpha.Muscoidea.Fanniidae.0.Fannia.canicularis</v>
      </c>
    </row>
    <row r="312" spans="1:31" x14ac:dyDescent="0.3">
      <c r="A312" s="91">
        <v>311</v>
      </c>
      <c r="B312" s="101">
        <v>44410</v>
      </c>
      <c r="C312" s="92" t="s">
        <v>551</v>
      </c>
      <c r="D312" s="93" t="str">
        <f>HYPERLINK(VLOOKUP(C312,Video_List!$F:$J,5),"video")</f>
        <v>video</v>
      </c>
      <c r="E312" s="94" t="str">
        <f>IFERROR(IF(MATCH(C312,Video_List!$F:$F,)&gt;0,"ok",""),"error")</f>
        <v>ok</v>
      </c>
      <c r="F312" s="92" t="s">
        <v>552</v>
      </c>
      <c r="G312" s="93" t="str">
        <f>HYPERLINK(VLOOKUP(F312,Video_List!$F:$J,5),"video")</f>
        <v>video</v>
      </c>
      <c r="H312" s="94" t="str">
        <f>IFERROR(IF(MATCH(F312,Video_List!$F:$F,)&gt;0,"ok",""),"error")</f>
        <v>ok</v>
      </c>
      <c r="I312" s="102">
        <v>44410.259282407409</v>
      </c>
      <c r="J312" s="8">
        <v>44410.340729166666</v>
      </c>
      <c r="K312" s="15">
        <f t="shared" si="9"/>
        <v>8.144675925723277E-2</v>
      </c>
      <c r="L312" s="95" t="s">
        <v>44</v>
      </c>
      <c r="M312" s="95" t="s">
        <v>118</v>
      </c>
      <c r="N312" s="96" t="str">
        <f>IF(ISBLANK(C312),"",IF(C312=F312, "1 video",CONCATENATE((+COUNTIFS(Video_List!$C:$C,"&lt;=" &amp;Monitoring!J312)-COUNTIFS(Video_List!$C:$C,"&lt;=" &amp;Monitoring!I312))+1," videos")))</f>
        <v>2 videos</v>
      </c>
      <c r="O312" s="29" t="s">
        <v>44</v>
      </c>
      <c r="P312" s="43" t="s">
        <v>37</v>
      </c>
      <c r="Q312" s="43" t="s">
        <v>123</v>
      </c>
      <c r="R312" s="43" t="s">
        <v>287</v>
      </c>
      <c r="S312" s="97" t="str">
        <f>+IFERROR(IF(T312="#N/C","#N/C",IF(U312=0,INDEX(Taxonomy_UniqueValues!D:D,MATCH(U312,Taxonomy_UniqueValues!F:F,0)),INDEX(Taxonomy_UniqueValues!D:D,MATCH(T312,Taxonomy_UniqueValues!E:E,0)))),"#N/C")</f>
        <v>Tettigoniidea</v>
      </c>
      <c r="T312" s="43" t="s">
        <v>288</v>
      </c>
      <c r="U312" s="43" t="s">
        <v>289</v>
      </c>
      <c r="V312" s="43" t="s">
        <v>487</v>
      </c>
      <c r="W312" s="43" t="s">
        <v>488</v>
      </c>
      <c r="X312" s="30" t="s">
        <v>35</v>
      </c>
      <c r="Y312" s="69" t="str" cm="1">
        <f t="array" ref="Y312">_xlfn.LET(_xlpm.cls,P312, _xlpm.ord,IFERROR(Q312,"#N/C"), _xlpm.subord,IFERROR(R312,"#N/C"), _xlpm.infr,IFERROR(S312,"#N/C"), _xlpm.sf,IFERROR(T312,"#N/C"), _xlpm.fam,IFERROR(U312,"#N/C"), _xlpm.subfam,IF(TRIM(V312)="-","#N/C",IFERROR(V312,"#N/C")),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_xlpm.fallback,IF(IFERROR(Q312,"#N/C")="#N/C",P312,IF(IFERROR(R312,"#N/C")="#N/C",Q312,IF(IFERROR(S312,"#N/C")="#N/C",R312,IF(IFERROR(T312,"#N/C")="#N/C",S312,IF(IFERROR(U312,"#N/C")="#N/C",T312,IF(IFERROR(V312,"#N/C")="#N/C",U312,"#N/C")))))), _xlpm.finalResult,IF(OR(_xlpm.computedResult="",_xlpm.computedResult="#N/C"),_xlpm.fallback,_xlpm.computedResult), INDEX(_xlpm.finalResult,1))</f>
        <v>grasshopper</v>
      </c>
      <c r="Z312" s="116" t="str" cm="1">
        <f t="array" ref="Z312">IF(OR(Y312="Insecta",Y312="Arachnida",Y312="#N/C"),"",IFERROR(_xlfn.LET(_xlpm.fc,IFERROR(_xlfn._xlws.FILTER(ClassificationClasses[],ClassificationClasses[Classification Class]=Y312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312,ClassificationClasses[Key])),0),MATCH(Y312,INDEX(ClassificationClasses[],MATCH(TRUE,ISNUMBER(SEARCH(Y312,ClassificationClasses[Key])),0),0),0)-1)))</f>
        <v>Orthoptera</v>
      </c>
      <c r="AA312" s="116" t="str" cm="1">
        <f t="array" ref="AA312">IFERROR(IF(OR(Z312="Insecta",Z312="Arachnida",Z312="#N/C"),"",INDEX(ClassificationClasses[[Class]:[Infraorder]],MATCH(TRUE,ISNUMBER(SEARCH(Z312,ClassificationClasses[Key])),0),MATCH(Z312,INDEX(ClassificationClasses[#Data], MATCH(TRUE,ISNUMBER(SEARCH(Z312,ClassificationClasses[Key])),0), 0), 0)-1)),"")</f>
        <v>Insecta</v>
      </c>
      <c r="AB312" s="116" t="str" cm="1">
        <f t="array" ref="AB312">IFERROR(IF(OR(AA312="Insecta",AA312="Arachnida",AA312="#N/C"),"",INDEX(ClassificationClasses[[Class]:[Suborder]],MATCH(TRUE,ISNUMBER(SEARCH(AA312,ClassificationClasses[Key])),0),MATCH(AA312,INDEX(ClassificationClasses[#Data], MATCH(TRUE,ISNUMBER(SEARCH(AA312,ClassificationClasses[Key])),0), 0), 0)-1)),"")</f>
        <v/>
      </c>
      <c r="AC312" s="116" t="str" cm="1">
        <f t="array" ref="AC312">IFERROR(IF(OR(AB312="Insecta",AB312="Arachnida",AB312="#N/C"),"",INDEX(ClassificationClasses[[Class]:[Suborder]],MATCH(TRUE,ISNUMBER(SEARCH(AB312,ClassificationClasses[Key])),0),MATCH(AB312,INDEX(ClassificationClasses[#Data], MATCH(TRUE,ISNUMBER(SEARCH(AB312,ClassificationClasses[Key])),0), 0), 0)-1)),"")</f>
        <v/>
      </c>
      <c r="AD312" s="116" t="str" cm="1">
        <f t="array" ref="AD312">IFERROR(IF(OR(AC312="Insecta",AC312="Arachnida",AC312="#N/C"),"",INDEX(ClassificationClasses[[Class]:[Suborder]],MATCH(TRUE,ISNUMBER(SEARCH(AC312,ClassificationClasses[Key])),0),MATCH(AC312,INDEX(ClassificationClasses[#Data], MATCH(TRUE,ISNUMBER(SEARCH(AC312,ClassificationClasses[Key])),0), 0), 0)-1)),"")</f>
        <v/>
      </c>
      <c r="AE312" s="18" t="str">
        <f t="shared" si="10"/>
        <v>Insecta.Orthoptera.Ensifera.Tettigoniidea.Tettigonioidea.Tettigoniidae.Conocephalinae.Conocephalus.#N/C</v>
      </c>
    </row>
    <row r="313" spans="1:31" x14ac:dyDescent="0.3">
      <c r="A313" s="91">
        <v>312</v>
      </c>
      <c r="B313" s="101">
        <v>44410</v>
      </c>
      <c r="C313" s="92" t="s">
        <v>553</v>
      </c>
      <c r="D313" s="93" t="str">
        <f>HYPERLINK(VLOOKUP(C313,Video_List!$F:$J,5),"video")</f>
        <v>video</v>
      </c>
      <c r="E313" s="94" t="str">
        <f>IFERROR(IF(MATCH(C313,Video_List!$F:$F,)&gt;0,"ok",""),"error")</f>
        <v>ok</v>
      </c>
      <c r="F313" s="92" t="s">
        <v>554</v>
      </c>
      <c r="G313" s="93" t="str">
        <f>HYPERLINK(VLOOKUP(F313,Video_List!$F:$J,5),"video")</f>
        <v>video</v>
      </c>
      <c r="H313" s="94" t="str">
        <f>IFERROR(IF(MATCH(F313,Video_List!$F:$F,)&gt;0,"ok",""),"error")</f>
        <v>ok</v>
      </c>
      <c r="I313" s="102">
        <v>44410.36959490741</v>
      </c>
      <c r="J313" s="8">
        <v>44410.393391203703</v>
      </c>
      <c r="K313" s="15">
        <f t="shared" si="9"/>
        <v>2.3796296292857733E-2</v>
      </c>
      <c r="L313" s="95" t="s">
        <v>44</v>
      </c>
      <c r="M313" s="95" t="s">
        <v>118</v>
      </c>
      <c r="N313" s="96" t="str">
        <f>IF(ISBLANK(C313),"",IF(C313=F313, "1 video",CONCATENATE((+COUNTIFS(Video_List!$C:$C,"&lt;=" &amp;Monitoring!J313)-COUNTIFS(Video_List!$C:$C,"&lt;=" &amp;Monitoring!I313))+1," videos")))</f>
        <v>2 videos</v>
      </c>
      <c r="O313" s="29" t="s">
        <v>44</v>
      </c>
      <c r="P313" s="43" t="s">
        <v>37</v>
      </c>
      <c r="Q313" s="43" t="s">
        <v>123</v>
      </c>
      <c r="R313" s="43" t="s">
        <v>287</v>
      </c>
      <c r="S313" s="97" t="str">
        <f>+IFERROR(IF(T313="#N/C","#N/C",IF(U313=0,INDEX(Taxonomy_UniqueValues!D:D,MATCH(U313,Taxonomy_UniqueValues!F:F,0)),INDEX(Taxonomy_UniqueValues!D:D,MATCH(T313,Taxonomy_UniqueValues!E:E,0)))),"#N/C")</f>
        <v>Tettigoniidea</v>
      </c>
      <c r="T313" s="43" t="s">
        <v>288</v>
      </c>
      <c r="U313" s="43" t="s">
        <v>289</v>
      </c>
      <c r="V313" s="43" t="s">
        <v>487</v>
      </c>
      <c r="W313" s="43" t="s">
        <v>488</v>
      </c>
      <c r="X313" s="30" t="s">
        <v>35</v>
      </c>
      <c r="Y313" s="69" t="str" cm="1">
        <f t="array" ref="Y313">_xlfn.LET(_xlpm.cls,P313, _xlpm.ord,IFERROR(Q313,"#N/C"), _xlpm.subord,IFERROR(R313,"#N/C"), _xlpm.infr,IFERROR(S313,"#N/C"), _xlpm.sf,IFERROR(T313,"#N/C"), _xlpm.fam,IFERROR(U313,"#N/C"), _xlpm.subfam,IF(TRIM(V313)="-","#N/C",IFERROR(V313,"#N/C")),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_xlpm.fallback,IF(IFERROR(Q313,"#N/C")="#N/C",P313,IF(IFERROR(R313,"#N/C")="#N/C",Q313,IF(IFERROR(S313,"#N/C")="#N/C",R313,IF(IFERROR(T313,"#N/C")="#N/C",S313,IF(IFERROR(U313,"#N/C")="#N/C",T313,IF(IFERROR(V313,"#N/C")="#N/C",U313,"#N/C")))))), _xlpm.finalResult,IF(OR(_xlpm.computedResult="",_xlpm.computedResult="#N/C"),_xlpm.fallback,_xlpm.computedResult), INDEX(_xlpm.finalResult,1))</f>
        <v>grasshopper</v>
      </c>
      <c r="Z313" s="116" t="str" cm="1">
        <f t="array" ref="Z313">IF(OR(Y313="Insecta",Y313="Arachnida",Y313="#N/C"),"",IFERROR(_xlfn.LET(_xlpm.fc,IFERROR(_xlfn._xlws.FILTER(ClassificationClasses[],ClassificationClasses[Classification Class]=Y313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313,ClassificationClasses[Key])),0),MATCH(Y313,INDEX(ClassificationClasses[],MATCH(TRUE,ISNUMBER(SEARCH(Y313,ClassificationClasses[Key])),0),0),0)-1)))</f>
        <v>Orthoptera</v>
      </c>
      <c r="AA313" s="116" t="str" cm="1">
        <f t="array" ref="AA313">IFERROR(IF(OR(Z313="Insecta",Z313="Arachnida",Z313="#N/C"),"",INDEX(ClassificationClasses[[Class]:[Infraorder]],MATCH(TRUE,ISNUMBER(SEARCH(Z313,ClassificationClasses[Key])),0),MATCH(Z313,INDEX(ClassificationClasses[#Data], MATCH(TRUE,ISNUMBER(SEARCH(Z313,ClassificationClasses[Key])),0), 0), 0)-1)),"")</f>
        <v>Insecta</v>
      </c>
      <c r="AB313" s="116" t="str" cm="1">
        <f t="array" ref="AB313">IFERROR(IF(OR(AA313="Insecta",AA313="Arachnida",AA313="#N/C"),"",INDEX(ClassificationClasses[[Class]:[Suborder]],MATCH(TRUE,ISNUMBER(SEARCH(AA313,ClassificationClasses[Key])),0),MATCH(AA313,INDEX(ClassificationClasses[#Data], MATCH(TRUE,ISNUMBER(SEARCH(AA313,ClassificationClasses[Key])),0), 0), 0)-1)),"")</f>
        <v/>
      </c>
      <c r="AC313" s="116" t="str" cm="1">
        <f t="array" ref="AC313">IFERROR(IF(OR(AB313="Insecta",AB313="Arachnida",AB313="#N/C"),"",INDEX(ClassificationClasses[[Class]:[Suborder]],MATCH(TRUE,ISNUMBER(SEARCH(AB313,ClassificationClasses[Key])),0),MATCH(AB313,INDEX(ClassificationClasses[#Data], MATCH(TRUE,ISNUMBER(SEARCH(AB313,ClassificationClasses[Key])),0), 0), 0)-1)),"")</f>
        <v/>
      </c>
      <c r="AD313" s="116" t="str" cm="1">
        <f t="array" ref="AD313">IFERROR(IF(OR(AC313="Insecta",AC313="Arachnida",AC313="#N/C"),"",INDEX(ClassificationClasses[[Class]:[Suborder]],MATCH(TRUE,ISNUMBER(SEARCH(AC313,ClassificationClasses[Key])),0),MATCH(AC313,INDEX(ClassificationClasses[#Data], MATCH(TRUE,ISNUMBER(SEARCH(AC313,ClassificationClasses[Key])),0), 0), 0)-1)),"")</f>
        <v/>
      </c>
      <c r="AE313" s="18" t="str">
        <f t="shared" si="10"/>
        <v>Insecta.Orthoptera.Ensifera.Tettigoniidea.Tettigonioidea.Tettigoniidae.Conocephalinae.Conocephalus.#N/C</v>
      </c>
    </row>
    <row r="314" spans="1:31" x14ac:dyDescent="0.3">
      <c r="A314" s="91">
        <v>313</v>
      </c>
      <c r="B314" s="101">
        <v>44410</v>
      </c>
      <c r="C314" s="92" t="s">
        <v>554</v>
      </c>
      <c r="D314" s="93" t="str">
        <f>HYPERLINK(VLOOKUP(C314,Video_List!$F:$J,5),"video")</f>
        <v>video</v>
      </c>
      <c r="E314" s="94" t="str">
        <f>IFERROR(IF(MATCH(C314,Video_List!$F:$F,)&gt;0,"ok",""),"error")</f>
        <v>ok</v>
      </c>
      <c r="F314" s="92" t="s">
        <v>554</v>
      </c>
      <c r="G314" s="93" t="str">
        <f>HYPERLINK(VLOOKUP(F314,Video_List!$F:$J,5),"video")</f>
        <v>video</v>
      </c>
      <c r="H314" s="94" t="str">
        <f>IFERROR(IF(MATCH(F314,Video_List!$F:$F,)&gt;0,"ok",""),"error")</f>
        <v>ok</v>
      </c>
      <c r="I314" s="102">
        <v>44410.371689814812</v>
      </c>
      <c r="J314" s="8">
        <v>44410.395925925928</v>
      </c>
      <c r="K314" s="15">
        <f t="shared" si="9"/>
        <v>2.4236111115897074E-2</v>
      </c>
      <c r="L314" s="95" t="s">
        <v>44</v>
      </c>
      <c r="M314" s="95" t="s">
        <v>118</v>
      </c>
      <c r="N314" s="96" t="str">
        <f>IF(ISBLANK(C314),"",IF(C314=F314, "1 video",CONCATENATE((+COUNTIFS(Video_List!$C:$C,"&lt;=" &amp;Monitoring!J314)-COUNTIFS(Video_List!$C:$C,"&lt;=" &amp;Monitoring!I314))+1," videos")))</f>
        <v>1 video</v>
      </c>
      <c r="O314" s="29" t="s">
        <v>44</v>
      </c>
      <c r="P314" s="43" t="s">
        <v>37</v>
      </c>
      <c r="Q314" s="43" t="s">
        <v>123</v>
      </c>
      <c r="R314" s="43" t="s">
        <v>287</v>
      </c>
      <c r="S314" s="97" t="str">
        <f>+IFERROR(IF(T314="#N/C","#N/C",IF(U314=0,INDEX(Taxonomy_UniqueValues!D:D,MATCH(U314,Taxonomy_UniqueValues!F:F,0)),INDEX(Taxonomy_UniqueValues!D:D,MATCH(T314,Taxonomy_UniqueValues!E:E,0)))),"#N/C")</f>
        <v>Tettigoniidea</v>
      </c>
      <c r="T314" s="43" t="s">
        <v>288</v>
      </c>
      <c r="U314" s="43" t="s">
        <v>289</v>
      </c>
      <c r="V314" s="43" t="s">
        <v>487</v>
      </c>
      <c r="W314" s="43" t="s">
        <v>488</v>
      </c>
      <c r="X314" s="30" t="s">
        <v>35</v>
      </c>
      <c r="Y314" s="69" t="str" cm="1">
        <f t="array" ref="Y314">_xlfn.LET(_xlpm.cls,P314, _xlpm.ord,IFERROR(Q314,"#N/C"), _xlpm.subord,IFERROR(R314,"#N/C"), _xlpm.infr,IFERROR(S314,"#N/C"), _xlpm.sf,IFERROR(T314,"#N/C"), _xlpm.fam,IFERROR(U314,"#N/C"), _xlpm.subfam,IF(TRIM(V314)="-","#N/C",IFERROR(V314,"#N/C")),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_xlpm.fallback,IF(IFERROR(Q314,"#N/C")="#N/C",P314,IF(IFERROR(R314,"#N/C")="#N/C",Q314,IF(IFERROR(S314,"#N/C")="#N/C",R314,IF(IFERROR(T314,"#N/C")="#N/C",S314,IF(IFERROR(U314,"#N/C")="#N/C",T314,IF(IFERROR(V314,"#N/C")="#N/C",U314,"#N/C")))))), _xlpm.finalResult,IF(OR(_xlpm.computedResult="",_xlpm.computedResult="#N/C"),_xlpm.fallback,_xlpm.computedResult), INDEX(_xlpm.finalResult,1))</f>
        <v>grasshopper</v>
      </c>
      <c r="Z314" s="116" t="str" cm="1">
        <f t="array" ref="Z314">IF(OR(Y314="Insecta",Y314="Arachnida",Y314="#N/C"),"",IFERROR(_xlfn.LET(_xlpm.fc,IFERROR(_xlfn._xlws.FILTER(ClassificationClasses[],ClassificationClasses[Classification Class]=Y314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314,ClassificationClasses[Key])),0),MATCH(Y314,INDEX(ClassificationClasses[],MATCH(TRUE,ISNUMBER(SEARCH(Y314,ClassificationClasses[Key])),0),0),0)-1)))</f>
        <v>Orthoptera</v>
      </c>
      <c r="AA314" s="116" t="str" cm="1">
        <f t="array" ref="AA314">IFERROR(IF(OR(Z314="Insecta",Z314="Arachnida",Z314="#N/C"),"",INDEX(ClassificationClasses[[Class]:[Infraorder]],MATCH(TRUE,ISNUMBER(SEARCH(Z314,ClassificationClasses[Key])),0),MATCH(Z314,INDEX(ClassificationClasses[#Data], MATCH(TRUE,ISNUMBER(SEARCH(Z314,ClassificationClasses[Key])),0), 0), 0)-1)),"")</f>
        <v>Insecta</v>
      </c>
      <c r="AB314" s="116" t="str" cm="1">
        <f t="array" ref="AB314">IFERROR(IF(OR(AA314="Insecta",AA314="Arachnida",AA314="#N/C"),"",INDEX(ClassificationClasses[[Class]:[Suborder]],MATCH(TRUE,ISNUMBER(SEARCH(AA314,ClassificationClasses[Key])),0),MATCH(AA314,INDEX(ClassificationClasses[#Data], MATCH(TRUE,ISNUMBER(SEARCH(AA314,ClassificationClasses[Key])),0), 0), 0)-1)),"")</f>
        <v/>
      </c>
      <c r="AC314" s="116" t="str" cm="1">
        <f t="array" ref="AC314">IFERROR(IF(OR(AB314="Insecta",AB314="Arachnida",AB314="#N/C"),"",INDEX(ClassificationClasses[[Class]:[Suborder]],MATCH(TRUE,ISNUMBER(SEARCH(AB314,ClassificationClasses[Key])),0),MATCH(AB314,INDEX(ClassificationClasses[#Data], MATCH(TRUE,ISNUMBER(SEARCH(AB314,ClassificationClasses[Key])),0), 0), 0)-1)),"")</f>
        <v/>
      </c>
      <c r="AD314" s="116" t="str" cm="1">
        <f t="array" ref="AD314">IFERROR(IF(OR(AC314="Insecta",AC314="Arachnida",AC314="#N/C"),"",INDEX(ClassificationClasses[[Class]:[Suborder]],MATCH(TRUE,ISNUMBER(SEARCH(AC314,ClassificationClasses[Key])),0),MATCH(AC314,INDEX(ClassificationClasses[#Data], MATCH(TRUE,ISNUMBER(SEARCH(AC314,ClassificationClasses[Key])),0), 0), 0)-1)),"")</f>
        <v/>
      </c>
      <c r="AE314" s="18" t="str">
        <f t="shared" si="10"/>
        <v>Insecta.Orthoptera.Ensifera.Tettigoniidea.Tettigonioidea.Tettigoniidae.Conocephalinae.Conocephalus.#N/C</v>
      </c>
    </row>
    <row r="315" spans="1:31" x14ac:dyDescent="0.3">
      <c r="A315" s="91">
        <v>314</v>
      </c>
      <c r="B315" s="101">
        <v>44410</v>
      </c>
      <c r="C315" s="92" t="s">
        <v>554</v>
      </c>
      <c r="D315" s="93" t="str">
        <f>HYPERLINK(VLOOKUP(C315,Video_List!$F:$J,5),"video")</f>
        <v>video</v>
      </c>
      <c r="E315" s="94" t="str">
        <f>IFERROR(IF(MATCH(C315,Video_List!$F:$F,)&gt;0,"ok",""),"error")</f>
        <v>ok</v>
      </c>
      <c r="F315" s="92" t="s">
        <v>555</v>
      </c>
      <c r="G315" s="93" t="str">
        <f>HYPERLINK(VLOOKUP(F315,Video_List!$F:$J,5),"video")</f>
        <v>video</v>
      </c>
      <c r="H315" s="94" t="str">
        <f>IFERROR(IF(MATCH(F315,Video_List!$F:$F,)&gt;0,"ok",""),"error")</f>
        <v>ok</v>
      </c>
      <c r="I315" s="102">
        <v>44410.371689814812</v>
      </c>
      <c r="J315" s="8">
        <v>44410.545034722221</v>
      </c>
      <c r="K315" s="15">
        <f t="shared" si="9"/>
        <v>0.17334490740904585</v>
      </c>
      <c r="L315" s="95" t="s">
        <v>44</v>
      </c>
      <c r="M315" s="95" t="s">
        <v>33</v>
      </c>
      <c r="N315" s="96" t="str">
        <f>IF(ISBLANK(C315),"",IF(C315=F315, "1 video",CONCATENATE((+COUNTIFS(Video_List!$C:$C,"&lt;=" &amp;Monitoring!J315)-COUNTIFS(Video_List!$C:$C,"&lt;=" &amp;Monitoring!I315))+1," videos")))</f>
        <v>3 videos</v>
      </c>
      <c r="O315" s="29" t="s">
        <v>44</v>
      </c>
      <c r="P315" s="43" t="s">
        <v>37</v>
      </c>
      <c r="Q315" s="43" t="s">
        <v>123</v>
      </c>
      <c r="R315" s="43" t="s">
        <v>287</v>
      </c>
      <c r="S315" s="97" t="str">
        <f>+IFERROR(IF(T315="#N/C","#N/C",IF(U315=0,INDEX(Taxonomy_UniqueValues!D:D,MATCH(U315,Taxonomy_UniqueValues!F:F,0)),INDEX(Taxonomy_UniqueValues!D:D,MATCH(T315,Taxonomy_UniqueValues!E:E,0)))),"#N/C")</f>
        <v>Tettigoniidea</v>
      </c>
      <c r="T315" s="43" t="s">
        <v>288</v>
      </c>
      <c r="U315" s="43" t="s">
        <v>289</v>
      </c>
      <c r="V315" s="43" t="s">
        <v>487</v>
      </c>
      <c r="W315" s="43" t="s">
        <v>488</v>
      </c>
      <c r="X315" s="30" t="s">
        <v>35</v>
      </c>
      <c r="Y315" s="69" t="str" cm="1">
        <f t="array" ref="Y315">_xlfn.LET(_xlpm.cls,P315, _xlpm.ord,IFERROR(Q315,"#N/C"), _xlpm.subord,IFERROR(R315,"#N/C"), _xlpm.infr,IFERROR(S315,"#N/C"), _xlpm.sf,IFERROR(T315,"#N/C"), _xlpm.fam,IFERROR(U315,"#N/C"), _xlpm.subfam,IF(TRIM(V315)="-","#N/C",IFERROR(V315,"#N/C")),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_xlpm.fallback,IF(IFERROR(Q315,"#N/C")="#N/C",P315,IF(IFERROR(R315,"#N/C")="#N/C",Q315,IF(IFERROR(S315,"#N/C")="#N/C",R315,IF(IFERROR(T315,"#N/C")="#N/C",S315,IF(IFERROR(U315,"#N/C")="#N/C",T315,IF(IFERROR(V315,"#N/C")="#N/C",U315,"#N/C")))))), _xlpm.finalResult,IF(OR(_xlpm.computedResult="",_xlpm.computedResult="#N/C"),_xlpm.fallback,_xlpm.computedResult), INDEX(_xlpm.finalResult,1))</f>
        <v>grasshopper</v>
      </c>
      <c r="Z315" s="116" t="str" cm="1">
        <f t="array" ref="Z315">IF(OR(Y315="Insecta",Y315="Arachnida",Y315="#N/C"),"",IFERROR(_xlfn.LET(_xlpm.fc,IFERROR(_xlfn._xlws.FILTER(ClassificationClasses[],ClassificationClasses[Classification Class]=Y315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315,ClassificationClasses[Key])),0),MATCH(Y315,INDEX(ClassificationClasses[],MATCH(TRUE,ISNUMBER(SEARCH(Y315,ClassificationClasses[Key])),0),0),0)-1)))</f>
        <v>Orthoptera</v>
      </c>
      <c r="AA315" s="116" t="str" cm="1">
        <f t="array" ref="AA315">IFERROR(IF(OR(Z315="Insecta",Z315="Arachnida",Z315="#N/C"),"",INDEX(ClassificationClasses[[Class]:[Infraorder]],MATCH(TRUE,ISNUMBER(SEARCH(Z315,ClassificationClasses[Key])),0),MATCH(Z315,INDEX(ClassificationClasses[#Data], MATCH(TRUE,ISNUMBER(SEARCH(Z315,ClassificationClasses[Key])),0), 0), 0)-1)),"")</f>
        <v>Insecta</v>
      </c>
      <c r="AB315" s="116" t="str" cm="1">
        <f t="array" ref="AB315">IFERROR(IF(OR(AA315="Insecta",AA315="Arachnida",AA315="#N/C"),"",INDEX(ClassificationClasses[[Class]:[Suborder]],MATCH(TRUE,ISNUMBER(SEARCH(AA315,ClassificationClasses[Key])),0),MATCH(AA315,INDEX(ClassificationClasses[#Data], MATCH(TRUE,ISNUMBER(SEARCH(AA315,ClassificationClasses[Key])),0), 0), 0)-1)),"")</f>
        <v/>
      </c>
      <c r="AC315" s="116" t="str" cm="1">
        <f t="array" ref="AC315">IFERROR(IF(OR(AB315="Insecta",AB315="Arachnida",AB315="#N/C"),"",INDEX(ClassificationClasses[[Class]:[Suborder]],MATCH(TRUE,ISNUMBER(SEARCH(AB315,ClassificationClasses[Key])),0),MATCH(AB315,INDEX(ClassificationClasses[#Data], MATCH(TRUE,ISNUMBER(SEARCH(AB315,ClassificationClasses[Key])),0), 0), 0)-1)),"")</f>
        <v/>
      </c>
      <c r="AD315" s="116" t="str" cm="1">
        <f t="array" ref="AD315">IFERROR(IF(OR(AC315="Insecta",AC315="Arachnida",AC315="#N/C"),"",INDEX(ClassificationClasses[[Class]:[Suborder]],MATCH(TRUE,ISNUMBER(SEARCH(AC315,ClassificationClasses[Key])),0),MATCH(AC315,INDEX(ClassificationClasses[#Data], MATCH(TRUE,ISNUMBER(SEARCH(AC315,ClassificationClasses[Key])),0), 0), 0)-1)),"")</f>
        <v/>
      </c>
      <c r="AE315" s="18" t="str">
        <f t="shared" si="10"/>
        <v>Insecta.Orthoptera.Ensifera.Tettigoniidea.Tettigonioidea.Tettigoniidae.Conocephalinae.Conocephalus.#N/C</v>
      </c>
    </row>
    <row r="316" spans="1:31" x14ac:dyDescent="0.3">
      <c r="A316" s="91">
        <v>315</v>
      </c>
      <c r="B316" s="101">
        <v>44410</v>
      </c>
      <c r="C316" s="92" t="s">
        <v>556</v>
      </c>
      <c r="D316" s="93" t="str">
        <f>HYPERLINK(VLOOKUP(C316,Video_List!$F:$J,5),"video")</f>
        <v>video</v>
      </c>
      <c r="E316" s="94" t="str">
        <f>IFERROR(IF(MATCH(C316,Video_List!$F:$F,)&gt;0,"ok",""),"error")</f>
        <v>ok</v>
      </c>
      <c r="F316" s="92" t="s">
        <v>556</v>
      </c>
      <c r="G316" s="93" t="str">
        <f>HYPERLINK(VLOOKUP(F316,Video_List!$F:$J,5),"video")</f>
        <v>video</v>
      </c>
      <c r="H316" s="94" t="str">
        <f>IFERROR(IF(MATCH(F316,Video_List!$F:$F,)&gt;0,"ok",""),"error")</f>
        <v>ok</v>
      </c>
      <c r="I316" s="102">
        <v>44410.513333333336</v>
      </c>
      <c r="J316" s="8">
        <v>44410.51421296296</v>
      </c>
      <c r="K316" s="15">
        <f t="shared" si="9"/>
        <v>8.7962962425081059E-4</v>
      </c>
      <c r="L316" s="95" t="s">
        <v>32</v>
      </c>
      <c r="M316" s="95" t="s">
        <v>33</v>
      </c>
      <c r="N316" s="96" t="str">
        <f>IF(ISBLANK(C316),"",IF(C316=F316, "1 video",CONCATENATE((+COUNTIFS(Video_List!$C:$C,"&lt;=" &amp;Monitoring!J316)-COUNTIFS(Video_List!$C:$C,"&lt;=" &amp;Monitoring!I316))+1," videos")))</f>
        <v>1 video</v>
      </c>
      <c r="O316" s="29" t="s">
        <v>44</v>
      </c>
      <c r="P316" s="43" t="s">
        <v>37</v>
      </c>
      <c r="Q316" s="43" t="s">
        <v>38</v>
      </c>
      <c r="R316" s="43" t="s">
        <v>39</v>
      </c>
      <c r="S316" s="97" t="str">
        <f>+IFERROR(IF(T316="#N/C","#N/C",IF(U316=0,INDEX(Taxonomy_UniqueValues!D:D,MATCH(U316,Taxonomy_UniqueValues!F:F,0)),INDEX(Taxonomy_UniqueValues!D:D,MATCH(T316,Taxonomy_UniqueValues!E:E,0)))),"#N/C")</f>
        <v>#N/C</v>
      </c>
      <c r="T316" s="43" t="s">
        <v>35</v>
      </c>
      <c r="U316" s="43" t="s">
        <v>35</v>
      </c>
      <c r="V316" s="43" t="s">
        <v>35</v>
      </c>
      <c r="W316" s="43" t="s">
        <v>35</v>
      </c>
      <c r="X316" s="30" t="s">
        <v>35</v>
      </c>
      <c r="Y316" s="69" t="str" cm="1">
        <f t="array" ref="Y316">_xlfn.LET(_xlpm.cls,P316, _xlpm.ord,IFERROR(Q316,"#N/C"), _xlpm.subord,IFERROR(R316,"#N/C"), _xlpm.infr,IFERROR(S316,"#N/C"), _xlpm.sf,IFERROR(T316,"#N/C"), _xlpm.fam,IFERROR(U316,"#N/C"), _xlpm.subfam,IF(TRIM(V316)="-","#N/C",IFERROR(V316,"#N/C")),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_xlpm.fallback,IF(IFERROR(Q316,"#N/C")="#N/C",P316,IF(IFERROR(R316,"#N/C")="#N/C",Q316,IF(IFERROR(S316,"#N/C")="#N/C",R316,IF(IFERROR(T316,"#N/C")="#N/C",S316,IF(IFERROR(U316,"#N/C")="#N/C",T316,IF(IFERROR(V316,"#N/C")="#N/C",U316,"#N/C")))))), _xlpm.finalResult,IF(OR(_xlpm.computedResult="",_xlpm.computedResult="#N/C"),_xlpm.fallback,_xlpm.computedResult), INDEX(_xlpm.finalResult,1))</f>
        <v>Brachycera</v>
      </c>
      <c r="Z316" s="116" t="str" cm="1">
        <f t="array" ref="Z316">IF(OR(Y316="Insecta",Y316="Arachnida",Y316="#N/C"),"",IFERROR(_xlfn.LET(_xlpm.fc,IFERROR(_xlfn._xlws.FILTER(ClassificationClasses[],ClassificationClasses[Classification Class]=Y316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316,ClassificationClasses[Key])),0),MATCH(Y316,INDEX(ClassificationClasses[],MATCH(TRUE,ISNUMBER(SEARCH(Y316,ClassificationClasses[Key])),0),0),0)-1)))</f>
        <v>Diptera</v>
      </c>
      <c r="AA316" s="116" t="str" cm="1">
        <f t="array" ref="AA316">IFERROR(IF(OR(Z316="Insecta",Z316="Arachnida",Z316="#N/C"),"",INDEX(ClassificationClasses[[Class]:[Infraorder]],MATCH(TRUE,ISNUMBER(SEARCH(Z316,ClassificationClasses[Key])),0),MATCH(Z316,INDEX(ClassificationClasses[#Data], MATCH(TRUE,ISNUMBER(SEARCH(Z316,ClassificationClasses[Key])),0), 0), 0)-1)),"")</f>
        <v>Insecta</v>
      </c>
      <c r="AB316" s="116" t="str" cm="1">
        <f t="array" ref="AB316">IFERROR(IF(OR(AA316="Insecta",AA316="Arachnida",AA316="#N/C"),"",INDEX(ClassificationClasses[[Class]:[Suborder]],MATCH(TRUE,ISNUMBER(SEARCH(AA316,ClassificationClasses[Key])),0),MATCH(AA316,INDEX(ClassificationClasses[#Data], MATCH(TRUE,ISNUMBER(SEARCH(AA316,ClassificationClasses[Key])),0), 0), 0)-1)),"")</f>
        <v/>
      </c>
      <c r="AC316" s="116" t="str" cm="1">
        <f t="array" ref="AC316">IFERROR(IF(OR(AB316="Insecta",AB316="Arachnida",AB316="#N/C"),"",INDEX(ClassificationClasses[[Class]:[Suborder]],MATCH(TRUE,ISNUMBER(SEARCH(AB316,ClassificationClasses[Key])),0),MATCH(AB316,INDEX(ClassificationClasses[#Data], MATCH(TRUE,ISNUMBER(SEARCH(AB316,ClassificationClasses[Key])),0), 0), 0)-1)),"")</f>
        <v/>
      </c>
      <c r="AD316" s="116" t="str" cm="1">
        <f t="array" ref="AD316">IFERROR(IF(OR(AC316="Insecta",AC316="Arachnida",AC316="#N/C"),"",INDEX(ClassificationClasses[[Class]:[Suborder]],MATCH(TRUE,ISNUMBER(SEARCH(AC316,ClassificationClasses[Key])),0),MATCH(AC316,INDEX(ClassificationClasses[#Data], MATCH(TRUE,ISNUMBER(SEARCH(AC316,ClassificationClasses[Key])),0), 0), 0)-1)),"")</f>
        <v/>
      </c>
      <c r="AE316" s="18" t="str">
        <f t="shared" si="10"/>
        <v>Insecta.Diptera.Brachycera.#N/C.#N/C.#N/C.#N/C.#N/C.#N/C</v>
      </c>
    </row>
    <row r="317" spans="1:31" x14ac:dyDescent="0.3">
      <c r="A317" s="91">
        <v>316</v>
      </c>
      <c r="B317" s="101">
        <v>44410</v>
      </c>
      <c r="C317" s="92" t="s">
        <v>557</v>
      </c>
      <c r="D317" s="93" t="str">
        <f>HYPERLINK(VLOOKUP(C317,Video_List!$F:$J,5),"video")</f>
        <v>video</v>
      </c>
      <c r="E317" s="94" t="str">
        <f>IFERROR(IF(MATCH(C317,Video_List!$F:$F,)&gt;0,"ok",""),"error")</f>
        <v>ok</v>
      </c>
      <c r="F317" s="92" t="s">
        <v>557</v>
      </c>
      <c r="G317" s="93" t="str">
        <f>HYPERLINK(VLOOKUP(F317,Video_List!$F:$J,5),"video")</f>
        <v>video</v>
      </c>
      <c r="H317" s="94" t="str">
        <f>IFERROR(IF(MATCH(F317,Video_List!$F:$F,)&gt;0,"ok",""),"error")</f>
        <v>ok</v>
      </c>
      <c r="I317" s="102">
        <v>44410.595520833333</v>
      </c>
      <c r="J317" s="8">
        <v>44410.598333333335</v>
      </c>
      <c r="K317" s="15">
        <f t="shared" si="9"/>
        <v>2.8125000026193447E-3</v>
      </c>
      <c r="L317" s="95" t="s">
        <v>44</v>
      </c>
      <c r="M317" s="95" t="s">
        <v>33</v>
      </c>
      <c r="N317" s="96" t="str">
        <f>IF(ISBLANK(C317),"",IF(C317=F317, "1 video",CONCATENATE((+COUNTIFS(Video_List!$C:$C,"&lt;=" &amp;Monitoring!J317)-COUNTIFS(Video_List!$C:$C,"&lt;=" &amp;Monitoring!I317))+1," videos")))</f>
        <v>1 video</v>
      </c>
      <c r="O317" s="29" t="s">
        <v>44</v>
      </c>
      <c r="P317" s="120" t="str">
        <f>+IFERROR(IF(Q317="#N/C","#N/C",INDEX(Taxonomy_UniqueValues!A:A,MATCH(Q317,Taxonomy_UniqueValues!B:B,0))),"#N/C")</f>
        <v>Insecta</v>
      </c>
      <c r="Q317" s="120" t="str">
        <f>+IFERROR(IF(R317="#N/C","#N/C",INDEX(Taxonomy_UniqueValues!B:B,MATCH(R317,Taxonomy_UniqueValues!C:C,0))),"#N/C")</f>
        <v>Hymenoptera</v>
      </c>
      <c r="R317" s="120" t="str">
        <f>+IFERROR(IF(S317="#N/C","#N/C",INDEX(Taxonomy_UniqueValues!C:C,MATCH(S317,Taxonomy_UniqueValues!D:D,0))),"#N/C")</f>
        <v>Apocrita</v>
      </c>
      <c r="S317" s="120" t="str">
        <f>+IFERROR(IF(T317="#N/C","#N/C",INDEX(Taxonomy_UniqueValues!D:D,MATCH(T317,Taxonomy_UniqueValues!E:E,0))),"#N/C")</f>
        <v>Aculeata</v>
      </c>
      <c r="T317" s="120" t="str">
        <f>+IFERROR(IF(U317="#N/C","#N/C",INDEX(Taxonomy_UniqueValues!E:E,MATCH(U317,Taxonomy_UniqueValues!F:F,0))),"#N/C")</f>
        <v>Formicoidea</v>
      </c>
      <c r="U317" s="120" t="str">
        <f>+IFERROR(IF(V317="#N/C","#N/C",INDEX(Taxonomy_UniqueValues!F:F,MATCH(V317,Taxonomy_UniqueValues!G:G,0))),"#N/C")</f>
        <v>Formicidae</v>
      </c>
      <c r="V317" s="43" t="s">
        <v>121</v>
      </c>
      <c r="W317" s="43" t="s">
        <v>558</v>
      </c>
      <c r="X317" s="30" t="s">
        <v>35</v>
      </c>
      <c r="Y317" s="69" t="str" cm="1">
        <f t="array" ref="Y317">_xlfn.LET(_xlpm.cls,P317, _xlpm.ord,IFERROR(Q317,"#N/C"), _xlpm.subord,IFERROR(R317,"#N/C"), _xlpm.infr,IFERROR(S317,"#N/C"), _xlpm.sf,IFERROR(T317,"#N/C"), _xlpm.fam,IFERROR(U317,"#N/C"), _xlpm.subfam,IF(TRIM(V317)="-","#N/C",IFERROR(V317,"#N/C")),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_xlpm.fallback,IF(IFERROR(Q317,"#N/C")="#N/C",P317,IF(IFERROR(R317,"#N/C")="#N/C",Q317,IF(IFERROR(S317,"#N/C")="#N/C",R317,IF(IFERROR(T317,"#N/C")="#N/C",S317,IF(IFERROR(U317,"#N/C")="#N/C",T317,IF(IFERROR(V317,"#N/C")="#N/C",U317,"#N/C")))))), _xlpm.finalResult,IF(OR(_xlpm.computedResult="",_xlpm.computedResult="#N/C"),_xlpm.fallback,_xlpm.computedResult), INDEX(_xlpm.finalResult,1))</f>
        <v>ant</v>
      </c>
      <c r="Z317" s="116" t="str" cm="1">
        <f t="array" ref="Z317">IF(OR(Y317="Insecta",Y317="Arachnida",Y317="#N/C"),"",IFERROR(_xlfn.LET(_xlpm.fc,IFERROR(_xlfn._xlws.FILTER(ClassificationClasses[],ClassificationClasses[Classification Class]=Y317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317,ClassificationClasses[Key])),0),MATCH(Y317,INDEX(ClassificationClasses[],MATCH(TRUE,ISNUMBER(SEARCH(Y317,ClassificationClasses[Key])),0),0),0)-1)))</f>
        <v>Aculeata</v>
      </c>
      <c r="AA317" s="116" t="str" cm="1">
        <f t="array" ref="AA317">IFERROR(IF(OR(Z317="Insecta",Z317="Arachnida",Z317="#N/C"),"",INDEX(ClassificationClasses[[Class]:[Infraorder]],MATCH(TRUE,ISNUMBER(SEARCH(Z317,ClassificationClasses[Key])),0),MATCH(Z317,INDEX(ClassificationClasses[#Data], MATCH(TRUE,ISNUMBER(SEARCH(Z317,ClassificationClasses[Key])),0), 0), 0)-1)),"")</f>
        <v>Apocrita</v>
      </c>
      <c r="AB317" s="116" t="str" cm="1">
        <f t="array" ref="AB317">IFERROR(IF(OR(AA317="Insecta",AA317="Arachnida",AA317="#N/C"),"",INDEX(ClassificationClasses[[Class]:[Suborder]],MATCH(TRUE,ISNUMBER(SEARCH(AA317,ClassificationClasses[Key])),0),MATCH(AA317,INDEX(ClassificationClasses[#Data], MATCH(TRUE,ISNUMBER(SEARCH(AA317,ClassificationClasses[Key])),0), 0), 0)-1)),"")</f>
        <v>Hymenoptera</v>
      </c>
      <c r="AC317" s="116" t="str" cm="1">
        <f t="array" ref="AC317">IFERROR(IF(OR(AB317="Insecta",AB317="Arachnida",AB317="#N/C"),"",INDEX(ClassificationClasses[[Class]:[Suborder]],MATCH(TRUE,ISNUMBER(SEARCH(AB317,ClassificationClasses[Key])),0),MATCH(AB317,INDEX(ClassificationClasses[#Data], MATCH(TRUE,ISNUMBER(SEARCH(AB317,ClassificationClasses[Key])),0), 0), 0)-1)),"")</f>
        <v>Insecta</v>
      </c>
      <c r="AD317" s="116" t="str" cm="1">
        <f t="array" ref="AD317">IFERROR(IF(OR(AC317="Insecta",AC317="Arachnida",AC317="#N/C"),"",INDEX(ClassificationClasses[[Class]:[Suborder]],MATCH(TRUE,ISNUMBER(SEARCH(AC317,ClassificationClasses[Key])),0),MATCH(AC317,INDEX(ClassificationClasses[#Data], MATCH(TRUE,ISNUMBER(SEARCH(AC317,ClassificationClasses[Key])),0), 0), 0)-1)),"")</f>
        <v/>
      </c>
      <c r="AE317" s="18" t="str">
        <f t="shared" si="10"/>
        <v>Insecta.Hymenoptera.Apocrita.Aculeata.Formicoidea.Formicidae.Formicinae.Camponatus.#N/C</v>
      </c>
    </row>
    <row r="318" spans="1:31" x14ac:dyDescent="0.3">
      <c r="A318" s="91">
        <v>317</v>
      </c>
      <c r="B318" s="101">
        <v>44410</v>
      </c>
      <c r="C318" s="92" t="s">
        <v>557</v>
      </c>
      <c r="D318" s="93" t="str">
        <f>HYPERLINK(VLOOKUP(C318,Video_List!$F:$J,5),"video")</f>
        <v>video</v>
      </c>
      <c r="E318" s="94" t="str">
        <f>IFERROR(IF(MATCH(C318,Video_List!$F:$F,)&gt;0,"ok",""),"error")</f>
        <v>ok</v>
      </c>
      <c r="F318" s="92" t="s">
        <v>559</v>
      </c>
      <c r="G318" s="93" t="str">
        <f>HYPERLINK(VLOOKUP(F318,Video_List!$F:$J,5),"video")</f>
        <v>video</v>
      </c>
      <c r="H318" s="94" t="str">
        <f>IFERROR(IF(MATCH(F318,Video_List!$F:$F,)&gt;0,"ok",""),"error")</f>
        <v>ok</v>
      </c>
      <c r="I318" s="102">
        <v>44410.596921296295</v>
      </c>
      <c r="J318" s="8">
        <v>44410.611863425926</v>
      </c>
      <c r="K318" s="15">
        <f t="shared" si="9"/>
        <v>1.4942129630071577E-2</v>
      </c>
      <c r="L318" s="95" t="s">
        <v>44</v>
      </c>
      <c r="M318" s="95" t="s">
        <v>33</v>
      </c>
      <c r="N318" s="96" t="str">
        <f>IF(ISBLANK(C318),"",IF(C318=F318, "1 video",CONCATENATE((+COUNTIFS(Video_List!$C:$C,"&lt;=" &amp;Monitoring!J318)-COUNTIFS(Video_List!$C:$C,"&lt;=" &amp;Monitoring!I318))+1," videos")))</f>
        <v>2 videos</v>
      </c>
      <c r="O318" s="29" t="s">
        <v>44</v>
      </c>
      <c r="P318" s="43" t="s">
        <v>37</v>
      </c>
      <c r="Q318" s="43" t="s">
        <v>123</v>
      </c>
      <c r="R318" s="43" t="s">
        <v>287</v>
      </c>
      <c r="S318" s="97" t="str">
        <f>+IFERROR(IF(T318="#N/C","#N/C",IF(U318=0,INDEX(Taxonomy_UniqueValues!D:D,MATCH(U318,Taxonomy_UniqueValues!F:F,0)),INDEX(Taxonomy_UniqueValues!D:D,MATCH(T318,Taxonomy_UniqueValues!E:E,0)))),"#N/C")</f>
        <v>Tettigoniidea</v>
      </c>
      <c r="T318" s="43" t="s">
        <v>288</v>
      </c>
      <c r="U318" s="43" t="s">
        <v>289</v>
      </c>
      <c r="V318" s="43" t="s">
        <v>487</v>
      </c>
      <c r="W318" s="43" t="s">
        <v>488</v>
      </c>
      <c r="X318" s="30" t="s">
        <v>35</v>
      </c>
      <c r="Y318" s="69" t="str" cm="1">
        <f t="array" ref="Y318">_xlfn.LET(_xlpm.cls,P318, _xlpm.ord,IFERROR(Q318,"#N/C"), _xlpm.subord,IFERROR(R318,"#N/C"), _xlpm.infr,IFERROR(S318,"#N/C"), _xlpm.sf,IFERROR(T318,"#N/C"), _xlpm.fam,IFERROR(U318,"#N/C"), _xlpm.subfam,IF(TRIM(V318)="-","#N/C",IFERROR(V318,"#N/C")),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_xlpm.fallback,IF(IFERROR(Q318,"#N/C")="#N/C",P318,IF(IFERROR(R318,"#N/C")="#N/C",Q318,IF(IFERROR(S318,"#N/C")="#N/C",R318,IF(IFERROR(T318,"#N/C")="#N/C",S318,IF(IFERROR(U318,"#N/C")="#N/C",T318,IF(IFERROR(V318,"#N/C")="#N/C",U318,"#N/C")))))), _xlpm.finalResult,IF(OR(_xlpm.computedResult="",_xlpm.computedResult="#N/C"),_xlpm.fallback,_xlpm.computedResult), INDEX(_xlpm.finalResult,1))</f>
        <v>grasshopper</v>
      </c>
      <c r="Z318" s="116" t="str" cm="1">
        <f t="array" ref="Z318">IF(OR(Y318="Insecta",Y318="Arachnida",Y318="#N/C"),"",IFERROR(_xlfn.LET(_xlpm.fc,IFERROR(_xlfn._xlws.FILTER(ClassificationClasses[],ClassificationClasses[Classification Class]=Y318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318,ClassificationClasses[Key])),0),MATCH(Y318,INDEX(ClassificationClasses[],MATCH(TRUE,ISNUMBER(SEARCH(Y318,ClassificationClasses[Key])),0),0),0)-1)))</f>
        <v>Orthoptera</v>
      </c>
      <c r="AA318" s="116" t="str" cm="1">
        <f t="array" ref="AA318">IFERROR(IF(OR(Z318="Insecta",Z318="Arachnida",Z318="#N/C"),"",INDEX(ClassificationClasses[[Class]:[Infraorder]],MATCH(TRUE,ISNUMBER(SEARCH(Z318,ClassificationClasses[Key])),0),MATCH(Z318,INDEX(ClassificationClasses[#Data], MATCH(TRUE,ISNUMBER(SEARCH(Z318,ClassificationClasses[Key])),0), 0), 0)-1)),"")</f>
        <v>Insecta</v>
      </c>
      <c r="AB318" s="116" t="str" cm="1">
        <f t="array" ref="AB318">IFERROR(IF(OR(AA318="Insecta",AA318="Arachnida",AA318="#N/C"),"",INDEX(ClassificationClasses[[Class]:[Suborder]],MATCH(TRUE,ISNUMBER(SEARCH(AA318,ClassificationClasses[Key])),0),MATCH(AA318,INDEX(ClassificationClasses[#Data], MATCH(TRUE,ISNUMBER(SEARCH(AA318,ClassificationClasses[Key])),0), 0), 0)-1)),"")</f>
        <v/>
      </c>
      <c r="AC318" s="116" t="str" cm="1">
        <f t="array" ref="AC318">IFERROR(IF(OR(AB318="Insecta",AB318="Arachnida",AB318="#N/C"),"",INDEX(ClassificationClasses[[Class]:[Suborder]],MATCH(TRUE,ISNUMBER(SEARCH(AB318,ClassificationClasses[Key])),0),MATCH(AB318,INDEX(ClassificationClasses[#Data], MATCH(TRUE,ISNUMBER(SEARCH(AB318,ClassificationClasses[Key])),0), 0), 0)-1)),"")</f>
        <v/>
      </c>
      <c r="AD318" s="116" t="str" cm="1">
        <f t="array" ref="AD318">IFERROR(IF(OR(AC318="Insecta",AC318="Arachnida",AC318="#N/C"),"",INDEX(ClassificationClasses[[Class]:[Suborder]],MATCH(TRUE,ISNUMBER(SEARCH(AC318,ClassificationClasses[Key])),0),MATCH(AC318,INDEX(ClassificationClasses[#Data], MATCH(TRUE,ISNUMBER(SEARCH(AC318,ClassificationClasses[Key])),0), 0), 0)-1)),"")</f>
        <v/>
      </c>
      <c r="AE318" s="18" t="str">
        <f t="shared" si="10"/>
        <v>Insecta.Orthoptera.Ensifera.Tettigoniidea.Tettigonioidea.Tettigoniidae.Conocephalinae.Conocephalus.#N/C</v>
      </c>
    </row>
    <row r="319" spans="1:31" x14ac:dyDescent="0.3">
      <c r="A319" s="91">
        <v>318</v>
      </c>
      <c r="B319" s="101">
        <v>44410</v>
      </c>
      <c r="C319" s="92" t="s">
        <v>560</v>
      </c>
      <c r="D319" s="93" t="str">
        <f>HYPERLINK(VLOOKUP(C319,Video_List!$F:$J,5),"video")</f>
        <v>video</v>
      </c>
      <c r="E319" s="94" t="str">
        <f>IFERROR(IF(MATCH(C319,Video_List!$F:$F,)&gt;0,"ok",""),"error")</f>
        <v>ok</v>
      </c>
      <c r="F319" s="92" t="s">
        <v>561</v>
      </c>
      <c r="G319" s="93" t="str">
        <f>HYPERLINK(VLOOKUP(F319,Video_List!$F:$J,5),"video")</f>
        <v>video</v>
      </c>
      <c r="H319" s="94" t="str">
        <f>IFERROR(IF(MATCH(F319,Video_List!$F:$F,)&gt;0,"ok",""),"error")</f>
        <v>ok</v>
      </c>
      <c r="I319" s="102">
        <v>44410.617418981485</v>
      </c>
      <c r="J319" s="8">
        <v>44410.654178240744</v>
      </c>
      <c r="K319" s="15">
        <f t="shared" si="9"/>
        <v>3.6759259259270038E-2</v>
      </c>
      <c r="L319" s="95" t="s">
        <v>44</v>
      </c>
      <c r="M319" s="95" t="s">
        <v>33</v>
      </c>
      <c r="N319" s="96" t="str">
        <f>IF(ISBLANK(C319),"",IF(C319=F319, "1 video",CONCATENATE((+COUNTIFS(Video_List!$C:$C,"&lt;=" &amp;Monitoring!J319)-COUNTIFS(Video_List!$C:$C,"&lt;=" &amp;Monitoring!I319))+1," videos")))</f>
        <v>4 videos</v>
      </c>
      <c r="O319" s="29" t="s">
        <v>44</v>
      </c>
      <c r="P319" s="43" t="s">
        <v>37</v>
      </c>
      <c r="Q319" s="43" t="s">
        <v>123</v>
      </c>
      <c r="R319" s="43" t="s">
        <v>287</v>
      </c>
      <c r="S319" s="97" t="str">
        <f>+IFERROR(IF(T319="#N/C","#N/C",IF(U319=0,INDEX(Taxonomy_UniqueValues!D:D,MATCH(U319,Taxonomy_UniqueValues!F:F,0)),INDEX(Taxonomy_UniqueValues!D:D,MATCH(T319,Taxonomy_UniqueValues!E:E,0)))),"#N/C")</f>
        <v>Tettigoniidea</v>
      </c>
      <c r="T319" s="43" t="s">
        <v>288</v>
      </c>
      <c r="U319" s="43" t="s">
        <v>289</v>
      </c>
      <c r="V319" s="43" t="s">
        <v>487</v>
      </c>
      <c r="W319" s="43" t="s">
        <v>488</v>
      </c>
      <c r="X319" s="30" t="s">
        <v>35</v>
      </c>
      <c r="Y319" s="69" t="str" cm="1">
        <f t="array" ref="Y319">_xlfn.LET(_xlpm.cls,P319, _xlpm.ord,IFERROR(Q319,"#N/C"), _xlpm.subord,IFERROR(R319,"#N/C"), _xlpm.infr,IFERROR(S319,"#N/C"), _xlpm.sf,IFERROR(T319,"#N/C"), _xlpm.fam,IFERROR(U319,"#N/C"), _xlpm.subfam,IF(TRIM(V319)="-","#N/C",IFERROR(V319,"#N/C")),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_xlpm.fallback,IF(IFERROR(Q319,"#N/C")="#N/C",P319,IF(IFERROR(R319,"#N/C")="#N/C",Q319,IF(IFERROR(S319,"#N/C")="#N/C",R319,IF(IFERROR(T319,"#N/C")="#N/C",S319,IF(IFERROR(U319,"#N/C")="#N/C",T319,IF(IFERROR(V319,"#N/C")="#N/C",U319,"#N/C")))))), _xlpm.finalResult,IF(OR(_xlpm.computedResult="",_xlpm.computedResult="#N/C"),_xlpm.fallback,_xlpm.computedResult), INDEX(_xlpm.finalResult,1))</f>
        <v>grasshopper</v>
      </c>
      <c r="Z319" s="116" t="str" cm="1">
        <f t="array" ref="Z319">IF(OR(Y319="Insecta",Y319="Arachnida",Y319="#N/C"),"",IFERROR(_xlfn.LET(_xlpm.fc,IFERROR(_xlfn._xlws.FILTER(ClassificationClasses[],ClassificationClasses[Classification Class]=Y319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319,ClassificationClasses[Key])),0),MATCH(Y319,INDEX(ClassificationClasses[],MATCH(TRUE,ISNUMBER(SEARCH(Y319,ClassificationClasses[Key])),0),0),0)-1)))</f>
        <v>Orthoptera</v>
      </c>
      <c r="AA319" s="116" t="str" cm="1">
        <f t="array" ref="AA319">IFERROR(IF(OR(Z319="Insecta",Z319="Arachnida",Z319="#N/C"),"",INDEX(ClassificationClasses[[Class]:[Infraorder]],MATCH(TRUE,ISNUMBER(SEARCH(Z319,ClassificationClasses[Key])),0),MATCH(Z319,INDEX(ClassificationClasses[#Data], MATCH(TRUE,ISNUMBER(SEARCH(Z319,ClassificationClasses[Key])),0), 0), 0)-1)),"")</f>
        <v>Insecta</v>
      </c>
      <c r="AB319" s="116" t="str" cm="1">
        <f t="array" ref="AB319">IFERROR(IF(OR(AA319="Insecta",AA319="Arachnida",AA319="#N/C"),"",INDEX(ClassificationClasses[[Class]:[Suborder]],MATCH(TRUE,ISNUMBER(SEARCH(AA319,ClassificationClasses[Key])),0),MATCH(AA319,INDEX(ClassificationClasses[#Data], MATCH(TRUE,ISNUMBER(SEARCH(AA319,ClassificationClasses[Key])),0), 0), 0)-1)),"")</f>
        <v/>
      </c>
      <c r="AC319" s="116" t="str" cm="1">
        <f t="array" ref="AC319">IFERROR(IF(OR(AB319="Insecta",AB319="Arachnida",AB319="#N/C"),"",INDEX(ClassificationClasses[[Class]:[Suborder]],MATCH(TRUE,ISNUMBER(SEARCH(AB319,ClassificationClasses[Key])),0),MATCH(AB319,INDEX(ClassificationClasses[#Data], MATCH(TRUE,ISNUMBER(SEARCH(AB319,ClassificationClasses[Key])),0), 0), 0)-1)),"")</f>
        <v/>
      </c>
      <c r="AD319" s="116" t="str" cm="1">
        <f t="array" ref="AD319">IFERROR(IF(OR(AC319="Insecta",AC319="Arachnida",AC319="#N/C"),"",INDEX(ClassificationClasses[[Class]:[Suborder]],MATCH(TRUE,ISNUMBER(SEARCH(AC319,ClassificationClasses[Key])),0),MATCH(AC319,INDEX(ClassificationClasses[#Data], MATCH(TRUE,ISNUMBER(SEARCH(AC319,ClassificationClasses[Key])),0), 0), 0)-1)),"")</f>
        <v/>
      </c>
      <c r="AE319" s="18" t="str">
        <f t="shared" si="10"/>
        <v>Insecta.Orthoptera.Ensifera.Tettigoniidea.Tettigonioidea.Tettigoniidae.Conocephalinae.Conocephalus.#N/C</v>
      </c>
    </row>
    <row r="320" spans="1:31" x14ac:dyDescent="0.3">
      <c r="A320" s="91">
        <v>319</v>
      </c>
      <c r="B320" s="101">
        <v>44410</v>
      </c>
      <c r="C320" s="92" t="s">
        <v>562</v>
      </c>
      <c r="D320" s="93" t="str">
        <f>HYPERLINK(VLOOKUP(C320,Video_List!$F:$J,5),"video")</f>
        <v>video</v>
      </c>
      <c r="E320" s="94" t="str">
        <f>IFERROR(IF(MATCH(C320,Video_List!$F:$F,)&gt;0,"ok",""),"error")</f>
        <v>ok</v>
      </c>
      <c r="F320" s="92" t="s">
        <v>562</v>
      </c>
      <c r="G320" s="93" t="str">
        <f>HYPERLINK(VLOOKUP(F320,Video_List!$F:$J,5),"video")</f>
        <v>video</v>
      </c>
      <c r="H320" s="94" t="str">
        <f>IFERROR(IF(MATCH(F320,Video_List!$F:$F,)&gt;0,"ok",""),"error")</f>
        <v>ok</v>
      </c>
      <c r="I320" s="102">
        <v>44410.629953703705</v>
      </c>
      <c r="J320" s="8">
        <v>44410.629976851851</v>
      </c>
      <c r="K320" s="15">
        <f t="shared" si="9"/>
        <v>2.314814628334716E-5</v>
      </c>
      <c r="L320" s="95" t="s">
        <v>32</v>
      </c>
      <c r="M320" s="95" t="s">
        <v>33</v>
      </c>
      <c r="N320" s="96" t="str">
        <f>IF(ISBLANK(C320),"",IF(C320=F320, "1 video",CONCATENATE((+COUNTIFS(Video_List!$C:$C,"&lt;=" &amp;Monitoring!J320)-COUNTIFS(Video_List!$C:$C,"&lt;=" &amp;Monitoring!I320))+1," videos")))</f>
        <v>1 video</v>
      </c>
      <c r="O320" s="29" t="s">
        <v>44</v>
      </c>
      <c r="P320" s="43" t="s">
        <v>37</v>
      </c>
      <c r="Q320" s="43" t="s">
        <v>38</v>
      </c>
      <c r="R320" s="43" t="s">
        <v>39</v>
      </c>
      <c r="S320" s="97" t="str">
        <f>+IFERROR(IF(T320="#N/C","#N/C",IF(U320=0,INDEX(Taxonomy_UniqueValues!D:D,MATCH(U320,Taxonomy_UniqueValues!F:F,0)),INDEX(Taxonomy_UniqueValues!D:D,MATCH(T320,Taxonomy_UniqueValues!E:E,0)))),"#N/C")</f>
        <v>#N/C</v>
      </c>
      <c r="T320" s="43" t="s">
        <v>35</v>
      </c>
      <c r="U320" s="43" t="s">
        <v>35</v>
      </c>
      <c r="V320" s="43" t="s">
        <v>35</v>
      </c>
      <c r="W320" s="43" t="s">
        <v>35</v>
      </c>
      <c r="X320" s="30" t="s">
        <v>35</v>
      </c>
      <c r="Y320" s="69" t="str" cm="1">
        <f t="array" ref="Y320">_xlfn.LET(_xlpm.cls,P320, _xlpm.ord,IFERROR(Q320,"#N/C"), _xlpm.subord,IFERROR(R320,"#N/C"), _xlpm.infr,IFERROR(S320,"#N/C"), _xlpm.sf,IFERROR(T320,"#N/C"), _xlpm.fam,IFERROR(U320,"#N/C"), _xlpm.subfam,IF(TRIM(V320)="-","#N/C",IFERROR(V320,"#N/C")),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_xlpm.fallback,IF(IFERROR(Q320,"#N/C")="#N/C",P320,IF(IFERROR(R320,"#N/C")="#N/C",Q320,IF(IFERROR(S320,"#N/C")="#N/C",R320,IF(IFERROR(T320,"#N/C")="#N/C",S320,IF(IFERROR(U320,"#N/C")="#N/C",T320,IF(IFERROR(V320,"#N/C")="#N/C",U320,"#N/C")))))), _xlpm.finalResult,IF(OR(_xlpm.computedResult="",_xlpm.computedResult="#N/C"),_xlpm.fallback,_xlpm.computedResult), INDEX(_xlpm.finalResult,1))</f>
        <v>Brachycera</v>
      </c>
      <c r="Z320" s="116" t="str" cm="1">
        <f t="array" ref="Z320">IF(OR(Y320="Insecta",Y320="Arachnida",Y320="#N/C"),"",IFERROR(_xlfn.LET(_xlpm.fc,IFERROR(_xlfn._xlws.FILTER(ClassificationClasses[],ClassificationClasses[Classification Class]=Y320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320,ClassificationClasses[Key])),0),MATCH(Y320,INDEX(ClassificationClasses[],MATCH(TRUE,ISNUMBER(SEARCH(Y320,ClassificationClasses[Key])),0),0),0)-1)))</f>
        <v>Diptera</v>
      </c>
      <c r="AA320" s="116" t="str" cm="1">
        <f t="array" ref="AA320">IFERROR(IF(OR(Z320="Insecta",Z320="Arachnida",Z320="#N/C"),"",INDEX(ClassificationClasses[[Class]:[Infraorder]],MATCH(TRUE,ISNUMBER(SEARCH(Z320,ClassificationClasses[Key])),0),MATCH(Z320,INDEX(ClassificationClasses[#Data], MATCH(TRUE,ISNUMBER(SEARCH(Z320,ClassificationClasses[Key])),0), 0), 0)-1)),"")</f>
        <v>Insecta</v>
      </c>
      <c r="AB320" s="116" t="str" cm="1">
        <f t="array" ref="AB320">IFERROR(IF(OR(AA320="Insecta",AA320="Arachnida",AA320="#N/C"),"",INDEX(ClassificationClasses[[Class]:[Suborder]],MATCH(TRUE,ISNUMBER(SEARCH(AA320,ClassificationClasses[Key])),0),MATCH(AA320,INDEX(ClassificationClasses[#Data], MATCH(TRUE,ISNUMBER(SEARCH(AA320,ClassificationClasses[Key])),0), 0), 0)-1)),"")</f>
        <v/>
      </c>
      <c r="AC320" s="116" t="str" cm="1">
        <f t="array" ref="AC320">IFERROR(IF(OR(AB320="Insecta",AB320="Arachnida",AB320="#N/C"),"",INDEX(ClassificationClasses[[Class]:[Suborder]],MATCH(TRUE,ISNUMBER(SEARCH(AB320,ClassificationClasses[Key])),0),MATCH(AB320,INDEX(ClassificationClasses[#Data], MATCH(TRUE,ISNUMBER(SEARCH(AB320,ClassificationClasses[Key])),0), 0), 0)-1)),"")</f>
        <v/>
      </c>
      <c r="AD320" s="116" t="str" cm="1">
        <f t="array" ref="AD320">IFERROR(IF(OR(AC320="Insecta",AC320="Arachnida",AC320="#N/C"),"",INDEX(ClassificationClasses[[Class]:[Suborder]],MATCH(TRUE,ISNUMBER(SEARCH(AC320,ClassificationClasses[Key])),0),MATCH(AC320,INDEX(ClassificationClasses[#Data], MATCH(TRUE,ISNUMBER(SEARCH(AC320,ClassificationClasses[Key])),0), 0), 0)-1)),"")</f>
        <v/>
      </c>
      <c r="AE320" s="18" t="str">
        <f t="shared" si="10"/>
        <v>Insecta.Diptera.Brachycera.#N/C.#N/C.#N/C.#N/C.#N/C.#N/C</v>
      </c>
    </row>
    <row r="321" spans="1:31" x14ac:dyDescent="0.3">
      <c r="A321" s="91">
        <v>320</v>
      </c>
      <c r="B321" s="101">
        <v>44410</v>
      </c>
      <c r="C321" s="92" t="s">
        <v>563</v>
      </c>
      <c r="D321" s="93" t="str">
        <f>HYPERLINK(VLOOKUP(C321,Video_List!$F:$J,5),"video")</f>
        <v>video</v>
      </c>
      <c r="E321" s="94" t="str">
        <f>IFERROR(IF(MATCH(C321,Video_List!$F:$F,)&gt;0,"ok",""),"error")</f>
        <v>ok</v>
      </c>
      <c r="F321" s="92" t="s">
        <v>563</v>
      </c>
      <c r="G321" s="93" t="str">
        <f>HYPERLINK(VLOOKUP(F321,Video_List!$F:$J,5),"video")</f>
        <v>video</v>
      </c>
      <c r="H321" s="94" t="str">
        <f>IFERROR(IF(MATCH(F321,Video_List!$F:$F,)&gt;0,"ok",""),"error")</f>
        <v>ok</v>
      </c>
      <c r="I321" s="102">
        <v>44410.640092592592</v>
      </c>
      <c r="J321" s="8">
        <v>44410.640532407408</v>
      </c>
      <c r="K321" s="15">
        <f t="shared" si="9"/>
        <v>4.398148157633841E-4</v>
      </c>
      <c r="L321" s="95" t="s">
        <v>32</v>
      </c>
      <c r="M321" s="95" t="s">
        <v>33</v>
      </c>
      <c r="N321" s="96" t="str">
        <f>IF(ISBLANK(C321),"",IF(C321=F321, "1 video",CONCATENATE((+COUNTIFS(Video_List!$C:$C,"&lt;=" &amp;Monitoring!J321)-COUNTIFS(Video_List!$C:$C,"&lt;=" &amp;Monitoring!I321))+1," videos")))</f>
        <v>1 video</v>
      </c>
      <c r="O321" s="29" t="s">
        <v>44</v>
      </c>
      <c r="P321" s="43" t="s">
        <v>37</v>
      </c>
      <c r="Q321" s="43" t="s">
        <v>38</v>
      </c>
      <c r="R321" s="43" t="s">
        <v>39</v>
      </c>
      <c r="S321" s="97" t="str">
        <f>+IFERROR(IF(T321="#N/C","#N/C",IF(U321=0,INDEX(Taxonomy_UniqueValues!D:D,MATCH(U321,Taxonomy_UniqueValues!F:F,0)),INDEX(Taxonomy_UniqueValues!D:D,MATCH(T321,Taxonomy_UniqueValues!E:E,0)))),"#N/C")</f>
        <v>#N/C</v>
      </c>
      <c r="T321" s="43" t="s">
        <v>35</v>
      </c>
      <c r="U321" s="43" t="s">
        <v>35</v>
      </c>
      <c r="V321" s="43" t="s">
        <v>35</v>
      </c>
      <c r="W321" s="43" t="s">
        <v>35</v>
      </c>
      <c r="X321" s="30" t="s">
        <v>35</v>
      </c>
      <c r="Y321" s="69" t="str" cm="1">
        <f t="array" ref="Y321">_xlfn.LET(_xlpm.cls,P321, _xlpm.ord,IFERROR(Q321,"#N/C"), _xlpm.subord,IFERROR(R321,"#N/C"), _xlpm.infr,IFERROR(S321,"#N/C"), _xlpm.sf,IFERROR(T321,"#N/C"), _xlpm.fam,IFERROR(U321,"#N/C"), _xlpm.subfam,IF(TRIM(V321)="-","#N/C",IFERROR(V321,"#N/C")),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_xlpm.fallback,IF(IFERROR(Q321,"#N/C")="#N/C",P321,IF(IFERROR(R321,"#N/C")="#N/C",Q321,IF(IFERROR(S321,"#N/C")="#N/C",R321,IF(IFERROR(T321,"#N/C")="#N/C",S321,IF(IFERROR(U321,"#N/C")="#N/C",T321,IF(IFERROR(V321,"#N/C")="#N/C",U321,"#N/C")))))), _xlpm.finalResult,IF(OR(_xlpm.computedResult="",_xlpm.computedResult="#N/C"),_xlpm.fallback,_xlpm.computedResult), INDEX(_xlpm.finalResult,1))</f>
        <v>Brachycera</v>
      </c>
      <c r="Z321" s="116" t="str" cm="1">
        <f t="array" ref="Z321">IF(OR(Y321="Insecta",Y321="Arachnida",Y321="#N/C"),"",IFERROR(_xlfn.LET(_xlpm.fc,IFERROR(_xlfn._xlws.FILTER(ClassificationClasses[],ClassificationClasses[Classification Class]=Y321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321,ClassificationClasses[Key])),0),MATCH(Y321,INDEX(ClassificationClasses[],MATCH(TRUE,ISNUMBER(SEARCH(Y321,ClassificationClasses[Key])),0),0),0)-1)))</f>
        <v>Diptera</v>
      </c>
      <c r="AA321" s="116" t="str" cm="1">
        <f t="array" ref="AA321">IFERROR(IF(OR(Z321="Insecta",Z321="Arachnida",Z321="#N/C"),"",INDEX(ClassificationClasses[[Class]:[Infraorder]],MATCH(TRUE,ISNUMBER(SEARCH(Z321,ClassificationClasses[Key])),0),MATCH(Z321,INDEX(ClassificationClasses[#Data], MATCH(TRUE,ISNUMBER(SEARCH(Z321,ClassificationClasses[Key])),0), 0), 0)-1)),"")</f>
        <v>Insecta</v>
      </c>
      <c r="AB321" s="116" t="str" cm="1">
        <f t="array" ref="AB321">IFERROR(IF(OR(AA321="Insecta",AA321="Arachnida",AA321="#N/C"),"",INDEX(ClassificationClasses[[Class]:[Suborder]],MATCH(TRUE,ISNUMBER(SEARCH(AA321,ClassificationClasses[Key])),0),MATCH(AA321,INDEX(ClassificationClasses[#Data], MATCH(TRUE,ISNUMBER(SEARCH(AA321,ClassificationClasses[Key])),0), 0), 0)-1)),"")</f>
        <v/>
      </c>
      <c r="AC321" s="116" t="str" cm="1">
        <f t="array" ref="AC321">IFERROR(IF(OR(AB321="Insecta",AB321="Arachnida",AB321="#N/C"),"",INDEX(ClassificationClasses[[Class]:[Suborder]],MATCH(TRUE,ISNUMBER(SEARCH(AB321,ClassificationClasses[Key])),0),MATCH(AB321,INDEX(ClassificationClasses[#Data], MATCH(TRUE,ISNUMBER(SEARCH(AB321,ClassificationClasses[Key])),0), 0), 0)-1)),"")</f>
        <v/>
      </c>
      <c r="AD321" s="116" t="str" cm="1">
        <f t="array" ref="AD321">IFERROR(IF(OR(AC321="Insecta",AC321="Arachnida",AC321="#N/C"),"",INDEX(ClassificationClasses[[Class]:[Suborder]],MATCH(TRUE,ISNUMBER(SEARCH(AC321,ClassificationClasses[Key])),0),MATCH(AC321,INDEX(ClassificationClasses[#Data], MATCH(TRUE,ISNUMBER(SEARCH(AC321,ClassificationClasses[Key])),0), 0), 0)-1)),"")</f>
        <v/>
      </c>
      <c r="AE321" s="18" t="str">
        <f t="shared" si="10"/>
        <v>Insecta.Diptera.Brachycera.#N/C.#N/C.#N/C.#N/C.#N/C.#N/C</v>
      </c>
    </row>
    <row r="322" spans="1:31" x14ac:dyDescent="0.3">
      <c r="A322" s="91">
        <v>321</v>
      </c>
      <c r="B322" s="101">
        <v>44410</v>
      </c>
      <c r="C322" s="92" t="s">
        <v>564</v>
      </c>
      <c r="D322" s="93" t="str">
        <f>HYPERLINK(VLOOKUP(C322,Video_List!$F:$J,5),"video")</f>
        <v>video</v>
      </c>
      <c r="E322" s="94" t="str">
        <f>IFERROR(IF(MATCH(C322,Video_List!$F:$F,)&gt;0,"ok",""),"error")</f>
        <v>ok</v>
      </c>
      <c r="F322" s="92" t="s">
        <v>565</v>
      </c>
      <c r="G322" s="93" t="str">
        <f>HYPERLINK(VLOOKUP(F322,Video_List!$F:$J,5),"video")</f>
        <v>video</v>
      </c>
      <c r="H322" s="94" t="str">
        <f>IFERROR(IF(MATCH(F322,Video_List!$F:$F,)&gt;0,"ok",""),"error")</f>
        <v>ok</v>
      </c>
      <c r="I322" s="102">
        <v>44410.654895833337</v>
      </c>
      <c r="J322" s="8">
        <v>44410.666585648149</v>
      </c>
      <c r="K322" s="15">
        <f t="shared" ref="K322:K385" si="11">J322-I322</f>
        <v>1.1689814811688848E-2</v>
      </c>
      <c r="L322" s="95" t="s">
        <v>44</v>
      </c>
      <c r="M322" s="95" t="s">
        <v>33</v>
      </c>
      <c r="N322" s="96" t="str">
        <f>IF(ISBLANK(C322),"",IF(C322=F322, "1 video",CONCATENATE((+COUNTIFS(Video_List!$C:$C,"&lt;=" &amp;Monitoring!J322)-COUNTIFS(Video_List!$C:$C,"&lt;=" &amp;Monitoring!I322))+1," videos")))</f>
        <v>2 videos</v>
      </c>
      <c r="O322" s="29" t="s">
        <v>44</v>
      </c>
      <c r="P322" s="43" t="s">
        <v>37</v>
      </c>
      <c r="Q322" s="43" t="s">
        <v>123</v>
      </c>
      <c r="R322" s="43" t="s">
        <v>287</v>
      </c>
      <c r="S322" s="97" t="str">
        <f>+IFERROR(IF(T322="#N/C","#N/C",IF(U322=0,INDEX(Taxonomy_UniqueValues!D:D,MATCH(U322,Taxonomy_UniqueValues!F:F,0)),INDEX(Taxonomy_UniqueValues!D:D,MATCH(T322,Taxonomy_UniqueValues!E:E,0)))),"#N/C")</f>
        <v>Tettigoniidea</v>
      </c>
      <c r="T322" s="43" t="s">
        <v>288</v>
      </c>
      <c r="U322" s="43" t="s">
        <v>289</v>
      </c>
      <c r="V322" s="43" t="s">
        <v>487</v>
      </c>
      <c r="W322" s="43" t="s">
        <v>488</v>
      </c>
      <c r="X322" s="30" t="s">
        <v>35</v>
      </c>
      <c r="Y322" s="69" t="str" cm="1">
        <f t="array" ref="Y322">_xlfn.LET(_xlpm.cls,P322, _xlpm.ord,IFERROR(Q322,"#N/C"), _xlpm.subord,IFERROR(R322,"#N/C"), _xlpm.infr,IFERROR(S322,"#N/C"), _xlpm.sf,IFERROR(T322,"#N/C"), _xlpm.fam,IFERROR(U322,"#N/C"), _xlpm.subfam,IF(TRIM(V322)="-","#N/C",IFERROR(V322,"#N/C")),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_xlpm.fallback,IF(IFERROR(Q322,"#N/C")="#N/C",P322,IF(IFERROR(R322,"#N/C")="#N/C",Q322,IF(IFERROR(S322,"#N/C")="#N/C",R322,IF(IFERROR(T322,"#N/C")="#N/C",S322,IF(IFERROR(U322,"#N/C")="#N/C",T322,IF(IFERROR(V322,"#N/C")="#N/C",U322,"#N/C")))))), _xlpm.finalResult,IF(OR(_xlpm.computedResult="",_xlpm.computedResult="#N/C"),_xlpm.fallback,_xlpm.computedResult), INDEX(_xlpm.finalResult,1))</f>
        <v>grasshopper</v>
      </c>
      <c r="Z322" s="116" t="str" cm="1">
        <f t="array" ref="Z322">IF(OR(Y322="Insecta",Y322="Arachnida",Y322="#N/C"),"",IFERROR(_xlfn.LET(_xlpm.fc,IFERROR(_xlfn._xlws.FILTER(ClassificationClasses[],ClassificationClasses[Classification Class]=Y322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322,ClassificationClasses[Key])),0),MATCH(Y322,INDEX(ClassificationClasses[],MATCH(TRUE,ISNUMBER(SEARCH(Y322,ClassificationClasses[Key])),0),0),0)-1)))</f>
        <v>Orthoptera</v>
      </c>
      <c r="AA322" s="116" t="str" cm="1">
        <f t="array" ref="AA322">IFERROR(IF(OR(Z322="Insecta",Z322="Arachnida",Z322="#N/C"),"",INDEX(ClassificationClasses[[Class]:[Infraorder]],MATCH(TRUE,ISNUMBER(SEARCH(Z322,ClassificationClasses[Key])),0),MATCH(Z322,INDEX(ClassificationClasses[#Data], MATCH(TRUE,ISNUMBER(SEARCH(Z322,ClassificationClasses[Key])),0), 0), 0)-1)),"")</f>
        <v>Insecta</v>
      </c>
      <c r="AB322" s="116" t="str" cm="1">
        <f t="array" ref="AB322">IFERROR(IF(OR(AA322="Insecta",AA322="Arachnida",AA322="#N/C"),"",INDEX(ClassificationClasses[[Class]:[Suborder]],MATCH(TRUE,ISNUMBER(SEARCH(AA322,ClassificationClasses[Key])),0),MATCH(AA322,INDEX(ClassificationClasses[#Data], MATCH(TRUE,ISNUMBER(SEARCH(AA322,ClassificationClasses[Key])),0), 0), 0)-1)),"")</f>
        <v/>
      </c>
      <c r="AC322" s="116" t="str" cm="1">
        <f t="array" ref="AC322">IFERROR(IF(OR(AB322="Insecta",AB322="Arachnida",AB322="#N/C"),"",INDEX(ClassificationClasses[[Class]:[Suborder]],MATCH(TRUE,ISNUMBER(SEARCH(AB322,ClassificationClasses[Key])),0),MATCH(AB322,INDEX(ClassificationClasses[#Data], MATCH(TRUE,ISNUMBER(SEARCH(AB322,ClassificationClasses[Key])),0), 0), 0)-1)),"")</f>
        <v/>
      </c>
      <c r="AD322" s="116" t="str" cm="1">
        <f t="array" ref="AD322">IFERROR(IF(OR(AC322="Insecta",AC322="Arachnida",AC322="#N/C"),"",INDEX(ClassificationClasses[[Class]:[Suborder]],MATCH(TRUE,ISNUMBER(SEARCH(AC322,ClassificationClasses[Key])),0),MATCH(AC322,INDEX(ClassificationClasses[#Data], MATCH(TRUE,ISNUMBER(SEARCH(AC322,ClassificationClasses[Key])),0), 0), 0)-1)),"")</f>
        <v/>
      </c>
      <c r="AE322" s="18" t="str">
        <f t="shared" si="10"/>
        <v>Insecta.Orthoptera.Ensifera.Tettigoniidea.Tettigonioidea.Tettigoniidae.Conocephalinae.Conocephalus.#N/C</v>
      </c>
    </row>
    <row r="323" spans="1:31" x14ac:dyDescent="0.3">
      <c r="A323" s="91">
        <v>322</v>
      </c>
      <c r="B323" s="101">
        <v>44410</v>
      </c>
      <c r="C323" s="92" t="s">
        <v>566</v>
      </c>
      <c r="D323" s="93" t="str">
        <f>HYPERLINK(VLOOKUP(C323,Video_List!$F:$J,5),"video")</f>
        <v>video</v>
      </c>
      <c r="E323" s="94" t="str">
        <f>IFERROR(IF(MATCH(C323,Video_List!$F:$F,)&gt;0,"ok",""),"error")</f>
        <v>ok</v>
      </c>
      <c r="F323" s="92" t="s">
        <v>566</v>
      </c>
      <c r="G323" s="93" t="str">
        <f>HYPERLINK(VLOOKUP(F323,Video_List!$F:$J,5),"video")</f>
        <v>video</v>
      </c>
      <c r="H323" s="94" t="str">
        <f>IFERROR(IF(MATCH(F323,Video_List!$F:$F,)&gt;0,"ok",""),"error")</f>
        <v>ok</v>
      </c>
      <c r="I323" s="102">
        <v>44410.676157407404</v>
      </c>
      <c r="J323" s="8">
        <v>44410.677303240744</v>
      </c>
      <c r="K323" s="15">
        <f t="shared" si="11"/>
        <v>1.1458333392511122E-3</v>
      </c>
      <c r="L323" s="95" t="s">
        <v>44</v>
      </c>
      <c r="M323" s="95" t="s">
        <v>33</v>
      </c>
      <c r="N323" s="96" t="str">
        <f>IF(ISBLANK(C323),"",IF(C323=F323, "1 video",CONCATENATE((+COUNTIFS(Video_List!$C:$C,"&lt;=" &amp;Monitoring!J323)-COUNTIFS(Video_List!$C:$C,"&lt;=" &amp;Monitoring!I323))+1," videos")))</f>
        <v>1 video</v>
      </c>
      <c r="O323" s="29" t="s">
        <v>44</v>
      </c>
      <c r="P323" s="120" t="str">
        <f>+IFERROR(IF(Q323="#N/C","#N/C",INDEX(Taxonomy_UniqueValues!A:A,MATCH(Q323,Taxonomy_UniqueValues!B:B,0))),"#N/C")</f>
        <v>Insecta</v>
      </c>
      <c r="Q323" s="120" t="str">
        <f>+IFERROR(IF(R323="#N/C","#N/C",INDEX(Taxonomy_UniqueValues!B:B,MATCH(R323,Taxonomy_UniqueValues!C:C,0))),"#N/C")</f>
        <v>Hymenoptera</v>
      </c>
      <c r="R323" s="120" t="str">
        <f>+IFERROR(IF(S323="#N/C","#N/C",INDEX(Taxonomy_UniqueValues!C:C,MATCH(S323,Taxonomy_UniqueValues!D:D,0))),"#N/C")</f>
        <v>Apocrita</v>
      </c>
      <c r="S323" s="120" t="str">
        <f>+IFERROR(IF(T323="#N/C","#N/C",INDEX(Taxonomy_UniqueValues!D:D,MATCH(T323,Taxonomy_UniqueValues!E:E,0))),"#N/C")</f>
        <v>Aculeata</v>
      </c>
      <c r="T323" s="120" t="str">
        <f>+IFERROR(IF(U323="#N/C","#N/C",INDEX(Taxonomy_UniqueValues!E:E,MATCH(U323,Taxonomy_UniqueValues!F:F,0))),"#N/C")</f>
        <v>Formicoidea</v>
      </c>
      <c r="U323" s="120" t="str">
        <f>+IFERROR(IF(V323="#N/C","#N/C",INDEX(Taxonomy_UniqueValues!F:F,MATCH(V323,Taxonomy_UniqueValues!G:G,0))),"#N/C")</f>
        <v>Formicidae</v>
      </c>
      <c r="V323" s="43" t="s">
        <v>121</v>
      </c>
      <c r="W323" s="43" t="s">
        <v>558</v>
      </c>
      <c r="X323" s="30" t="s">
        <v>35</v>
      </c>
      <c r="Y323" s="69" t="str" cm="1">
        <f t="array" ref="Y323">_xlfn.LET(_xlpm.cls,P323, _xlpm.ord,IFERROR(Q323,"#N/C"), _xlpm.subord,IFERROR(R323,"#N/C"), _xlpm.infr,IFERROR(S323,"#N/C"), _xlpm.sf,IFERROR(T323,"#N/C"), _xlpm.fam,IFERROR(U323,"#N/C"), _xlpm.subfam,IF(TRIM(V323)="-","#N/C",IFERROR(V323,"#N/C")),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_xlpm.fallback,IF(IFERROR(Q323,"#N/C")="#N/C",P323,IF(IFERROR(R323,"#N/C")="#N/C",Q323,IF(IFERROR(S323,"#N/C")="#N/C",R323,IF(IFERROR(T323,"#N/C")="#N/C",S323,IF(IFERROR(U323,"#N/C")="#N/C",T323,IF(IFERROR(V323,"#N/C")="#N/C",U323,"#N/C")))))), _xlpm.finalResult,IF(OR(_xlpm.computedResult="",_xlpm.computedResult="#N/C"),_xlpm.fallback,_xlpm.computedResult), INDEX(_xlpm.finalResult,1))</f>
        <v>ant</v>
      </c>
      <c r="Z323" s="116" t="str" cm="1">
        <f t="array" ref="Z323">IF(OR(Y323="Insecta",Y323="Arachnida",Y323="#N/C"),"",IFERROR(_xlfn.LET(_xlpm.fc,IFERROR(_xlfn._xlws.FILTER(ClassificationClasses[],ClassificationClasses[Classification Class]=Y323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323,ClassificationClasses[Key])),0),MATCH(Y323,INDEX(ClassificationClasses[],MATCH(TRUE,ISNUMBER(SEARCH(Y323,ClassificationClasses[Key])),0),0),0)-1)))</f>
        <v>Aculeata</v>
      </c>
      <c r="AA323" s="116" t="str" cm="1">
        <f t="array" ref="AA323">IFERROR(IF(OR(Z323="Insecta",Z323="Arachnida",Z323="#N/C"),"",INDEX(ClassificationClasses[[Class]:[Infraorder]],MATCH(TRUE,ISNUMBER(SEARCH(Z323,ClassificationClasses[Key])),0),MATCH(Z323,INDEX(ClassificationClasses[#Data], MATCH(TRUE,ISNUMBER(SEARCH(Z323,ClassificationClasses[Key])),0), 0), 0)-1)),"")</f>
        <v>Apocrita</v>
      </c>
      <c r="AB323" s="116" t="str" cm="1">
        <f t="array" ref="AB323">IFERROR(IF(OR(AA323="Insecta",AA323="Arachnida",AA323="#N/C"),"",INDEX(ClassificationClasses[[Class]:[Suborder]],MATCH(TRUE,ISNUMBER(SEARCH(AA323,ClassificationClasses[Key])),0),MATCH(AA323,INDEX(ClassificationClasses[#Data], MATCH(TRUE,ISNUMBER(SEARCH(AA323,ClassificationClasses[Key])),0), 0), 0)-1)),"")</f>
        <v>Hymenoptera</v>
      </c>
      <c r="AC323" s="116" t="str" cm="1">
        <f t="array" ref="AC323">IFERROR(IF(OR(AB323="Insecta",AB323="Arachnida",AB323="#N/C"),"",INDEX(ClassificationClasses[[Class]:[Suborder]],MATCH(TRUE,ISNUMBER(SEARCH(AB323,ClassificationClasses[Key])),0),MATCH(AB323,INDEX(ClassificationClasses[#Data], MATCH(TRUE,ISNUMBER(SEARCH(AB323,ClassificationClasses[Key])),0), 0), 0)-1)),"")</f>
        <v>Insecta</v>
      </c>
      <c r="AD323" s="116" t="str" cm="1">
        <f t="array" ref="AD323">IFERROR(IF(OR(AC323="Insecta",AC323="Arachnida",AC323="#N/C"),"",INDEX(ClassificationClasses[[Class]:[Suborder]],MATCH(TRUE,ISNUMBER(SEARCH(AC323,ClassificationClasses[Key])),0),MATCH(AC323,INDEX(ClassificationClasses[#Data], MATCH(TRUE,ISNUMBER(SEARCH(AC323,ClassificationClasses[Key])),0), 0), 0)-1)),"")</f>
        <v/>
      </c>
      <c r="AE323" s="18" t="str">
        <f t="shared" si="10"/>
        <v>Insecta.Hymenoptera.Apocrita.Aculeata.Formicoidea.Formicidae.Formicinae.Camponatus.#N/C</v>
      </c>
    </row>
    <row r="324" spans="1:31" x14ac:dyDescent="0.3">
      <c r="A324" s="91">
        <v>323</v>
      </c>
      <c r="B324" s="101">
        <v>44410</v>
      </c>
      <c r="C324" s="92" t="s">
        <v>567</v>
      </c>
      <c r="D324" s="93" t="str">
        <f>HYPERLINK(VLOOKUP(C324,Video_List!$F:$J,5),"video")</f>
        <v>video</v>
      </c>
      <c r="E324" s="94" t="str">
        <f>IFERROR(IF(MATCH(C324,Video_List!$F:$F,)&gt;0,"ok",""),"error")</f>
        <v>ok</v>
      </c>
      <c r="F324" s="92" t="s">
        <v>567</v>
      </c>
      <c r="G324" s="93" t="str">
        <f>HYPERLINK(VLOOKUP(F324,Video_List!$F:$J,5),"video")</f>
        <v>video</v>
      </c>
      <c r="H324" s="94" t="str">
        <f>IFERROR(IF(MATCH(F324,Video_List!$F:$F,)&gt;0,"ok",""),"error")</f>
        <v>ok</v>
      </c>
      <c r="I324" s="102">
        <v>44410.679143518515</v>
      </c>
      <c r="J324" s="8">
        <v>44410.679212962961</v>
      </c>
      <c r="K324" s="15">
        <f t="shared" si="11"/>
        <v>6.9444446125999093E-5</v>
      </c>
      <c r="L324" s="4" t="s">
        <v>32</v>
      </c>
      <c r="M324" s="4" t="s">
        <v>33</v>
      </c>
      <c r="N324" s="96" t="str">
        <f>IF(ISBLANK(C324),"",IF(C324=F324, "1 video",CONCATENATE((+COUNTIFS(Video_List!$C:$C,"&lt;=" &amp;Monitoring!J324)-COUNTIFS(Video_List!$C:$C,"&lt;=" &amp;Monitoring!I324))+1," videos")))</f>
        <v>1 video</v>
      </c>
      <c r="O324" s="29" t="s">
        <v>44</v>
      </c>
      <c r="P324" s="43" t="s">
        <v>37</v>
      </c>
      <c r="Q324" s="43" t="s">
        <v>38</v>
      </c>
      <c r="R324" s="43" t="s">
        <v>39</v>
      </c>
      <c r="S324" s="97" t="str">
        <f>+IFERROR(IF(T324="#N/C","#N/C",IF(U324=0,INDEX(Taxonomy_UniqueValues!D:D,MATCH(U324,Taxonomy_UniqueValues!F:F,0)),INDEX(Taxonomy_UniqueValues!D:D,MATCH(T324,Taxonomy_UniqueValues!E:E,0)))),"#N/C")</f>
        <v>#N/C</v>
      </c>
      <c r="T324" s="43" t="s">
        <v>35</v>
      </c>
      <c r="U324" s="43" t="s">
        <v>35</v>
      </c>
      <c r="V324" s="43" t="s">
        <v>35</v>
      </c>
      <c r="W324" s="43" t="s">
        <v>35</v>
      </c>
      <c r="X324" s="30" t="s">
        <v>35</v>
      </c>
      <c r="Y324" s="69" t="str" cm="1">
        <f t="array" ref="Y324">_xlfn.LET(_xlpm.cls,P324, _xlpm.ord,IFERROR(Q324,"#N/C"), _xlpm.subord,IFERROR(R324,"#N/C"), _xlpm.infr,IFERROR(S324,"#N/C"), _xlpm.sf,IFERROR(T324,"#N/C"), _xlpm.fam,IFERROR(U324,"#N/C"), _xlpm.subfam,IF(TRIM(V324)="-","#N/C",IFERROR(V324,"#N/C")),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_xlpm.fallback,IF(IFERROR(Q324,"#N/C")="#N/C",P324,IF(IFERROR(R324,"#N/C")="#N/C",Q324,IF(IFERROR(S324,"#N/C")="#N/C",R324,IF(IFERROR(T324,"#N/C")="#N/C",S324,IF(IFERROR(U324,"#N/C")="#N/C",T324,IF(IFERROR(V324,"#N/C")="#N/C",U324,"#N/C")))))), _xlpm.finalResult,IF(OR(_xlpm.computedResult="",_xlpm.computedResult="#N/C"),_xlpm.fallback,_xlpm.computedResult), INDEX(_xlpm.finalResult,1))</f>
        <v>Brachycera</v>
      </c>
      <c r="Z324" s="116" t="str" cm="1">
        <f t="array" ref="Z324">IF(OR(Y324="Insecta",Y324="Arachnida",Y324="#N/C"),"",IFERROR(_xlfn.LET(_xlpm.fc,IFERROR(_xlfn._xlws.FILTER(ClassificationClasses[],ClassificationClasses[Classification Class]=Y324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324,ClassificationClasses[Key])),0),MATCH(Y324,INDEX(ClassificationClasses[],MATCH(TRUE,ISNUMBER(SEARCH(Y324,ClassificationClasses[Key])),0),0),0)-1)))</f>
        <v>Diptera</v>
      </c>
      <c r="AA324" s="116" t="str" cm="1">
        <f t="array" ref="AA324">IFERROR(IF(OR(Z324="Insecta",Z324="Arachnida",Z324="#N/C"),"",INDEX(ClassificationClasses[[Class]:[Infraorder]],MATCH(TRUE,ISNUMBER(SEARCH(Z324,ClassificationClasses[Key])),0),MATCH(Z324,INDEX(ClassificationClasses[#Data], MATCH(TRUE,ISNUMBER(SEARCH(Z324,ClassificationClasses[Key])),0), 0), 0)-1)),"")</f>
        <v>Insecta</v>
      </c>
      <c r="AB324" s="116" t="str" cm="1">
        <f t="array" ref="AB324">IFERROR(IF(OR(AA324="Insecta",AA324="Arachnida",AA324="#N/C"),"",INDEX(ClassificationClasses[[Class]:[Suborder]],MATCH(TRUE,ISNUMBER(SEARCH(AA324,ClassificationClasses[Key])),0),MATCH(AA324,INDEX(ClassificationClasses[#Data], MATCH(TRUE,ISNUMBER(SEARCH(AA324,ClassificationClasses[Key])),0), 0), 0)-1)),"")</f>
        <v/>
      </c>
      <c r="AC324" s="116" t="str" cm="1">
        <f t="array" ref="AC324">IFERROR(IF(OR(AB324="Insecta",AB324="Arachnida",AB324="#N/C"),"",INDEX(ClassificationClasses[[Class]:[Suborder]],MATCH(TRUE,ISNUMBER(SEARCH(AB324,ClassificationClasses[Key])),0),MATCH(AB324,INDEX(ClassificationClasses[#Data], MATCH(TRUE,ISNUMBER(SEARCH(AB324,ClassificationClasses[Key])),0), 0), 0)-1)),"")</f>
        <v/>
      </c>
      <c r="AD324" s="116" t="str" cm="1">
        <f t="array" ref="AD324">IFERROR(IF(OR(AC324="Insecta",AC324="Arachnida",AC324="#N/C"),"",INDEX(ClassificationClasses[[Class]:[Suborder]],MATCH(TRUE,ISNUMBER(SEARCH(AC324,ClassificationClasses[Key])),0),MATCH(AC324,INDEX(ClassificationClasses[#Data], MATCH(TRUE,ISNUMBER(SEARCH(AC324,ClassificationClasses[Key])),0), 0), 0)-1)),"")</f>
        <v/>
      </c>
      <c r="AE324" s="18" t="str">
        <f t="shared" si="10"/>
        <v>Insecta.Diptera.Brachycera.#N/C.#N/C.#N/C.#N/C.#N/C.#N/C</v>
      </c>
    </row>
    <row r="325" spans="1:31" x14ac:dyDescent="0.3">
      <c r="A325" s="91">
        <v>324</v>
      </c>
      <c r="B325" s="101">
        <v>44410</v>
      </c>
      <c r="C325" s="92" t="s">
        <v>568</v>
      </c>
      <c r="D325" s="93" t="str">
        <f>HYPERLINK(VLOOKUP(C325,Video_List!$F:$J,5),"video")</f>
        <v>video</v>
      </c>
      <c r="E325" s="94" t="str">
        <f>IFERROR(IF(MATCH(C325,Video_List!$F:$F,)&gt;0,"ok",""),"error")</f>
        <v>ok</v>
      </c>
      <c r="F325" s="92" t="s">
        <v>568</v>
      </c>
      <c r="G325" s="93" t="str">
        <f>HYPERLINK(VLOOKUP(F325,Video_List!$F:$J,5),"video")</f>
        <v>video</v>
      </c>
      <c r="H325" s="94" t="str">
        <f>IFERROR(IF(MATCH(F325,Video_List!$F:$F,)&gt;0,"ok",""),"error")</f>
        <v>ok</v>
      </c>
      <c r="I325" s="102">
        <v>44410.688703703701</v>
      </c>
      <c r="J325" s="8">
        <v>44410.689247685186</v>
      </c>
      <c r="K325" s="15">
        <f t="shared" si="11"/>
        <v>5.4398148495238274E-4</v>
      </c>
      <c r="L325" s="4" t="s">
        <v>44</v>
      </c>
      <c r="M325" s="4" t="s">
        <v>118</v>
      </c>
      <c r="N325" s="96" t="str">
        <f>IF(ISBLANK(C325),"",IF(C325=F325, "1 video",CONCATENATE((+COUNTIFS(Video_List!$C:$C,"&lt;=" &amp;Monitoring!J325)-COUNTIFS(Video_List!$C:$C,"&lt;=" &amp;Monitoring!I325))+1," videos")))</f>
        <v>1 video</v>
      </c>
      <c r="O325" s="27" t="s">
        <v>32</v>
      </c>
      <c r="P325" s="43" t="s">
        <v>37</v>
      </c>
      <c r="Q325" s="43" t="s">
        <v>41</v>
      </c>
      <c r="R325" s="43" t="s">
        <v>42</v>
      </c>
      <c r="S325" s="97" t="str">
        <f>+IFERROR(IF(T325="#N/C","#N/C",IF(U325=0,INDEX(Taxonomy_UniqueValues!D:D,MATCH(U325,Taxonomy_UniqueValues!F:F,0)),INDEX(Taxonomy_UniqueValues!D:D,MATCH(T325,Taxonomy_UniqueValues!E:E,0)))),"#N/C")</f>
        <v>#N/C</v>
      </c>
      <c r="T325" s="43" t="s">
        <v>35</v>
      </c>
      <c r="U325" s="43" t="s">
        <v>35</v>
      </c>
      <c r="V325" s="43" t="s">
        <v>35</v>
      </c>
      <c r="W325" s="43" t="s">
        <v>35</v>
      </c>
      <c r="X325" s="30" t="s">
        <v>35</v>
      </c>
      <c r="Y325" s="69" t="str" cm="1">
        <f t="array" ref="Y325">_xlfn.LET(_xlpm.cls,P325, _xlpm.ord,IFERROR(Q325,"#N/C"), _xlpm.subord,IFERROR(R325,"#N/C"), _xlpm.infr,IFERROR(S325,"#N/C"), _xlpm.sf,IFERROR(T325,"#N/C"), _xlpm.fam,IFERROR(U325,"#N/C"), _xlpm.subfam,IF(TRIM(V325)="-","#N/C",IFERROR(V325,"#N/C")),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_xlpm.fallback,IF(IFERROR(Q325,"#N/C")="#N/C",P325,IF(IFERROR(R325,"#N/C")="#N/C",Q325,IF(IFERROR(S325,"#N/C")="#N/C",R325,IF(IFERROR(T325,"#N/C")="#N/C",S325,IF(IFERROR(U325,"#N/C")="#N/C",T325,IF(IFERROR(V325,"#N/C")="#N/C",U325,"#N/C")))))), _xlpm.finalResult,IF(OR(_xlpm.computedResult="",_xlpm.computedResult="#N/C"),_xlpm.fallback,_xlpm.computedResult), INDEX(_xlpm.finalResult,1))</f>
        <v>Apocrita</v>
      </c>
      <c r="Z325" s="116" t="str" cm="1">
        <f t="array" ref="Z325">IF(OR(Y325="Insecta",Y325="Arachnida",Y325="#N/C"),"",IFERROR(_xlfn.LET(_xlpm.fc,IFERROR(_xlfn._xlws.FILTER(ClassificationClasses[],ClassificationClasses[Classification Class]=Y325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325,ClassificationClasses[Key])),0),MATCH(Y325,INDEX(ClassificationClasses[],MATCH(TRUE,ISNUMBER(SEARCH(Y325,ClassificationClasses[Key])),0),0),0)-1)))</f>
        <v>Hymenoptera</v>
      </c>
      <c r="AA325" s="116" t="str" cm="1">
        <f t="array" ref="AA325">IFERROR(IF(OR(Z325="Insecta",Z325="Arachnida",Z325="#N/C"),"",INDEX(ClassificationClasses[[Class]:[Infraorder]],MATCH(TRUE,ISNUMBER(SEARCH(Z325,ClassificationClasses[Key])),0),MATCH(Z325,INDEX(ClassificationClasses[#Data], MATCH(TRUE,ISNUMBER(SEARCH(Z325,ClassificationClasses[Key])),0), 0), 0)-1)),"")</f>
        <v>Insecta</v>
      </c>
      <c r="AB325" s="116" t="str" cm="1">
        <f t="array" ref="AB325">IFERROR(IF(OR(AA325="Insecta",AA325="Arachnida",AA325="#N/C"),"",INDEX(ClassificationClasses[[Class]:[Suborder]],MATCH(TRUE,ISNUMBER(SEARCH(AA325,ClassificationClasses[Key])),0),MATCH(AA325,INDEX(ClassificationClasses[#Data], MATCH(TRUE,ISNUMBER(SEARCH(AA325,ClassificationClasses[Key])),0), 0), 0)-1)),"")</f>
        <v/>
      </c>
      <c r="AC325" s="116" t="str" cm="1">
        <f t="array" ref="AC325">IFERROR(IF(OR(AB325="Insecta",AB325="Arachnida",AB325="#N/C"),"",INDEX(ClassificationClasses[[Class]:[Suborder]],MATCH(TRUE,ISNUMBER(SEARCH(AB325,ClassificationClasses[Key])),0),MATCH(AB325,INDEX(ClassificationClasses[#Data], MATCH(TRUE,ISNUMBER(SEARCH(AB325,ClassificationClasses[Key])),0), 0), 0)-1)),"")</f>
        <v/>
      </c>
      <c r="AD325" s="116" t="str" cm="1">
        <f t="array" ref="AD325">IFERROR(IF(OR(AC325="Insecta",AC325="Arachnida",AC325="#N/C"),"",INDEX(ClassificationClasses[[Class]:[Suborder]],MATCH(TRUE,ISNUMBER(SEARCH(AC325,ClassificationClasses[Key])),0),MATCH(AC325,INDEX(ClassificationClasses[#Data], MATCH(TRUE,ISNUMBER(SEARCH(AC325,ClassificationClasses[Key])),0), 0), 0)-1)),"")</f>
        <v/>
      </c>
      <c r="AE325" s="18" t="str">
        <f t="shared" si="10"/>
        <v>Insecta.Hymenoptera.Apocrita.#N/C.#N/C.#N/C.#N/C.#N/C.#N/C</v>
      </c>
    </row>
    <row r="326" spans="1:31" x14ac:dyDescent="0.3">
      <c r="A326" s="91">
        <v>325</v>
      </c>
      <c r="B326" s="101">
        <v>44410</v>
      </c>
      <c r="C326" s="92" t="s">
        <v>569</v>
      </c>
      <c r="D326" s="93" t="str">
        <f>HYPERLINK(VLOOKUP(C326,Video_List!$F:$J,5),"video")</f>
        <v>video</v>
      </c>
      <c r="E326" s="94" t="str">
        <f>IFERROR(IF(MATCH(C326,Video_List!$F:$F,)&gt;0,"ok",""),"error")</f>
        <v>ok</v>
      </c>
      <c r="F326" s="92" t="s">
        <v>569</v>
      </c>
      <c r="G326" s="93" t="str">
        <f>HYPERLINK(VLOOKUP(F326,Video_List!$F:$J,5),"video")</f>
        <v>video</v>
      </c>
      <c r="H326" s="94" t="str">
        <f>IFERROR(IF(MATCH(F326,Video_List!$F:$F,)&gt;0,"ok",""),"error")</f>
        <v>ok</v>
      </c>
      <c r="I326" s="102">
        <v>44410.693449074075</v>
      </c>
      <c r="J326" s="8">
        <v>44410.693518518521</v>
      </c>
      <c r="K326" s="15">
        <f t="shared" si="11"/>
        <v>6.9444446125999093E-5</v>
      </c>
      <c r="L326" s="95" t="s">
        <v>32</v>
      </c>
      <c r="M326" s="95" t="s">
        <v>33</v>
      </c>
      <c r="N326" s="96" t="str">
        <f>IF(ISBLANK(C326),"",IF(C326=F326, "1 video",CONCATENATE((+COUNTIFS(Video_List!$C:$C,"&lt;=" &amp;Monitoring!J326)-COUNTIFS(Video_List!$C:$C,"&lt;=" &amp;Monitoring!I326))+1," videos")))</f>
        <v>1 video</v>
      </c>
      <c r="O326" s="29" t="s">
        <v>44</v>
      </c>
      <c r="P326" s="43" t="s">
        <v>37</v>
      </c>
      <c r="Q326" s="43" t="s">
        <v>38</v>
      </c>
      <c r="R326" s="43" t="s">
        <v>185</v>
      </c>
      <c r="S326" s="97" t="str">
        <f>+IFERROR(IF(T326="#N/C","#N/C",IF(U326=0,INDEX(Taxonomy_UniqueValues!D:D,MATCH(U326,Taxonomy_UniqueValues!F:F,0)),INDEX(Taxonomy_UniqueValues!D:D,MATCH(T326,Taxonomy_UniqueValues!E:E,0)))),"#N/C")</f>
        <v>Bibionomorpha</v>
      </c>
      <c r="T326" s="43" t="s">
        <v>186</v>
      </c>
      <c r="U326" s="43" t="s">
        <v>35</v>
      </c>
      <c r="V326" s="43" t="s">
        <v>35</v>
      </c>
      <c r="W326" s="43" t="s">
        <v>35</v>
      </c>
      <c r="X326" s="30" t="s">
        <v>35</v>
      </c>
      <c r="Y326" s="69" t="str" cm="1">
        <f t="array" ref="Y326">_xlfn.LET(_xlpm.cls,P326, _xlpm.ord,IFERROR(Q326,"#N/C"), _xlpm.subord,IFERROR(R326,"#N/C"), _xlpm.infr,IFERROR(S326,"#N/C"), _xlpm.sf,IFERROR(T326,"#N/C"), _xlpm.fam,IFERROR(U326,"#N/C"), _xlpm.subfam,IF(TRIM(V326)="-","#N/C",IFERROR(V326,"#N/C")),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_xlpm.fallback,IF(IFERROR(Q326,"#N/C")="#N/C",P326,IF(IFERROR(R326,"#N/C")="#N/C",Q326,IF(IFERROR(S326,"#N/C")="#N/C",R326,IF(IFERROR(T326,"#N/C")="#N/C",S326,IF(IFERROR(U326,"#N/C")="#N/C",T326,IF(IFERROR(V326,"#N/C")="#N/C",U326,"#N/C")))))), _xlpm.finalResult,IF(OR(_xlpm.computedResult="",_xlpm.computedResult="#N/C"),_xlpm.fallback,_xlpm.computedResult), INDEX(_xlpm.finalResult,1))</f>
        <v>Sciaroidea</v>
      </c>
      <c r="Z326" s="116" t="str" cm="1">
        <f t="array" ref="Z326">IF(OR(Y326="Insecta",Y326="Arachnida",Y326="#N/C"),"",IFERROR(_xlfn.LET(_xlpm.fc,IFERROR(_xlfn._xlws.FILTER(ClassificationClasses[],ClassificationClasses[Classification Class]=Y326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326,ClassificationClasses[Key])),0),MATCH(Y326,INDEX(ClassificationClasses[],MATCH(TRUE,ISNUMBER(SEARCH(Y326,ClassificationClasses[Key])),0),0),0)-1)))</f>
        <v>Bibionomorpha</v>
      </c>
      <c r="AA326" s="116" t="str" cm="1">
        <f t="array" ref="AA326">IFERROR(IF(OR(Z326="Insecta",Z326="Arachnida",Z326="#N/C"),"",INDEX(ClassificationClasses[[Class]:[Infraorder]],MATCH(TRUE,ISNUMBER(SEARCH(Z326,ClassificationClasses[Key])),0),MATCH(Z326,INDEX(ClassificationClasses[#Data], MATCH(TRUE,ISNUMBER(SEARCH(Z326,ClassificationClasses[Key])),0), 0), 0)-1)),"")</f>
        <v>Nematocera</v>
      </c>
      <c r="AB326" s="116" t="str" cm="1">
        <f t="array" ref="AB326">IFERROR(IF(OR(AA326="Insecta",AA326="Arachnida",AA326="#N/C"),"",INDEX(ClassificationClasses[[Class]:[Suborder]],MATCH(TRUE,ISNUMBER(SEARCH(AA326,ClassificationClasses[Key])),0),MATCH(AA326,INDEX(ClassificationClasses[#Data], MATCH(TRUE,ISNUMBER(SEARCH(AA326,ClassificationClasses[Key])),0), 0), 0)-1)),"")</f>
        <v>Diptera</v>
      </c>
      <c r="AC326" s="116" t="str" cm="1">
        <f t="array" ref="AC326">IFERROR(IF(OR(AB326="Insecta",AB326="Arachnida",AB326="#N/C"),"",INDEX(ClassificationClasses[[Class]:[Suborder]],MATCH(TRUE,ISNUMBER(SEARCH(AB326,ClassificationClasses[Key])),0),MATCH(AB326,INDEX(ClassificationClasses[#Data], MATCH(TRUE,ISNUMBER(SEARCH(AB326,ClassificationClasses[Key])),0), 0), 0)-1)),"")</f>
        <v>Insecta</v>
      </c>
      <c r="AD326" s="116" t="str" cm="1">
        <f t="array" ref="AD326">IFERROR(IF(OR(AC326="Insecta",AC326="Arachnida",AC326="#N/C"),"",INDEX(ClassificationClasses[[Class]:[Suborder]],MATCH(TRUE,ISNUMBER(SEARCH(AC326,ClassificationClasses[Key])),0),MATCH(AC326,INDEX(ClassificationClasses[#Data], MATCH(TRUE,ISNUMBER(SEARCH(AC326,ClassificationClasses[Key])),0), 0), 0)-1)),"")</f>
        <v/>
      </c>
      <c r="AE326" s="18" t="str">
        <f t="shared" si="10"/>
        <v>Insecta.Diptera.Nematocera.Bibionomorpha.Sciaroidea.#N/C.#N/C.#N/C.#N/C</v>
      </c>
    </row>
    <row r="327" spans="1:31" x14ac:dyDescent="0.3">
      <c r="A327" s="91">
        <v>326</v>
      </c>
      <c r="B327" s="101">
        <v>44410</v>
      </c>
      <c r="C327" s="92" t="s">
        <v>570</v>
      </c>
      <c r="D327" s="93" t="str">
        <f>HYPERLINK(VLOOKUP(C327,Video_List!$F:$J,5),"video")</f>
        <v>video</v>
      </c>
      <c r="E327" s="94" t="str">
        <f>IFERROR(IF(MATCH(C327,Video_List!$F:$F,)&gt;0,"ok",""),"error")</f>
        <v>ok</v>
      </c>
      <c r="F327" s="92" t="s">
        <v>570</v>
      </c>
      <c r="G327" s="93" t="str">
        <f>HYPERLINK(VLOOKUP(F327,Video_List!$F:$J,5),"video")</f>
        <v>video</v>
      </c>
      <c r="H327" s="94" t="str">
        <f>IFERROR(IF(MATCH(F327,Video_List!$F:$F,)&gt;0,"ok",""),"error")</f>
        <v>ok</v>
      </c>
      <c r="I327" s="102">
        <v>44410.694178240738</v>
      </c>
      <c r="J327" s="8">
        <v>44410.694224537037</v>
      </c>
      <c r="K327" s="15">
        <f t="shared" si="11"/>
        <v>4.6296299842651933E-5</v>
      </c>
      <c r="L327" s="95" t="s">
        <v>32</v>
      </c>
      <c r="M327" s="95" t="s">
        <v>33</v>
      </c>
      <c r="N327" s="96" t="str">
        <f>IF(ISBLANK(C327),"",IF(C327=F327, "1 video",CONCATENATE((+COUNTIFS(Video_List!$C:$C,"&lt;=" &amp;Monitoring!J327)-COUNTIFS(Video_List!$C:$C,"&lt;=" &amp;Monitoring!I327))+1," videos")))</f>
        <v>1 video</v>
      </c>
      <c r="O327" s="29" t="s">
        <v>44</v>
      </c>
      <c r="P327" s="43" t="s">
        <v>37</v>
      </c>
      <c r="Q327" s="43" t="s">
        <v>38</v>
      </c>
      <c r="R327" s="43" t="s">
        <v>39</v>
      </c>
      <c r="S327" s="97" t="str">
        <f>+IFERROR(IF(T327="#N/C","#N/C",IF(U327=0,INDEX(Taxonomy_UniqueValues!D:D,MATCH(U327,Taxonomy_UniqueValues!F:F,0)),INDEX(Taxonomy_UniqueValues!D:D,MATCH(T327,Taxonomy_UniqueValues!E:E,0)))),"#N/C")</f>
        <v>Asilomorpha</v>
      </c>
      <c r="T327" s="43" t="s">
        <v>439</v>
      </c>
      <c r="U327" s="43" t="s">
        <v>440</v>
      </c>
      <c r="V327" s="43" t="s">
        <v>35</v>
      </c>
      <c r="W327" s="43" t="s">
        <v>35</v>
      </c>
      <c r="X327" s="30" t="s">
        <v>35</v>
      </c>
      <c r="Y327" s="69" t="str" cm="1">
        <f t="array" ref="Y327">_xlfn.LET(_xlpm.cls,P327, _xlpm.ord,IFERROR(Q327,"#N/C"), _xlpm.subord,IFERROR(R327,"#N/C"), _xlpm.infr,IFERROR(S327,"#N/C"), _xlpm.sf,IFERROR(T327,"#N/C"), _xlpm.fam,IFERROR(U327,"#N/C"), _xlpm.subfam,IF(TRIM(V327)="-","#N/C",IFERROR(V327,"#N/C")),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_xlpm.fallback,IF(IFERROR(Q327,"#N/C")="#N/C",P327,IF(IFERROR(R327,"#N/C")="#N/C",Q327,IF(IFERROR(S327,"#N/C")="#N/C",R327,IF(IFERROR(T327,"#N/C")="#N/C",S327,IF(IFERROR(U327,"#N/C")="#N/C",T327,IF(IFERROR(V327,"#N/C")="#N/C",U327,"#N/C")))))), _xlpm.finalResult,IF(OR(_xlpm.computedResult="",_xlpm.computedResult="#N/C"),_xlpm.fallback,_xlpm.computedResult), INDEX(_xlpm.finalResult,1))</f>
        <v>dance_fly</v>
      </c>
      <c r="Z327" s="116" t="str" cm="1">
        <f t="array" ref="Z327">IF(OR(Y327="Insecta",Y327="Arachnida",Y327="#N/C"),"",IFERROR(_xlfn.LET(_xlpm.fc,IFERROR(_xlfn._xlws.FILTER(ClassificationClasses[],ClassificationClasses[Classification Class]=Y327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327,ClassificationClasses[Key])),0),MATCH(Y327,INDEX(ClassificationClasses[],MATCH(TRUE,ISNUMBER(SEARCH(Y327,ClassificationClasses[Key])),0),0),0)-1)))</f>
        <v>Asilomorpha</v>
      </c>
      <c r="AA327" s="116" t="str" cm="1">
        <f t="array" ref="AA327">IFERROR(IF(OR(Z327="Insecta",Z327="Arachnida",Z327="#N/C"),"",INDEX(ClassificationClasses[[Class]:[Infraorder]],MATCH(TRUE,ISNUMBER(SEARCH(Z327,ClassificationClasses[Key])),0),MATCH(Z327,INDEX(ClassificationClasses[#Data], MATCH(TRUE,ISNUMBER(SEARCH(Z327,ClassificationClasses[Key])),0), 0), 0)-1)),"")</f>
        <v>Brachycera</v>
      </c>
      <c r="AB327" s="116" t="str" cm="1">
        <f t="array" ref="AB327">IFERROR(IF(OR(AA327="Insecta",AA327="Arachnida",AA327="#N/C"),"",INDEX(ClassificationClasses[[Class]:[Suborder]],MATCH(TRUE,ISNUMBER(SEARCH(AA327,ClassificationClasses[Key])),0),MATCH(AA327,INDEX(ClassificationClasses[#Data], MATCH(TRUE,ISNUMBER(SEARCH(AA327,ClassificationClasses[Key])),0), 0), 0)-1)),"")</f>
        <v>Diptera</v>
      </c>
      <c r="AC327" s="116" t="str" cm="1">
        <f t="array" ref="AC327">IFERROR(IF(OR(AB327="Insecta",AB327="Arachnida",AB327="#N/C"),"",INDEX(ClassificationClasses[[Class]:[Suborder]],MATCH(TRUE,ISNUMBER(SEARCH(AB327,ClassificationClasses[Key])),0),MATCH(AB327,INDEX(ClassificationClasses[#Data], MATCH(TRUE,ISNUMBER(SEARCH(AB327,ClassificationClasses[Key])),0), 0), 0)-1)),"")</f>
        <v>Insecta</v>
      </c>
      <c r="AD327" s="116" t="str" cm="1">
        <f t="array" ref="AD327">IFERROR(IF(OR(AC327="Insecta",AC327="Arachnida",AC327="#N/C"),"",INDEX(ClassificationClasses[[Class]:[Suborder]],MATCH(TRUE,ISNUMBER(SEARCH(AC327,ClassificationClasses[Key])),0),MATCH(AC327,INDEX(ClassificationClasses[#Data], MATCH(TRUE,ISNUMBER(SEARCH(AC327,ClassificationClasses[Key])),0), 0), 0)-1)),"")</f>
        <v/>
      </c>
      <c r="AE327" s="18" t="str">
        <f t="shared" si="10"/>
        <v>Insecta.Diptera.Brachycera.Asilomorpha.Empidoidea.Dolichopodidae.#N/C.#N/C.#N/C</v>
      </c>
    </row>
    <row r="328" spans="1:31" x14ac:dyDescent="0.3">
      <c r="A328" s="91">
        <v>327</v>
      </c>
      <c r="B328" s="101">
        <v>44410</v>
      </c>
      <c r="C328" s="92" t="s">
        <v>571</v>
      </c>
      <c r="D328" s="93" t="str">
        <f>HYPERLINK(VLOOKUP(C328,Video_List!$F:$J,5),"video")</f>
        <v>video</v>
      </c>
      <c r="E328" s="94" t="str">
        <f>IFERROR(IF(MATCH(C328,Video_List!$F:$F,)&gt;0,"ok",""),"error")</f>
        <v>ok</v>
      </c>
      <c r="F328" s="92" t="s">
        <v>571</v>
      </c>
      <c r="G328" s="93" t="str">
        <f>HYPERLINK(VLOOKUP(F328,Video_List!$F:$J,5),"video")</f>
        <v>video</v>
      </c>
      <c r="H328" s="94" t="str">
        <f>IFERROR(IF(MATCH(F328,Video_List!$F:$F,)&gt;0,"ok",""),"error")</f>
        <v>ok</v>
      </c>
      <c r="I328" s="102">
        <v>44410.720185185186</v>
      </c>
      <c r="J328" s="8">
        <v>44410.721365740741</v>
      </c>
      <c r="K328" s="15">
        <f t="shared" si="11"/>
        <v>1.1805555550381541E-3</v>
      </c>
      <c r="L328" s="95" t="s">
        <v>44</v>
      </c>
      <c r="M328" s="95" t="s">
        <v>33</v>
      </c>
      <c r="N328" s="96" t="str">
        <f>IF(ISBLANK(C328),"",IF(C328=F328, "1 video",CONCATENATE((+COUNTIFS(Video_List!$C:$C,"&lt;=" &amp;Monitoring!J328)-COUNTIFS(Video_List!$C:$C,"&lt;=" &amp;Monitoring!I328))+1," videos")))</f>
        <v>1 video</v>
      </c>
      <c r="O328" s="29" t="s">
        <v>44</v>
      </c>
      <c r="P328" s="120" t="str">
        <f>+IFERROR(IF(Q328="#N/C","#N/C",INDEX(Taxonomy_UniqueValues!A:A,MATCH(Q328,Taxonomy_UniqueValues!B:B,0))),"#N/C")</f>
        <v>Insecta</v>
      </c>
      <c r="Q328" s="120" t="str">
        <f>+IFERROR(IF(R328="#N/C","#N/C",INDEX(Taxonomy_UniqueValues!B:B,MATCH(R328,Taxonomy_UniqueValues!C:C,0))),"#N/C")</f>
        <v>Hymenoptera</v>
      </c>
      <c r="R328" s="120" t="str">
        <f>+IFERROR(IF(S328="#N/C","#N/C",INDEX(Taxonomy_UniqueValues!C:C,MATCH(S328,Taxonomy_UniqueValues!D:D,0))),"#N/C")</f>
        <v>Apocrita</v>
      </c>
      <c r="S328" s="120" t="str">
        <f>+IFERROR(IF(T328="#N/C","#N/C",INDEX(Taxonomy_UniqueValues!D:D,MATCH(T328,Taxonomy_UniqueValues!E:E,0))),"#N/C")</f>
        <v>Aculeata</v>
      </c>
      <c r="T328" s="120" t="str">
        <f>+IFERROR(IF(U328="#N/C","#N/C",INDEX(Taxonomy_UniqueValues!E:E,MATCH(U328,Taxonomy_UniqueValues!F:F,0))),"#N/C")</f>
        <v>Formicoidea</v>
      </c>
      <c r="U328" s="43" t="s">
        <v>120</v>
      </c>
      <c r="V328" s="43" t="s">
        <v>35</v>
      </c>
      <c r="W328" s="43" t="s">
        <v>35</v>
      </c>
      <c r="X328" s="30" t="s">
        <v>35</v>
      </c>
      <c r="Y328" s="69" t="str" cm="1">
        <f t="array" ref="Y328">_xlfn.LET(_xlpm.cls,P328, _xlpm.ord,IFERROR(Q328,"#N/C"), _xlpm.subord,IFERROR(R328,"#N/C"), _xlpm.infr,IFERROR(S328,"#N/C"), _xlpm.sf,IFERROR(T328,"#N/C"), _xlpm.fam,IFERROR(U328,"#N/C"), _xlpm.subfam,IF(TRIM(V328)="-","#N/C",IFERROR(V328,"#N/C")),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_xlpm.fallback,IF(IFERROR(Q328,"#N/C")="#N/C",P328,IF(IFERROR(R328,"#N/C")="#N/C",Q328,IF(IFERROR(S328,"#N/C")="#N/C",R328,IF(IFERROR(T328,"#N/C")="#N/C",S328,IF(IFERROR(U328,"#N/C")="#N/C",T328,IF(IFERROR(V328,"#N/C")="#N/C",U328,"#N/C")))))), _xlpm.finalResult,IF(OR(_xlpm.computedResult="",_xlpm.computedResult="#N/C"),_xlpm.fallback,_xlpm.computedResult), INDEX(_xlpm.finalResult,1))</f>
        <v>ant</v>
      </c>
      <c r="Z328" s="116" t="str" cm="1">
        <f t="array" ref="Z328">IF(OR(Y328="Insecta",Y328="Arachnida",Y328="#N/C"),"",IFERROR(_xlfn.LET(_xlpm.fc,IFERROR(_xlfn._xlws.FILTER(ClassificationClasses[],ClassificationClasses[Classification Class]=Y328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328,ClassificationClasses[Key])),0),MATCH(Y328,INDEX(ClassificationClasses[],MATCH(TRUE,ISNUMBER(SEARCH(Y328,ClassificationClasses[Key])),0),0),0)-1)))</f>
        <v>Aculeata</v>
      </c>
      <c r="AA328" s="116" t="str" cm="1">
        <f t="array" ref="AA328">IFERROR(IF(OR(Z328="Insecta",Z328="Arachnida",Z328="#N/C"),"",INDEX(ClassificationClasses[[Class]:[Infraorder]],MATCH(TRUE,ISNUMBER(SEARCH(Z328,ClassificationClasses[Key])),0),MATCH(Z328,INDEX(ClassificationClasses[#Data], MATCH(TRUE,ISNUMBER(SEARCH(Z328,ClassificationClasses[Key])),0), 0), 0)-1)),"")</f>
        <v>Apocrita</v>
      </c>
      <c r="AB328" s="116" t="str" cm="1">
        <f t="array" ref="AB328">IFERROR(IF(OR(AA328="Insecta",AA328="Arachnida",AA328="#N/C"),"",INDEX(ClassificationClasses[[Class]:[Suborder]],MATCH(TRUE,ISNUMBER(SEARCH(AA328,ClassificationClasses[Key])),0),MATCH(AA328,INDEX(ClassificationClasses[#Data], MATCH(TRUE,ISNUMBER(SEARCH(AA328,ClassificationClasses[Key])),0), 0), 0)-1)),"")</f>
        <v>Hymenoptera</v>
      </c>
      <c r="AC328" s="116" t="str" cm="1">
        <f t="array" ref="AC328">IFERROR(IF(OR(AB328="Insecta",AB328="Arachnida",AB328="#N/C"),"",INDEX(ClassificationClasses[[Class]:[Suborder]],MATCH(TRUE,ISNUMBER(SEARCH(AB328,ClassificationClasses[Key])),0),MATCH(AB328,INDEX(ClassificationClasses[#Data], MATCH(TRUE,ISNUMBER(SEARCH(AB328,ClassificationClasses[Key])),0), 0), 0)-1)),"")</f>
        <v>Insecta</v>
      </c>
      <c r="AD328" s="116" t="str" cm="1">
        <f t="array" ref="AD328">IFERROR(IF(OR(AC328="Insecta",AC328="Arachnida",AC328="#N/C"),"",INDEX(ClassificationClasses[[Class]:[Suborder]],MATCH(TRUE,ISNUMBER(SEARCH(AC328,ClassificationClasses[Key])),0),MATCH(AC328,INDEX(ClassificationClasses[#Data], MATCH(TRUE,ISNUMBER(SEARCH(AC328,ClassificationClasses[Key])),0), 0), 0)-1)),"")</f>
        <v/>
      </c>
      <c r="AE328" s="18" t="str">
        <f t="shared" ref="AE328:AE391" si="12">+CONCATENATE(P328,".",Q328,".",R328,".",S328,".",T328,".",U328,".",V328,".",W328,".",X328)</f>
        <v>Insecta.Hymenoptera.Apocrita.Aculeata.Formicoidea.Formicidae.#N/C.#N/C.#N/C</v>
      </c>
    </row>
    <row r="329" spans="1:31" x14ac:dyDescent="0.3">
      <c r="A329" s="91">
        <v>328</v>
      </c>
      <c r="B329" s="101">
        <v>44410</v>
      </c>
      <c r="C329" s="92" t="s">
        <v>572</v>
      </c>
      <c r="D329" s="93" t="str">
        <f>HYPERLINK(VLOOKUP(C329,Video_List!$F:$J,5),"video")</f>
        <v>video</v>
      </c>
      <c r="E329" s="94" t="str">
        <f>IFERROR(IF(MATCH(C329,Video_List!$F:$F,)&gt;0,"ok",""),"error")</f>
        <v>ok</v>
      </c>
      <c r="F329" s="92" t="s">
        <v>572</v>
      </c>
      <c r="G329" s="93" t="str">
        <f>HYPERLINK(VLOOKUP(F329,Video_List!$F:$J,5),"video")</f>
        <v>video</v>
      </c>
      <c r="H329" s="94" t="str">
        <f>IFERROR(IF(MATCH(F329,Video_List!$F:$F,)&gt;0,"ok",""),"error")</f>
        <v>ok</v>
      </c>
      <c r="I329" s="102">
        <v>44410.748101851852</v>
      </c>
      <c r="J329" s="8">
        <v>44410.748148148145</v>
      </c>
      <c r="K329" s="15">
        <f t="shared" si="11"/>
        <v>4.6296292566694319E-5</v>
      </c>
      <c r="L329" s="95" t="s">
        <v>32</v>
      </c>
      <c r="M329" s="95" t="s">
        <v>33</v>
      </c>
      <c r="N329" s="96" t="str">
        <f>IF(ISBLANK(C329),"",IF(C329=F329, "1 video",CONCATENATE((+COUNTIFS(Video_List!$C:$C,"&lt;=" &amp;Monitoring!J329)-COUNTIFS(Video_List!$C:$C,"&lt;=" &amp;Monitoring!I329))+1," videos")))</f>
        <v>1 video</v>
      </c>
      <c r="O329" s="29" t="s">
        <v>44</v>
      </c>
      <c r="P329" s="43" t="s">
        <v>37</v>
      </c>
      <c r="Q329" s="43" t="s">
        <v>38</v>
      </c>
      <c r="R329" s="43" t="s">
        <v>39</v>
      </c>
      <c r="S329" s="97" t="str">
        <f>+IFERROR(IF(T329="#N/C","#N/C",IF(U329=0,INDEX(Taxonomy_UniqueValues!D:D,MATCH(U329,Taxonomy_UniqueValues!F:F,0)),INDEX(Taxonomy_UniqueValues!D:D,MATCH(T329,Taxonomy_UniqueValues!E:E,0)))),"#N/C")</f>
        <v>Asilomorpha</v>
      </c>
      <c r="T329" s="43" t="s">
        <v>439</v>
      </c>
      <c r="U329" s="43" t="s">
        <v>440</v>
      </c>
      <c r="V329" s="43" t="s">
        <v>35</v>
      </c>
      <c r="W329" s="43" t="s">
        <v>35</v>
      </c>
      <c r="X329" s="30" t="s">
        <v>35</v>
      </c>
      <c r="Y329" s="69" t="str" cm="1">
        <f t="array" ref="Y329">_xlfn.LET(_xlpm.cls,P329, _xlpm.ord,IFERROR(Q329,"#N/C"), _xlpm.subord,IFERROR(R329,"#N/C"), _xlpm.infr,IFERROR(S329,"#N/C"), _xlpm.sf,IFERROR(T329,"#N/C"), _xlpm.fam,IFERROR(U329,"#N/C"), _xlpm.subfam,IF(TRIM(V329)="-","#N/C",IFERROR(V329,"#N/C")),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_xlpm.fallback,IF(IFERROR(Q329,"#N/C")="#N/C",P329,IF(IFERROR(R329,"#N/C")="#N/C",Q329,IF(IFERROR(S329,"#N/C")="#N/C",R329,IF(IFERROR(T329,"#N/C")="#N/C",S329,IF(IFERROR(U329,"#N/C")="#N/C",T329,IF(IFERROR(V329,"#N/C")="#N/C",U329,"#N/C")))))), _xlpm.finalResult,IF(OR(_xlpm.computedResult="",_xlpm.computedResult="#N/C"),_xlpm.fallback,_xlpm.computedResult), INDEX(_xlpm.finalResult,1))</f>
        <v>dance_fly</v>
      </c>
      <c r="Z329" s="116" t="str" cm="1">
        <f t="array" ref="Z329">IF(OR(Y329="Insecta",Y329="Arachnida",Y329="#N/C"),"",IFERROR(_xlfn.LET(_xlpm.fc,IFERROR(_xlfn._xlws.FILTER(ClassificationClasses[],ClassificationClasses[Classification Class]=Y329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329,ClassificationClasses[Key])),0),MATCH(Y329,INDEX(ClassificationClasses[],MATCH(TRUE,ISNUMBER(SEARCH(Y329,ClassificationClasses[Key])),0),0),0)-1)))</f>
        <v>Asilomorpha</v>
      </c>
      <c r="AA329" s="116" t="str" cm="1">
        <f t="array" ref="AA329">IFERROR(IF(OR(Z329="Insecta",Z329="Arachnida",Z329="#N/C"),"",INDEX(ClassificationClasses[[Class]:[Infraorder]],MATCH(TRUE,ISNUMBER(SEARCH(Z329,ClassificationClasses[Key])),0),MATCH(Z329,INDEX(ClassificationClasses[#Data], MATCH(TRUE,ISNUMBER(SEARCH(Z329,ClassificationClasses[Key])),0), 0), 0)-1)),"")</f>
        <v>Brachycera</v>
      </c>
      <c r="AB329" s="116" t="str" cm="1">
        <f t="array" ref="AB329">IFERROR(IF(OR(AA329="Insecta",AA329="Arachnida",AA329="#N/C"),"",INDEX(ClassificationClasses[[Class]:[Suborder]],MATCH(TRUE,ISNUMBER(SEARCH(AA329,ClassificationClasses[Key])),0),MATCH(AA329,INDEX(ClassificationClasses[#Data], MATCH(TRUE,ISNUMBER(SEARCH(AA329,ClassificationClasses[Key])),0), 0), 0)-1)),"")</f>
        <v>Diptera</v>
      </c>
      <c r="AC329" s="116" t="str" cm="1">
        <f t="array" ref="AC329">IFERROR(IF(OR(AB329="Insecta",AB329="Arachnida",AB329="#N/C"),"",INDEX(ClassificationClasses[[Class]:[Suborder]],MATCH(TRUE,ISNUMBER(SEARCH(AB329,ClassificationClasses[Key])),0),MATCH(AB329,INDEX(ClassificationClasses[#Data], MATCH(TRUE,ISNUMBER(SEARCH(AB329,ClassificationClasses[Key])),0), 0), 0)-1)),"")</f>
        <v>Insecta</v>
      </c>
      <c r="AD329" s="116" t="str" cm="1">
        <f t="array" ref="AD329">IFERROR(IF(OR(AC329="Insecta",AC329="Arachnida",AC329="#N/C"),"",INDEX(ClassificationClasses[[Class]:[Suborder]],MATCH(TRUE,ISNUMBER(SEARCH(AC329,ClassificationClasses[Key])),0),MATCH(AC329,INDEX(ClassificationClasses[#Data], MATCH(TRUE,ISNUMBER(SEARCH(AC329,ClassificationClasses[Key])),0), 0), 0)-1)),"")</f>
        <v/>
      </c>
      <c r="AE329" s="18" t="str">
        <f t="shared" si="12"/>
        <v>Insecta.Diptera.Brachycera.Asilomorpha.Empidoidea.Dolichopodidae.#N/C.#N/C.#N/C</v>
      </c>
    </row>
    <row r="330" spans="1:31" x14ac:dyDescent="0.3">
      <c r="A330" s="91">
        <v>329</v>
      </c>
      <c r="B330" s="101">
        <v>44410</v>
      </c>
      <c r="C330" s="92" t="s">
        <v>573</v>
      </c>
      <c r="D330" s="93" t="str">
        <f>HYPERLINK(VLOOKUP(C330,Video_List!$F:$J,5),"video")</f>
        <v>video</v>
      </c>
      <c r="E330" s="94" t="str">
        <f>IFERROR(IF(MATCH(C330,Video_List!$F:$F,)&gt;0,"ok",""),"error")</f>
        <v>ok</v>
      </c>
      <c r="F330" s="92" t="s">
        <v>573</v>
      </c>
      <c r="G330" s="93" t="str">
        <f>HYPERLINK(VLOOKUP(F330,Video_List!$F:$J,5),"video")</f>
        <v>video</v>
      </c>
      <c r="H330" s="94" t="str">
        <f>IFERROR(IF(MATCH(F330,Video_List!$F:$F,)&gt;0,"ok",""),"error")</f>
        <v>ok</v>
      </c>
      <c r="I330" s="102">
        <v>44410.75439814815</v>
      </c>
      <c r="J330" s="8">
        <v>44410.754537037035</v>
      </c>
      <c r="K330" s="15">
        <f t="shared" si="11"/>
        <v>1.3888888497604057E-4</v>
      </c>
      <c r="L330" s="95" t="s">
        <v>32</v>
      </c>
      <c r="M330" s="95" t="s">
        <v>33</v>
      </c>
      <c r="N330" s="96" t="str">
        <f>IF(ISBLANK(C330),"",IF(C330=F330, "1 video",CONCATENATE((+COUNTIFS(Video_List!$C:$C,"&lt;=" &amp;Monitoring!J330)-COUNTIFS(Video_List!$C:$C,"&lt;=" &amp;Monitoring!I330))+1," videos")))</f>
        <v>1 video</v>
      </c>
      <c r="O330" s="29" t="s">
        <v>44</v>
      </c>
      <c r="P330" s="43" t="s">
        <v>37</v>
      </c>
      <c r="Q330" s="43" t="s">
        <v>38</v>
      </c>
      <c r="R330" s="43" t="s">
        <v>39</v>
      </c>
      <c r="S330" s="97" t="str">
        <f>+IFERROR(IF(T330="#N/C","#N/C",IF(U330=0,INDEX(Taxonomy_UniqueValues!D:D,MATCH(U330,Taxonomy_UniqueValues!F:F,0)),INDEX(Taxonomy_UniqueValues!D:D,MATCH(T330,Taxonomy_UniqueValues!E:E,0)))),"#N/C")</f>
        <v>Asilomorpha</v>
      </c>
      <c r="T330" s="43" t="s">
        <v>439</v>
      </c>
      <c r="U330" s="43" t="s">
        <v>440</v>
      </c>
      <c r="V330" s="43" t="s">
        <v>35</v>
      </c>
      <c r="W330" s="43" t="s">
        <v>35</v>
      </c>
      <c r="X330" s="30" t="s">
        <v>35</v>
      </c>
      <c r="Y330" s="69" t="str" cm="1">
        <f t="array" ref="Y330">_xlfn.LET(_xlpm.cls,P330, _xlpm.ord,IFERROR(Q330,"#N/C"), _xlpm.subord,IFERROR(R330,"#N/C"), _xlpm.infr,IFERROR(S330,"#N/C"), _xlpm.sf,IFERROR(T330,"#N/C"), _xlpm.fam,IFERROR(U330,"#N/C"), _xlpm.subfam,IF(TRIM(V330)="-","#N/C",IFERROR(V330,"#N/C")),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_xlpm.fallback,IF(IFERROR(Q330,"#N/C")="#N/C",P330,IF(IFERROR(R330,"#N/C")="#N/C",Q330,IF(IFERROR(S330,"#N/C")="#N/C",R330,IF(IFERROR(T330,"#N/C")="#N/C",S330,IF(IFERROR(U330,"#N/C")="#N/C",T330,IF(IFERROR(V330,"#N/C")="#N/C",U330,"#N/C")))))), _xlpm.finalResult,IF(OR(_xlpm.computedResult="",_xlpm.computedResult="#N/C"),_xlpm.fallback,_xlpm.computedResult), INDEX(_xlpm.finalResult,1))</f>
        <v>dance_fly</v>
      </c>
      <c r="Z330" s="116" t="str" cm="1">
        <f t="array" ref="Z330">IF(OR(Y330="Insecta",Y330="Arachnida",Y330="#N/C"),"",IFERROR(_xlfn.LET(_xlpm.fc,IFERROR(_xlfn._xlws.FILTER(ClassificationClasses[],ClassificationClasses[Classification Class]=Y330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330,ClassificationClasses[Key])),0),MATCH(Y330,INDEX(ClassificationClasses[],MATCH(TRUE,ISNUMBER(SEARCH(Y330,ClassificationClasses[Key])),0),0),0)-1)))</f>
        <v>Asilomorpha</v>
      </c>
      <c r="AA330" s="116" t="str" cm="1">
        <f t="array" ref="AA330">IFERROR(IF(OR(Z330="Insecta",Z330="Arachnida",Z330="#N/C"),"",INDEX(ClassificationClasses[[Class]:[Infraorder]],MATCH(TRUE,ISNUMBER(SEARCH(Z330,ClassificationClasses[Key])),0),MATCH(Z330,INDEX(ClassificationClasses[#Data], MATCH(TRUE,ISNUMBER(SEARCH(Z330,ClassificationClasses[Key])),0), 0), 0)-1)),"")</f>
        <v>Brachycera</v>
      </c>
      <c r="AB330" s="116" t="str" cm="1">
        <f t="array" ref="AB330">IFERROR(IF(OR(AA330="Insecta",AA330="Arachnida",AA330="#N/C"),"",INDEX(ClassificationClasses[[Class]:[Suborder]],MATCH(TRUE,ISNUMBER(SEARCH(AA330,ClassificationClasses[Key])),0),MATCH(AA330,INDEX(ClassificationClasses[#Data], MATCH(TRUE,ISNUMBER(SEARCH(AA330,ClassificationClasses[Key])),0), 0), 0)-1)),"")</f>
        <v>Diptera</v>
      </c>
      <c r="AC330" s="116" t="str" cm="1">
        <f t="array" ref="AC330">IFERROR(IF(OR(AB330="Insecta",AB330="Arachnida",AB330="#N/C"),"",INDEX(ClassificationClasses[[Class]:[Suborder]],MATCH(TRUE,ISNUMBER(SEARCH(AB330,ClassificationClasses[Key])),0),MATCH(AB330,INDEX(ClassificationClasses[#Data], MATCH(TRUE,ISNUMBER(SEARCH(AB330,ClassificationClasses[Key])),0), 0), 0)-1)),"")</f>
        <v>Insecta</v>
      </c>
      <c r="AD330" s="116" t="str" cm="1">
        <f t="array" ref="AD330">IFERROR(IF(OR(AC330="Insecta",AC330="Arachnida",AC330="#N/C"),"",INDEX(ClassificationClasses[[Class]:[Suborder]],MATCH(TRUE,ISNUMBER(SEARCH(AC330,ClassificationClasses[Key])),0),MATCH(AC330,INDEX(ClassificationClasses[#Data], MATCH(TRUE,ISNUMBER(SEARCH(AC330,ClassificationClasses[Key])),0), 0), 0)-1)),"")</f>
        <v/>
      </c>
      <c r="AE330" s="18" t="str">
        <f t="shared" si="12"/>
        <v>Insecta.Diptera.Brachycera.Asilomorpha.Empidoidea.Dolichopodidae.#N/C.#N/C.#N/C</v>
      </c>
    </row>
    <row r="331" spans="1:31" x14ac:dyDescent="0.3">
      <c r="A331" s="91">
        <v>330</v>
      </c>
      <c r="B331" s="101">
        <v>44410</v>
      </c>
      <c r="C331" s="92" t="s">
        <v>574</v>
      </c>
      <c r="D331" s="93" t="str">
        <f>HYPERLINK(VLOOKUP(C331,Video_List!$F:$J,5),"video")</f>
        <v>video</v>
      </c>
      <c r="E331" s="94" t="str">
        <f>IFERROR(IF(MATCH(C331,Video_List!$F:$F,)&gt;0,"ok",""),"error")</f>
        <v>ok</v>
      </c>
      <c r="F331" s="92" t="s">
        <v>574</v>
      </c>
      <c r="G331" s="93" t="str">
        <f>HYPERLINK(VLOOKUP(F331,Video_List!$F:$J,5),"video")</f>
        <v>video</v>
      </c>
      <c r="H331" s="94" t="str">
        <f>IFERROR(IF(MATCH(F331,Video_List!$F:$F,)&gt;0,"ok",""),"error")</f>
        <v>ok</v>
      </c>
      <c r="I331" s="102">
        <v>44410.759456018517</v>
      </c>
      <c r="J331" s="8">
        <v>44410.759548611109</v>
      </c>
      <c r="K331" s="15">
        <f t="shared" si="11"/>
        <v>9.2592592409346253E-5</v>
      </c>
      <c r="L331" s="95" t="s">
        <v>32</v>
      </c>
      <c r="M331" s="95" t="s">
        <v>33</v>
      </c>
      <c r="N331" s="96" t="str">
        <f>IF(ISBLANK(C331),"",IF(C331=F331, "1 video",CONCATENATE((+COUNTIFS(Video_List!$C:$C,"&lt;=" &amp;Monitoring!J331)-COUNTIFS(Video_List!$C:$C,"&lt;=" &amp;Monitoring!I331))+1," videos")))</f>
        <v>1 video</v>
      </c>
      <c r="O331" s="29" t="s">
        <v>44</v>
      </c>
      <c r="P331" s="43" t="s">
        <v>37</v>
      </c>
      <c r="Q331" s="43" t="s">
        <v>38</v>
      </c>
      <c r="R331" s="43" t="s">
        <v>39</v>
      </c>
      <c r="S331" s="97" t="str">
        <f>+IFERROR(IF(T331="#N/C","#N/C",IF(U331=0,INDEX(Taxonomy_UniqueValues!D:D,MATCH(U331,Taxonomy_UniqueValues!F:F,0)),INDEX(Taxonomy_UniqueValues!D:D,MATCH(T331,Taxonomy_UniqueValues!E:E,0)))),"#N/C")</f>
        <v>Asilomorpha</v>
      </c>
      <c r="T331" s="43" t="s">
        <v>439</v>
      </c>
      <c r="U331" s="43" t="s">
        <v>440</v>
      </c>
      <c r="V331" s="43" t="s">
        <v>35</v>
      </c>
      <c r="W331" s="43" t="s">
        <v>35</v>
      </c>
      <c r="X331" s="30" t="s">
        <v>35</v>
      </c>
      <c r="Y331" s="69" t="str" cm="1">
        <f t="array" ref="Y331">_xlfn.LET(_xlpm.cls,P331, _xlpm.ord,IFERROR(Q331,"#N/C"), _xlpm.subord,IFERROR(R331,"#N/C"), _xlpm.infr,IFERROR(S331,"#N/C"), _xlpm.sf,IFERROR(T331,"#N/C"), _xlpm.fam,IFERROR(U331,"#N/C"), _xlpm.subfam,IF(TRIM(V331)="-","#N/C",IFERROR(V331,"#N/C")),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_xlpm.fallback,IF(IFERROR(Q331,"#N/C")="#N/C",P331,IF(IFERROR(R331,"#N/C")="#N/C",Q331,IF(IFERROR(S331,"#N/C")="#N/C",R331,IF(IFERROR(T331,"#N/C")="#N/C",S331,IF(IFERROR(U331,"#N/C")="#N/C",T331,IF(IFERROR(V331,"#N/C")="#N/C",U331,"#N/C")))))), _xlpm.finalResult,IF(OR(_xlpm.computedResult="",_xlpm.computedResult="#N/C"),_xlpm.fallback,_xlpm.computedResult), INDEX(_xlpm.finalResult,1))</f>
        <v>dance_fly</v>
      </c>
      <c r="Z331" s="116" t="str" cm="1">
        <f t="array" ref="Z331">IF(OR(Y331="Insecta",Y331="Arachnida",Y331="#N/C"),"",IFERROR(_xlfn.LET(_xlpm.fc,IFERROR(_xlfn._xlws.FILTER(ClassificationClasses[],ClassificationClasses[Classification Class]=Y331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331,ClassificationClasses[Key])),0),MATCH(Y331,INDEX(ClassificationClasses[],MATCH(TRUE,ISNUMBER(SEARCH(Y331,ClassificationClasses[Key])),0),0),0)-1)))</f>
        <v>Asilomorpha</v>
      </c>
      <c r="AA331" s="116" t="str" cm="1">
        <f t="array" ref="AA331">IFERROR(IF(OR(Z331="Insecta",Z331="Arachnida",Z331="#N/C"),"",INDEX(ClassificationClasses[[Class]:[Infraorder]],MATCH(TRUE,ISNUMBER(SEARCH(Z331,ClassificationClasses[Key])),0),MATCH(Z331,INDEX(ClassificationClasses[#Data], MATCH(TRUE,ISNUMBER(SEARCH(Z331,ClassificationClasses[Key])),0), 0), 0)-1)),"")</f>
        <v>Brachycera</v>
      </c>
      <c r="AB331" s="116" t="str" cm="1">
        <f t="array" ref="AB331">IFERROR(IF(OR(AA331="Insecta",AA331="Arachnida",AA331="#N/C"),"",INDEX(ClassificationClasses[[Class]:[Suborder]],MATCH(TRUE,ISNUMBER(SEARCH(AA331,ClassificationClasses[Key])),0),MATCH(AA331,INDEX(ClassificationClasses[#Data], MATCH(TRUE,ISNUMBER(SEARCH(AA331,ClassificationClasses[Key])),0), 0), 0)-1)),"")</f>
        <v>Diptera</v>
      </c>
      <c r="AC331" s="116" t="str" cm="1">
        <f t="array" ref="AC331">IFERROR(IF(OR(AB331="Insecta",AB331="Arachnida",AB331="#N/C"),"",INDEX(ClassificationClasses[[Class]:[Suborder]],MATCH(TRUE,ISNUMBER(SEARCH(AB331,ClassificationClasses[Key])),0),MATCH(AB331,INDEX(ClassificationClasses[#Data], MATCH(TRUE,ISNUMBER(SEARCH(AB331,ClassificationClasses[Key])),0), 0), 0)-1)),"")</f>
        <v>Insecta</v>
      </c>
      <c r="AD331" s="116" t="str" cm="1">
        <f t="array" ref="AD331">IFERROR(IF(OR(AC331="Insecta",AC331="Arachnida",AC331="#N/C"),"",INDEX(ClassificationClasses[[Class]:[Suborder]],MATCH(TRUE,ISNUMBER(SEARCH(AC331,ClassificationClasses[Key])),0),MATCH(AC331,INDEX(ClassificationClasses[#Data], MATCH(TRUE,ISNUMBER(SEARCH(AC331,ClassificationClasses[Key])),0), 0), 0)-1)),"")</f>
        <v/>
      </c>
      <c r="AE331" s="18" t="str">
        <f t="shared" si="12"/>
        <v>Insecta.Diptera.Brachycera.Asilomorpha.Empidoidea.Dolichopodidae.#N/C.#N/C.#N/C</v>
      </c>
    </row>
    <row r="332" spans="1:31" x14ac:dyDescent="0.3">
      <c r="A332" s="91">
        <v>331</v>
      </c>
      <c r="B332" s="101">
        <v>44410</v>
      </c>
      <c r="C332" s="92" t="s">
        <v>575</v>
      </c>
      <c r="D332" s="93" t="str">
        <f>HYPERLINK(VLOOKUP(C332,Video_List!$F:$J,5),"video")</f>
        <v>video</v>
      </c>
      <c r="E332" s="94" t="str">
        <f>IFERROR(IF(MATCH(C332,Video_List!$F:$F,)&gt;0,"ok",""),"error")</f>
        <v>ok</v>
      </c>
      <c r="F332" s="92" t="s">
        <v>575</v>
      </c>
      <c r="G332" s="93" t="str">
        <f>HYPERLINK(VLOOKUP(F332,Video_List!$F:$J,5),"video")</f>
        <v>video</v>
      </c>
      <c r="H332" s="94" t="str">
        <f>IFERROR(IF(MATCH(F332,Video_List!$F:$F,)&gt;0,"ok",""),"error")</f>
        <v>ok</v>
      </c>
      <c r="I332" s="102">
        <v>44410.783518518518</v>
      </c>
      <c r="J332" s="8">
        <v>44410.783750000002</v>
      </c>
      <c r="K332" s="15">
        <f t="shared" si="11"/>
        <v>2.3148148466134444E-4</v>
      </c>
      <c r="L332" s="95" t="s">
        <v>32</v>
      </c>
      <c r="M332" s="95" t="s">
        <v>33</v>
      </c>
      <c r="N332" s="96" t="str">
        <f>IF(ISBLANK(C332),"",IF(C332=F332, "1 video",CONCATENATE((+COUNTIFS(Video_List!$C:$C,"&lt;=" &amp;Monitoring!J332)-COUNTIFS(Video_List!$C:$C,"&lt;=" &amp;Monitoring!I332))+1," videos")))</f>
        <v>1 video</v>
      </c>
      <c r="O332" s="29" t="s">
        <v>44</v>
      </c>
      <c r="P332" s="43" t="s">
        <v>37</v>
      </c>
      <c r="Q332" s="43" t="s">
        <v>38</v>
      </c>
      <c r="R332" s="43" t="s">
        <v>39</v>
      </c>
      <c r="S332" s="97" t="str">
        <f>+IFERROR(IF(T332="#N/C","#N/C",IF(U332=0,INDEX(Taxonomy_UniqueValues!D:D,MATCH(U332,Taxonomy_UniqueValues!F:F,0)),INDEX(Taxonomy_UniqueValues!D:D,MATCH(T332,Taxonomy_UniqueValues!E:E,0)))),"#N/C")</f>
        <v>Asilomorpha</v>
      </c>
      <c r="T332" s="43" t="s">
        <v>439</v>
      </c>
      <c r="U332" s="43" t="s">
        <v>440</v>
      </c>
      <c r="V332" s="43" t="s">
        <v>35</v>
      </c>
      <c r="W332" s="43" t="s">
        <v>35</v>
      </c>
      <c r="X332" s="30" t="s">
        <v>35</v>
      </c>
      <c r="Y332" s="69" t="str" cm="1">
        <f t="array" ref="Y332">_xlfn.LET(_xlpm.cls,P332, _xlpm.ord,IFERROR(Q332,"#N/C"), _xlpm.subord,IFERROR(R332,"#N/C"), _xlpm.infr,IFERROR(S332,"#N/C"), _xlpm.sf,IFERROR(T332,"#N/C"), _xlpm.fam,IFERROR(U332,"#N/C"), _xlpm.subfam,IF(TRIM(V332)="-","#N/C",IFERROR(V332,"#N/C")),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_xlpm.fallback,IF(IFERROR(Q332,"#N/C")="#N/C",P332,IF(IFERROR(R332,"#N/C")="#N/C",Q332,IF(IFERROR(S332,"#N/C")="#N/C",R332,IF(IFERROR(T332,"#N/C")="#N/C",S332,IF(IFERROR(U332,"#N/C")="#N/C",T332,IF(IFERROR(V332,"#N/C")="#N/C",U332,"#N/C")))))), _xlpm.finalResult,IF(OR(_xlpm.computedResult="",_xlpm.computedResult="#N/C"),_xlpm.fallback,_xlpm.computedResult), INDEX(_xlpm.finalResult,1))</f>
        <v>dance_fly</v>
      </c>
      <c r="Z332" s="116" t="str" cm="1">
        <f t="array" ref="Z332">IF(OR(Y332="Insecta",Y332="Arachnida",Y332="#N/C"),"",IFERROR(_xlfn.LET(_xlpm.fc,IFERROR(_xlfn._xlws.FILTER(ClassificationClasses[],ClassificationClasses[Classification Class]=Y332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332,ClassificationClasses[Key])),0),MATCH(Y332,INDEX(ClassificationClasses[],MATCH(TRUE,ISNUMBER(SEARCH(Y332,ClassificationClasses[Key])),0),0),0)-1)))</f>
        <v>Asilomorpha</v>
      </c>
      <c r="AA332" s="116" t="str" cm="1">
        <f t="array" ref="AA332">IFERROR(IF(OR(Z332="Insecta",Z332="Arachnida",Z332="#N/C"),"",INDEX(ClassificationClasses[[Class]:[Infraorder]],MATCH(TRUE,ISNUMBER(SEARCH(Z332,ClassificationClasses[Key])),0),MATCH(Z332,INDEX(ClassificationClasses[#Data], MATCH(TRUE,ISNUMBER(SEARCH(Z332,ClassificationClasses[Key])),0), 0), 0)-1)),"")</f>
        <v>Brachycera</v>
      </c>
      <c r="AB332" s="116" t="str" cm="1">
        <f t="array" ref="AB332">IFERROR(IF(OR(AA332="Insecta",AA332="Arachnida",AA332="#N/C"),"",INDEX(ClassificationClasses[[Class]:[Suborder]],MATCH(TRUE,ISNUMBER(SEARCH(AA332,ClassificationClasses[Key])),0),MATCH(AA332,INDEX(ClassificationClasses[#Data], MATCH(TRUE,ISNUMBER(SEARCH(AA332,ClassificationClasses[Key])),0), 0), 0)-1)),"")</f>
        <v>Diptera</v>
      </c>
      <c r="AC332" s="116" t="str" cm="1">
        <f t="array" ref="AC332">IFERROR(IF(OR(AB332="Insecta",AB332="Arachnida",AB332="#N/C"),"",INDEX(ClassificationClasses[[Class]:[Suborder]],MATCH(TRUE,ISNUMBER(SEARCH(AB332,ClassificationClasses[Key])),0),MATCH(AB332,INDEX(ClassificationClasses[#Data], MATCH(TRUE,ISNUMBER(SEARCH(AB332,ClassificationClasses[Key])),0), 0), 0)-1)),"")</f>
        <v>Insecta</v>
      </c>
      <c r="AD332" s="116" t="str" cm="1">
        <f t="array" ref="AD332">IFERROR(IF(OR(AC332="Insecta",AC332="Arachnida",AC332="#N/C"),"",INDEX(ClassificationClasses[[Class]:[Suborder]],MATCH(TRUE,ISNUMBER(SEARCH(AC332,ClassificationClasses[Key])),0),MATCH(AC332,INDEX(ClassificationClasses[#Data], MATCH(TRUE,ISNUMBER(SEARCH(AC332,ClassificationClasses[Key])),0), 0), 0)-1)),"")</f>
        <v/>
      </c>
      <c r="AE332" s="18" t="str">
        <f t="shared" si="12"/>
        <v>Insecta.Diptera.Brachycera.Asilomorpha.Empidoidea.Dolichopodidae.#N/C.#N/C.#N/C</v>
      </c>
    </row>
    <row r="333" spans="1:31" x14ac:dyDescent="0.3">
      <c r="A333" s="91">
        <v>332</v>
      </c>
      <c r="B333" s="101">
        <v>44410</v>
      </c>
      <c r="C333" s="92" t="s">
        <v>576</v>
      </c>
      <c r="D333" s="93" t="str">
        <f>HYPERLINK(VLOOKUP(C333,Video_List!$F:$J,5),"video")</f>
        <v>video</v>
      </c>
      <c r="E333" s="94" t="str">
        <f>IFERROR(IF(MATCH(C333,Video_List!$F:$F,)&gt;0,"ok",""),"error")</f>
        <v>ok</v>
      </c>
      <c r="F333" s="92" t="s">
        <v>576</v>
      </c>
      <c r="G333" s="93" t="str">
        <f>HYPERLINK(VLOOKUP(F333,Video_List!$F:$J,5),"video")</f>
        <v>video</v>
      </c>
      <c r="H333" s="94" t="str">
        <f>IFERROR(IF(MATCH(F333,Video_List!$F:$F,)&gt;0,"ok",""),"error")</f>
        <v>ok</v>
      </c>
      <c r="I333" s="102">
        <v>44410.791087962964</v>
      </c>
      <c r="J333" s="8">
        <v>44410.791134259256</v>
      </c>
      <c r="K333" s="15">
        <f t="shared" si="11"/>
        <v>4.6296292566694319E-5</v>
      </c>
      <c r="L333" s="95" t="s">
        <v>32</v>
      </c>
      <c r="M333" s="95" t="s">
        <v>33</v>
      </c>
      <c r="N333" s="96" t="str">
        <f>IF(ISBLANK(C333),"",IF(C333=F333, "1 video",CONCATENATE((+COUNTIFS(Video_List!$C:$C,"&lt;=" &amp;Monitoring!J333)-COUNTIFS(Video_List!$C:$C,"&lt;=" &amp;Monitoring!I333))+1," videos")))</f>
        <v>1 video</v>
      </c>
      <c r="O333" s="29" t="s">
        <v>44</v>
      </c>
      <c r="P333" s="43" t="s">
        <v>37</v>
      </c>
      <c r="Q333" s="43" t="s">
        <v>38</v>
      </c>
      <c r="R333" s="43" t="s">
        <v>39</v>
      </c>
      <c r="S333" s="97" t="str">
        <f>+IFERROR(IF(T333="#N/C","#N/C",IF(U333=0,INDEX(Taxonomy_UniqueValues!D:D,MATCH(U333,Taxonomy_UniqueValues!F:F,0)),INDEX(Taxonomy_UniqueValues!D:D,MATCH(T333,Taxonomy_UniqueValues!E:E,0)))),"#N/C")</f>
        <v>Asilomorpha</v>
      </c>
      <c r="T333" s="43" t="s">
        <v>439</v>
      </c>
      <c r="U333" s="43" t="s">
        <v>440</v>
      </c>
      <c r="V333" s="43" t="s">
        <v>35</v>
      </c>
      <c r="W333" s="43" t="s">
        <v>35</v>
      </c>
      <c r="X333" s="30" t="s">
        <v>35</v>
      </c>
      <c r="Y333" s="69" t="str" cm="1">
        <f t="array" ref="Y333">_xlfn.LET(_xlpm.cls,P333, _xlpm.ord,IFERROR(Q333,"#N/C"), _xlpm.subord,IFERROR(R333,"#N/C"), _xlpm.infr,IFERROR(S333,"#N/C"), _xlpm.sf,IFERROR(T333,"#N/C"), _xlpm.fam,IFERROR(U333,"#N/C"), _xlpm.subfam,IF(TRIM(V333)="-","#N/C",IFERROR(V333,"#N/C")),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_xlpm.fallback,IF(IFERROR(Q333,"#N/C")="#N/C",P333,IF(IFERROR(R333,"#N/C")="#N/C",Q333,IF(IFERROR(S333,"#N/C")="#N/C",R333,IF(IFERROR(T333,"#N/C")="#N/C",S333,IF(IFERROR(U333,"#N/C")="#N/C",T333,IF(IFERROR(V333,"#N/C")="#N/C",U333,"#N/C")))))), _xlpm.finalResult,IF(OR(_xlpm.computedResult="",_xlpm.computedResult="#N/C"),_xlpm.fallback,_xlpm.computedResult), INDEX(_xlpm.finalResult,1))</f>
        <v>dance_fly</v>
      </c>
      <c r="Z333" s="116" t="str" cm="1">
        <f t="array" ref="Z333">IF(OR(Y333="Insecta",Y333="Arachnida",Y333="#N/C"),"",IFERROR(_xlfn.LET(_xlpm.fc,IFERROR(_xlfn._xlws.FILTER(ClassificationClasses[],ClassificationClasses[Classification Class]=Y333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333,ClassificationClasses[Key])),0),MATCH(Y333,INDEX(ClassificationClasses[],MATCH(TRUE,ISNUMBER(SEARCH(Y333,ClassificationClasses[Key])),0),0),0)-1)))</f>
        <v>Asilomorpha</v>
      </c>
      <c r="AA333" s="116" t="str" cm="1">
        <f t="array" ref="AA333">IFERROR(IF(OR(Z333="Insecta",Z333="Arachnida",Z333="#N/C"),"",INDEX(ClassificationClasses[[Class]:[Infraorder]],MATCH(TRUE,ISNUMBER(SEARCH(Z333,ClassificationClasses[Key])),0),MATCH(Z333,INDEX(ClassificationClasses[#Data], MATCH(TRUE,ISNUMBER(SEARCH(Z333,ClassificationClasses[Key])),0), 0), 0)-1)),"")</f>
        <v>Brachycera</v>
      </c>
      <c r="AB333" s="116" t="str" cm="1">
        <f t="array" ref="AB333">IFERROR(IF(OR(AA333="Insecta",AA333="Arachnida",AA333="#N/C"),"",INDEX(ClassificationClasses[[Class]:[Suborder]],MATCH(TRUE,ISNUMBER(SEARCH(AA333,ClassificationClasses[Key])),0),MATCH(AA333,INDEX(ClassificationClasses[#Data], MATCH(TRUE,ISNUMBER(SEARCH(AA333,ClassificationClasses[Key])),0), 0), 0)-1)),"")</f>
        <v>Diptera</v>
      </c>
      <c r="AC333" s="116" t="str" cm="1">
        <f t="array" ref="AC333">IFERROR(IF(OR(AB333="Insecta",AB333="Arachnida",AB333="#N/C"),"",INDEX(ClassificationClasses[[Class]:[Suborder]],MATCH(TRUE,ISNUMBER(SEARCH(AB333,ClassificationClasses[Key])),0),MATCH(AB333,INDEX(ClassificationClasses[#Data], MATCH(TRUE,ISNUMBER(SEARCH(AB333,ClassificationClasses[Key])),0), 0), 0)-1)),"")</f>
        <v>Insecta</v>
      </c>
      <c r="AD333" s="116" t="str" cm="1">
        <f t="array" ref="AD333">IFERROR(IF(OR(AC333="Insecta",AC333="Arachnida",AC333="#N/C"),"",INDEX(ClassificationClasses[[Class]:[Suborder]],MATCH(TRUE,ISNUMBER(SEARCH(AC333,ClassificationClasses[Key])),0),MATCH(AC333,INDEX(ClassificationClasses[#Data], MATCH(TRUE,ISNUMBER(SEARCH(AC333,ClassificationClasses[Key])),0), 0), 0)-1)),"")</f>
        <v/>
      </c>
      <c r="AE333" s="18" t="str">
        <f t="shared" si="12"/>
        <v>Insecta.Diptera.Brachycera.Asilomorpha.Empidoidea.Dolichopodidae.#N/C.#N/C.#N/C</v>
      </c>
    </row>
    <row r="334" spans="1:31" x14ac:dyDescent="0.3">
      <c r="A334" s="91">
        <v>333</v>
      </c>
      <c r="B334" s="101">
        <v>44411</v>
      </c>
      <c r="C334" s="92" t="s">
        <v>577</v>
      </c>
      <c r="D334" s="93" t="str">
        <f>HYPERLINK(VLOOKUP(C334,Video_List!$F:$J,5),"video")</f>
        <v>video</v>
      </c>
      <c r="E334" s="94" t="str">
        <f>IFERROR(IF(MATCH(C334,Video_List!$F:$F,)&gt;0,"ok",""),"error")</f>
        <v>ok</v>
      </c>
      <c r="F334" s="92" t="s">
        <v>578</v>
      </c>
      <c r="G334" s="93" t="str">
        <f>HYPERLINK(VLOOKUP(F334,Video_List!$F:$J,5),"video")</f>
        <v>video</v>
      </c>
      <c r="H334" s="94" t="str">
        <f>IFERROR(IF(MATCH(F334,Video_List!$F:$F,)&gt;0,"ok",""),"error")</f>
        <v>ok</v>
      </c>
      <c r="I334" s="102">
        <v>44411.254120370373</v>
      </c>
      <c r="J334" s="8">
        <v>44411.447256944448</v>
      </c>
      <c r="K334" s="15">
        <f t="shared" si="11"/>
        <v>0.19313657407474238</v>
      </c>
      <c r="L334" s="95" t="s">
        <v>44</v>
      </c>
      <c r="M334" s="95" t="s">
        <v>118</v>
      </c>
      <c r="N334" s="96" t="str">
        <f>IF(ISBLANK(C334),"",IF(C334=F334, "1 video",CONCATENATE((+COUNTIFS(Video_List!$C:$C,"&lt;=" &amp;Monitoring!J334)-COUNTIFS(Video_List!$C:$C,"&lt;=" &amp;Monitoring!I334))+1," videos")))</f>
        <v>3 videos</v>
      </c>
      <c r="O334" s="29" t="s">
        <v>44</v>
      </c>
      <c r="P334" s="43" t="s">
        <v>37</v>
      </c>
      <c r="Q334" s="43" t="s">
        <v>123</v>
      </c>
      <c r="R334" s="43" t="s">
        <v>287</v>
      </c>
      <c r="S334" s="97" t="str">
        <f>+IFERROR(IF(T334="#N/C","#N/C",IF(U334=0,INDEX(Taxonomy_UniqueValues!D:D,MATCH(U334,Taxonomy_UniqueValues!F:F,0)),INDEX(Taxonomy_UniqueValues!D:D,MATCH(T334,Taxonomy_UniqueValues!E:E,0)))),"#N/C")</f>
        <v>Tettigoniidea</v>
      </c>
      <c r="T334" s="43" t="s">
        <v>288</v>
      </c>
      <c r="U334" s="43" t="s">
        <v>289</v>
      </c>
      <c r="V334" s="43" t="s">
        <v>487</v>
      </c>
      <c r="W334" s="43" t="s">
        <v>488</v>
      </c>
      <c r="X334" s="30" t="s">
        <v>35</v>
      </c>
      <c r="Y334" s="69" t="str" cm="1">
        <f t="array" ref="Y334">_xlfn.LET(_xlpm.cls,P334, _xlpm.ord,IFERROR(Q334,"#N/C"), _xlpm.subord,IFERROR(R334,"#N/C"), _xlpm.infr,IFERROR(S334,"#N/C"), _xlpm.sf,IFERROR(T334,"#N/C"), _xlpm.fam,IFERROR(U334,"#N/C"), _xlpm.subfam,IF(TRIM(V334)="-","#N/C",IFERROR(V334,"#N/C")),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_xlpm.fallback,IF(IFERROR(Q334,"#N/C")="#N/C",P334,IF(IFERROR(R334,"#N/C")="#N/C",Q334,IF(IFERROR(S334,"#N/C")="#N/C",R334,IF(IFERROR(T334,"#N/C")="#N/C",S334,IF(IFERROR(U334,"#N/C")="#N/C",T334,IF(IFERROR(V334,"#N/C")="#N/C",U334,"#N/C")))))), _xlpm.finalResult,IF(OR(_xlpm.computedResult="",_xlpm.computedResult="#N/C"),_xlpm.fallback,_xlpm.computedResult), INDEX(_xlpm.finalResult,1))</f>
        <v>grasshopper</v>
      </c>
      <c r="Z334" s="116" t="str" cm="1">
        <f t="array" ref="Z334">IF(OR(Y334="Insecta",Y334="Arachnida",Y334="#N/C"),"",IFERROR(_xlfn.LET(_xlpm.fc,IFERROR(_xlfn._xlws.FILTER(ClassificationClasses[],ClassificationClasses[Classification Class]=Y334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334,ClassificationClasses[Key])),0),MATCH(Y334,INDEX(ClassificationClasses[],MATCH(TRUE,ISNUMBER(SEARCH(Y334,ClassificationClasses[Key])),0),0),0)-1)))</f>
        <v>Orthoptera</v>
      </c>
      <c r="AA334" s="116" t="str" cm="1">
        <f t="array" ref="AA334">IFERROR(IF(OR(Z334="Insecta",Z334="Arachnida",Z334="#N/C"),"",INDEX(ClassificationClasses[[Class]:[Infraorder]],MATCH(TRUE,ISNUMBER(SEARCH(Z334,ClassificationClasses[Key])),0),MATCH(Z334,INDEX(ClassificationClasses[#Data], MATCH(TRUE,ISNUMBER(SEARCH(Z334,ClassificationClasses[Key])),0), 0), 0)-1)),"")</f>
        <v>Insecta</v>
      </c>
      <c r="AB334" s="116" t="str" cm="1">
        <f t="array" ref="AB334">IFERROR(IF(OR(AA334="Insecta",AA334="Arachnida",AA334="#N/C"),"",INDEX(ClassificationClasses[[Class]:[Suborder]],MATCH(TRUE,ISNUMBER(SEARCH(AA334,ClassificationClasses[Key])),0),MATCH(AA334,INDEX(ClassificationClasses[#Data], MATCH(TRUE,ISNUMBER(SEARCH(AA334,ClassificationClasses[Key])),0), 0), 0)-1)),"")</f>
        <v/>
      </c>
      <c r="AC334" s="116" t="str" cm="1">
        <f t="array" ref="AC334">IFERROR(IF(OR(AB334="Insecta",AB334="Arachnida",AB334="#N/C"),"",INDEX(ClassificationClasses[[Class]:[Suborder]],MATCH(TRUE,ISNUMBER(SEARCH(AB334,ClassificationClasses[Key])),0),MATCH(AB334,INDEX(ClassificationClasses[#Data], MATCH(TRUE,ISNUMBER(SEARCH(AB334,ClassificationClasses[Key])),0), 0), 0)-1)),"")</f>
        <v/>
      </c>
      <c r="AD334" s="116" t="str" cm="1">
        <f t="array" ref="AD334">IFERROR(IF(OR(AC334="Insecta",AC334="Arachnida",AC334="#N/C"),"",INDEX(ClassificationClasses[[Class]:[Suborder]],MATCH(TRUE,ISNUMBER(SEARCH(AC334,ClassificationClasses[Key])),0),MATCH(AC334,INDEX(ClassificationClasses[#Data], MATCH(TRUE,ISNUMBER(SEARCH(AC334,ClassificationClasses[Key])),0), 0), 0)-1)),"")</f>
        <v/>
      </c>
      <c r="AE334" s="18" t="str">
        <f t="shared" si="12"/>
        <v>Insecta.Orthoptera.Ensifera.Tettigoniidea.Tettigonioidea.Tettigoniidae.Conocephalinae.Conocephalus.#N/C</v>
      </c>
    </row>
    <row r="335" spans="1:31" x14ac:dyDescent="0.3">
      <c r="A335" s="91">
        <v>334</v>
      </c>
      <c r="B335" s="101">
        <v>44411</v>
      </c>
      <c r="C335" s="92" t="s">
        <v>579</v>
      </c>
      <c r="D335" s="93" t="str">
        <f>HYPERLINK(VLOOKUP(C335,Video_List!$F:$J,5),"video")</f>
        <v>video</v>
      </c>
      <c r="E335" s="94" t="str">
        <f>IFERROR(IF(MATCH(C335,Video_List!$F:$F,)&gt;0,"ok",""),"error")</f>
        <v>ok</v>
      </c>
      <c r="F335" s="92" t="s">
        <v>579</v>
      </c>
      <c r="G335" s="93" t="str">
        <f>HYPERLINK(VLOOKUP(F335,Video_List!$F:$J,5),"video")</f>
        <v>video</v>
      </c>
      <c r="H335" s="94" t="str">
        <f>IFERROR(IF(MATCH(F335,Video_List!$F:$F,)&gt;0,"ok",""),"error")</f>
        <v>ok</v>
      </c>
      <c r="I335" s="102">
        <v>44411.384467592594</v>
      </c>
      <c r="J335" s="8">
        <v>44411.385347222225</v>
      </c>
      <c r="K335" s="15">
        <f t="shared" si="11"/>
        <v>8.7962963152676821E-4</v>
      </c>
      <c r="L335" s="95" t="s">
        <v>44</v>
      </c>
      <c r="M335" s="95" t="s">
        <v>55</v>
      </c>
      <c r="N335" s="96" t="str">
        <f>IF(ISBLANK(C335),"",IF(C335=F335, "1 video",CONCATENATE((+COUNTIFS(Video_List!$C:$C,"&lt;=" &amp;Monitoring!J335)-COUNTIFS(Video_List!$C:$C,"&lt;=" &amp;Monitoring!I335))+1," videos")))</f>
        <v>1 video</v>
      </c>
      <c r="O335" s="29" t="s">
        <v>44</v>
      </c>
      <c r="P335" s="120" t="str">
        <f>+IFERROR(IF(Q335="#N/C","#N/C",INDEX(Taxonomy_UniqueValues!A:A,MATCH(Q335,Taxonomy_UniqueValues!B:B,0))),"#N/C")</f>
        <v>Insecta</v>
      </c>
      <c r="Q335" s="120" t="str">
        <f>+IFERROR(IF(R335="#N/C","#N/C",INDEX(Taxonomy_UniqueValues!B:B,MATCH(R335,Taxonomy_UniqueValues!C:C,0))),"#N/C")</f>
        <v>Hymenoptera</v>
      </c>
      <c r="R335" s="120" t="str">
        <f>+IFERROR(IF(S335="#N/C","#N/C",INDEX(Taxonomy_UniqueValues!C:C,MATCH(S335,Taxonomy_UniqueValues!D:D,0))),"#N/C")</f>
        <v>Apocrita</v>
      </c>
      <c r="S335" s="120" t="str">
        <f>+IFERROR(IF(T335="#N/C","#N/C",INDEX(Taxonomy_UniqueValues!D:D,MATCH(T335,Taxonomy_UniqueValues!E:E,0))),"#N/C")</f>
        <v>Aculeata</v>
      </c>
      <c r="T335" s="120" t="str">
        <f>+IFERROR(IF(U335="#N/C","#N/C",INDEX(Taxonomy_UniqueValues!E:E,MATCH(U335,Taxonomy_UniqueValues!F:F,0))),"#N/C")</f>
        <v>Formicoidea</v>
      </c>
      <c r="U335" s="43" t="s">
        <v>120</v>
      </c>
      <c r="V335" s="43" t="s">
        <v>35</v>
      </c>
      <c r="W335" s="43" t="s">
        <v>35</v>
      </c>
      <c r="X335" s="30" t="s">
        <v>35</v>
      </c>
      <c r="Y335" s="69" t="str" cm="1">
        <f t="array" ref="Y335">_xlfn.LET(_xlpm.cls,P335, _xlpm.ord,IFERROR(Q335,"#N/C"), _xlpm.subord,IFERROR(R335,"#N/C"), _xlpm.infr,IFERROR(S335,"#N/C"), _xlpm.sf,IFERROR(T335,"#N/C"), _xlpm.fam,IFERROR(U335,"#N/C"), _xlpm.subfam,IF(TRIM(V335)="-","#N/C",IFERROR(V335,"#N/C")),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_xlpm.fallback,IF(IFERROR(Q335,"#N/C")="#N/C",P335,IF(IFERROR(R335,"#N/C")="#N/C",Q335,IF(IFERROR(S335,"#N/C")="#N/C",R335,IF(IFERROR(T335,"#N/C")="#N/C",S335,IF(IFERROR(U335,"#N/C")="#N/C",T335,IF(IFERROR(V335,"#N/C")="#N/C",U335,"#N/C")))))), _xlpm.finalResult,IF(OR(_xlpm.computedResult="",_xlpm.computedResult="#N/C"),_xlpm.fallback,_xlpm.computedResult), INDEX(_xlpm.finalResult,1))</f>
        <v>ant</v>
      </c>
      <c r="Z335" s="116" t="str" cm="1">
        <f t="array" ref="Z335">IF(OR(Y335="Insecta",Y335="Arachnida",Y335="#N/C"),"",IFERROR(_xlfn.LET(_xlpm.fc,IFERROR(_xlfn._xlws.FILTER(ClassificationClasses[],ClassificationClasses[Classification Class]=Y335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335,ClassificationClasses[Key])),0),MATCH(Y335,INDEX(ClassificationClasses[],MATCH(TRUE,ISNUMBER(SEARCH(Y335,ClassificationClasses[Key])),0),0),0)-1)))</f>
        <v>Aculeata</v>
      </c>
      <c r="AA335" s="116" t="str" cm="1">
        <f t="array" ref="AA335">IFERROR(IF(OR(Z335="Insecta",Z335="Arachnida",Z335="#N/C"),"",INDEX(ClassificationClasses[[Class]:[Infraorder]],MATCH(TRUE,ISNUMBER(SEARCH(Z335,ClassificationClasses[Key])),0),MATCH(Z335,INDEX(ClassificationClasses[#Data], MATCH(TRUE,ISNUMBER(SEARCH(Z335,ClassificationClasses[Key])),0), 0), 0)-1)),"")</f>
        <v>Apocrita</v>
      </c>
      <c r="AB335" s="116" t="str" cm="1">
        <f t="array" ref="AB335">IFERROR(IF(OR(AA335="Insecta",AA335="Arachnida",AA335="#N/C"),"",INDEX(ClassificationClasses[[Class]:[Suborder]],MATCH(TRUE,ISNUMBER(SEARCH(AA335,ClassificationClasses[Key])),0),MATCH(AA335,INDEX(ClassificationClasses[#Data], MATCH(TRUE,ISNUMBER(SEARCH(AA335,ClassificationClasses[Key])),0), 0), 0)-1)),"")</f>
        <v>Hymenoptera</v>
      </c>
      <c r="AC335" s="116" t="str" cm="1">
        <f t="array" ref="AC335">IFERROR(IF(OR(AB335="Insecta",AB335="Arachnida",AB335="#N/C"),"",INDEX(ClassificationClasses[[Class]:[Suborder]],MATCH(TRUE,ISNUMBER(SEARCH(AB335,ClassificationClasses[Key])),0),MATCH(AB335,INDEX(ClassificationClasses[#Data], MATCH(TRUE,ISNUMBER(SEARCH(AB335,ClassificationClasses[Key])),0), 0), 0)-1)),"")</f>
        <v>Insecta</v>
      </c>
      <c r="AD335" s="116" t="str" cm="1">
        <f t="array" ref="AD335">IFERROR(IF(OR(AC335="Insecta",AC335="Arachnida",AC335="#N/C"),"",INDEX(ClassificationClasses[[Class]:[Suborder]],MATCH(TRUE,ISNUMBER(SEARCH(AC335,ClassificationClasses[Key])),0),MATCH(AC335,INDEX(ClassificationClasses[#Data], MATCH(TRUE,ISNUMBER(SEARCH(AC335,ClassificationClasses[Key])),0), 0), 0)-1)),"")</f>
        <v/>
      </c>
      <c r="AE335" s="18" t="str">
        <f t="shared" si="12"/>
        <v>Insecta.Hymenoptera.Apocrita.Aculeata.Formicoidea.Formicidae.#N/C.#N/C.#N/C</v>
      </c>
    </row>
    <row r="336" spans="1:31" x14ac:dyDescent="0.3">
      <c r="A336" s="91">
        <v>335</v>
      </c>
      <c r="B336" s="101">
        <v>44411</v>
      </c>
      <c r="C336" s="92" t="s">
        <v>580</v>
      </c>
      <c r="D336" s="93" t="str">
        <f>HYPERLINK(VLOOKUP(C336,Video_List!$F:$J,5),"video")</f>
        <v>video</v>
      </c>
      <c r="E336" s="94" t="str">
        <f>IFERROR(IF(MATCH(C336,Video_List!$F:$F,)&gt;0,"ok",""),"error")</f>
        <v>ok</v>
      </c>
      <c r="F336" s="92" t="s">
        <v>581</v>
      </c>
      <c r="G336" s="93" t="str">
        <f>HYPERLINK(VLOOKUP(F336,Video_List!$F:$J,5),"video")</f>
        <v>video</v>
      </c>
      <c r="H336" s="94" t="str">
        <f>IFERROR(IF(MATCH(F336,Video_List!$F:$F,)&gt;0,"ok",""),"error")</f>
        <v>ok</v>
      </c>
      <c r="I336" s="102">
        <v>44411.453263888892</v>
      </c>
      <c r="J336" s="8">
        <v>44411.501099537039</v>
      </c>
      <c r="K336" s="15">
        <f t="shared" si="11"/>
        <v>4.7835648147156462E-2</v>
      </c>
      <c r="L336" s="95" t="s">
        <v>44</v>
      </c>
      <c r="M336" s="95" t="s">
        <v>118</v>
      </c>
      <c r="N336" s="96" t="str">
        <f>IF(ISBLANK(C336),"",IF(C336=F336, "1 video",CONCATENATE((+COUNTIFS(Video_List!$C:$C,"&lt;=" &amp;Monitoring!J336)-COUNTIFS(Video_List!$C:$C,"&lt;=" &amp;Monitoring!I336))+1," videos")))</f>
        <v>3 videos</v>
      </c>
      <c r="O336" s="29" t="s">
        <v>44</v>
      </c>
      <c r="P336" s="43" t="s">
        <v>37</v>
      </c>
      <c r="Q336" s="43" t="s">
        <v>123</v>
      </c>
      <c r="R336" s="43" t="s">
        <v>287</v>
      </c>
      <c r="S336" s="97" t="str">
        <f>+IFERROR(IF(T336="#N/C","#N/C",IF(U336=0,INDEX(Taxonomy_UniqueValues!D:D,MATCH(U336,Taxonomy_UniqueValues!F:F,0)),INDEX(Taxonomy_UniqueValues!D:D,MATCH(T336,Taxonomy_UniqueValues!E:E,0)))),"#N/C")</f>
        <v>Tettigoniidea</v>
      </c>
      <c r="T336" s="43" t="s">
        <v>288</v>
      </c>
      <c r="U336" s="43" t="s">
        <v>289</v>
      </c>
      <c r="V336" s="43" t="s">
        <v>487</v>
      </c>
      <c r="W336" s="43" t="s">
        <v>488</v>
      </c>
      <c r="X336" s="30" t="s">
        <v>35</v>
      </c>
      <c r="Y336" s="69" t="str" cm="1">
        <f t="array" ref="Y336">_xlfn.LET(_xlpm.cls,P336, _xlpm.ord,IFERROR(Q336,"#N/C"), _xlpm.subord,IFERROR(R336,"#N/C"), _xlpm.infr,IFERROR(S336,"#N/C"), _xlpm.sf,IFERROR(T336,"#N/C"), _xlpm.fam,IFERROR(U336,"#N/C"), _xlpm.subfam,IF(TRIM(V336)="-","#N/C",IFERROR(V336,"#N/C")),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_xlpm.fallback,IF(IFERROR(Q336,"#N/C")="#N/C",P336,IF(IFERROR(R336,"#N/C")="#N/C",Q336,IF(IFERROR(S336,"#N/C")="#N/C",R336,IF(IFERROR(T336,"#N/C")="#N/C",S336,IF(IFERROR(U336,"#N/C")="#N/C",T336,IF(IFERROR(V336,"#N/C")="#N/C",U336,"#N/C")))))), _xlpm.finalResult,IF(OR(_xlpm.computedResult="",_xlpm.computedResult="#N/C"),_xlpm.fallback,_xlpm.computedResult), INDEX(_xlpm.finalResult,1))</f>
        <v>grasshopper</v>
      </c>
      <c r="Z336" s="116" t="str" cm="1">
        <f t="array" ref="Z336">IF(OR(Y336="Insecta",Y336="Arachnida",Y336="#N/C"),"",IFERROR(_xlfn.LET(_xlpm.fc,IFERROR(_xlfn._xlws.FILTER(ClassificationClasses[],ClassificationClasses[Classification Class]=Y336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336,ClassificationClasses[Key])),0),MATCH(Y336,INDEX(ClassificationClasses[],MATCH(TRUE,ISNUMBER(SEARCH(Y336,ClassificationClasses[Key])),0),0),0)-1)))</f>
        <v>Orthoptera</v>
      </c>
      <c r="AA336" s="116" t="str" cm="1">
        <f t="array" ref="AA336">IFERROR(IF(OR(Z336="Insecta",Z336="Arachnida",Z336="#N/C"),"",INDEX(ClassificationClasses[[Class]:[Infraorder]],MATCH(TRUE,ISNUMBER(SEARCH(Z336,ClassificationClasses[Key])),0),MATCH(Z336,INDEX(ClassificationClasses[#Data], MATCH(TRUE,ISNUMBER(SEARCH(Z336,ClassificationClasses[Key])),0), 0), 0)-1)),"")</f>
        <v>Insecta</v>
      </c>
      <c r="AB336" s="116" t="str" cm="1">
        <f t="array" ref="AB336">IFERROR(IF(OR(AA336="Insecta",AA336="Arachnida",AA336="#N/C"),"",INDEX(ClassificationClasses[[Class]:[Suborder]],MATCH(TRUE,ISNUMBER(SEARCH(AA336,ClassificationClasses[Key])),0),MATCH(AA336,INDEX(ClassificationClasses[#Data], MATCH(TRUE,ISNUMBER(SEARCH(AA336,ClassificationClasses[Key])),0), 0), 0)-1)),"")</f>
        <v/>
      </c>
      <c r="AC336" s="116" t="str" cm="1">
        <f t="array" ref="AC336">IFERROR(IF(OR(AB336="Insecta",AB336="Arachnida",AB336="#N/C"),"",INDEX(ClassificationClasses[[Class]:[Suborder]],MATCH(TRUE,ISNUMBER(SEARCH(AB336,ClassificationClasses[Key])),0),MATCH(AB336,INDEX(ClassificationClasses[#Data], MATCH(TRUE,ISNUMBER(SEARCH(AB336,ClassificationClasses[Key])),0), 0), 0)-1)),"")</f>
        <v/>
      </c>
      <c r="AD336" s="116" t="str" cm="1">
        <f t="array" ref="AD336">IFERROR(IF(OR(AC336="Insecta",AC336="Arachnida",AC336="#N/C"),"",INDEX(ClassificationClasses[[Class]:[Suborder]],MATCH(TRUE,ISNUMBER(SEARCH(AC336,ClassificationClasses[Key])),0),MATCH(AC336,INDEX(ClassificationClasses[#Data], MATCH(TRUE,ISNUMBER(SEARCH(AC336,ClassificationClasses[Key])),0), 0), 0)-1)),"")</f>
        <v/>
      </c>
      <c r="AE336" s="18" t="str">
        <f t="shared" si="12"/>
        <v>Insecta.Orthoptera.Ensifera.Tettigoniidea.Tettigonioidea.Tettigoniidae.Conocephalinae.Conocephalus.#N/C</v>
      </c>
    </row>
    <row r="337" spans="1:31" x14ac:dyDescent="0.3">
      <c r="A337" s="91">
        <v>336</v>
      </c>
      <c r="B337" s="101">
        <v>44411</v>
      </c>
      <c r="C337" s="92" t="s">
        <v>582</v>
      </c>
      <c r="D337" s="93" t="str">
        <f>HYPERLINK(VLOOKUP(C337,Video_List!$F:$J,5),"video")</f>
        <v>video</v>
      </c>
      <c r="E337" s="94" t="str">
        <f>IFERROR(IF(MATCH(C337,Video_List!$F:$F,)&gt;0,"ok",""),"error")</f>
        <v>ok</v>
      </c>
      <c r="F337" s="92" t="s">
        <v>582</v>
      </c>
      <c r="G337" s="93" t="str">
        <f>HYPERLINK(VLOOKUP(F337,Video_List!$F:$J,5),"video")</f>
        <v>video</v>
      </c>
      <c r="H337" s="94" t="str">
        <f>IFERROR(IF(MATCH(F337,Video_List!$F:$F,)&gt;0,"ok",""),"error")</f>
        <v>ok</v>
      </c>
      <c r="I337" s="102">
        <v>44411.482777777775</v>
      </c>
      <c r="J337" s="8">
        <v>44411.483275462961</v>
      </c>
      <c r="K337" s="15">
        <f t="shared" si="11"/>
        <v>4.9768518510973081E-4</v>
      </c>
      <c r="L337" s="95" t="s">
        <v>44</v>
      </c>
      <c r="M337" s="95" t="s">
        <v>33</v>
      </c>
      <c r="N337" s="96" t="str">
        <f>IF(ISBLANK(C337),"",IF(C337=F337, "1 video",CONCATENATE((+COUNTIFS(Video_List!$C:$C,"&lt;=" &amp;Monitoring!J337)-COUNTIFS(Video_List!$C:$C,"&lt;=" &amp;Monitoring!I337))+1," videos")))</f>
        <v>1 video</v>
      </c>
      <c r="O337" s="29" t="s">
        <v>44</v>
      </c>
      <c r="P337" s="120" t="str">
        <f>+IFERROR(IF(Q337="#N/C","#N/C",INDEX(Taxonomy_UniqueValues!A:A,MATCH(Q337,Taxonomy_UniqueValues!B:B,0))),"#N/C")</f>
        <v>Insecta</v>
      </c>
      <c r="Q337" s="120" t="str">
        <f>+IFERROR(IF(R337="#N/C","#N/C",INDEX(Taxonomy_UniqueValues!B:B,MATCH(R337,Taxonomy_UniqueValues!C:C,0))),"#N/C")</f>
        <v>Hymenoptera</v>
      </c>
      <c r="R337" s="120" t="str">
        <f>+IFERROR(IF(S337="#N/C","#N/C",INDEX(Taxonomy_UniqueValues!C:C,MATCH(S337,Taxonomy_UniqueValues!D:D,0))),"#N/C")</f>
        <v>Apocrita</v>
      </c>
      <c r="S337" s="120" t="str">
        <f>+IFERROR(IF(T337="#N/C","#N/C",INDEX(Taxonomy_UniqueValues!D:D,MATCH(T337,Taxonomy_UniqueValues!E:E,0))),"#N/C")</f>
        <v>Aculeata</v>
      </c>
      <c r="T337" s="120" t="str">
        <f>+IFERROR(IF(U337="#N/C","#N/C",INDEX(Taxonomy_UniqueValues!E:E,MATCH(U337,Taxonomy_UniqueValues!F:F,0))),"#N/C")</f>
        <v>Formicoidea</v>
      </c>
      <c r="U337" s="43" t="s">
        <v>120</v>
      </c>
      <c r="V337" s="43" t="s">
        <v>35</v>
      </c>
      <c r="W337" s="43" t="s">
        <v>35</v>
      </c>
      <c r="X337" s="30" t="s">
        <v>35</v>
      </c>
      <c r="Y337" s="69" t="str" cm="1">
        <f t="array" ref="Y337">_xlfn.LET(_xlpm.cls,P337, _xlpm.ord,IFERROR(Q337,"#N/C"), _xlpm.subord,IFERROR(R337,"#N/C"), _xlpm.infr,IFERROR(S337,"#N/C"), _xlpm.sf,IFERROR(T337,"#N/C"), _xlpm.fam,IFERROR(U337,"#N/C"), _xlpm.subfam,IF(TRIM(V337)="-","#N/C",IFERROR(V337,"#N/C")),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_xlpm.fallback,IF(IFERROR(Q337,"#N/C")="#N/C",P337,IF(IFERROR(R337,"#N/C")="#N/C",Q337,IF(IFERROR(S337,"#N/C")="#N/C",R337,IF(IFERROR(T337,"#N/C")="#N/C",S337,IF(IFERROR(U337,"#N/C")="#N/C",T337,IF(IFERROR(V337,"#N/C")="#N/C",U337,"#N/C")))))), _xlpm.finalResult,IF(OR(_xlpm.computedResult="",_xlpm.computedResult="#N/C"),_xlpm.fallback,_xlpm.computedResult), INDEX(_xlpm.finalResult,1))</f>
        <v>ant</v>
      </c>
      <c r="Z337" s="116" t="str" cm="1">
        <f t="array" ref="Z337">IF(OR(Y337="Insecta",Y337="Arachnida",Y337="#N/C"),"",IFERROR(_xlfn.LET(_xlpm.fc,IFERROR(_xlfn._xlws.FILTER(ClassificationClasses[],ClassificationClasses[Classification Class]=Y337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337,ClassificationClasses[Key])),0),MATCH(Y337,INDEX(ClassificationClasses[],MATCH(TRUE,ISNUMBER(SEARCH(Y337,ClassificationClasses[Key])),0),0),0)-1)))</f>
        <v>Aculeata</v>
      </c>
      <c r="AA337" s="116" t="str" cm="1">
        <f t="array" ref="AA337">IFERROR(IF(OR(Z337="Insecta",Z337="Arachnida",Z337="#N/C"),"",INDEX(ClassificationClasses[[Class]:[Infraorder]],MATCH(TRUE,ISNUMBER(SEARCH(Z337,ClassificationClasses[Key])),0),MATCH(Z337,INDEX(ClassificationClasses[#Data], MATCH(TRUE,ISNUMBER(SEARCH(Z337,ClassificationClasses[Key])),0), 0), 0)-1)),"")</f>
        <v>Apocrita</v>
      </c>
      <c r="AB337" s="116" t="str" cm="1">
        <f t="array" ref="AB337">IFERROR(IF(OR(AA337="Insecta",AA337="Arachnida",AA337="#N/C"),"",INDEX(ClassificationClasses[[Class]:[Suborder]],MATCH(TRUE,ISNUMBER(SEARCH(AA337,ClassificationClasses[Key])),0),MATCH(AA337,INDEX(ClassificationClasses[#Data], MATCH(TRUE,ISNUMBER(SEARCH(AA337,ClassificationClasses[Key])),0), 0), 0)-1)),"")</f>
        <v>Hymenoptera</v>
      </c>
      <c r="AC337" s="116" t="str" cm="1">
        <f t="array" ref="AC337">IFERROR(IF(OR(AB337="Insecta",AB337="Arachnida",AB337="#N/C"),"",INDEX(ClassificationClasses[[Class]:[Suborder]],MATCH(TRUE,ISNUMBER(SEARCH(AB337,ClassificationClasses[Key])),0),MATCH(AB337,INDEX(ClassificationClasses[#Data], MATCH(TRUE,ISNUMBER(SEARCH(AB337,ClassificationClasses[Key])),0), 0), 0)-1)),"")</f>
        <v>Insecta</v>
      </c>
      <c r="AD337" s="116" t="str" cm="1">
        <f t="array" ref="AD337">IFERROR(IF(OR(AC337="Insecta",AC337="Arachnida",AC337="#N/C"),"",INDEX(ClassificationClasses[[Class]:[Suborder]],MATCH(TRUE,ISNUMBER(SEARCH(AC337,ClassificationClasses[Key])),0),MATCH(AC337,INDEX(ClassificationClasses[#Data], MATCH(TRUE,ISNUMBER(SEARCH(AC337,ClassificationClasses[Key])),0), 0), 0)-1)),"")</f>
        <v/>
      </c>
      <c r="AE337" s="18" t="str">
        <f t="shared" si="12"/>
        <v>Insecta.Hymenoptera.Apocrita.Aculeata.Formicoidea.Formicidae.#N/C.#N/C.#N/C</v>
      </c>
    </row>
    <row r="338" spans="1:31" x14ac:dyDescent="0.3">
      <c r="A338" s="91">
        <v>337</v>
      </c>
      <c r="B338" s="101">
        <v>44411</v>
      </c>
      <c r="C338" s="92" t="s">
        <v>582</v>
      </c>
      <c r="D338" s="93" t="str">
        <f>HYPERLINK(VLOOKUP(C338,Video_List!$F:$J,5),"video")</f>
        <v>video</v>
      </c>
      <c r="E338" s="94" t="str">
        <f>IFERROR(IF(MATCH(C338,Video_List!$F:$F,)&gt;0,"ok",""),"error")</f>
        <v>ok</v>
      </c>
      <c r="F338" s="92" t="s">
        <v>582</v>
      </c>
      <c r="G338" s="93" t="str">
        <f>HYPERLINK(VLOOKUP(F338,Video_List!$F:$J,5),"video")</f>
        <v>video</v>
      </c>
      <c r="H338" s="94" t="str">
        <f>IFERROR(IF(MATCH(F338,Video_List!$F:$F,)&gt;0,"ok",""),"error")</f>
        <v>ok</v>
      </c>
      <c r="I338" s="102">
        <v>44411.484317129631</v>
      </c>
      <c r="J338" s="8">
        <v>44411.484965277778</v>
      </c>
      <c r="K338" s="15">
        <f t="shared" si="11"/>
        <v>6.4814814686542377E-4</v>
      </c>
      <c r="L338" s="95" t="s">
        <v>44</v>
      </c>
      <c r="M338" s="95" t="s">
        <v>33</v>
      </c>
      <c r="N338" s="96" t="str">
        <f>IF(ISBLANK(C338),"",IF(C338=F338, "1 video",CONCATENATE((+COUNTIFS(Video_List!$C:$C,"&lt;=" &amp;Monitoring!J338)-COUNTIFS(Video_List!$C:$C,"&lt;=" &amp;Monitoring!I338))+1," videos")))</f>
        <v>1 video</v>
      </c>
      <c r="O338" s="27" t="s">
        <v>32</v>
      </c>
      <c r="P338" s="120" t="str">
        <f>+IFERROR(IF(Q338="#N/C","#N/C",INDEX(Taxonomy_UniqueValues!A:A,MATCH(Q338,Taxonomy_UniqueValues!B:B,0))),"#N/C")</f>
        <v>Insecta</v>
      </c>
      <c r="Q338" s="120" t="str">
        <f>+IFERROR(IF(R338="#N/C","#N/C",INDEX(Taxonomy_UniqueValues!B:B,MATCH(R338,Taxonomy_UniqueValues!C:C,0))),"#N/C")</f>
        <v>Hymenoptera</v>
      </c>
      <c r="R338" s="120" t="str">
        <f>+IFERROR(IF(S338="#N/C","#N/C",INDEX(Taxonomy_UniqueValues!C:C,MATCH(S338,Taxonomy_UniqueValues!D:D,0))),"#N/C")</f>
        <v>Apocrita</v>
      </c>
      <c r="S338" s="120" t="str">
        <f>+IFERROR(IF(T338="#N/C","#N/C",INDEX(Taxonomy_UniqueValues!D:D,MATCH(T338,Taxonomy_UniqueValues!E:E,0))),"#N/C")</f>
        <v>Aculeata</v>
      </c>
      <c r="T338" s="120" t="str">
        <f>+IFERROR(IF(U338="#N/C","#N/C",INDEX(Taxonomy_UniqueValues!E:E,MATCH(U338,Taxonomy_UniqueValues!F:F,0))),"#N/C")</f>
        <v>Pompiloidea</v>
      </c>
      <c r="U338" s="120" t="str">
        <f>+IFERROR(IF(V338="#N/C","#N/C",INDEX(Taxonomy_UniqueValues!F:F,MATCH(V338,Taxonomy_UniqueValues!G:G,0))),"#N/C")</f>
        <v>Pompilidae</v>
      </c>
      <c r="V338" s="43" t="s">
        <v>583</v>
      </c>
      <c r="W338" s="43" t="s">
        <v>584</v>
      </c>
      <c r="X338" s="30" t="s">
        <v>35</v>
      </c>
      <c r="Y338" s="69" t="str" cm="1">
        <f t="array" ref="Y338">_xlfn.LET(_xlpm.cls,P338, _xlpm.ord,IFERROR(Q338,"#N/C"), _xlpm.subord,IFERROR(R338,"#N/C"), _xlpm.infr,IFERROR(S338,"#N/C"), _xlpm.sf,IFERROR(T338,"#N/C"), _xlpm.fam,IFERROR(U338,"#N/C"), _xlpm.subfam,IF(TRIM(V338)="-","#N/C",IFERROR(V338,"#N/C")),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_xlpm.fallback,IF(IFERROR(Q338,"#N/C")="#N/C",P338,IF(IFERROR(R338,"#N/C")="#N/C",Q338,IF(IFERROR(S338,"#N/C")="#N/C",R338,IF(IFERROR(T338,"#N/C")="#N/C",S338,IF(IFERROR(U338,"#N/C")="#N/C",T338,IF(IFERROR(V338,"#N/C")="#N/C",U338,"#N/C")))))), _xlpm.finalResult,IF(OR(_xlpm.computedResult="",_xlpm.computedResult="#N/C"),_xlpm.fallback,_xlpm.computedResult), INDEX(_xlpm.finalResult,1))</f>
        <v>spider_wasp</v>
      </c>
      <c r="Z338" s="116" t="str" cm="1">
        <f t="array" ref="Z338">IF(OR(Y338="Insecta",Y338="Arachnida",Y338="#N/C"),"",IFERROR(_xlfn.LET(_xlpm.fc,IFERROR(_xlfn._xlws.FILTER(ClassificationClasses[],ClassificationClasses[Classification Class]=Y338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338,ClassificationClasses[Key])),0),MATCH(Y338,INDEX(ClassificationClasses[],MATCH(TRUE,ISNUMBER(SEARCH(Y338,ClassificationClasses[Key])),0),0),0)-1)))</f>
        <v>Aculeata</v>
      </c>
      <c r="AA338" s="116" t="str" cm="1">
        <f t="array" ref="AA338">IFERROR(IF(OR(Z338="Insecta",Z338="Arachnida",Z338="#N/C"),"",INDEX(ClassificationClasses[[Class]:[Infraorder]],MATCH(TRUE,ISNUMBER(SEARCH(Z338,ClassificationClasses[Key])),0),MATCH(Z338,INDEX(ClassificationClasses[#Data], MATCH(TRUE,ISNUMBER(SEARCH(Z338,ClassificationClasses[Key])),0), 0), 0)-1)),"")</f>
        <v>Apocrita</v>
      </c>
      <c r="AB338" s="116" t="str" cm="1">
        <f t="array" ref="AB338">IFERROR(IF(OR(AA338="Insecta",AA338="Arachnida",AA338="#N/C"),"",INDEX(ClassificationClasses[[Class]:[Suborder]],MATCH(TRUE,ISNUMBER(SEARCH(AA338,ClassificationClasses[Key])),0),MATCH(AA338,INDEX(ClassificationClasses[#Data], MATCH(TRUE,ISNUMBER(SEARCH(AA338,ClassificationClasses[Key])),0), 0), 0)-1)),"")</f>
        <v>Hymenoptera</v>
      </c>
      <c r="AC338" s="116" t="str" cm="1">
        <f t="array" ref="AC338">IFERROR(IF(OR(AB338="Insecta",AB338="Arachnida",AB338="#N/C"),"",INDEX(ClassificationClasses[[Class]:[Suborder]],MATCH(TRUE,ISNUMBER(SEARCH(AB338,ClassificationClasses[Key])),0),MATCH(AB338,INDEX(ClassificationClasses[#Data], MATCH(TRUE,ISNUMBER(SEARCH(AB338,ClassificationClasses[Key])),0), 0), 0)-1)),"")</f>
        <v>Insecta</v>
      </c>
      <c r="AD338" s="116" t="str" cm="1">
        <f t="array" ref="AD338">IFERROR(IF(OR(AC338="Insecta",AC338="Arachnida",AC338="#N/C"),"",INDEX(ClassificationClasses[[Class]:[Suborder]],MATCH(TRUE,ISNUMBER(SEARCH(AC338,ClassificationClasses[Key])),0),MATCH(AC338,INDEX(ClassificationClasses[#Data], MATCH(TRUE,ISNUMBER(SEARCH(AC338,ClassificationClasses[Key])),0), 0), 0)-1)),"")</f>
        <v/>
      </c>
      <c r="AE338" s="18" t="str">
        <f t="shared" si="12"/>
        <v>Insecta.Hymenoptera.Apocrita.Aculeata.Pompiloidea.Pompilidae.Pepsinae.Priocnemis.#N/C</v>
      </c>
    </row>
    <row r="339" spans="1:31" x14ac:dyDescent="0.3">
      <c r="A339" s="91">
        <v>338</v>
      </c>
      <c r="B339" s="101">
        <v>44411</v>
      </c>
      <c r="C339" s="92" t="s">
        <v>581</v>
      </c>
      <c r="D339" s="93" t="str">
        <f>HYPERLINK(VLOOKUP(C339,Video_List!$F:$J,5),"video")</f>
        <v>video</v>
      </c>
      <c r="E339" s="94" t="str">
        <f>IFERROR(IF(MATCH(C339,Video_List!$F:$F,)&gt;0,"ok",""),"error")</f>
        <v>ok</v>
      </c>
      <c r="F339" s="92" t="s">
        <v>581</v>
      </c>
      <c r="G339" s="93" t="str">
        <f>HYPERLINK(VLOOKUP(F339,Video_List!$F:$J,5),"video")</f>
        <v>video</v>
      </c>
      <c r="H339" s="94" t="str">
        <f>IFERROR(IF(MATCH(F339,Video_List!$F:$F,)&gt;0,"ok",""),"error")</f>
        <v>ok</v>
      </c>
      <c r="I339" s="102">
        <v>44411.498263888891</v>
      </c>
      <c r="J339" s="8">
        <v>44411.499699074076</v>
      </c>
      <c r="K339" s="15">
        <f t="shared" si="11"/>
        <v>1.4351851859828457E-3</v>
      </c>
      <c r="L339" s="95" t="s">
        <v>44</v>
      </c>
      <c r="M339" s="95" t="s">
        <v>33</v>
      </c>
      <c r="N339" s="96" t="str">
        <f>IF(ISBLANK(C339),"",IF(C339=F339, "1 video",CONCATENATE((+COUNTIFS(Video_List!$C:$C,"&lt;=" &amp;Monitoring!J339)-COUNTIFS(Video_List!$C:$C,"&lt;=" &amp;Monitoring!I339))+1," videos")))</f>
        <v>1 video</v>
      </c>
      <c r="O339" s="29" t="s">
        <v>44</v>
      </c>
      <c r="P339" s="120" t="str">
        <f>+IFERROR(IF(Q339="#N/C","#N/C",INDEX(Taxonomy_UniqueValues!A:A,MATCH(Q339,Taxonomy_UniqueValues!B:B,0))),"#N/C")</f>
        <v>Insecta</v>
      </c>
      <c r="Q339" s="120" t="str">
        <f>+IFERROR(IF(R339="#N/C","#N/C",INDEX(Taxonomy_UniqueValues!B:B,MATCH(R339,Taxonomy_UniqueValues!C:C,0))),"#N/C")</f>
        <v>Hymenoptera</v>
      </c>
      <c r="R339" s="120" t="str">
        <f>+IFERROR(IF(S339="#N/C","#N/C",INDEX(Taxonomy_UniqueValues!C:C,MATCH(S339,Taxonomy_UniqueValues!D:D,0))),"#N/C")</f>
        <v>Apocrita</v>
      </c>
      <c r="S339" s="120" t="str">
        <f>+IFERROR(IF(T339="#N/C","#N/C",INDEX(Taxonomy_UniqueValues!D:D,MATCH(T339,Taxonomy_UniqueValues!E:E,0))),"#N/C")</f>
        <v>Aculeata</v>
      </c>
      <c r="T339" s="120" t="str">
        <f>+IFERROR(IF(U339="#N/C","#N/C",INDEX(Taxonomy_UniqueValues!E:E,MATCH(U339,Taxonomy_UniqueValues!F:F,0))),"#N/C")</f>
        <v>Formicoidea</v>
      </c>
      <c r="U339" s="43" t="s">
        <v>120</v>
      </c>
      <c r="V339" s="43" t="s">
        <v>35</v>
      </c>
      <c r="W339" s="43" t="s">
        <v>35</v>
      </c>
      <c r="X339" s="30" t="s">
        <v>35</v>
      </c>
      <c r="Y339" s="69" t="str" cm="1">
        <f t="array" ref="Y339">_xlfn.LET(_xlpm.cls,P339, _xlpm.ord,IFERROR(Q339,"#N/C"), _xlpm.subord,IFERROR(R339,"#N/C"), _xlpm.infr,IFERROR(S339,"#N/C"), _xlpm.sf,IFERROR(T339,"#N/C"), _xlpm.fam,IFERROR(U339,"#N/C"), _xlpm.subfam,IF(TRIM(V339)="-","#N/C",IFERROR(V339,"#N/C")),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_xlpm.fallback,IF(IFERROR(Q339,"#N/C")="#N/C",P339,IF(IFERROR(R339,"#N/C")="#N/C",Q339,IF(IFERROR(S339,"#N/C")="#N/C",R339,IF(IFERROR(T339,"#N/C")="#N/C",S339,IF(IFERROR(U339,"#N/C")="#N/C",T339,IF(IFERROR(V339,"#N/C")="#N/C",U339,"#N/C")))))), _xlpm.finalResult,IF(OR(_xlpm.computedResult="",_xlpm.computedResult="#N/C"),_xlpm.fallback,_xlpm.computedResult), INDEX(_xlpm.finalResult,1))</f>
        <v>ant</v>
      </c>
      <c r="Z339" s="116" t="str" cm="1">
        <f t="array" ref="Z339">IF(OR(Y339="Insecta",Y339="Arachnida",Y339="#N/C"),"",IFERROR(_xlfn.LET(_xlpm.fc,IFERROR(_xlfn._xlws.FILTER(ClassificationClasses[],ClassificationClasses[Classification Class]=Y339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339,ClassificationClasses[Key])),0),MATCH(Y339,INDEX(ClassificationClasses[],MATCH(TRUE,ISNUMBER(SEARCH(Y339,ClassificationClasses[Key])),0),0),0)-1)))</f>
        <v>Aculeata</v>
      </c>
      <c r="AA339" s="116" t="str" cm="1">
        <f t="array" ref="AA339">IFERROR(IF(OR(Z339="Insecta",Z339="Arachnida",Z339="#N/C"),"",INDEX(ClassificationClasses[[Class]:[Infraorder]],MATCH(TRUE,ISNUMBER(SEARCH(Z339,ClassificationClasses[Key])),0),MATCH(Z339,INDEX(ClassificationClasses[#Data], MATCH(TRUE,ISNUMBER(SEARCH(Z339,ClassificationClasses[Key])),0), 0), 0)-1)),"")</f>
        <v>Apocrita</v>
      </c>
      <c r="AB339" s="116" t="str" cm="1">
        <f t="array" ref="AB339">IFERROR(IF(OR(AA339="Insecta",AA339="Arachnida",AA339="#N/C"),"",INDEX(ClassificationClasses[[Class]:[Suborder]],MATCH(TRUE,ISNUMBER(SEARCH(AA339,ClassificationClasses[Key])),0),MATCH(AA339,INDEX(ClassificationClasses[#Data], MATCH(TRUE,ISNUMBER(SEARCH(AA339,ClassificationClasses[Key])),0), 0), 0)-1)),"")</f>
        <v>Hymenoptera</v>
      </c>
      <c r="AC339" s="116" t="str" cm="1">
        <f t="array" ref="AC339">IFERROR(IF(OR(AB339="Insecta",AB339="Arachnida",AB339="#N/C"),"",INDEX(ClassificationClasses[[Class]:[Suborder]],MATCH(TRUE,ISNUMBER(SEARCH(AB339,ClassificationClasses[Key])),0),MATCH(AB339,INDEX(ClassificationClasses[#Data], MATCH(TRUE,ISNUMBER(SEARCH(AB339,ClassificationClasses[Key])),0), 0), 0)-1)),"")</f>
        <v>Insecta</v>
      </c>
      <c r="AD339" s="116" t="str" cm="1">
        <f t="array" ref="AD339">IFERROR(IF(OR(AC339="Insecta",AC339="Arachnida",AC339="#N/C"),"",INDEX(ClassificationClasses[[Class]:[Suborder]],MATCH(TRUE,ISNUMBER(SEARCH(AC339,ClassificationClasses[Key])),0),MATCH(AC339,INDEX(ClassificationClasses[#Data], MATCH(TRUE,ISNUMBER(SEARCH(AC339,ClassificationClasses[Key])),0), 0), 0)-1)),"")</f>
        <v/>
      </c>
      <c r="AE339" s="18" t="str">
        <f t="shared" si="12"/>
        <v>Insecta.Hymenoptera.Apocrita.Aculeata.Formicoidea.Formicidae.#N/C.#N/C.#N/C</v>
      </c>
    </row>
    <row r="340" spans="1:31" x14ac:dyDescent="0.3">
      <c r="A340" s="91">
        <v>339</v>
      </c>
      <c r="B340" s="101">
        <v>44411</v>
      </c>
      <c r="C340" s="92" t="s">
        <v>585</v>
      </c>
      <c r="D340" s="93" t="str">
        <f>HYPERLINK(VLOOKUP(C340,Video_List!$F:$J,5),"video")</f>
        <v>video</v>
      </c>
      <c r="E340" s="94" t="str">
        <f>IFERROR(IF(MATCH(C340,Video_List!$F:$F,)&gt;0,"ok",""),"error")</f>
        <v>ok</v>
      </c>
      <c r="F340" s="92" t="s">
        <v>586</v>
      </c>
      <c r="G340" s="93" t="str">
        <f>HYPERLINK(VLOOKUP(F340,Video_List!$F:$J,5),"video")</f>
        <v>video</v>
      </c>
      <c r="H340" s="94" t="str">
        <f>IFERROR(IF(MATCH(F340,Video_List!$F:$F,)&gt;0,"ok",""),"error")</f>
        <v>ok</v>
      </c>
      <c r="I340" s="102">
        <v>44411.508576388886</v>
      </c>
      <c r="J340" s="8">
        <v>44411.531863425924</v>
      </c>
      <c r="K340" s="15">
        <f t="shared" si="11"/>
        <v>2.3287037038244307E-2</v>
      </c>
      <c r="L340" s="95" t="s">
        <v>55</v>
      </c>
      <c r="M340" s="95" t="s">
        <v>55</v>
      </c>
      <c r="N340" s="96" t="str">
        <f>IF(ISBLANK(C340),"",IF(C340=F340, "1 video",CONCATENATE((+COUNTIFS(Video_List!$C:$C,"&lt;=" &amp;Monitoring!J340)-COUNTIFS(Video_List!$C:$C,"&lt;=" &amp;Monitoring!I340))+1," videos")))</f>
        <v>3 videos</v>
      </c>
      <c r="O340" s="29" t="s">
        <v>44</v>
      </c>
      <c r="P340" s="43" t="s">
        <v>37</v>
      </c>
      <c r="Q340" s="43" t="s">
        <v>123</v>
      </c>
      <c r="R340" s="43" t="s">
        <v>287</v>
      </c>
      <c r="S340" s="97" t="str">
        <f>+IFERROR(IF(T340="#N/C","#N/C",IF(U340=0,INDEX(Taxonomy_UniqueValues!D:D,MATCH(U340,Taxonomy_UniqueValues!F:F,0)),INDEX(Taxonomy_UniqueValues!D:D,MATCH(T340,Taxonomy_UniqueValues!E:E,0)))),"#N/C")</f>
        <v>Tettigoniidea</v>
      </c>
      <c r="T340" s="43" t="s">
        <v>288</v>
      </c>
      <c r="U340" s="43" t="s">
        <v>289</v>
      </c>
      <c r="V340" s="43" t="s">
        <v>487</v>
      </c>
      <c r="W340" s="43" t="s">
        <v>488</v>
      </c>
      <c r="X340" s="30" t="s">
        <v>35</v>
      </c>
      <c r="Y340" s="69" t="str" cm="1">
        <f t="array" ref="Y340">_xlfn.LET(_xlpm.cls,P340, _xlpm.ord,IFERROR(Q340,"#N/C"), _xlpm.subord,IFERROR(R340,"#N/C"), _xlpm.infr,IFERROR(S340,"#N/C"), _xlpm.sf,IFERROR(T340,"#N/C"), _xlpm.fam,IFERROR(U340,"#N/C"), _xlpm.subfam,IF(TRIM(V340)="-","#N/C",IFERROR(V340,"#N/C")),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_xlpm.fallback,IF(IFERROR(Q340,"#N/C")="#N/C",P340,IF(IFERROR(R340,"#N/C")="#N/C",Q340,IF(IFERROR(S340,"#N/C")="#N/C",R340,IF(IFERROR(T340,"#N/C")="#N/C",S340,IF(IFERROR(U340,"#N/C")="#N/C",T340,IF(IFERROR(V340,"#N/C")="#N/C",U340,"#N/C")))))), _xlpm.finalResult,IF(OR(_xlpm.computedResult="",_xlpm.computedResult="#N/C"),_xlpm.fallback,_xlpm.computedResult), INDEX(_xlpm.finalResult,1))</f>
        <v>grasshopper</v>
      </c>
      <c r="Z340" s="116" t="str" cm="1">
        <f t="array" ref="Z340">IF(OR(Y340="Insecta",Y340="Arachnida",Y340="#N/C"),"",IFERROR(_xlfn.LET(_xlpm.fc,IFERROR(_xlfn._xlws.FILTER(ClassificationClasses[],ClassificationClasses[Classification Class]=Y340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340,ClassificationClasses[Key])),0),MATCH(Y340,INDEX(ClassificationClasses[],MATCH(TRUE,ISNUMBER(SEARCH(Y340,ClassificationClasses[Key])),0),0),0)-1)))</f>
        <v>Orthoptera</v>
      </c>
      <c r="AA340" s="116" t="str" cm="1">
        <f t="array" ref="AA340">IFERROR(IF(OR(Z340="Insecta",Z340="Arachnida",Z340="#N/C"),"",INDEX(ClassificationClasses[[Class]:[Infraorder]],MATCH(TRUE,ISNUMBER(SEARCH(Z340,ClassificationClasses[Key])),0),MATCH(Z340,INDEX(ClassificationClasses[#Data], MATCH(TRUE,ISNUMBER(SEARCH(Z340,ClassificationClasses[Key])),0), 0), 0)-1)),"")</f>
        <v>Insecta</v>
      </c>
      <c r="AB340" s="116" t="str" cm="1">
        <f t="array" ref="AB340">IFERROR(IF(OR(AA340="Insecta",AA340="Arachnida",AA340="#N/C"),"",INDEX(ClassificationClasses[[Class]:[Suborder]],MATCH(TRUE,ISNUMBER(SEARCH(AA340,ClassificationClasses[Key])),0),MATCH(AA340,INDEX(ClassificationClasses[#Data], MATCH(TRUE,ISNUMBER(SEARCH(AA340,ClassificationClasses[Key])),0), 0), 0)-1)),"")</f>
        <v/>
      </c>
      <c r="AC340" s="116" t="str" cm="1">
        <f t="array" ref="AC340">IFERROR(IF(OR(AB340="Insecta",AB340="Arachnida",AB340="#N/C"),"",INDEX(ClassificationClasses[[Class]:[Suborder]],MATCH(TRUE,ISNUMBER(SEARCH(AB340,ClassificationClasses[Key])),0),MATCH(AB340,INDEX(ClassificationClasses[#Data], MATCH(TRUE,ISNUMBER(SEARCH(AB340,ClassificationClasses[Key])),0), 0), 0)-1)),"")</f>
        <v/>
      </c>
      <c r="AD340" s="116" t="str" cm="1">
        <f t="array" ref="AD340">IFERROR(IF(OR(AC340="Insecta",AC340="Arachnida",AC340="#N/C"),"",INDEX(ClassificationClasses[[Class]:[Suborder]],MATCH(TRUE,ISNUMBER(SEARCH(AC340,ClassificationClasses[Key])),0),MATCH(AC340,INDEX(ClassificationClasses[#Data], MATCH(TRUE,ISNUMBER(SEARCH(AC340,ClassificationClasses[Key])),0), 0), 0)-1)),"")</f>
        <v/>
      </c>
      <c r="AE340" s="18" t="str">
        <f t="shared" si="12"/>
        <v>Insecta.Orthoptera.Ensifera.Tettigoniidea.Tettigonioidea.Tettigoniidae.Conocephalinae.Conocephalus.#N/C</v>
      </c>
    </row>
    <row r="341" spans="1:31" x14ac:dyDescent="0.3">
      <c r="A341" s="91">
        <v>340</v>
      </c>
      <c r="B341" s="101">
        <v>44411</v>
      </c>
      <c r="C341" s="92" t="s">
        <v>587</v>
      </c>
      <c r="D341" s="93" t="str">
        <f>HYPERLINK(VLOOKUP(C341,Video_List!$F:$J,5),"video")</f>
        <v>video</v>
      </c>
      <c r="E341" s="94" t="str">
        <f>IFERROR(IF(MATCH(C341,Video_List!$F:$F,)&gt;0,"ok",""),"error")</f>
        <v>ok</v>
      </c>
      <c r="F341" s="92" t="s">
        <v>587</v>
      </c>
      <c r="G341" s="93" t="str">
        <f>HYPERLINK(VLOOKUP(F341,Video_List!$F:$J,5),"video")</f>
        <v>video</v>
      </c>
      <c r="H341" s="94" t="str">
        <f>IFERROR(IF(MATCH(F341,Video_List!$F:$F,)&gt;0,"ok",""),"error")</f>
        <v>ok</v>
      </c>
      <c r="I341" s="102">
        <v>44411.519837962966</v>
      </c>
      <c r="J341" s="8">
        <v>44411.519849537035</v>
      </c>
      <c r="K341" s="15">
        <f t="shared" si="11"/>
        <v>1.1574069503694773E-5</v>
      </c>
      <c r="L341" s="95" t="s">
        <v>32</v>
      </c>
      <c r="M341" s="95" t="s">
        <v>33</v>
      </c>
      <c r="N341" s="96" t="str">
        <f>IF(ISBLANK(C341),"",IF(C341=F341, "1 video",CONCATENATE((+COUNTIFS(Video_List!$C:$C,"&lt;=" &amp;Monitoring!J341)-COUNTIFS(Video_List!$C:$C,"&lt;=" &amp;Monitoring!I341))+1," videos")))</f>
        <v>1 video</v>
      </c>
      <c r="O341" s="29" t="s">
        <v>44</v>
      </c>
      <c r="P341" s="43" t="s">
        <v>37</v>
      </c>
      <c r="Q341" s="43" t="s">
        <v>38</v>
      </c>
      <c r="R341" s="43" t="s">
        <v>39</v>
      </c>
      <c r="S341" s="97" t="str">
        <f>+IFERROR(IF(T341="#N/C","#N/C",IF(U341=0,INDEX(Taxonomy_UniqueValues!D:D,MATCH(U341,Taxonomy_UniqueValues!F:F,0)),INDEX(Taxonomy_UniqueValues!D:D,MATCH(T341,Taxonomy_UniqueValues!E:E,0)))),"#N/C")</f>
        <v>#N/C</v>
      </c>
      <c r="T341" s="43" t="s">
        <v>35</v>
      </c>
      <c r="U341" s="43" t="s">
        <v>35</v>
      </c>
      <c r="V341" s="43" t="s">
        <v>35</v>
      </c>
      <c r="W341" s="43" t="s">
        <v>35</v>
      </c>
      <c r="X341" s="30" t="s">
        <v>35</v>
      </c>
      <c r="Y341" s="69" t="str" cm="1">
        <f t="array" ref="Y341">_xlfn.LET(_xlpm.cls,P341, _xlpm.ord,IFERROR(Q341,"#N/C"), _xlpm.subord,IFERROR(R341,"#N/C"), _xlpm.infr,IFERROR(S341,"#N/C"), _xlpm.sf,IFERROR(T341,"#N/C"), _xlpm.fam,IFERROR(U341,"#N/C"), _xlpm.subfam,IF(TRIM(V341)="-","#N/C",IFERROR(V341,"#N/C")),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_xlpm.fallback,IF(IFERROR(Q341,"#N/C")="#N/C",P341,IF(IFERROR(R341,"#N/C")="#N/C",Q341,IF(IFERROR(S341,"#N/C")="#N/C",R341,IF(IFERROR(T341,"#N/C")="#N/C",S341,IF(IFERROR(U341,"#N/C")="#N/C",T341,IF(IFERROR(V341,"#N/C")="#N/C",U341,"#N/C")))))), _xlpm.finalResult,IF(OR(_xlpm.computedResult="",_xlpm.computedResult="#N/C"),_xlpm.fallback,_xlpm.computedResult), INDEX(_xlpm.finalResult,1))</f>
        <v>Brachycera</v>
      </c>
      <c r="Z341" s="116" t="str" cm="1">
        <f t="array" ref="Z341">IF(OR(Y341="Insecta",Y341="Arachnida",Y341="#N/C"),"",IFERROR(_xlfn.LET(_xlpm.fc,IFERROR(_xlfn._xlws.FILTER(ClassificationClasses[],ClassificationClasses[Classification Class]=Y341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341,ClassificationClasses[Key])),0),MATCH(Y341,INDEX(ClassificationClasses[],MATCH(TRUE,ISNUMBER(SEARCH(Y341,ClassificationClasses[Key])),0),0),0)-1)))</f>
        <v>Diptera</v>
      </c>
      <c r="AA341" s="116" t="str" cm="1">
        <f t="array" ref="AA341">IFERROR(IF(OR(Z341="Insecta",Z341="Arachnida",Z341="#N/C"),"",INDEX(ClassificationClasses[[Class]:[Infraorder]],MATCH(TRUE,ISNUMBER(SEARCH(Z341,ClassificationClasses[Key])),0),MATCH(Z341,INDEX(ClassificationClasses[#Data], MATCH(TRUE,ISNUMBER(SEARCH(Z341,ClassificationClasses[Key])),0), 0), 0)-1)),"")</f>
        <v>Insecta</v>
      </c>
      <c r="AB341" s="116" t="str" cm="1">
        <f t="array" ref="AB341">IFERROR(IF(OR(AA341="Insecta",AA341="Arachnida",AA341="#N/C"),"",INDEX(ClassificationClasses[[Class]:[Suborder]],MATCH(TRUE,ISNUMBER(SEARCH(AA341,ClassificationClasses[Key])),0),MATCH(AA341,INDEX(ClassificationClasses[#Data], MATCH(TRUE,ISNUMBER(SEARCH(AA341,ClassificationClasses[Key])),0), 0), 0)-1)),"")</f>
        <v/>
      </c>
      <c r="AC341" s="116" t="str" cm="1">
        <f t="array" ref="AC341">IFERROR(IF(OR(AB341="Insecta",AB341="Arachnida",AB341="#N/C"),"",INDEX(ClassificationClasses[[Class]:[Suborder]],MATCH(TRUE,ISNUMBER(SEARCH(AB341,ClassificationClasses[Key])),0),MATCH(AB341,INDEX(ClassificationClasses[#Data], MATCH(TRUE,ISNUMBER(SEARCH(AB341,ClassificationClasses[Key])),0), 0), 0)-1)),"")</f>
        <v/>
      </c>
      <c r="AD341" s="116" t="str" cm="1">
        <f t="array" ref="AD341">IFERROR(IF(OR(AC341="Insecta",AC341="Arachnida",AC341="#N/C"),"",INDEX(ClassificationClasses[[Class]:[Suborder]],MATCH(TRUE,ISNUMBER(SEARCH(AC341,ClassificationClasses[Key])),0),MATCH(AC341,INDEX(ClassificationClasses[#Data], MATCH(TRUE,ISNUMBER(SEARCH(AC341,ClassificationClasses[Key])),0), 0), 0)-1)),"")</f>
        <v/>
      </c>
      <c r="AE341" s="18" t="str">
        <f t="shared" si="12"/>
        <v>Insecta.Diptera.Brachycera.#N/C.#N/C.#N/C.#N/C.#N/C.#N/C</v>
      </c>
    </row>
    <row r="342" spans="1:31" x14ac:dyDescent="0.3">
      <c r="A342" s="91">
        <v>341</v>
      </c>
      <c r="B342" s="101">
        <v>44411</v>
      </c>
      <c r="C342" s="92" t="s">
        <v>587</v>
      </c>
      <c r="D342" s="93" t="str">
        <f>HYPERLINK(VLOOKUP(C342,Video_List!$F:$J,5),"video")</f>
        <v>video</v>
      </c>
      <c r="E342" s="94" t="str">
        <f>IFERROR(IF(MATCH(C342,Video_List!$F:$F,)&gt;0,"ok",""),"error")</f>
        <v>ok</v>
      </c>
      <c r="F342" s="92" t="s">
        <v>587</v>
      </c>
      <c r="G342" s="93" t="str">
        <f>HYPERLINK(VLOOKUP(F342,Video_List!$F:$J,5),"video")</f>
        <v>video</v>
      </c>
      <c r="H342" s="94" t="str">
        <f>IFERROR(IF(MATCH(F342,Video_List!$F:$F,)&gt;0,"ok",""),"error")</f>
        <v>ok</v>
      </c>
      <c r="I342" s="102">
        <v>44411.52443287037</v>
      </c>
      <c r="J342" s="8">
        <v>44411.524664351855</v>
      </c>
      <c r="K342" s="15">
        <f t="shared" si="11"/>
        <v>2.3148148466134444E-4</v>
      </c>
      <c r="L342" s="4" t="s">
        <v>32</v>
      </c>
      <c r="M342" s="4" t="s">
        <v>33</v>
      </c>
      <c r="N342" s="96" t="str">
        <f>IF(ISBLANK(C342),"",IF(C342=F342, "1 video",CONCATENATE((+COUNTIFS(Video_List!$C:$C,"&lt;=" &amp;Monitoring!J342)-COUNTIFS(Video_List!$C:$C,"&lt;=" &amp;Monitoring!I342))+1," videos")))</f>
        <v>1 video</v>
      </c>
      <c r="O342" s="27" t="s">
        <v>32</v>
      </c>
      <c r="P342" s="43" t="s">
        <v>37</v>
      </c>
      <c r="Q342" s="43" t="s">
        <v>38</v>
      </c>
      <c r="R342" s="43" t="s">
        <v>39</v>
      </c>
      <c r="S342" s="97" t="str">
        <f>+IFERROR(IF(T342="#N/C","#N/C",IF(U342=0,INDEX(Taxonomy_UniqueValues!D:D,MATCH(U342,Taxonomy_UniqueValues!F:F,0)),INDEX(Taxonomy_UniqueValues!D:D,MATCH(T342,Taxonomy_UniqueValues!E:E,0)))),"#N/C")</f>
        <v>Muscomorpha</v>
      </c>
      <c r="T342" s="43" t="s">
        <v>330</v>
      </c>
      <c r="U342" s="43" t="s">
        <v>331</v>
      </c>
      <c r="V342" s="43" t="s">
        <v>332</v>
      </c>
      <c r="W342" s="43" t="s">
        <v>333</v>
      </c>
      <c r="X342" s="30" t="s">
        <v>35</v>
      </c>
      <c r="Y342" s="69" t="str" cm="1">
        <f t="array" ref="Y342">_xlfn.LET(_xlpm.cls,P342, _xlpm.ord,IFERROR(Q342,"#N/C"), _xlpm.subord,IFERROR(R342,"#N/C"), _xlpm.infr,IFERROR(S342,"#N/C"), _xlpm.sf,IFERROR(T342,"#N/C"), _xlpm.fam,IFERROR(U342,"#N/C"), _xlpm.subfam,IF(TRIM(V342)="-","#N/C",IFERROR(V342,"#N/C")),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_xlpm.fallback,IF(IFERROR(Q342,"#N/C")="#N/C",P342,IF(IFERROR(R342,"#N/C")="#N/C",Q342,IF(IFERROR(S342,"#N/C")="#N/C",R342,IF(IFERROR(T342,"#N/C")="#N/C",S342,IF(IFERROR(U342,"#N/C")="#N/C",T342,IF(IFERROR(V342,"#N/C")="#N/C",U342,"#N/C")))))), _xlpm.finalResult,IF(OR(_xlpm.computedResult="",_xlpm.computedResult="#N/C"),_xlpm.fallback,_xlpm.computedResult), INDEX(_xlpm.finalResult,1))</f>
        <v>fruit_fly</v>
      </c>
      <c r="Z342" s="116" t="str" cm="1">
        <f t="array" ref="Z342">IF(OR(Y342="Insecta",Y342="Arachnida",Y342="#N/C"),"",IFERROR(_xlfn.LET(_xlpm.fc,IFERROR(_xlfn._xlws.FILTER(ClassificationClasses[],ClassificationClasses[Classification Class]=Y342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342,ClassificationClasses[Key])),0),MATCH(Y342,INDEX(ClassificationClasses[],MATCH(TRUE,ISNUMBER(SEARCH(Y342,ClassificationClasses[Key])),0),0),0)-1)))</f>
        <v>Muscomorpha</v>
      </c>
      <c r="AA342" s="116" t="str" cm="1">
        <f t="array" ref="AA342">IFERROR(IF(OR(Z342="Insecta",Z342="Arachnida",Z342="#N/C"),"",INDEX(ClassificationClasses[[Class]:[Infraorder]],MATCH(TRUE,ISNUMBER(SEARCH(Z342,ClassificationClasses[Key])),0),MATCH(Z342,INDEX(ClassificationClasses[#Data], MATCH(TRUE,ISNUMBER(SEARCH(Z342,ClassificationClasses[Key])),0), 0), 0)-1)),"")</f>
        <v>Brachycera</v>
      </c>
      <c r="AB342" s="116" t="str" cm="1">
        <f t="array" ref="AB342">IFERROR(IF(OR(AA342="Insecta",AA342="Arachnida",AA342="#N/C"),"",INDEX(ClassificationClasses[[Class]:[Suborder]],MATCH(TRUE,ISNUMBER(SEARCH(AA342,ClassificationClasses[Key])),0),MATCH(AA342,INDEX(ClassificationClasses[#Data], MATCH(TRUE,ISNUMBER(SEARCH(AA342,ClassificationClasses[Key])),0), 0), 0)-1)),"")</f>
        <v>Diptera</v>
      </c>
      <c r="AC342" s="116" t="str" cm="1">
        <f t="array" ref="AC342">IFERROR(IF(OR(AB342="Insecta",AB342="Arachnida",AB342="#N/C"),"",INDEX(ClassificationClasses[[Class]:[Suborder]],MATCH(TRUE,ISNUMBER(SEARCH(AB342,ClassificationClasses[Key])),0),MATCH(AB342,INDEX(ClassificationClasses[#Data], MATCH(TRUE,ISNUMBER(SEARCH(AB342,ClassificationClasses[Key])),0), 0), 0)-1)),"")</f>
        <v>Insecta</v>
      </c>
      <c r="AD342" s="116" t="str" cm="1">
        <f t="array" ref="AD342">IFERROR(IF(OR(AC342="Insecta",AC342="Arachnida",AC342="#N/C"),"",INDEX(ClassificationClasses[[Class]:[Suborder]],MATCH(TRUE,ISNUMBER(SEARCH(AC342,ClassificationClasses[Key])),0),MATCH(AC342,INDEX(ClassificationClasses[#Data], MATCH(TRUE,ISNUMBER(SEARCH(AC342,ClassificationClasses[Key])),0), 0), 0)-1)),"")</f>
        <v/>
      </c>
      <c r="AE342" s="18" t="str">
        <f t="shared" si="12"/>
        <v>Insecta.Diptera.Brachycera.Muscomorpha.Lauxanioidea.Lauxaniidae.Lauxaniinae.Sapromyza.#N/C</v>
      </c>
    </row>
    <row r="343" spans="1:31" x14ac:dyDescent="0.3">
      <c r="A343" s="91">
        <v>342</v>
      </c>
      <c r="B343" s="101">
        <v>44418</v>
      </c>
      <c r="C343" s="92" t="s">
        <v>588</v>
      </c>
      <c r="D343" s="93" t="str">
        <f>HYPERLINK(VLOOKUP(C343,Video_List!$F:$J,5),"video")</f>
        <v>video</v>
      </c>
      <c r="E343" s="94" t="str">
        <f>IFERROR(IF(MATCH(C343,Video_List!$F:$F,)&gt;0,"ok",""),"error")</f>
        <v>ok</v>
      </c>
      <c r="F343" s="92" t="s">
        <v>588</v>
      </c>
      <c r="G343" s="93" t="str">
        <f>HYPERLINK(VLOOKUP(F343,Video_List!$F:$J,5),"video")</f>
        <v>video</v>
      </c>
      <c r="H343" s="94" t="str">
        <f>IFERROR(IF(MATCH(F343,Video_List!$F:$F,)&gt;0,"ok",""),"error")</f>
        <v>ok</v>
      </c>
      <c r="I343" s="17">
        <v>44418.65934027778</v>
      </c>
      <c r="J343" s="8">
        <v>44418.659641203703</v>
      </c>
      <c r="K343" s="15">
        <f t="shared" si="11"/>
        <v>3.0092592351138592E-4</v>
      </c>
      <c r="L343" s="4" t="s">
        <v>32</v>
      </c>
      <c r="M343" s="4" t="s">
        <v>33</v>
      </c>
      <c r="N343" s="96" t="str">
        <f>IF(ISBLANK(C343),"",IF(C343=F343, "1 video",CONCATENATE((+COUNTIFS(Video_List!$C:$C,"&lt;=" &amp;Monitoring!J343)-COUNTIFS(Video_List!$C:$C,"&lt;=" &amp;Monitoring!I343))+1," videos")))</f>
        <v>1 video</v>
      </c>
      <c r="O343" s="27" t="s">
        <v>32</v>
      </c>
      <c r="P343" s="43" t="s">
        <v>37</v>
      </c>
      <c r="Q343" s="43" t="s">
        <v>38</v>
      </c>
      <c r="R343" s="43" t="s">
        <v>39</v>
      </c>
      <c r="S343" s="97" t="str">
        <f>+IFERROR(IF(T343="#N/C","#N/C",IF(U343=0,INDEX(Taxonomy_UniqueValues!D:D,MATCH(U343,Taxonomy_UniqueValues!F:F,0)),INDEX(Taxonomy_UniqueValues!D:D,MATCH(T343,Taxonomy_UniqueValues!E:E,0)))),"#N/C")</f>
        <v>#N/C</v>
      </c>
      <c r="T343" s="43" t="s">
        <v>35</v>
      </c>
      <c r="U343" s="43" t="s">
        <v>35</v>
      </c>
      <c r="V343" s="43" t="s">
        <v>35</v>
      </c>
      <c r="W343" s="43" t="s">
        <v>35</v>
      </c>
      <c r="X343" s="30" t="s">
        <v>35</v>
      </c>
      <c r="Y343" s="69" t="str" cm="1">
        <f t="array" ref="Y343">_xlfn.LET(_xlpm.cls,P343, _xlpm.ord,IFERROR(Q343,"#N/C"), _xlpm.subord,IFERROR(R343,"#N/C"), _xlpm.infr,IFERROR(S343,"#N/C"), _xlpm.sf,IFERROR(T343,"#N/C"), _xlpm.fam,IFERROR(U343,"#N/C"), _xlpm.subfam,IF(TRIM(V343)="-","#N/C",IFERROR(V343,"#N/C")),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_xlpm.fallback,IF(IFERROR(Q343,"#N/C")="#N/C",P343,IF(IFERROR(R343,"#N/C")="#N/C",Q343,IF(IFERROR(S343,"#N/C")="#N/C",R343,IF(IFERROR(T343,"#N/C")="#N/C",S343,IF(IFERROR(U343,"#N/C")="#N/C",T343,IF(IFERROR(V343,"#N/C")="#N/C",U343,"#N/C")))))), _xlpm.finalResult,IF(OR(_xlpm.computedResult="",_xlpm.computedResult="#N/C"),_xlpm.fallback,_xlpm.computedResult), INDEX(_xlpm.finalResult,1))</f>
        <v>Brachycera</v>
      </c>
      <c r="Z343" s="116" t="str" cm="1">
        <f t="array" ref="Z343">IF(OR(Y343="Insecta",Y343="Arachnida",Y343="#N/C"),"",IFERROR(_xlfn.LET(_xlpm.fc,IFERROR(_xlfn._xlws.FILTER(ClassificationClasses[],ClassificationClasses[Classification Class]=Y343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343,ClassificationClasses[Key])),0),MATCH(Y343,INDEX(ClassificationClasses[],MATCH(TRUE,ISNUMBER(SEARCH(Y343,ClassificationClasses[Key])),0),0),0)-1)))</f>
        <v>Diptera</v>
      </c>
      <c r="AA343" s="116" t="str" cm="1">
        <f t="array" ref="AA343">IFERROR(IF(OR(Z343="Insecta",Z343="Arachnida",Z343="#N/C"),"",INDEX(ClassificationClasses[[Class]:[Infraorder]],MATCH(TRUE,ISNUMBER(SEARCH(Z343,ClassificationClasses[Key])),0),MATCH(Z343,INDEX(ClassificationClasses[#Data], MATCH(TRUE,ISNUMBER(SEARCH(Z343,ClassificationClasses[Key])),0), 0), 0)-1)),"")</f>
        <v>Insecta</v>
      </c>
      <c r="AB343" s="116" t="str" cm="1">
        <f t="array" ref="AB343">IFERROR(IF(OR(AA343="Insecta",AA343="Arachnida",AA343="#N/C"),"",INDEX(ClassificationClasses[[Class]:[Suborder]],MATCH(TRUE,ISNUMBER(SEARCH(AA343,ClassificationClasses[Key])),0),MATCH(AA343,INDEX(ClassificationClasses[#Data], MATCH(TRUE,ISNUMBER(SEARCH(AA343,ClassificationClasses[Key])),0), 0), 0)-1)),"")</f>
        <v/>
      </c>
      <c r="AC343" s="116" t="str" cm="1">
        <f t="array" ref="AC343">IFERROR(IF(OR(AB343="Insecta",AB343="Arachnida",AB343="#N/C"),"",INDEX(ClassificationClasses[[Class]:[Suborder]],MATCH(TRUE,ISNUMBER(SEARCH(AB343,ClassificationClasses[Key])),0),MATCH(AB343,INDEX(ClassificationClasses[#Data], MATCH(TRUE,ISNUMBER(SEARCH(AB343,ClassificationClasses[Key])),0), 0), 0)-1)),"")</f>
        <v/>
      </c>
      <c r="AD343" s="116" t="str" cm="1">
        <f t="array" ref="AD343">IFERROR(IF(OR(AC343="Insecta",AC343="Arachnida",AC343="#N/C"),"",INDEX(ClassificationClasses[[Class]:[Suborder]],MATCH(TRUE,ISNUMBER(SEARCH(AC343,ClassificationClasses[Key])),0),MATCH(AC343,INDEX(ClassificationClasses[#Data], MATCH(TRUE,ISNUMBER(SEARCH(AC343,ClassificationClasses[Key])),0), 0), 0)-1)),"")</f>
        <v/>
      </c>
      <c r="AE343" s="18" t="str">
        <f t="shared" si="12"/>
        <v>Insecta.Diptera.Brachycera.#N/C.#N/C.#N/C.#N/C.#N/C.#N/C</v>
      </c>
    </row>
    <row r="344" spans="1:31" x14ac:dyDescent="0.3">
      <c r="A344" s="91">
        <v>343</v>
      </c>
      <c r="B344" s="101">
        <v>44418</v>
      </c>
      <c r="C344" s="92" t="s">
        <v>589</v>
      </c>
      <c r="D344" s="93" t="str">
        <f>HYPERLINK(VLOOKUP(C344,Video_List!$F:$J,5),"video")</f>
        <v>video</v>
      </c>
      <c r="E344" s="94" t="str">
        <f>IFERROR(IF(MATCH(C344,Video_List!$F:$F,)&gt;0,"ok",""),"error")</f>
        <v>ok</v>
      </c>
      <c r="F344" s="92" t="s">
        <v>589</v>
      </c>
      <c r="G344" s="93" t="str">
        <f>HYPERLINK(VLOOKUP(F344,Video_List!$F:$J,5),"video")</f>
        <v>video</v>
      </c>
      <c r="H344" s="94" t="str">
        <f>IFERROR(IF(MATCH(F344,Video_List!$F:$F,)&gt;0,"ok",""),"error")</f>
        <v>ok</v>
      </c>
      <c r="I344" s="17">
        <v>44418.676261574074</v>
      </c>
      <c r="J344" s="8">
        <v>44418.676365740743</v>
      </c>
      <c r="K344" s="15">
        <f t="shared" si="11"/>
        <v>1.0416666918899864E-4</v>
      </c>
      <c r="L344" s="4" t="s">
        <v>32</v>
      </c>
      <c r="M344" s="4" t="s">
        <v>33</v>
      </c>
      <c r="N344" s="96" t="str">
        <f>IF(ISBLANK(C344),"",IF(C344=F344, "1 video",CONCATENATE((+COUNTIFS(Video_List!$C:$C,"&lt;=" &amp;Monitoring!J344)-COUNTIFS(Video_List!$C:$C,"&lt;=" &amp;Monitoring!I344))+1," videos")))</f>
        <v>1 video</v>
      </c>
      <c r="O344" s="27" t="s">
        <v>32</v>
      </c>
      <c r="P344" s="43" t="s">
        <v>37</v>
      </c>
      <c r="Q344" s="43" t="s">
        <v>38</v>
      </c>
      <c r="R344" s="43" t="s">
        <v>39</v>
      </c>
      <c r="S344" s="97" t="str">
        <f>+IFERROR(IF(T344="#N/C","#N/C",IF(U344=0,INDEX(Taxonomy_UniqueValues!D:D,MATCH(U344,Taxonomy_UniqueValues!F:F,0)),INDEX(Taxonomy_UniqueValues!D:D,MATCH(T344,Taxonomy_UniqueValues!E:E,0)))),"#N/C")</f>
        <v>Muscomorpha</v>
      </c>
      <c r="T344" s="43" t="s">
        <v>335</v>
      </c>
      <c r="U344" s="43" t="s">
        <v>375</v>
      </c>
      <c r="V344" s="43" t="s">
        <v>376</v>
      </c>
      <c r="W344" s="43" t="s">
        <v>377</v>
      </c>
      <c r="X344" s="30" t="s">
        <v>35</v>
      </c>
      <c r="Y344" s="69" t="str" cm="1">
        <f t="array" ref="Y344">_xlfn.LET(_xlpm.cls,P344, _xlpm.ord,IFERROR(Q344,"#N/C"), _xlpm.subord,IFERROR(R344,"#N/C"), _xlpm.infr,IFERROR(S344,"#N/C"), _xlpm.sf,IFERROR(T344,"#N/C"), _xlpm.fam,IFERROR(U344,"#N/C"), _xlpm.subfam,IF(TRIM(V344)="-","#N/C",IFERROR(V344,"#N/C")),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_xlpm.fallback,IF(IFERROR(Q344,"#N/C")="#N/C",P344,IF(IFERROR(R344,"#N/C")="#N/C",Q344,IF(IFERROR(S344,"#N/C")="#N/C",R344,IF(IFERROR(T344,"#N/C")="#N/C",S344,IF(IFERROR(U344,"#N/C")="#N/C",T344,IF(IFERROR(V344,"#N/C")="#N/C",U344,"#N/C")))))), _xlpm.finalResult,IF(OR(_xlpm.computedResult="",_xlpm.computedResult="#N/C"),_xlpm.fallback,_xlpm.computedResult), INDEX(_xlpm.finalResult,1))</f>
        <v>flesh_fly</v>
      </c>
      <c r="Z344" s="116" t="str" cm="1">
        <f t="array" ref="Z344">IF(OR(Y344="Insecta",Y344="Arachnida",Y344="#N/C"),"",IFERROR(_xlfn.LET(_xlpm.fc,IFERROR(_xlfn._xlws.FILTER(ClassificationClasses[],ClassificationClasses[Classification Class]=Y344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344,ClassificationClasses[Key])),0),MATCH(Y344,INDEX(ClassificationClasses[],MATCH(TRUE,ISNUMBER(SEARCH(Y344,ClassificationClasses[Key])),0),0),0)-1)))</f>
        <v>Muscomorpha</v>
      </c>
      <c r="AA344" s="116" t="str" cm="1">
        <f t="array" ref="AA344">IFERROR(IF(OR(Z344="Insecta",Z344="Arachnida",Z344="#N/C"),"",INDEX(ClassificationClasses[[Class]:[Infraorder]],MATCH(TRUE,ISNUMBER(SEARCH(Z344,ClassificationClasses[Key])),0),MATCH(Z344,INDEX(ClassificationClasses[#Data], MATCH(TRUE,ISNUMBER(SEARCH(Z344,ClassificationClasses[Key])),0), 0), 0)-1)),"")</f>
        <v>Brachycera</v>
      </c>
      <c r="AB344" s="116" t="str" cm="1">
        <f t="array" ref="AB344">IFERROR(IF(OR(AA344="Insecta",AA344="Arachnida",AA344="#N/C"),"",INDEX(ClassificationClasses[[Class]:[Suborder]],MATCH(TRUE,ISNUMBER(SEARCH(AA344,ClassificationClasses[Key])),0),MATCH(AA344,INDEX(ClassificationClasses[#Data], MATCH(TRUE,ISNUMBER(SEARCH(AA344,ClassificationClasses[Key])),0), 0), 0)-1)),"")</f>
        <v>Diptera</v>
      </c>
      <c r="AC344" s="116" t="str" cm="1">
        <f t="array" ref="AC344">IFERROR(IF(OR(AB344="Insecta",AB344="Arachnida",AB344="#N/C"),"",INDEX(ClassificationClasses[[Class]:[Suborder]],MATCH(TRUE,ISNUMBER(SEARCH(AB344,ClassificationClasses[Key])),0),MATCH(AB344,INDEX(ClassificationClasses[#Data], MATCH(TRUE,ISNUMBER(SEARCH(AB344,ClassificationClasses[Key])),0), 0), 0)-1)),"")</f>
        <v>Insecta</v>
      </c>
      <c r="AD344" s="116" t="str" cm="1">
        <f t="array" ref="AD344">IFERROR(IF(OR(AC344="Insecta",AC344="Arachnida",AC344="#N/C"),"",INDEX(ClassificationClasses[[Class]:[Suborder]],MATCH(TRUE,ISNUMBER(SEARCH(AC344,ClassificationClasses[Key])),0),MATCH(AC344,INDEX(ClassificationClasses[#Data], MATCH(TRUE,ISNUMBER(SEARCH(AC344,ClassificationClasses[Key])),0), 0), 0)-1)),"")</f>
        <v/>
      </c>
      <c r="AE344" s="18" t="str">
        <f t="shared" si="12"/>
        <v>Insecta.Diptera.Brachycera.Muscomorpha.Oestroidea.Sarcophagidae.Sarcophaginae.Sarcophaga.#N/C</v>
      </c>
    </row>
    <row r="345" spans="1:31" x14ac:dyDescent="0.3">
      <c r="A345" s="91">
        <v>344</v>
      </c>
      <c r="B345" s="7">
        <v>44418</v>
      </c>
      <c r="C345" s="92" t="s">
        <v>590</v>
      </c>
      <c r="D345" s="93" t="str">
        <f>HYPERLINK(VLOOKUP(C345,Video_List!$F:$J,5),"video")</f>
        <v>video</v>
      </c>
      <c r="E345" s="94" t="str">
        <f>IFERROR(IF(MATCH(C345,Video_List!$F:$F,)&gt;0,"ok",""),"error")</f>
        <v>ok</v>
      </c>
      <c r="F345" s="92" t="s">
        <v>590</v>
      </c>
      <c r="G345" s="93" t="str">
        <f>HYPERLINK(VLOOKUP(F345,Video_List!$F:$J,5),"video")</f>
        <v>video</v>
      </c>
      <c r="H345" s="94" t="str">
        <f>IFERROR(IF(MATCH(F345,Video_List!$F:$F,)&gt;0,"ok",""),"error")</f>
        <v>ok</v>
      </c>
      <c r="I345" s="17">
        <v>44418.676562499997</v>
      </c>
      <c r="J345" s="8">
        <v>44418.676736111112</v>
      </c>
      <c r="K345" s="15">
        <f t="shared" si="11"/>
        <v>1.7361111531499773E-4</v>
      </c>
      <c r="L345" s="4" t="s">
        <v>32</v>
      </c>
      <c r="M345" s="4" t="s">
        <v>33</v>
      </c>
      <c r="N345" s="96" t="str">
        <f>IF(ISBLANK(C345),"",IF(C345=F345, "1 video",CONCATENATE((+COUNTIFS(Video_List!$C:$C,"&lt;=" &amp;Monitoring!J345)-COUNTIFS(Video_List!$C:$C,"&lt;=" &amp;Monitoring!I345))+1," videos")))</f>
        <v>1 video</v>
      </c>
      <c r="O345" s="27" t="s">
        <v>32</v>
      </c>
      <c r="P345" s="120" t="str">
        <f>+IFERROR(IF(Q345="#N/C","#N/C",INDEX(Taxonomy_UniqueValues!A:A,MATCH(Q345,Taxonomy_UniqueValues!B:B,0))),"#N/C")</f>
        <v>Insecta</v>
      </c>
      <c r="Q345" s="120" t="str">
        <f>+IFERROR(IF(R345="#N/C","#N/C",INDEX(Taxonomy_UniqueValues!B:B,MATCH(R345,Taxonomy_UniqueValues!C:C,0))),"#N/C")</f>
        <v>Hymenoptera</v>
      </c>
      <c r="R345" s="120" t="str">
        <f>+IFERROR(IF(S345="#N/C","#N/C",INDEX(Taxonomy_UniqueValues!C:C,MATCH(S345,Taxonomy_UniqueValues!D:D,0))),"#N/C")</f>
        <v>Apocrita</v>
      </c>
      <c r="S345" s="120" t="str">
        <f>+IFERROR(IF(T345="#N/C","#N/C",INDEX(Taxonomy_UniqueValues!D:D,MATCH(T345,Taxonomy_UniqueValues!E:E,0))),"#N/C")</f>
        <v>Aculeata</v>
      </c>
      <c r="T345" s="120" t="str">
        <f>+IFERROR(IF(U345="#N/C","#N/C",INDEX(Taxonomy_UniqueValues!E:E,MATCH(U345,Taxonomy_UniqueValues!F:F,0))),"#N/C")</f>
        <v>Vespoidea</v>
      </c>
      <c r="U345" s="120" t="str">
        <f>+IFERROR(IF(V345="#N/C","#N/C",INDEX(Taxonomy_UniqueValues!F:F,MATCH(V345,Taxonomy_UniqueValues!G:G,0))),"#N/C")</f>
        <v>Vespidae</v>
      </c>
      <c r="V345" s="120" t="str">
        <f>+IFERROR(IF(W345="#N/C","#N/C",INDEX(Taxonomy_UniqueValues!G:G,MATCH(W345,Taxonomy_UniqueValues!H:H,0))),"#N/C")</f>
        <v>Vespinae</v>
      </c>
      <c r="W345" s="43" t="s">
        <v>591</v>
      </c>
      <c r="X345" s="30" t="s">
        <v>592</v>
      </c>
      <c r="Y345" s="69" t="str" cm="1">
        <f t="array" ref="Y345">_xlfn.LET(_xlpm.cls,P345, _xlpm.ord,IFERROR(Q345,"#N/C"), _xlpm.subord,IFERROR(R345,"#N/C"), _xlpm.infr,IFERROR(S345,"#N/C"), _xlpm.sf,IFERROR(T345,"#N/C"), _xlpm.fam,IFERROR(U345,"#N/C"), _xlpm.subfam,IF(TRIM(V345)="-","#N/C",IFERROR(V345,"#N/C")),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_xlpm.fallback,IF(IFERROR(Q345,"#N/C")="#N/C",P345,IF(IFERROR(R345,"#N/C")="#N/C",Q345,IF(IFERROR(S345,"#N/C")="#N/C",R345,IF(IFERROR(T345,"#N/C")="#N/C",S345,IF(IFERROR(U345,"#N/C")="#N/C",T345,IF(IFERROR(V345,"#N/C")="#N/C",U345,"#N/C")))))), _xlpm.finalResult,IF(OR(_xlpm.computedResult="",_xlpm.computedResult="#N/C"),_xlpm.fallback,_xlpm.computedResult), INDEX(_xlpm.finalResult,1))</f>
        <v>wasp</v>
      </c>
      <c r="Z345" s="116" t="str" cm="1">
        <f t="array" ref="Z345">IF(OR(Y345="Insecta",Y345="Arachnida",Y345="#N/C"),"",IFERROR(_xlfn.LET(_xlpm.fc,IFERROR(_xlfn._xlws.FILTER(ClassificationClasses[],ClassificationClasses[Classification Class]=Y345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345,ClassificationClasses[Key])),0),MATCH(Y345,INDEX(ClassificationClasses[],MATCH(TRUE,ISNUMBER(SEARCH(Y345,ClassificationClasses[Key])),0),0),0)-1)))</f>
        <v>Aculeata</v>
      </c>
      <c r="AA345" s="116" t="str" cm="1">
        <f t="array" ref="AA345">IFERROR(IF(OR(Z345="Insecta",Z345="Arachnida",Z345="#N/C"),"",INDEX(ClassificationClasses[[Class]:[Infraorder]],MATCH(TRUE,ISNUMBER(SEARCH(Z345,ClassificationClasses[Key])),0),MATCH(Z345,INDEX(ClassificationClasses[#Data], MATCH(TRUE,ISNUMBER(SEARCH(Z345,ClassificationClasses[Key])),0), 0), 0)-1)),"")</f>
        <v>Apocrita</v>
      </c>
      <c r="AB345" s="116" t="str" cm="1">
        <f t="array" ref="AB345">IFERROR(IF(OR(AA345="Insecta",AA345="Arachnida",AA345="#N/C"),"",INDEX(ClassificationClasses[[Class]:[Suborder]],MATCH(TRUE,ISNUMBER(SEARCH(AA345,ClassificationClasses[Key])),0),MATCH(AA345,INDEX(ClassificationClasses[#Data], MATCH(TRUE,ISNUMBER(SEARCH(AA345,ClassificationClasses[Key])),0), 0), 0)-1)),"")</f>
        <v>Hymenoptera</v>
      </c>
      <c r="AC345" s="116" t="str" cm="1">
        <f t="array" ref="AC345">IFERROR(IF(OR(AB345="Insecta",AB345="Arachnida",AB345="#N/C"),"",INDEX(ClassificationClasses[[Class]:[Suborder]],MATCH(TRUE,ISNUMBER(SEARCH(AB345,ClassificationClasses[Key])),0),MATCH(AB345,INDEX(ClassificationClasses[#Data], MATCH(TRUE,ISNUMBER(SEARCH(AB345,ClassificationClasses[Key])),0), 0), 0)-1)),"")</f>
        <v>Insecta</v>
      </c>
      <c r="AD345" s="116" t="str" cm="1">
        <f t="array" ref="AD345">IFERROR(IF(OR(AC345="Insecta",AC345="Arachnida",AC345="#N/C"),"",INDEX(ClassificationClasses[[Class]:[Suborder]],MATCH(TRUE,ISNUMBER(SEARCH(AC345,ClassificationClasses[Key])),0),MATCH(AC345,INDEX(ClassificationClasses[#Data], MATCH(TRUE,ISNUMBER(SEARCH(AC345,ClassificationClasses[Key])),0), 0), 0)-1)),"")</f>
        <v/>
      </c>
      <c r="AE345" s="18" t="str">
        <f t="shared" si="12"/>
        <v>Insecta.Hymenoptera.Apocrita.Aculeata.Vespoidea.Vespidae.Vespinae.Dolichovespula.media</v>
      </c>
    </row>
    <row r="346" spans="1:31" x14ac:dyDescent="0.3">
      <c r="A346" s="91">
        <v>345</v>
      </c>
      <c r="B346" s="7">
        <v>44418</v>
      </c>
      <c r="C346" s="92" t="s">
        <v>593</v>
      </c>
      <c r="D346" s="93" t="str">
        <f>HYPERLINK(VLOOKUP(C346,Video_List!$F:$J,5),"video")</f>
        <v>video</v>
      </c>
      <c r="E346" s="94" t="str">
        <f>IFERROR(IF(MATCH(C346,Video_List!$F:$F,)&gt;0,"ok",""),"error")</f>
        <v>ok</v>
      </c>
      <c r="F346" s="92" t="s">
        <v>593</v>
      </c>
      <c r="G346" s="93" t="str">
        <f>HYPERLINK(VLOOKUP(F346,Video_List!$F:$J,5),"video")</f>
        <v>video</v>
      </c>
      <c r="H346" s="94" t="str">
        <f>IFERROR(IF(MATCH(F346,Video_List!$F:$F,)&gt;0,"ok",""),"error")</f>
        <v>ok</v>
      </c>
      <c r="I346" s="17">
        <v>44418.681932870371</v>
      </c>
      <c r="J346" s="8">
        <v>44418.68540509259</v>
      </c>
      <c r="K346" s="15">
        <f t="shared" si="11"/>
        <v>3.4722222189884633E-3</v>
      </c>
      <c r="L346" s="4" t="s">
        <v>32</v>
      </c>
      <c r="M346" s="4" t="s">
        <v>33</v>
      </c>
      <c r="N346" s="96" t="str">
        <f>IF(ISBLANK(C346),"",IF(C346=F346, "1 video",CONCATENATE((+COUNTIFS(Video_List!$C:$C,"&lt;=" &amp;Monitoring!J346)-COUNTIFS(Video_List!$C:$C,"&lt;=" &amp;Monitoring!I346))+1," videos")))</f>
        <v>1 video</v>
      </c>
      <c r="O346" s="27" t="s">
        <v>32</v>
      </c>
      <c r="P346" s="43" t="s">
        <v>37</v>
      </c>
      <c r="Q346" s="43" t="s">
        <v>76</v>
      </c>
      <c r="R346" s="43" t="s">
        <v>77</v>
      </c>
      <c r="S346" s="97" t="str">
        <f>+IFERROR(IF(T346="#N/C","#N/C",IF(U346=0,INDEX(Taxonomy_UniqueValues!D:D,MATCH(U346,Taxonomy_UniqueValues!F:F,0)),INDEX(Taxonomy_UniqueValues!D:D,MATCH(T346,Taxonomy_UniqueValues!E:E,0)))),"#N/C")</f>
        <v>Cucujiformia</v>
      </c>
      <c r="T346" s="43" t="s">
        <v>78</v>
      </c>
      <c r="U346" s="43" t="s">
        <v>79</v>
      </c>
      <c r="V346" s="43" t="s">
        <v>80</v>
      </c>
      <c r="W346" s="43" t="s">
        <v>81</v>
      </c>
      <c r="X346" s="30" t="s">
        <v>82</v>
      </c>
      <c r="Y346" s="69" t="str" cm="1">
        <f t="array" ref="Y346">_xlfn.LET(_xlpm.cls,P346, _xlpm.ord,IFERROR(Q346,"#N/C"), _xlpm.subord,IFERROR(R346,"#N/C"), _xlpm.infr,IFERROR(S346,"#N/C"), _xlpm.sf,IFERROR(T346,"#N/C"), _xlpm.fam,IFERROR(U346,"#N/C"), _xlpm.subfam,IF(TRIM(V346)="-","#N/C",IFERROR(V346,"#N/C")),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_xlpm.fallback,IF(IFERROR(Q346,"#N/C")="#N/C",P346,IF(IFERROR(R346,"#N/C")="#N/C",Q346,IF(IFERROR(S346,"#N/C")="#N/C",R346,IF(IFERROR(T346,"#N/C")="#N/C",S346,IF(IFERROR(U346,"#N/C")="#N/C",T346,IF(IFERROR(V346,"#N/C")="#N/C",U346,"#N/C")))))), _xlpm.finalResult,IF(OR(_xlpm.computedResult="",_xlpm.computedResult="#N/C"),_xlpm.fallback,_xlpm.computedResult), INDEX(_xlpm.finalResult,1))</f>
        <v>ladybug</v>
      </c>
      <c r="Z346" s="116" t="str" cm="1">
        <f t="array" ref="Z346">IF(OR(Y346="Insecta",Y346="Arachnida",Y346="#N/C"),"",IFERROR(_xlfn.LET(_xlpm.fc,IFERROR(_xlfn._xlws.FILTER(ClassificationClasses[],ClassificationClasses[Classification Class]=Y346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346,ClassificationClasses[Key])),0),MATCH(Y346,INDEX(ClassificationClasses[],MATCH(TRUE,ISNUMBER(SEARCH(Y346,ClassificationClasses[Key])),0),0),0)-1)))</f>
        <v>Cucujiformia</v>
      </c>
      <c r="AA346" s="116" t="str" cm="1">
        <f t="array" ref="AA346">IFERROR(IF(OR(Z346="Insecta",Z346="Arachnida",Z346="#N/C"),"",INDEX(ClassificationClasses[[Class]:[Infraorder]],MATCH(TRUE,ISNUMBER(SEARCH(Z346,ClassificationClasses[Key])),0),MATCH(Z346,INDEX(ClassificationClasses[#Data], MATCH(TRUE,ISNUMBER(SEARCH(Z346,ClassificationClasses[Key])),0), 0), 0)-1)),"")</f>
        <v>Polyphaga</v>
      </c>
      <c r="AB346" s="116" t="str" cm="1">
        <f t="array" ref="AB346">IFERROR(IF(OR(AA346="Insecta",AA346="Arachnida",AA346="#N/C"),"",INDEX(ClassificationClasses[[Class]:[Suborder]],MATCH(TRUE,ISNUMBER(SEARCH(AA346,ClassificationClasses[Key])),0),MATCH(AA346,INDEX(ClassificationClasses[#Data], MATCH(TRUE,ISNUMBER(SEARCH(AA346,ClassificationClasses[Key])),0), 0), 0)-1)),"")</f>
        <v>Coleoptera</v>
      </c>
      <c r="AC346" s="116" t="str" cm="1">
        <f t="array" ref="AC346">IFERROR(IF(OR(AB346="Insecta",AB346="Arachnida",AB346="#N/C"),"",INDEX(ClassificationClasses[[Class]:[Suborder]],MATCH(TRUE,ISNUMBER(SEARCH(AB346,ClassificationClasses[Key])),0),MATCH(AB346,INDEX(ClassificationClasses[#Data], MATCH(TRUE,ISNUMBER(SEARCH(AB346,ClassificationClasses[Key])),0), 0), 0)-1)),"")</f>
        <v>Insecta</v>
      </c>
      <c r="AD346" s="116" t="str" cm="1">
        <f t="array" ref="AD346">IFERROR(IF(OR(AC346="Insecta",AC346="Arachnida",AC346="#N/C"),"",INDEX(ClassificationClasses[[Class]:[Suborder]],MATCH(TRUE,ISNUMBER(SEARCH(AC346,ClassificationClasses[Key])),0),MATCH(AC346,INDEX(ClassificationClasses[#Data], MATCH(TRUE,ISNUMBER(SEARCH(AC346,ClassificationClasses[Key])),0), 0), 0)-1)),"")</f>
        <v/>
      </c>
      <c r="AE346" s="18" t="str">
        <f t="shared" si="12"/>
        <v>Insecta.Coleoptera.Polyphaga.Cucujiformia.Coccinelloidea.Coccinellidae.Coccinellinae.Harmonia.axyridis</v>
      </c>
    </row>
    <row r="347" spans="1:31" x14ac:dyDescent="0.3">
      <c r="A347" s="91">
        <v>346</v>
      </c>
      <c r="B347" s="101">
        <v>44418</v>
      </c>
      <c r="C347" s="92" t="s">
        <v>594</v>
      </c>
      <c r="D347" s="93" t="str">
        <f>HYPERLINK(VLOOKUP(C347,Video_List!$F:$J,5),"video")</f>
        <v>video</v>
      </c>
      <c r="E347" s="94" t="str">
        <f>IFERROR(IF(MATCH(C347,Video_List!$F:$F,)&gt;0,"ok",""),"error")</f>
        <v>ok</v>
      </c>
      <c r="F347" s="92" t="s">
        <v>595</v>
      </c>
      <c r="G347" s="93" t="str">
        <f>HYPERLINK(VLOOKUP(F347,Video_List!$F:$J,5),"video")</f>
        <v>video</v>
      </c>
      <c r="H347" s="94" t="str">
        <f>IFERROR(IF(MATCH(F347,Video_List!$F:$F,)&gt;0,"ok",""),"error")</f>
        <v>ok</v>
      </c>
      <c r="I347" s="17">
        <v>44418.692858796298</v>
      </c>
      <c r="J347" s="8">
        <v>44418.694884259261</v>
      </c>
      <c r="K347" s="15">
        <f t="shared" si="11"/>
        <v>2.0254629635019228E-3</v>
      </c>
      <c r="L347" s="95" t="s">
        <v>44</v>
      </c>
      <c r="M347" s="95" t="s">
        <v>33</v>
      </c>
      <c r="N347" s="96" t="str">
        <f>IF(ISBLANK(C347),"",IF(C347=F347, "1 video",CONCATENATE((+COUNTIFS(Video_List!$C:$C,"&lt;=" &amp;Monitoring!J347)-COUNTIFS(Video_List!$C:$C,"&lt;=" &amp;Monitoring!I347))+1," videos")))</f>
        <v>2 videos</v>
      </c>
      <c r="O347" s="29" t="s">
        <v>44</v>
      </c>
      <c r="P347" s="120" t="str">
        <f>+IFERROR(IF(Q347="#N/C","#N/C",INDEX(Taxonomy_UniqueValues!A:A,MATCH(Q347,Taxonomy_UniqueValues!B:B,0))),"#N/C")</f>
        <v>Insecta</v>
      </c>
      <c r="Q347" s="120" t="str">
        <f>+IFERROR(IF(R347="#N/C","#N/C",INDEX(Taxonomy_UniqueValues!B:B,MATCH(R347,Taxonomy_UniqueValues!C:C,0))),"#N/C")</f>
        <v>Hymenoptera</v>
      </c>
      <c r="R347" s="120" t="str">
        <f>+IFERROR(IF(S347="#N/C","#N/C",INDEX(Taxonomy_UniqueValues!C:C,MATCH(S347,Taxonomy_UniqueValues!D:D,0))),"#N/C")</f>
        <v>Apocrita</v>
      </c>
      <c r="S347" s="120" t="str">
        <f>+IFERROR(IF(T347="#N/C","#N/C",INDEX(Taxonomy_UniqueValues!D:D,MATCH(T347,Taxonomy_UniqueValues!E:E,0))),"#N/C")</f>
        <v>Aculeata</v>
      </c>
      <c r="T347" s="120" t="str">
        <f>+IFERROR(IF(U347="#N/C","#N/C",INDEX(Taxonomy_UniqueValues!E:E,MATCH(U347,Taxonomy_UniqueValues!F:F,0))),"#N/C")</f>
        <v>Formicoidea</v>
      </c>
      <c r="U347" s="43" t="s">
        <v>120</v>
      </c>
      <c r="V347" s="43" t="s">
        <v>35</v>
      </c>
      <c r="W347" s="43" t="s">
        <v>35</v>
      </c>
      <c r="X347" s="30" t="s">
        <v>35</v>
      </c>
      <c r="Y347" s="69" t="str" cm="1">
        <f t="array" ref="Y347">_xlfn.LET(_xlpm.cls,P347, _xlpm.ord,IFERROR(Q347,"#N/C"), _xlpm.subord,IFERROR(R347,"#N/C"), _xlpm.infr,IFERROR(S347,"#N/C"), _xlpm.sf,IFERROR(T347,"#N/C"), _xlpm.fam,IFERROR(U347,"#N/C"), _xlpm.subfam,IF(TRIM(V347)="-","#N/C",IFERROR(V347,"#N/C")),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_xlpm.fallback,IF(IFERROR(Q347,"#N/C")="#N/C",P347,IF(IFERROR(R347,"#N/C")="#N/C",Q347,IF(IFERROR(S347,"#N/C")="#N/C",R347,IF(IFERROR(T347,"#N/C")="#N/C",S347,IF(IFERROR(U347,"#N/C")="#N/C",T347,IF(IFERROR(V347,"#N/C")="#N/C",U347,"#N/C")))))), _xlpm.finalResult,IF(OR(_xlpm.computedResult="",_xlpm.computedResult="#N/C"),_xlpm.fallback,_xlpm.computedResult), INDEX(_xlpm.finalResult,1))</f>
        <v>ant</v>
      </c>
      <c r="Z347" s="116" t="str" cm="1">
        <f t="array" ref="Z347">IF(OR(Y347="Insecta",Y347="Arachnida",Y347="#N/C"),"",IFERROR(_xlfn.LET(_xlpm.fc,IFERROR(_xlfn._xlws.FILTER(ClassificationClasses[],ClassificationClasses[Classification Class]=Y347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347,ClassificationClasses[Key])),0),MATCH(Y347,INDEX(ClassificationClasses[],MATCH(TRUE,ISNUMBER(SEARCH(Y347,ClassificationClasses[Key])),0),0),0)-1)))</f>
        <v>Aculeata</v>
      </c>
      <c r="AA347" s="116" t="str" cm="1">
        <f t="array" ref="AA347">IFERROR(IF(OR(Z347="Insecta",Z347="Arachnida",Z347="#N/C"),"",INDEX(ClassificationClasses[[Class]:[Infraorder]],MATCH(TRUE,ISNUMBER(SEARCH(Z347,ClassificationClasses[Key])),0),MATCH(Z347,INDEX(ClassificationClasses[#Data], MATCH(TRUE,ISNUMBER(SEARCH(Z347,ClassificationClasses[Key])),0), 0), 0)-1)),"")</f>
        <v>Apocrita</v>
      </c>
      <c r="AB347" s="116" t="str" cm="1">
        <f t="array" ref="AB347">IFERROR(IF(OR(AA347="Insecta",AA347="Arachnida",AA347="#N/C"),"",INDEX(ClassificationClasses[[Class]:[Suborder]],MATCH(TRUE,ISNUMBER(SEARCH(AA347,ClassificationClasses[Key])),0),MATCH(AA347,INDEX(ClassificationClasses[#Data], MATCH(TRUE,ISNUMBER(SEARCH(AA347,ClassificationClasses[Key])),0), 0), 0)-1)),"")</f>
        <v>Hymenoptera</v>
      </c>
      <c r="AC347" s="116" t="str" cm="1">
        <f t="array" ref="AC347">IFERROR(IF(OR(AB347="Insecta",AB347="Arachnida",AB347="#N/C"),"",INDEX(ClassificationClasses[[Class]:[Suborder]],MATCH(TRUE,ISNUMBER(SEARCH(AB347,ClassificationClasses[Key])),0),MATCH(AB347,INDEX(ClassificationClasses[#Data], MATCH(TRUE,ISNUMBER(SEARCH(AB347,ClassificationClasses[Key])),0), 0), 0)-1)),"")</f>
        <v>Insecta</v>
      </c>
      <c r="AD347" s="116" t="str" cm="1">
        <f t="array" ref="AD347">IFERROR(IF(OR(AC347="Insecta",AC347="Arachnida",AC347="#N/C"),"",INDEX(ClassificationClasses[[Class]:[Suborder]],MATCH(TRUE,ISNUMBER(SEARCH(AC347,ClassificationClasses[Key])),0),MATCH(AC347,INDEX(ClassificationClasses[#Data], MATCH(TRUE,ISNUMBER(SEARCH(AC347,ClassificationClasses[Key])),0), 0), 0)-1)),"")</f>
        <v/>
      </c>
      <c r="AE347" s="18" t="str">
        <f t="shared" si="12"/>
        <v>Insecta.Hymenoptera.Apocrita.Aculeata.Formicoidea.Formicidae.#N/C.#N/C.#N/C</v>
      </c>
    </row>
    <row r="348" spans="1:31" x14ac:dyDescent="0.3">
      <c r="A348" s="91">
        <v>347</v>
      </c>
      <c r="B348" s="101">
        <v>44418</v>
      </c>
      <c r="C348" s="92" t="s">
        <v>594</v>
      </c>
      <c r="D348" s="93" t="str">
        <f>HYPERLINK(VLOOKUP(C348,Video_List!$F:$J,5),"video")</f>
        <v>video</v>
      </c>
      <c r="E348" s="94" t="str">
        <f>IFERROR(IF(MATCH(C348,Video_List!$F:$F,)&gt;0,"ok",""),"error")</f>
        <v>ok</v>
      </c>
      <c r="F348" s="92" t="s">
        <v>594</v>
      </c>
      <c r="G348" s="93" t="str">
        <f>HYPERLINK(VLOOKUP(F348,Video_List!$F:$J,5),"video")</f>
        <v>video</v>
      </c>
      <c r="H348" s="94" t="str">
        <f>IFERROR(IF(MATCH(F348,Video_List!$F:$F,)&gt;0,"ok",""),"error")</f>
        <v>ok</v>
      </c>
      <c r="I348" s="17">
        <v>44418.694525462961</v>
      </c>
      <c r="J348" s="8">
        <v>44418.69462962963</v>
      </c>
      <c r="K348" s="15">
        <f t="shared" si="11"/>
        <v>1.0416666918899864E-4</v>
      </c>
      <c r="L348" s="95" t="s">
        <v>44</v>
      </c>
      <c r="M348" s="95" t="s">
        <v>33</v>
      </c>
      <c r="N348" s="96" t="str">
        <f>IF(ISBLANK(C348),"",IF(C348=F348, "1 video",CONCATENATE((+COUNTIFS(Video_List!$C:$C,"&lt;=" &amp;Monitoring!J348)-COUNTIFS(Video_List!$C:$C,"&lt;=" &amp;Monitoring!I348))+1," videos")))</f>
        <v>1 video</v>
      </c>
      <c r="O348" s="29" t="s">
        <v>44</v>
      </c>
      <c r="P348" s="120" t="str">
        <f>+IFERROR(IF(Q348="#N/C","#N/C",INDEX(Taxonomy_UniqueValues!A:A,MATCH(Q348,Taxonomy_UniqueValues!B:B,0))),"#N/C")</f>
        <v>Insecta</v>
      </c>
      <c r="Q348" s="120" t="str">
        <f>+IFERROR(IF(R348="#N/C","#N/C",INDEX(Taxonomy_UniqueValues!B:B,MATCH(R348,Taxonomy_UniqueValues!C:C,0))),"#N/C")</f>
        <v>Hymenoptera</v>
      </c>
      <c r="R348" s="120" t="str">
        <f>+IFERROR(IF(S348="#N/C","#N/C",INDEX(Taxonomy_UniqueValues!C:C,MATCH(S348,Taxonomy_UniqueValues!D:D,0))),"#N/C")</f>
        <v>Apocrita</v>
      </c>
      <c r="S348" s="120" t="str">
        <f>+IFERROR(IF(T348="#N/C","#N/C",INDEX(Taxonomy_UniqueValues!D:D,MATCH(T348,Taxonomy_UniqueValues!E:E,0))),"#N/C")</f>
        <v>Aculeata</v>
      </c>
      <c r="T348" s="120" t="str">
        <f>+IFERROR(IF(U348="#N/C","#N/C",INDEX(Taxonomy_UniqueValues!E:E,MATCH(U348,Taxonomy_UniqueValues!F:F,0))),"#N/C")</f>
        <v>Formicoidea</v>
      </c>
      <c r="U348" s="43" t="s">
        <v>120</v>
      </c>
      <c r="V348" s="43" t="s">
        <v>35</v>
      </c>
      <c r="W348" s="43" t="s">
        <v>35</v>
      </c>
      <c r="X348" s="30" t="s">
        <v>35</v>
      </c>
      <c r="Y348" s="69" t="str" cm="1">
        <f t="array" ref="Y348">_xlfn.LET(_xlpm.cls,P348, _xlpm.ord,IFERROR(Q348,"#N/C"), _xlpm.subord,IFERROR(R348,"#N/C"), _xlpm.infr,IFERROR(S348,"#N/C"), _xlpm.sf,IFERROR(T348,"#N/C"), _xlpm.fam,IFERROR(U348,"#N/C"), _xlpm.subfam,IF(TRIM(V348)="-","#N/C",IFERROR(V348,"#N/C")),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_xlpm.fallback,IF(IFERROR(Q348,"#N/C")="#N/C",P348,IF(IFERROR(R348,"#N/C")="#N/C",Q348,IF(IFERROR(S348,"#N/C")="#N/C",R348,IF(IFERROR(T348,"#N/C")="#N/C",S348,IF(IFERROR(U348,"#N/C")="#N/C",T348,IF(IFERROR(V348,"#N/C")="#N/C",U348,"#N/C")))))), _xlpm.finalResult,IF(OR(_xlpm.computedResult="",_xlpm.computedResult="#N/C"),_xlpm.fallback,_xlpm.computedResult), INDEX(_xlpm.finalResult,1))</f>
        <v>ant</v>
      </c>
      <c r="Z348" s="116" t="str" cm="1">
        <f t="array" ref="Z348">IF(OR(Y348="Insecta",Y348="Arachnida",Y348="#N/C"),"",IFERROR(_xlfn.LET(_xlpm.fc,IFERROR(_xlfn._xlws.FILTER(ClassificationClasses[],ClassificationClasses[Classification Class]=Y348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348,ClassificationClasses[Key])),0),MATCH(Y348,INDEX(ClassificationClasses[],MATCH(TRUE,ISNUMBER(SEARCH(Y348,ClassificationClasses[Key])),0),0),0)-1)))</f>
        <v>Aculeata</v>
      </c>
      <c r="AA348" s="116" t="str" cm="1">
        <f t="array" ref="AA348">IFERROR(IF(OR(Z348="Insecta",Z348="Arachnida",Z348="#N/C"),"",INDEX(ClassificationClasses[[Class]:[Infraorder]],MATCH(TRUE,ISNUMBER(SEARCH(Z348,ClassificationClasses[Key])),0),MATCH(Z348,INDEX(ClassificationClasses[#Data], MATCH(TRUE,ISNUMBER(SEARCH(Z348,ClassificationClasses[Key])),0), 0), 0)-1)),"")</f>
        <v>Apocrita</v>
      </c>
      <c r="AB348" s="116" t="str" cm="1">
        <f t="array" ref="AB348">IFERROR(IF(OR(AA348="Insecta",AA348="Arachnida",AA348="#N/C"),"",INDEX(ClassificationClasses[[Class]:[Suborder]],MATCH(TRUE,ISNUMBER(SEARCH(AA348,ClassificationClasses[Key])),0),MATCH(AA348,INDEX(ClassificationClasses[#Data], MATCH(TRUE,ISNUMBER(SEARCH(AA348,ClassificationClasses[Key])),0), 0), 0)-1)),"")</f>
        <v>Hymenoptera</v>
      </c>
      <c r="AC348" s="116" t="str" cm="1">
        <f t="array" ref="AC348">IFERROR(IF(OR(AB348="Insecta",AB348="Arachnida",AB348="#N/C"),"",INDEX(ClassificationClasses[[Class]:[Suborder]],MATCH(TRUE,ISNUMBER(SEARCH(AB348,ClassificationClasses[Key])),0),MATCH(AB348,INDEX(ClassificationClasses[#Data], MATCH(TRUE,ISNUMBER(SEARCH(AB348,ClassificationClasses[Key])),0), 0), 0)-1)),"")</f>
        <v>Insecta</v>
      </c>
      <c r="AD348" s="116" t="str" cm="1">
        <f t="array" ref="AD348">IFERROR(IF(OR(AC348="Insecta",AC348="Arachnida",AC348="#N/C"),"",INDEX(ClassificationClasses[[Class]:[Suborder]],MATCH(TRUE,ISNUMBER(SEARCH(AC348,ClassificationClasses[Key])),0),MATCH(AC348,INDEX(ClassificationClasses[#Data], MATCH(TRUE,ISNUMBER(SEARCH(AC348,ClassificationClasses[Key])),0), 0), 0)-1)),"")</f>
        <v/>
      </c>
      <c r="AE348" s="18" t="str">
        <f t="shared" si="12"/>
        <v>Insecta.Hymenoptera.Apocrita.Aculeata.Formicoidea.Formicidae.#N/C.#N/C.#N/C</v>
      </c>
    </row>
    <row r="349" spans="1:31" x14ac:dyDescent="0.3">
      <c r="A349" s="91">
        <v>348</v>
      </c>
      <c r="B349" s="101">
        <v>44418</v>
      </c>
      <c r="C349" s="92" t="s">
        <v>596</v>
      </c>
      <c r="D349" s="93" t="str">
        <f>HYPERLINK(VLOOKUP(C349,Video_List!$F:$J,5),"video")</f>
        <v>video</v>
      </c>
      <c r="E349" s="94" t="str">
        <f>IFERROR(IF(MATCH(C349,Video_List!$F:$F,)&gt;0,"ok",""),"error")</f>
        <v>ok</v>
      </c>
      <c r="F349" s="92" t="s">
        <v>596</v>
      </c>
      <c r="G349" s="93" t="str">
        <f>HYPERLINK(VLOOKUP(F349,Video_List!$F:$J,5),"video")</f>
        <v>video</v>
      </c>
      <c r="H349" s="94" t="str">
        <f>IFERROR(IF(MATCH(F349,Video_List!$F:$F,)&gt;0,"ok",""),"error")</f>
        <v>ok</v>
      </c>
      <c r="I349" s="17">
        <v>44418.717777777776</v>
      </c>
      <c r="J349" s="8">
        <v>44418.717824074076</v>
      </c>
      <c r="K349" s="15">
        <f t="shared" si="11"/>
        <v>4.6296299842651933E-5</v>
      </c>
      <c r="L349" s="95" t="s">
        <v>32</v>
      </c>
      <c r="M349" s="95" t="s">
        <v>33</v>
      </c>
      <c r="N349" s="96" t="str">
        <f>IF(ISBLANK(C349),"",IF(C349=F349, "1 video",CONCATENATE((+COUNTIFS(Video_List!$C:$C,"&lt;=" &amp;Monitoring!J349)-COUNTIFS(Video_List!$C:$C,"&lt;=" &amp;Monitoring!I349))+1," videos")))</f>
        <v>1 video</v>
      </c>
      <c r="O349" s="29" t="s">
        <v>44</v>
      </c>
      <c r="P349" s="43" t="s">
        <v>37</v>
      </c>
      <c r="Q349" s="43" t="s">
        <v>38</v>
      </c>
      <c r="R349" s="43" t="s">
        <v>39</v>
      </c>
      <c r="S349" s="97" t="str">
        <f>+IFERROR(IF(T349="#N/C","#N/C",IF(U349=0,INDEX(Taxonomy_UniqueValues!D:D,MATCH(U349,Taxonomy_UniqueValues!F:F,0)),INDEX(Taxonomy_UniqueValues!D:D,MATCH(T349,Taxonomy_UniqueValues!E:E,0)))),"#N/C")</f>
        <v>#N/C</v>
      </c>
      <c r="T349" s="43" t="s">
        <v>35</v>
      </c>
      <c r="U349" s="43" t="s">
        <v>35</v>
      </c>
      <c r="V349" s="43" t="s">
        <v>35</v>
      </c>
      <c r="W349" s="43" t="s">
        <v>35</v>
      </c>
      <c r="X349" s="30" t="s">
        <v>35</v>
      </c>
      <c r="Y349" s="69" t="str" cm="1">
        <f t="array" ref="Y349">_xlfn.LET(_xlpm.cls,P349, _xlpm.ord,IFERROR(Q349,"#N/C"), _xlpm.subord,IFERROR(R349,"#N/C"), _xlpm.infr,IFERROR(S349,"#N/C"), _xlpm.sf,IFERROR(T349,"#N/C"), _xlpm.fam,IFERROR(U349,"#N/C"), _xlpm.subfam,IF(TRIM(V349)="-","#N/C",IFERROR(V349,"#N/C")),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_xlpm.fallback,IF(IFERROR(Q349,"#N/C")="#N/C",P349,IF(IFERROR(R349,"#N/C")="#N/C",Q349,IF(IFERROR(S349,"#N/C")="#N/C",R349,IF(IFERROR(T349,"#N/C")="#N/C",S349,IF(IFERROR(U349,"#N/C")="#N/C",T349,IF(IFERROR(V349,"#N/C")="#N/C",U349,"#N/C")))))), _xlpm.finalResult,IF(OR(_xlpm.computedResult="",_xlpm.computedResult="#N/C"),_xlpm.fallback,_xlpm.computedResult), INDEX(_xlpm.finalResult,1))</f>
        <v>Brachycera</v>
      </c>
      <c r="Z349" s="116" t="str" cm="1">
        <f t="array" ref="Z349">IF(OR(Y349="Insecta",Y349="Arachnida",Y349="#N/C"),"",IFERROR(_xlfn.LET(_xlpm.fc,IFERROR(_xlfn._xlws.FILTER(ClassificationClasses[],ClassificationClasses[Classification Class]=Y349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349,ClassificationClasses[Key])),0),MATCH(Y349,INDEX(ClassificationClasses[],MATCH(TRUE,ISNUMBER(SEARCH(Y349,ClassificationClasses[Key])),0),0),0)-1)))</f>
        <v>Diptera</v>
      </c>
      <c r="AA349" s="116" t="str" cm="1">
        <f t="array" ref="AA349">IFERROR(IF(OR(Z349="Insecta",Z349="Arachnida",Z349="#N/C"),"",INDEX(ClassificationClasses[[Class]:[Infraorder]],MATCH(TRUE,ISNUMBER(SEARCH(Z349,ClassificationClasses[Key])),0),MATCH(Z349,INDEX(ClassificationClasses[#Data], MATCH(TRUE,ISNUMBER(SEARCH(Z349,ClassificationClasses[Key])),0), 0), 0)-1)),"")</f>
        <v>Insecta</v>
      </c>
      <c r="AB349" s="116" t="str" cm="1">
        <f t="array" ref="AB349">IFERROR(IF(OR(AA349="Insecta",AA349="Arachnida",AA349="#N/C"),"",INDEX(ClassificationClasses[[Class]:[Suborder]],MATCH(TRUE,ISNUMBER(SEARCH(AA349,ClassificationClasses[Key])),0),MATCH(AA349,INDEX(ClassificationClasses[#Data], MATCH(TRUE,ISNUMBER(SEARCH(AA349,ClassificationClasses[Key])),0), 0), 0)-1)),"")</f>
        <v/>
      </c>
      <c r="AC349" s="116" t="str" cm="1">
        <f t="array" ref="AC349">IFERROR(IF(OR(AB349="Insecta",AB349="Arachnida",AB349="#N/C"),"",INDEX(ClassificationClasses[[Class]:[Suborder]],MATCH(TRUE,ISNUMBER(SEARCH(AB349,ClassificationClasses[Key])),0),MATCH(AB349,INDEX(ClassificationClasses[#Data], MATCH(TRUE,ISNUMBER(SEARCH(AB349,ClassificationClasses[Key])),0), 0), 0)-1)),"")</f>
        <v/>
      </c>
      <c r="AD349" s="116" t="str" cm="1">
        <f t="array" ref="AD349">IFERROR(IF(OR(AC349="Insecta",AC349="Arachnida",AC349="#N/C"),"",INDEX(ClassificationClasses[[Class]:[Suborder]],MATCH(TRUE,ISNUMBER(SEARCH(AC349,ClassificationClasses[Key])),0),MATCH(AC349,INDEX(ClassificationClasses[#Data], MATCH(TRUE,ISNUMBER(SEARCH(AC349,ClassificationClasses[Key])),0), 0), 0)-1)),"")</f>
        <v/>
      </c>
      <c r="AE349" s="18" t="str">
        <f t="shared" si="12"/>
        <v>Insecta.Diptera.Brachycera.#N/C.#N/C.#N/C.#N/C.#N/C.#N/C</v>
      </c>
    </row>
    <row r="350" spans="1:31" x14ac:dyDescent="0.3">
      <c r="A350" s="91">
        <v>349</v>
      </c>
      <c r="B350" s="101">
        <v>44418</v>
      </c>
      <c r="C350" s="92" t="s">
        <v>597</v>
      </c>
      <c r="D350" s="93" t="str">
        <f>HYPERLINK(VLOOKUP(C350,Video_List!$F:$J,5),"video")</f>
        <v>video</v>
      </c>
      <c r="E350" s="94" t="str">
        <f>IFERROR(IF(MATCH(C350,Video_List!$F:$F,)&gt;0,"ok",""),"error")</f>
        <v>ok</v>
      </c>
      <c r="F350" s="92" t="s">
        <v>598</v>
      </c>
      <c r="G350" s="93" t="str">
        <f>HYPERLINK(VLOOKUP(F350,Video_List!$F:$J,5),"video")</f>
        <v>video</v>
      </c>
      <c r="H350" s="94" t="str">
        <f>IFERROR(IF(MATCH(F350,Video_List!$F:$F,)&gt;0,"ok",""),"error")</f>
        <v>ok</v>
      </c>
      <c r="I350" s="17">
        <v>44418.733356481483</v>
      </c>
      <c r="J350" s="8">
        <v>44418.743055555555</v>
      </c>
      <c r="K350" s="15">
        <f t="shared" si="11"/>
        <v>9.6990740712499246E-3</v>
      </c>
      <c r="L350" s="4" t="s">
        <v>55</v>
      </c>
      <c r="M350" s="4" t="s">
        <v>55</v>
      </c>
      <c r="N350" s="96" t="str">
        <f>IF(ISBLANK(C350),"",IF(C350=F350, "1 video",CONCATENATE((+COUNTIFS(Video_List!$C:$C,"&lt;=" &amp;Monitoring!J350)-COUNTIFS(Video_List!$C:$C,"&lt;=" &amp;Monitoring!I350))+1," videos")))</f>
        <v>2 videos</v>
      </c>
      <c r="O350" s="27" t="s">
        <v>32</v>
      </c>
      <c r="P350" s="43" t="s">
        <v>37</v>
      </c>
      <c r="Q350" s="43" t="s">
        <v>76</v>
      </c>
      <c r="R350" s="43" t="s">
        <v>77</v>
      </c>
      <c r="S350" s="97" t="str">
        <f>+IFERROR(IF(T350="#N/C","#N/C",IF(U350=0,INDEX(Taxonomy_UniqueValues!D:D,MATCH(U350,Taxonomy_UniqueValues!F:F,0)),INDEX(Taxonomy_UniqueValues!D:D,MATCH(T350,Taxonomy_UniqueValues!E:E,0)))),"#N/C")</f>
        <v>Cucujiformia</v>
      </c>
      <c r="T350" s="43" t="s">
        <v>428</v>
      </c>
      <c r="U350" s="43" t="s">
        <v>429</v>
      </c>
      <c r="V350" s="43" t="s">
        <v>430</v>
      </c>
      <c r="W350" s="43" t="s">
        <v>599</v>
      </c>
      <c r="X350" s="30" t="s">
        <v>600</v>
      </c>
      <c r="Y350" s="69" t="str" cm="1">
        <f t="array" ref="Y350">_xlfn.LET(_xlpm.cls,P350, _xlpm.ord,IFERROR(Q350,"#N/C"), _xlpm.subord,IFERROR(R350,"#N/C"), _xlpm.infr,IFERROR(S350,"#N/C"), _xlpm.sf,IFERROR(T350,"#N/C"), _xlpm.fam,IFERROR(U350,"#N/C"), _xlpm.subfam,IF(TRIM(V350)="-","#N/C",IFERROR(V350,"#N/C")),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_xlpm.fallback,IF(IFERROR(Q350,"#N/C")="#N/C",P350,IF(IFERROR(R350,"#N/C")="#N/C",Q350,IF(IFERROR(S350,"#N/C")="#N/C",R350,IF(IFERROR(T350,"#N/C")="#N/C",S350,IF(IFERROR(U350,"#N/C")="#N/C",T350,IF(IFERROR(V350,"#N/C")="#N/C",U350,"#N/C")))))), _xlpm.finalResult,IF(OR(_xlpm.computedResult="",_xlpm.computedResult="#N/C"),_xlpm.fallback,_xlpm.computedResult), INDEX(_xlpm.finalResult,1))</f>
        <v>weevil</v>
      </c>
      <c r="Z350" s="116" t="str" cm="1">
        <f t="array" ref="Z350">IF(OR(Y350="Insecta",Y350="Arachnida",Y350="#N/C"),"",IFERROR(_xlfn.LET(_xlpm.fc,IFERROR(_xlfn._xlws.FILTER(ClassificationClasses[],ClassificationClasses[Classification Class]=Y350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350,ClassificationClasses[Key])),0),MATCH(Y350,INDEX(ClassificationClasses[],MATCH(TRUE,ISNUMBER(SEARCH(Y350,ClassificationClasses[Key])),0),0),0)-1)))</f>
        <v>Cucujiformia</v>
      </c>
      <c r="AA350" s="116" t="str" cm="1">
        <f t="array" ref="AA350">IFERROR(IF(OR(Z350="Insecta",Z350="Arachnida",Z350="#N/C"),"",INDEX(ClassificationClasses[[Class]:[Infraorder]],MATCH(TRUE,ISNUMBER(SEARCH(Z350,ClassificationClasses[Key])),0),MATCH(Z350,INDEX(ClassificationClasses[#Data], MATCH(TRUE,ISNUMBER(SEARCH(Z350,ClassificationClasses[Key])),0), 0), 0)-1)),"")</f>
        <v>Polyphaga</v>
      </c>
      <c r="AB350" s="116" t="str" cm="1">
        <f t="array" ref="AB350">IFERROR(IF(OR(AA350="Insecta",AA350="Arachnida",AA350="#N/C"),"",INDEX(ClassificationClasses[[Class]:[Suborder]],MATCH(TRUE,ISNUMBER(SEARCH(AA350,ClassificationClasses[Key])),0),MATCH(AA350,INDEX(ClassificationClasses[#Data], MATCH(TRUE,ISNUMBER(SEARCH(AA350,ClassificationClasses[Key])),0), 0), 0)-1)),"")</f>
        <v>Coleoptera</v>
      </c>
      <c r="AC350" s="116" t="str" cm="1">
        <f t="array" ref="AC350">IFERROR(IF(OR(AB350="Insecta",AB350="Arachnida",AB350="#N/C"),"",INDEX(ClassificationClasses[[Class]:[Suborder]],MATCH(TRUE,ISNUMBER(SEARCH(AB350,ClassificationClasses[Key])),0),MATCH(AB350,INDEX(ClassificationClasses[#Data], MATCH(TRUE,ISNUMBER(SEARCH(AB350,ClassificationClasses[Key])),0), 0), 0)-1)),"")</f>
        <v>Insecta</v>
      </c>
      <c r="AD350" s="116" t="str" cm="1">
        <f t="array" ref="AD350">IFERROR(IF(OR(AC350="Insecta",AC350="Arachnida",AC350="#N/C"),"",INDEX(ClassificationClasses[[Class]:[Suborder]],MATCH(TRUE,ISNUMBER(SEARCH(AC350,ClassificationClasses[Key])),0),MATCH(AC350,INDEX(ClassificationClasses[#Data], MATCH(TRUE,ISNUMBER(SEARCH(AC350,ClassificationClasses[Key])),0), 0), 0)-1)),"")</f>
        <v/>
      </c>
      <c r="AE350" s="18" t="str">
        <f t="shared" si="12"/>
        <v>Insecta.Coleoptera.Polyphaga.Cucujiformia.Curculionoidea.Curculionidae.Entiminae.Strophosoma.melanogrammum</v>
      </c>
    </row>
    <row r="351" spans="1:31" x14ac:dyDescent="0.3">
      <c r="A351" s="91">
        <v>350</v>
      </c>
      <c r="B351" s="101">
        <v>44418</v>
      </c>
      <c r="C351" s="92" t="s">
        <v>601</v>
      </c>
      <c r="D351" s="93" t="str">
        <f>HYPERLINK(VLOOKUP(C351,Video_List!$F:$J,5),"video")</f>
        <v>video</v>
      </c>
      <c r="E351" s="94" t="str">
        <f>IFERROR(IF(MATCH(C351,Video_List!$F:$F,)&gt;0,"ok",""),"error")</f>
        <v>ok</v>
      </c>
      <c r="F351" s="92" t="s">
        <v>601</v>
      </c>
      <c r="G351" s="93" t="str">
        <f>HYPERLINK(VLOOKUP(F351,Video_List!$F:$J,5),"video")</f>
        <v>video</v>
      </c>
      <c r="H351" s="94" t="str">
        <f>IFERROR(IF(MATCH(F351,Video_List!$F:$F,)&gt;0,"ok",""),"error")</f>
        <v>ok</v>
      </c>
      <c r="I351" s="17">
        <v>44418.743495370371</v>
      </c>
      <c r="J351" s="8">
        <v>44418.74355324074</v>
      </c>
      <c r="K351" s="15">
        <f t="shared" si="11"/>
        <v>5.7870369346346706E-5</v>
      </c>
      <c r="L351" s="95" t="s">
        <v>32</v>
      </c>
      <c r="M351" s="95" t="s">
        <v>33</v>
      </c>
      <c r="N351" s="96" t="str">
        <f>IF(ISBLANK(C351),"",IF(C351=F351, "1 video",CONCATENATE((+COUNTIFS(Video_List!$C:$C,"&lt;=" &amp;Monitoring!J351)-COUNTIFS(Video_List!$C:$C,"&lt;=" &amp;Monitoring!I351))+1," videos")))</f>
        <v>1 video</v>
      </c>
      <c r="O351" s="27" t="s">
        <v>32</v>
      </c>
      <c r="P351" s="43" t="s">
        <v>37</v>
      </c>
      <c r="Q351" s="43" t="s">
        <v>38</v>
      </c>
      <c r="R351" s="43" t="s">
        <v>185</v>
      </c>
      <c r="S351" s="97" t="str">
        <f>+IFERROR(IF(T351="#N/C","#N/C",IF(U351=0,INDEX(Taxonomy_UniqueValues!D:D,MATCH(U351,Taxonomy_UniqueValues!F:F,0)),INDEX(Taxonomy_UniqueValues!D:D,MATCH(T351,Taxonomy_UniqueValues!E:E,0)))),"#N/C")</f>
        <v>Bibionomorpha</v>
      </c>
      <c r="T351" s="43" t="s">
        <v>186</v>
      </c>
      <c r="U351" s="43" t="s">
        <v>419</v>
      </c>
      <c r="V351" s="43" t="s">
        <v>35</v>
      </c>
      <c r="W351" s="43" t="s">
        <v>35</v>
      </c>
      <c r="X351" s="30" t="s">
        <v>35</v>
      </c>
      <c r="Y351" s="69" t="str" cm="1">
        <f t="array" ref="Y351">_xlfn.LET(_xlpm.cls,P351, _xlpm.ord,IFERROR(Q351,"#N/C"), _xlpm.subord,IFERROR(R351,"#N/C"), _xlpm.infr,IFERROR(S351,"#N/C"), _xlpm.sf,IFERROR(T351,"#N/C"), _xlpm.fam,IFERROR(U351,"#N/C"), _xlpm.subfam,IF(TRIM(V351)="-","#N/C",IFERROR(V351,"#N/C")),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_xlpm.fallback,IF(IFERROR(Q351,"#N/C")="#N/C",P351,IF(IFERROR(R351,"#N/C")="#N/C",Q351,IF(IFERROR(S351,"#N/C")="#N/C",R351,IF(IFERROR(T351,"#N/C")="#N/C",S351,IF(IFERROR(U351,"#N/C")="#N/C",T351,IF(IFERROR(V351,"#N/C")="#N/C",U351,"#N/C")))))), _xlpm.finalResult,IF(OR(_xlpm.computedResult="",_xlpm.computedResult="#N/C"),_xlpm.fallback,_xlpm.computedResult), INDEX(_xlpm.finalResult,1))</f>
        <v>Sciaroidea</v>
      </c>
      <c r="Z351" s="116" t="str" cm="1">
        <f t="array" ref="Z351">IF(OR(Y351="Insecta",Y351="Arachnida",Y351="#N/C"),"",IFERROR(_xlfn.LET(_xlpm.fc,IFERROR(_xlfn._xlws.FILTER(ClassificationClasses[],ClassificationClasses[Classification Class]=Y351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351,ClassificationClasses[Key])),0),MATCH(Y351,INDEX(ClassificationClasses[],MATCH(TRUE,ISNUMBER(SEARCH(Y351,ClassificationClasses[Key])),0),0),0)-1)))</f>
        <v>Bibionomorpha</v>
      </c>
      <c r="AA351" s="116" t="str" cm="1">
        <f t="array" ref="AA351">IFERROR(IF(OR(Z351="Insecta",Z351="Arachnida",Z351="#N/C"),"",INDEX(ClassificationClasses[[Class]:[Infraorder]],MATCH(TRUE,ISNUMBER(SEARCH(Z351,ClassificationClasses[Key])),0),MATCH(Z351,INDEX(ClassificationClasses[#Data], MATCH(TRUE,ISNUMBER(SEARCH(Z351,ClassificationClasses[Key])),0), 0), 0)-1)),"")</f>
        <v>Nematocera</v>
      </c>
      <c r="AB351" s="116" t="str" cm="1">
        <f t="array" ref="AB351">IFERROR(IF(OR(AA351="Insecta",AA351="Arachnida",AA351="#N/C"),"",INDEX(ClassificationClasses[[Class]:[Suborder]],MATCH(TRUE,ISNUMBER(SEARCH(AA351,ClassificationClasses[Key])),0),MATCH(AA351,INDEX(ClassificationClasses[#Data], MATCH(TRUE,ISNUMBER(SEARCH(AA351,ClassificationClasses[Key])),0), 0), 0)-1)),"")</f>
        <v>Diptera</v>
      </c>
      <c r="AC351" s="116" t="str" cm="1">
        <f t="array" ref="AC351">IFERROR(IF(OR(AB351="Insecta",AB351="Arachnida",AB351="#N/C"),"",INDEX(ClassificationClasses[[Class]:[Suborder]],MATCH(TRUE,ISNUMBER(SEARCH(AB351,ClassificationClasses[Key])),0),MATCH(AB351,INDEX(ClassificationClasses[#Data], MATCH(TRUE,ISNUMBER(SEARCH(AB351,ClassificationClasses[Key])),0), 0), 0)-1)),"")</f>
        <v>Insecta</v>
      </c>
      <c r="AD351" s="116" t="str" cm="1">
        <f t="array" ref="AD351">IFERROR(IF(OR(AC351="Insecta",AC351="Arachnida",AC351="#N/C"),"",INDEX(ClassificationClasses[[Class]:[Suborder]],MATCH(TRUE,ISNUMBER(SEARCH(AC351,ClassificationClasses[Key])),0),MATCH(AC351,INDEX(ClassificationClasses[#Data], MATCH(TRUE,ISNUMBER(SEARCH(AC351,ClassificationClasses[Key])),0), 0), 0)-1)),"")</f>
        <v/>
      </c>
      <c r="AE351" s="18" t="str">
        <f t="shared" si="12"/>
        <v>Insecta.Diptera.Nematocera.Bibionomorpha.Sciaroidea.Mycetophilidae.#N/C.#N/C.#N/C</v>
      </c>
    </row>
    <row r="352" spans="1:31" x14ac:dyDescent="0.3">
      <c r="A352" s="91">
        <v>351</v>
      </c>
      <c r="B352" s="101">
        <v>44418</v>
      </c>
      <c r="C352" s="92" t="s">
        <v>602</v>
      </c>
      <c r="D352" s="93" t="str">
        <f>HYPERLINK(VLOOKUP(C352,Video_List!$F:$J,5),"video")</f>
        <v>video</v>
      </c>
      <c r="E352" s="94" t="str">
        <f>IFERROR(IF(MATCH(C352,Video_List!$F:$F,)&gt;0,"ok",""),"error")</f>
        <v>ok</v>
      </c>
      <c r="F352" s="92" t="s">
        <v>603</v>
      </c>
      <c r="G352" s="93" t="str">
        <f>HYPERLINK(VLOOKUP(F352,Video_List!$F:$J,5),"video")</f>
        <v>video</v>
      </c>
      <c r="H352" s="94" t="str">
        <f>IFERROR(IF(MATCH(F352,Video_List!$F:$F,)&gt;0,"ok",""),"error")</f>
        <v>ok</v>
      </c>
      <c r="I352" s="17">
        <v>44418.746087962965</v>
      </c>
      <c r="J352" s="8">
        <v>44418.746967592589</v>
      </c>
      <c r="K352" s="15">
        <f t="shared" si="11"/>
        <v>8.7962962425081059E-4</v>
      </c>
      <c r="L352" s="95" t="s">
        <v>32</v>
      </c>
      <c r="M352" s="95" t="s">
        <v>33</v>
      </c>
      <c r="N352" s="96" t="str">
        <f>IF(ISBLANK(C352),"",IF(C352=F352, "1 video",CONCATENATE((+COUNTIFS(Video_List!$C:$C,"&lt;=" &amp;Monitoring!J352)-COUNTIFS(Video_List!$C:$C,"&lt;=" &amp;Monitoring!I352))+1," videos")))</f>
        <v>2 videos</v>
      </c>
      <c r="O352" s="29" t="s">
        <v>44</v>
      </c>
      <c r="P352" s="43" t="s">
        <v>37</v>
      </c>
      <c r="Q352" s="43" t="s">
        <v>38</v>
      </c>
      <c r="R352" s="43" t="s">
        <v>39</v>
      </c>
      <c r="S352" s="97" t="str">
        <f>+IFERROR(IF(T352="#N/C","#N/C",IF(U352=0,INDEX(Taxonomy_UniqueValues!D:D,MATCH(U352,Taxonomy_UniqueValues!F:F,0)),INDEX(Taxonomy_UniqueValues!D:D,MATCH(T352,Taxonomy_UniqueValues!E:E,0)))),"#N/C")</f>
        <v>Asilomorpha</v>
      </c>
      <c r="T352" s="43" t="s">
        <v>149</v>
      </c>
      <c r="U352" s="43" t="s">
        <v>150</v>
      </c>
      <c r="V352" s="43" t="s">
        <v>151</v>
      </c>
      <c r="W352" s="43" t="s">
        <v>34</v>
      </c>
      <c r="X352" s="30" t="s">
        <v>35</v>
      </c>
      <c r="Y352" s="69" t="str" cm="1">
        <f t="array" ref="Y352">_xlfn.LET(_xlpm.cls,P352, _xlpm.ord,IFERROR(Q352,"#N/C"), _xlpm.subord,IFERROR(R352,"#N/C"), _xlpm.infr,IFERROR(S352,"#N/C"), _xlpm.sf,IFERROR(T352,"#N/C"), _xlpm.fam,IFERROR(U352,"#N/C"), _xlpm.subfam,IF(TRIM(V352)="-","#N/C",IFERROR(V352,"#N/C")),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_xlpm.fallback,IF(IFERROR(Q352,"#N/C")="#N/C",P352,IF(IFERROR(R352,"#N/C")="#N/C",Q352,IF(IFERROR(S352,"#N/C")="#N/C",R352,IF(IFERROR(T352,"#N/C")="#N/C",S352,IF(IFERROR(U352,"#N/C")="#N/C",T352,IF(IFERROR(V352,"#N/C")="#N/C",U352,"#N/C")))))), _xlpm.finalResult,IF(OR(_xlpm.computedResult="",_xlpm.computedResult="#N/C"),_xlpm.fallback,_xlpm.computedResult), INDEX(_xlpm.finalResult,1))</f>
        <v>robber_fly</v>
      </c>
      <c r="Z352" s="116" t="str" cm="1">
        <f t="array" ref="Z352">IF(OR(Y352="Insecta",Y352="Arachnida",Y352="#N/C"),"",IFERROR(_xlfn.LET(_xlpm.fc,IFERROR(_xlfn._xlws.FILTER(ClassificationClasses[],ClassificationClasses[Classification Class]=Y352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352,ClassificationClasses[Key])),0),MATCH(Y352,INDEX(ClassificationClasses[],MATCH(TRUE,ISNUMBER(SEARCH(Y352,ClassificationClasses[Key])),0),0),0)-1)))</f>
        <v>Asilomorpha</v>
      </c>
      <c r="AA352" s="116" t="str" cm="1">
        <f t="array" ref="AA352">IFERROR(IF(OR(Z352="Insecta",Z352="Arachnida",Z352="#N/C"),"",INDEX(ClassificationClasses[[Class]:[Infraorder]],MATCH(TRUE,ISNUMBER(SEARCH(Z352,ClassificationClasses[Key])),0),MATCH(Z352,INDEX(ClassificationClasses[#Data], MATCH(TRUE,ISNUMBER(SEARCH(Z352,ClassificationClasses[Key])),0), 0), 0)-1)),"")</f>
        <v>Brachycera</v>
      </c>
      <c r="AB352" s="116" t="str" cm="1">
        <f t="array" ref="AB352">IFERROR(IF(OR(AA352="Insecta",AA352="Arachnida",AA352="#N/C"),"",INDEX(ClassificationClasses[[Class]:[Suborder]],MATCH(TRUE,ISNUMBER(SEARCH(AA352,ClassificationClasses[Key])),0),MATCH(AA352,INDEX(ClassificationClasses[#Data], MATCH(TRUE,ISNUMBER(SEARCH(AA352,ClassificationClasses[Key])),0), 0), 0)-1)),"")</f>
        <v>Diptera</v>
      </c>
      <c r="AC352" s="116" t="str" cm="1">
        <f t="array" ref="AC352">IFERROR(IF(OR(AB352="Insecta",AB352="Arachnida",AB352="#N/C"),"",INDEX(ClassificationClasses[[Class]:[Suborder]],MATCH(TRUE,ISNUMBER(SEARCH(AB352,ClassificationClasses[Key])),0),MATCH(AB352,INDEX(ClassificationClasses[#Data], MATCH(TRUE,ISNUMBER(SEARCH(AB352,ClassificationClasses[Key])),0), 0), 0)-1)),"")</f>
        <v>Insecta</v>
      </c>
      <c r="AD352" s="116" t="str" cm="1">
        <f t="array" ref="AD352">IFERROR(IF(OR(AC352="Insecta",AC352="Arachnida",AC352="#N/C"),"",INDEX(ClassificationClasses[[Class]:[Suborder]],MATCH(TRUE,ISNUMBER(SEARCH(AC352,ClassificationClasses[Key])),0),MATCH(AC352,INDEX(ClassificationClasses[#Data], MATCH(TRUE,ISNUMBER(SEARCH(AC352,ClassificationClasses[Key])),0), 0), 0)-1)),"")</f>
        <v/>
      </c>
      <c r="AE352" s="18" t="str">
        <f t="shared" si="12"/>
        <v>Insecta.Diptera.Brachycera.Asilomorpha.Asiloidea.Asilidae.Asilinae.Tolmerus.#N/C</v>
      </c>
    </row>
    <row r="353" spans="1:31" x14ac:dyDescent="0.3">
      <c r="A353" s="91">
        <v>352</v>
      </c>
      <c r="B353" s="101">
        <v>44418</v>
      </c>
      <c r="C353" s="92" t="s">
        <v>604</v>
      </c>
      <c r="D353" s="93" t="str">
        <f>HYPERLINK(VLOOKUP(C353,Video_List!$F:$J,5),"video")</f>
        <v>video</v>
      </c>
      <c r="E353" s="94" t="str">
        <f>IFERROR(IF(MATCH(C353,Video_List!$F:$F,)&gt;0,"ok",""),"error")</f>
        <v>ok</v>
      </c>
      <c r="F353" s="92" t="s">
        <v>604</v>
      </c>
      <c r="G353" s="93" t="str">
        <f>HYPERLINK(VLOOKUP(F353,Video_List!$F:$J,5),"video")</f>
        <v>video</v>
      </c>
      <c r="H353" s="94" t="str">
        <f>IFERROR(IF(MATCH(F353,Video_List!$F:$F,)&gt;0,"ok",""),"error")</f>
        <v>ok</v>
      </c>
      <c r="I353" s="17">
        <v>44418.758564814816</v>
      </c>
      <c r="J353" s="8">
        <v>44418.758611111109</v>
      </c>
      <c r="K353" s="15">
        <f t="shared" si="11"/>
        <v>4.6296292566694319E-5</v>
      </c>
      <c r="L353" s="95" t="s">
        <v>32</v>
      </c>
      <c r="M353" s="95" t="s">
        <v>33</v>
      </c>
      <c r="N353" s="96" t="str">
        <f>IF(ISBLANK(C353),"",IF(C353=F353, "1 video",CONCATENATE((+COUNTIFS(Video_List!$C:$C,"&lt;=" &amp;Monitoring!J353)-COUNTIFS(Video_List!$C:$C,"&lt;=" &amp;Monitoring!I353))+1," videos")))</f>
        <v>1 video</v>
      </c>
      <c r="O353" s="29" t="s">
        <v>44</v>
      </c>
      <c r="P353" s="43" t="s">
        <v>37</v>
      </c>
      <c r="Q353" s="43" t="s">
        <v>38</v>
      </c>
      <c r="R353" s="43" t="s">
        <v>39</v>
      </c>
      <c r="S353" s="97" t="str">
        <f>+IFERROR(IF(T353="#N/C","#N/C",IF(U353=0,INDEX(Taxonomy_UniqueValues!D:D,MATCH(U353,Taxonomy_UniqueValues!F:F,0)),INDEX(Taxonomy_UniqueValues!D:D,MATCH(T353,Taxonomy_UniqueValues!E:E,0)))),"#N/C")</f>
        <v>#N/C</v>
      </c>
      <c r="T353" s="43" t="s">
        <v>35</v>
      </c>
      <c r="U353" s="43" t="s">
        <v>35</v>
      </c>
      <c r="V353" s="43" t="s">
        <v>35</v>
      </c>
      <c r="W353" s="43" t="s">
        <v>35</v>
      </c>
      <c r="X353" s="30" t="s">
        <v>35</v>
      </c>
      <c r="Y353" s="69" t="str" cm="1">
        <f t="array" ref="Y353">_xlfn.LET(_xlpm.cls,P353, _xlpm.ord,IFERROR(Q353,"#N/C"), _xlpm.subord,IFERROR(R353,"#N/C"), _xlpm.infr,IFERROR(S353,"#N/C"), _xlpm.sf,IFERROR(T353,"#N/C"), _xlpm.fam,IFERROR(U353,"#N/C"), _xlpm.subfam,IF(TRIM(V353)="-","#N/C",IFERROR(V353,"#N/C")),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_xlpm.fallback,IF(IFERROR(Q353,"#N/C")="#N/C",P353,IF(IFERROR(R353,"#N/C")="#N/C",Q353,IF(IFERROR(S353,"#N/C")="#N/C",R353,IF(IFERROR(T353,"#N/C")="#N/C",S353,IF(IFERROR(U353,"#N/C")="#N/C",T353,IF(IFERROR(V353,"#N/C")="#N/C",U353,"#N/C")))))), _xlpm.finalResult,IF(OR(_xlpm.computedResult="",_xlpm.computedResult="#N/C"),_xlpm.fallback,_xlpm.computedResult), INDEX(_xlpm.finalResult,1))</f>
        <v>Brachycera</v>
      </c>
      <c r="Z353" s="116" t="str" cm="1">
        <f t="array" ref="Z353">IF(OR(Y353="Insecta",Y353="Arachnida",Y353="#N/C"),"",IFERROR(_xlfn.LET(_xlpm.fc,IFERROR(_xlfn._xlws.FILTER(ClassificationClasses[],ClassificationClasses[Classification Class]=Y353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353,ClassificationClasses[Key])),0),MATCH(Y353,INDEX(ClassificationClasses[],MATCH(TRUE,ISNUMBER(SEARCH(Y353,ClassificationClasses[Key])),0),0),0)-1)))</f>
        <v>Diptera</v>
      </c>
      <c r="AA353" s="116" t="str" cm="1">
        <f t="array" ref="AA353">IFERROR(IF(OR(Z353="Insecta",Z353="Arachnida",Z353="#N/C"),"",INDEX(ClassificationClasses[[Class]:[Infraorder]],MATCH(TRUE,ISNUMBER(SEARCH(Z353,ClassificationClasses[Key])),0),MATCH(Z353,INDEX(ClassificationClasses[#Data], MATCH(TRUE,ISNUMBER(SEARCH(Z353,ClassificationClasses[Key])),0), 0), 0)-1)),"")</f>
        <v>Insecta</v>
      </c>
      <c r="AB353" s="116" t="str" cm="1">
        <f t="array" ref="AB353">IFERROR(IF(OR(AA353="Insecta",AA353="Arachnida",AA353="#N/C"),"",INDEX(ClassificationClasses[[Class]:[Suborder]],MATCH(TRUE,ISNUMBER(SEARCH(AA353,ClassificationClasses[Key])),0),MATCH(AA353,INDEX(ClassificationClasses[#Data], MATCH(TRUE,ISNUMBER(SEARCH(AA353,ClassificationClasses[Key])),0), 0), 0)-1)),"")</f>
        <v/>
      </c>
      <c r="AC353" s="116" t="str" cm="1">
        <f t="array" ref="AC353">IFERROR(IF(OR(AB353="Insecta",AB353="Arachnida",AB353="#N/C"),"",INDEX(ClassificationClasses[[Class]:[Suborder]],MATCH(TRUE,ISNUMBER(SEARCH(AB353,ClassificationClasses[Key])),0),MATCH(AB353,INDEX(ClassificationClasses[#Data], MATCH(TRUE,ISNUMBER(SEARCH(AB353,ClassificationClasses[Key])),0), 0), 0)-1)),"")</f>
        <v/>
      </c>
      <c r="AD353" s="116" t="str" cm="1">
        <f t="array" ref="AD353">IFERROR(IF(OR(AC353="Insecta",AC353="Arachnida",AC353="#N/C"),"",INDEX(ClassificationClasses[[Class]:[Suborder]],MATCH(TRUE,ISNUMBER(SEARCH(AC353,ClassificationClasses[Key])),0),MATCH(AC353,INDEX(ClassificationClasses[#Data], MATCH(TRUE,ISNUMBER(SEARCH(AC353,ClassificationClasses[Key])),0), 0), 0)-1)),"")</f>
        <v/>
      </c>
      <c r="AE353" s="18" t="str">
        <f t="shared" si="12"/>
        <v>Insecta.Diptera.Brachycera.#N/C.#N/C.#N/C.#N/C.#N/C.#N/C</v>
      </c>
    </row>
    <row r="354" spans="1:31" x14ac:dyDescent="0.3">
      <c r="A354" s="91">
        <v>353</v>
      </c>
      <c r="B354" s="101">
        <v>44418</v>
      </c>
      <c r="C354" s="92" t="s">
        <v>605</v>
      </c>
      <c r="D354" s="93" t="str">
        <f>HYPERLINK(VLOOKUP(C354,Video_List!$F:$J,5),"video")</f>
        <v>video</v>
      </c>
      <c r="E354" s="94" t="str">
        <f>IFERROR(IF(MATCH(C354,Video_List!$F:$F,)&gt;0,"ok",""),"error")</f>
        <v>ok</v>
      </c>
      <c r="F354" s="92" t="s">
        <v>605</v>
      </c>
      <c r="G354" s="93" t="str">
        <f>HYPERLINK(VLOOKUP(F354,Video_List!$F:$J,5),"video")</f>
        <v>video</v>
      </c>
      <c r="H354" s="94" t="str">
        <f>IFERROR(IF(MATCH(F354,Video_List!$F:$F,)&gt;0,"ok",""),"error")</f>
        <v>ok</v>
      </c>
      <c r="I354" s="17">
        <v>44418.759629629632</v>
      </c>
      <c r="J354" s="8">
        <v>44418.759687500002</v>
      </c>
      <c r="K354" s="15">
        <f t="shared" si="11"/>
        <v>5.7870369346346706E-5</v>
      </c>
      <c r="L354" s="95" t="s">
        <v>32</v>
      </c>
      <c r="M354" s="95" t="s">
        <v>33</v>
      </c>
      <c r="N354" s="96" t="str">
        <f>IF(ISBLANK(C354),"",IF(C354=F354, "1 video",CONCATENATE((+COUNTIFS(Video_List!$C:$C,"&lt;=" &amp;Monitoring!J354)-COUNTIFS(Video_List!$C:$C,"&lt;=" &amp;Monitoring!I354))+1," videos")))</f>
        <v>1 video</v>
      </c>
      <c r="O354" s="29" t="s">
        <v>44</v>
      </c>
      <c r="P354" s="43" t="s">
        <v>37</v>
      </c>
      <c r="Q354" s="43" t="s">
        <v>38</v>
      </c>
      <c r="R354" s="43" t="s">
        <v>39</v>
      </c>
      <c r="S354" s="97" t="str">
        <f>+IFERROR(IF(T354="#N/C","#N/C",IF(U354=0,INDEX(Taxonomy_UniqueValues!D:D,MATCH(U354,Taxonomy_UniqueValues!F:F,0)),INDEX(Taxonomy_UniqueValues!D:D,MATCH(T354,Taxonomy_UniqueValues!E:E,0)))),"#N/C")</f>
        <v>#N/C</v>
      </c>
      <c r="T354" s="43" t="s">
        <v>35</v>
      </c>
      <c r="U354" s="43" t="s">
        <v>35</v>
      </c>
      <c r="V354" s="43" t="s">
        <v>35</v>
      </c>
      <c r="W354" s="43" t="s">
        <v>35</v>
      </c>
      <c r="X354" s="30" t="s">
        <v>35</v>
      </c>
      <c r="Y354" s="69" t="str" cm="1">
        <f t="array" ref="Y354">_xlfn.LET(_xlpm.cls,P354, _xlpm.ord,IFERROR(Q354,"#N/C"), _xlpm.subord,IFERROR(R354,"#N/C"), _xlpm.infr,IFERROR(S354,"#N/C"), _xlpm.sf,IFERROR(T354,"#N/C"), _xlpm.fam,IFERROR(U354,"#N/C"), _xlpm.subfam,IF(TRIM(V354)="-","#N/C",IFERROR(V354,"#N/C")),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_xlpm.fallback,IF(IFERROR(Q354,"#N/C")="#N/C",P354,IF(IFERROR(R354,"#N/C")="#N/C",Q354,IF(IFERROR(S354,"#N/C")="#N/C",R354,IF(IFERROR(T354,"#N/C")="#N/C",S354,IF(IFERROR(U354,"#N/C")="#N/C",T354,IF(IFERROR(V354,"#N/C")="#N/C",U354,"#N/C")))))), _xlpm.finalResult,IF(OR(_xlpm.computedResult="",_xlpm.computedResult="#N/C"),_xlpm.fallback,_xlpm.computedResult), INDEX(_xlpm.finalResult,1))</f>
        <v>Brachycera</v>
      </c>
      <c r="Z354" s="116" t="str" cm="1">
        <f t="array" ref="Z354">IF(OR(Y354="Insecta",Y354="Arachnida",Y354="#N/C"),"",IFERROR(_xlfn.LET(_xlpm.fc,IFERROR(_xlfn._xlws.FILTER(ClassificationClasses[],ClassificationClasses[Classification Class]=Y354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354,ClassificationClasses[Key])),0),MATCH(Y354,INDEX(ClassificationClasses[],MATCH(TRUE,ISNUMBER(SEARCH(Y354,ClassificationClasses[Key])),0),0),0)-1)))</f>
        <v>Diptera</v>
      </c>
      <c r="AA354" s="116" t="str" cm="1">
        <f t="array" ref="AA354">IFERROR(IF(OR(Z354="Insecta",Z354="Arachnida",Z354="#N/C"),"",INDEX(ClassificationClasses[[Class]:[Infraorder]],MATCH(TRUE,ISNUMBER(SEARCH(Z354,ClassificationClasses[Key])),0),MATCH(Z354,INDEX(ClassificationClasses[#Data], MATCH(TRUE,ISNUMBER(SEARCH(Z354,ClassificationClasses[Key])),0), 0), 0)-1)),"")</f>
        <v>Insecta</v>
      </c>
      <c r="AB354" s="116" t="str" cm="1">
        <f t="array" ref="AB354">IFERROR(IF(OR(AA354="Insecta",AA354="Arachnida",AA354="#N/C"),"",INDEX(ClassificationClasses[[Class]:[Suborder]],MATCH(TRUE,ISNUMBER(SEARCH(AA354,ClassificationClasses[Key])),0),MATCH(AA354,INDEX(ClassificationClasses[#Data], MATCH(TRUE,ISNUMBER(SEARCH(AA354,ClassificationClasses[Key])),0), 0), 0)-1)),"")</f>
        <v/>
      </c>
      <c r="AC354" s="116" t="str" cm="1">
        <f t="array" ref="AC354">IFERROR(IF(OR(AB354="Insecta",AB354="Arachnida",AB354="#N/C"),"",INDEX(ClassificationClasses[[Class]:[Suborder]],MATCH(TRUE,ISNUMBER(SEARCH(AB354,ClassificationClasses[Key])),0),MATCH(AB354,INDEX(ClassificationClasses[#Data], MATCH(TRUE,ISNUMBER(SEARCH(AB354,ClassificationClasses[Key])),0), 0), 0)-1)),"")</f>
        <v/>
      </c>
      <c r="AD354" s="116" t="str" cm="1">
        <f t="array" ref="AD354">IFERROR(IF(OR(AC354="Insecta",AC354="Arachnida",AC354="#N/C"),"",INDEX(ClassificationClasses[[Class]:[Suborder]],MATCH(TRUE,ISNUMBER(SEARCH(AC354,ClassificationClasses[Key])),0),MATCH(AC354,INDEX(ClassificationClasses[#Data], MATCH(TRUE,ISNUMBER(SEARCH(AC354,ClassificationClasses[Key])),0), 0), 0)-1)),"")</f>
        <v/>
      </c>
      <c r="AE354" s="18" t="str">
        <f t="shared" si="12"/>
        <v>Insecta.Diptera.Brachycera.#N/C.#N/C.#N/C.#N/C.#N/C.#N/C</v>
      </c>
    </row>
    <row r="355" spans="1:31" x14ac:dyDescent="0.3">
      <c r="A355" s="91">
        <v>354</v>
      </c>
      <c r="B355" s="101">
        <v>44418</v>
      </c>
      <c r="C355" s="92" t="s">
        <v>606</v>
      </c>
      <c r="D355" s="93" t="str">
        <f>HYPERLINK(VLOOKUP(C355,Video_List!$F:$J,5),"video")</f>
        <v>video</v>
      </c>
      <c r="E355" s="94" t="str">
        <f>IFERROR(IF(MATCH(C355,Video_List!$F:$F,)&gt;0,"ok",""),"error")</f>
        <v>ok</v>
      </c>
      <c r="F355" s="92" t="s">
        <v>606</v>
      </c>
      <c r="G355" s="93" t="str">
        <f>HYPERLINK(VLOOKUP(F355,Video_List!$F:$J,5),"video")</f>
        <v>video</v>
      </c>
      <c r="H355" s="94" t="str">
        <f>IFERROR(IF(MATCH(F355,Video_List!$F:$F,)&gt;0,"ok",""),"error")</f>
        <v>ok</v>
      </c>
      <c r="I355" s="17">
        <v>44418.775763888887</v>
      </c>
      <c r="J355" s="8">
        <v>44418.775821759256</v>
      </c>
      <c r="K355" s="15">
        <f t="shared" si="11"/>
        <v>5.7870369346346706E-5</v>
      </c>
      <c r="L355" s="95" t="s">
        <v>32</v>
      </c>
      <c r="M355" s="95" t="s">
        <v>33</v>
      </c>
      <c r="N355" s="96" t="str">
        <f>IF(ISBLANK(C355),"",IF(C355=F355, "1 video",CONCATENATE((+COUNTIFS(Video_List!$C:$C,"&lt;=" &amp;Monitoring!J355)-COUNTIFS(Video_List!$C:$C,"&lt;=" &amp;Monitoring!I355))+1," videos")))</f>
        <v>1 video</v>
      </c>
      <c r="O355" s="29" t="s">
        <v>44</v>
      </c>
      <c r="P355" s="43" t="s">
        <v>37</v>
      </c>
      <c r="Q355" s="43" t="s">
        <v>38</v>
      </c>
      <c r="R355" s="43" t="s">
        <v>39</v>
      </c>
      <c r="S355" s="97" t="str">
        <f>+IFERROR(IF(T355="#N/C","#N/C",IF(U355=0,INDEX(Taxonomy_UniqueValues!D:D,MATCH(U355,Taxonomy_UniqueValues!F:F,0)),INDEX(Taxonomy_UniqueValues!D:D,MATCH(T355,Taxonomy_UniqueValues!E:E,0)))),"#N/C")</f>
        <v>#N/C</v>
      </c>
      <c r="T355" s="43" t="s">
        <v>35</v>
      </c>
      <c r="U355" s="43" t="s">
        <v>35</v>
      </c>
      <c r="V355" s="43" t="s">
        <v>35</v>
      </c>
      <c r="W355" s="43" t="s">
        <v>35</v>
      </c>
      <c r="X355" s="30" t="s">
        <v>35</v>
      </c>
      <c r="Y355" s="69" t="str" cm="1">
        <f t="array" ref="Y355">_xlfn.LET(_xlpm.cls,P355, _xlpm.ord,IFERROR(Q355,"#N/C"), _xlpm.subord,IFERROR(R355,"#N/C"), _xlpm.infr,IFERROR(S355,"#N/C"), _xlpm.sf,IFERROR(T355,"#N/C"), _xlpm.fam,IFERROR(U355,"#N/C"), _xlpm.subfam,IF(TRIM(V355)="-","#N/C",IFERROR(V355,"#N/C")),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_xlpm.fallback,IF(IFERROR(Q355,"#N/C")="#N/C",P355,IF(IFERROR(R355,"#N/C")="#N/C",Q355,IF(IFERROR(S355,"#N/C")="#N/C",R355,IF(IFERROR(T355,"#N/C")="#N/C",S355,IF(IFERROR(U355,"#N/C")="#N/C",T355,IF(IFERROR(V355,"#N/C")="#N/C",U355,"#N/C")))))), _xlpm.finalResult,IF(OR(_xlpm.computedResult="",_xlpm.computedResult="#N/C"),_xlpm.fallback,_xlpm.computedResult), INDEX(_xlpm.finalResult,1))</f>
        <v>Brachycera</v>
      </c>
      <c r="Z355" s="116" t="str" cm="1">
        <f t="array" ref="Z355">IF(OR(Y355="Insecta",Y355="Arachnida",Y355="#N/C"),"",IFERROR(_xlfn.LET(_xlpm.fc,IFERROR(_xlfn._xlws.FILTER(ClassificationClasses[],ClassificationClasses[Classification Class]=Y355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355,ClassificationClasses[Key])),0),MATCH(Y355,INDEX(ClassificationClasses[],MATCH(TRUE,ISNUMBER(SEARCH(Y355,ClassificationClasses[Key])),0),0),0)-1)))</f>
        <v>Diptera</v>
      </c>
      <c r="AA355" s="116" t="str" cm="1">
        <f t="array" ref="AA355">IFERROR(IF(OR(Z355="Insecta",Z355="Arachnida",Z355="#N/C"),"",INDEX(ClassificationClasses[[Class]:[Infraorder]],MATCH(TRUE,ISNUMBER(SEARCH(Z355,ClassificationClasses[Key])),0),MATCH(Z355,INDEX(ClassificationClasses[#Data], MATCH(TRUE,ISNUMBER(SEARCH(Z355,ClassificationClasses[Key])),0), 0), 0)-1)),"")</f>
        <v>Insecta</v>
      </c>
      <c r="AB355" s="116" t="str" cm="1">
        <f t="array" ref="AB355">IFERROR(IF(OR(AA355="Insecta",AA355="Arachnida",AA355="#N/C"),"",INDEX(ClassificationClasses[[Class]:[Suborder]],MATCH(TRUE,ISNUMBER(SEARCH(AA355,ClassificationClasses[Key])),0),MATCH(AA355,INDEX(ClassificationClasses[#Data], MATCH(TRUE,ISNUMBER(SEARCH(AA355,ClassificationClasses[Key])),0), 0), 0)-1)),"")</f>
        <v/>
      </c>
      <c r="AC355" s="116" t="str" cm="1">
        <f t="array" ref="AC355">IFERROR(IF(OR(AB355="Insecta",AB355="Arachnida",AB355="#N/C"),"",INDEX(ClassificationClasses[[Class]:[Suborder]],MATCH(TRUE,ISNUMBER(SEARCH(AB355,ClassificationClasses[Key])),0),MATCH(AB355,INDEX(ClassificationClasses[#Data], MATCH(TRUE,ISNUMBER(SEARCH(AB355,ClassificationClasses[Key])),0), 0), 0)-1)),"")</f>
        <v/>
      </c>
      <c r="AD355" s="116" t="str" cm="1">
        <f t="array" ref="AD355">IFERROR(IF(OR(AC355="Insecta",AC355="Arachnida",AC355="#N/C"),"",INDEX(ClassificationClasses[[Class]:[Suborder]],MATCH(TRUE,ISNUMBER(SEARCH(AC355,ClassificationClasses[Key])),0),MATCH(AC355,INDEX(ClassificationClasses[#Data], MATCH(TRUE,ISNUMBER(SEARCH(AC355,ClassificationClasses[Key])),0), 0), 0)-1)),"")</f>
        <v/>
      </c>
      <c r="AE355" s="18" t="str">
        <f t="shared" si="12"/>
        <v>Insecta.Diptera.Brachycera.#N/C.#N/C.#N/C.#N/C.#N/C.#N/C</v>
      </c>
    </row>
    <row r="356" spans="1:31" x14ac:dyDescent="0.3">
      <c r="A356" s="91">
        <v>355</v>
      </c>
      <c r="B356" s="101">
        <v>44418</v>
      </c>
      <c r="C356" s="92" t="s">
        <v>607</v>
      </c>
      <c r="D356" s="93" t="str">
        <f>HYPERLINK(VLOOKUP(C356,Video_List!$F:$J,5),"video")</f>
        <v>video</v>
      </c>
      <c r="E356" s="94" t="str">
        <f>IFERROR(IF(MATCH(C356,Video_List!$F:$F,)&gt;0,"ok",""),"error")</f>
        <v>ok</v>
      </c>
      <c r="F356" s="92" t="s">
        <v>607</v>
      </c>
      <c r="G356" s="93" t="str">
        <f>HYPERLINK(VLOOKUP(F356,Video_List!$F:$J,5),"video")</f>
        <v>video</v>
      </c>
      <c r="H356" s="94" t="str">
        <f>IFERROR(IF(MATCH(F356,Video_List!$F:$F,)&gt;0,"ok",""),"error")</f>
        <v>ok</v>
      </c>
      <c r="I356" s="17">
        <v>44418.790277777778</v>
      </c>
      <c r="J356" s="8">
        <v>44418.790370370371</v>
      </c>
      <c r="K356" s="15">
        <f t="shared" si="11"/>
        <v>9.2592592409346253E-5</v>
      </c>
      <c r="L356" s="4" t="s">
        <v>44</v>
      </c>
      <c r="M356" s="4" t="s">
        <v>33</v>
      </c>
      <c r="N356" s="96" t="str">
        <f>IF(ISBLANK(C356),"",IF(C356=F356, "1 video",CONCATENATE((+COUNTIFS(Video_List!$C:$C,"&lt;=" &amp;Monitoring!J356)-COUNTIFS(Video_List!$C:$C,"&lt;=" &amp;Monitoring!I356))+1," videos")))</f>
        <v>1 video</v>
      </c>
      <c r="O356" s="29" t="s">
        <v>44</v>
      </c>
      <c r="P356" s="43" t="s">
        <v>37</v>
      </c>
      <c r="Q356" s="43" t="s">
        <v>38</v>
      </c>
      <c r="R356" s="43" t="s">
        <v>185</v>
      </c>
      <c r="S356" s="97" t="str">
        <f>+IFERROR(IF(T356="#N/C","#N/C",IF(U356=0,INDEX(Taxonomy_UniqueValues!D:D,MATCH(U356,Taxonomy_UniqueValues!F:F,0)),INDEX(Taxonomy_UniqueValues!D:D,MATCH(T356,Taxonomy_UniqueValues!E:E,0)))),"#N/C")</f>
        <v>Bibionomorpha</v>
      </c>
      <c r="T356" s="43" t="s">
        <v>186</v>
      </c>
      <c r="U356" s="43" t="s">
        <v>419</v>
      </c>
      <c r="V356" s="43" t="s">
        <v>35</v>
      </c>
      <c r="W356" s="43" t="s">
        <v>35</v>
      </c>
      <c r="X356" s="30" t="s">
        <v>35</v>
      </c>
      <c r="Y356" s="69" t="str" cm="1">
        <f t="array" ref="Y356">_xlfn.LET(_xlpm.cls,P356, _xlpm.ord,IFERROR(Q356,"#N/C"), _xlpm.subord,IFERROR(R356,"#N/C"), _xlpm.infr,IFERROR(S356,"#N/C"), _xlpm.sf,IFERROR(T356,"#N/C"), _xlpm.fam,IFERROR(U356,"#N/C"), _xlpm.subfam,IF(TRIM(V356)="-","#N/C",IFERROR(V356,"#N/C")),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_xlpm.fallback,IF(IFERROR(Q356,"#N/C")="#N/C",P356,IF(IFERROR(R356,"#N/C")="#N/C",Q356,IF(IFERROR(S356,"#N/C")="#N/C",R356,IF(IFERROR(T356,"#N/C")="#N/C",S356,IF(IFERROR(U356,"#N/C")="#N/C",T356,IF(IFERROR(V356,"#N/C")="#N/C",U356,"#N/C")))))), _xlpm.finalResult,IF(OR(_xlpm.computedResult="",_xlpm.computedResult="#N/C"),_xlpm.fallback,_xlpm.computedResult), INDEX(_xlpm.finalResult,1))</f>
        <v>Sciaroidea</v>
      </c>
      <c r="Z356" s="116" t="str" cm="1">
        <f t="array" ref="Z356">IF(OR(Y356="Insecta",Y356="Arachnida",Y356="#N/C"),"",IFERROR(_xlfn.LET(_xlpm.fc,IFERROR(_xlfn._xlws.FILTER(ClassificationClasses[],ClassificationClasses[Classification Class]=Y356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356,ClassificationClasses[Key])),0),MATCH(Y356,INDEX(ClassificationClasses[],MATCH(TRUE,ISNUMBER(SEARCH(Y356,ClassificationClasses[Key])),0),0),0)-1)))</f>
        <v>Bibionomorpha</v>
      </c>
      <c r="AA356" s="116" t="str" cm="1">
        <f t="array" ref="AA356">IFERROR(IF(OR(Z356="Insecta",Z356="Arachnida",Z356="#N/C"),"",INDEX(ClassificationClasses[[Class]:[Infraorder]],MATCH(TRUE,ISNUMBER(SEARCH(Z356,ClassificationClasses[Key])),0),MATCH(Z356,INDEX(ClassificationClasses[#Data], MATCH(TRUE,ISNUMBER(SEARCH(Z356,ClassificationClasses[Key])),0), 0), 0)-1)),"")</f>
        <v>Nematocera</v>
      </c>
      <c r="AB356" s="116" t="str" cm="1">
        <f t="array" ref="AB356">IFERROR(IF(OR(AA356="Insecta",AA356="Arachnida",AA356="#N/C"),"",INDEX(ClassificationClasses[[Class]:[Suborder]],MATCH(TRUE,ISNUMBER(SEARCH(AA356,ClassificationClasses[Key])),0),MATCH(AA356,INDEX(ClassificationClasses[#Data], MATCH(TRUE,ISNUMBER(SEARCH(AA356,ClassificationClasses[Key])),0), 0), 0)-1)),"")</f>
        <v>Diptera</v>
      </c>
      <c r="AC356" s="116" t="str" cm="1">
        <f t="array" ref="AC356">IFERROR(IF(OR(AB356="Insecta",AB356="Arachnida",AB356="#N/C"),"",INDEX(ClassificationClasses[[Class]:[Suborder]],MATCH(TRUE,ISNUMBER(SEARCH(AB356,ClassificationClasses[Key])),0),MATCH(AB356,INDEX(ClassificationClasses[#Data], MATCH(TRUE,ISNUMBER(SEARCH(AB356,ClassificationClasses[Key])),0), 0), 0)-1)),"")</f>
        <v>Insecta</v>
      </c>
      <c r="AD356" s="116" t="str" cm="1">
        <f t="array" ref="AD356">IFERROR(IF(OR(AC356="Insecta",AC356="Arachnida",AC356="#N/C"),"",INDEX(ClassificationClasses[[Class]:[Suborder]],MATCH(TRUE,ISNUMBER(SEARCH(AC356,ClassificationClasses[Key])),0),MATCH(AC356,INDEX(ClassificationClasses[#Data], MATCH(TRUE,ISNUMBER(SEARCH(AC356,ClassificationClasses[Key])),0), 0), 0)-1)),"")</f>
        <v/>
      </c>
      <c r="AE356" s="18" t="str">
        <f t="shared" si="12"/>
        <v>Insecta.Diptera.Nematocera.Bibionomorpha.Sciaroidea.Mycetophilidae.#N/C.#N/C.#N/C</v>
      </c>
    </row>
    <row r="357" spans="1:31" x14ac:dyDescent="0.3">
      <c r="A357" s="91">
        <v>356</v>
      </c>
      <c r="B357" s="101">
        <v>44418</v>
      </c>
      <c r="C357" s="92" t="s">
        <v>608</v>
      </c>
      <c r="D357" s="93" t="str">
        <f>HYPERLINK(VLOOKUP(C357,Video_List!$F:$J,5),"video")</f>
        <v>video</v>
      </c>
      <c r="E357" s="94" t="str">
        <f>IFERROR(IF(MATCH(C357,Video_List!$F:$F,)&gt;0,"ok",""),"error")</f>
        <v>ok</v>
      </c>
      <c r="F357" s="92" t="s">
        <v>608</v>
      </c>
      <c r="G357" s="93" t="str">
        <f>HYPERLINK(VLOOKUP(F357,Video_List!$F:$J,5),"video")</f>
        <v>video</v>
      </c>
      <c r="H357" s="94" t="str">
        <f>IFERROR(IF(MATCH(F357,Video_List!$F:$F,)&gt;0,"ok",""),"error")</f>
        <v>ok</v>
      </c>
      <c r="I357" s="17">
        <v>44418.804895833331</v>
      </c>
      <c r="J357" s="8">
        <v>44418.8049537037</v>
      </c>
      <c r="K357" s="15">
        <f t="shared" si="11"/>
        <v>5.7870369346346706E-5</v>
      </c>
      <c r="L357" s="4" t="s">
        <v>32</v>
      </c>
      <c r="M357" s="4" t="s">
        <v>33</v>
      </c>
      <c r="N357" s="96" t="str">
        <f>IF(ISBLANK(C357),"",IF(C357=F357, "1 video",CONCATENATE((+COUNTIFS(Video_List!$C:$C,"&lt;=" &amp;Monitoring!J357)-COUNTIFS(Video_List!$C:$C,"&lt;=" &amp;Monitoring!I357))+1," videos")))</f>
        <v>1 video</v>
      </c>
      <c r="O357" s="27" t="s">
        <v>32</v>
      </c>
      <c r="P357" s="43" t="s">
        <v>37</v>
      </c>
      <c r="Q357" s="43" t="s">
        <v>56</v>
      </c>
      <c r="R357" s="43" t="s">
        <v>35</v>
      </c>
      <c r="S357" s="97" t="str">
        <f>+IFERROR(IF(T357="#N/C","#N/C",IF(U357=0,INDEX(Taxonomy_UniqueValues!D:D,MATCH(U357,Taxonomy_UniqueValues!F:F,0)),INDEX(Taxonomy_UniqueValues!D:D,MATCH(T357,Taxonomy_UniqueValues!E:E,0)))),"#N/C")</f>
        <v>#N/C</v>
      </c>
      <c r="T357" s="43" t="s">
        <v>35</v>
      </c>
      <c r="U357" s="43" t="s">
        <v>35</v>
      </c>
      <c r="V357" s="43" t="s">
        <v>35</v>
      </c>
      <c r="W357" s="43" t="s">
        <v>35</v>
      </c>
      <c r="X357" s="30" t="s">
        <v>35</v>
      </c>
      <c r="Y357" s="69" t="str" cm="1">
        <f t="array" ref="Y357">_xlfn.LET(_xlpm.cls,P357, _xlpm.ord,IFERROR(Q357,"#N/C"), _xlpm.subord,IFERROR(R357,"#N/C"), _xlpm.infr,IFERROR(S357,"#N/C"), _xlpm.sf,IFERROR(T357,"#N/C"), _xlpm.fam,IFERROR(U357,"#N/C"), _xlpm.subfam,IF(TRIM(V357)="-","#N/C",IFERROR(V357,"#N/C")),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_xlpm.fallback,IF(IFERROR(Q357,"#N/C")="#N/C",P357,IF(IFERROR(R357,"#N/C")="#N/C",Q357,IF(IFERROR(S357,"#N/C")="#N/C",R357,IF(IFERROR(T357,"#N/C")="#N/C",S357,IF(IFERROR(U357,"#N/C")="#N/C",T357,IF(IFERROR(V357,"#N/C")="#N/C",U357,"#N/C")))))), _xlpm.finalResult,IF(OR(_xlpm.computedResult="",_xlpm.computedResult="#N/C"),_xlpm.fallback,_xlpm.computedResult), INDEX(_xlpm.finalResult,1))</f>
        <v>Lepidoptera</v>
      </c>
      <c r="Z357" s="116" t="str" cm="1">
        <f t="array" ref="Z357">IF(OR(Y357="Insecta",Y357="Arachnida",Y357="#N/C"),"",IFERROR(_xlfn.LET(_xlpm.fc,IFERROR(_xlfn._xlws.FILTER(ClassificationClasses[],ClassificationClasses[Classification Class]=Y357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357,ClassificationClasses[Key])),0),MATCH(Y357,INDEX(ClassificationClasses[],MATCH(TRUE,ISNUMBER(SEARCH(Y357,ClassificationClasses[Key])),0),0),0)-1)))</f>
        <v>Insecta</v>
      </c>
      <c r="AA357" s="116" t="str" cm="1">
        <f t="array" ref="AA357">IFERROR(IF(OR(Z357="Insecta",Z357="Arachnida",Z357="#N/C"),"",INDEX(ClassificationClasses[[Class]:[Infraorder]],MATCH(TRUE,ISNUMBER(SEARCH(Z357,ClassificationClasses[Key])),0),MATCH(Z357,INDEX(ClassificationClasses[#Data], MATCH(TRUE,ISNUMBER(SEARCH(Z357,ClassificationClasses[Key])),0), 0), 0)-1)),"")</f>
        <v/>
      </c>
      <c r="AB357" s="116" t="str" cm="1">
        <f t="array" ref="AB357">IFERROR(IF(OR(AA357="Insecta",AA357="Arachnida",AA357="#N/C"),"",INDEX(ClassificationClasses[[Class]:[Suborder]],MATCH(TRUE,ISNUMBER(SEARCH(AA357,ClassificationClasses[Key])),0),MATCH(AA357,INDEX(ClassificationClasses[#Data], MATCH(TRUE,ISNUMBER(SEARCH(AA357,ClassificationClasses[Key])),0), 0), 0)-1)),"")</f>
        <v/>
      </c>
      <c r="AC357" s="116" t="str" cm="1">
        <f t="array" ref="AC357">IFERROR(IF(OR(AB357="Insecta",AB357="Arachnida",AB357="#N/C"),"",INDEX(ClassificationClasses[[Class]:[Suborder]],MATCH(TRUE,ISNUMBER(SEARCH(AB357,ClassificationClasses[Key])),0),MATCH(AB357,INDEX(ClassificationClasses[#Data], MATCH(TRUE,ISNUMBER(SEARCH(AB357,ClassificationClasses[Key])),0), 0), 0)-1)),"")</f>
        <v/>
      </c>
      <c r="AD357" s="116" t="str" cm="1">
        <f t="array" ref="AD357">IFERROR(IF(OR(AC357="Insecta",AC357="Arachnida",AC357="#N/C"),"",INDEX(ClassificationClasses[[Class]:[Suborder]],MATCH(TRUE,ISNUMBER(SEARCH(AC357,ClassificationClasses[Key])),0),MATCH(AC357,INDEX(ClassificationClasses[#Data], MATCH(TRUE,ISNUMBER(SEARCH(AC357,ClassificationClasses[Key])),0), 0), 0)-1)),"")</f>
        <v/>
      </c>
      <c r="AE357" s="18" t="str">
        <f t="shared" si="12"/>
        <v>Insecta.Lepidoptera.#N/C.#N/C.#N/C.#N/C.#N/C.#N/C.#N/C</v>
      </c>
    </row>
    <row r="358" spans="1:31" x14ac:dyDescent="0.3">
      <c r="A358" s="91">
        <v>357</v>
      </c>
      <c r="B358" s="101">
        <v>44418</v>
      </c>
      <c r="C358" s="92" t="s">
        <v>609</v>
      </c>
      <c r="D358" s="93" t="str">
        <f>HYPERLINK(VLOOKUP(C358,Video_List!$F:$J,5),"video")</f>
        <v>video</v>
      </c>
      <c r="E358" s="94" t="str">
        <f>IFERROR(IF(MATCH(C358,Video_List!$F:$F,)&gt;0,"ok",""),"error")</f>
        <v>ok</v>
      </c>
      <c r="F358" s="92" t="s">
        <v>609</v>
      </c>
      <c r="G358" s="93" t="str">
        <f>HYPERLINK(VLOOKUP(F358,Video_List!$F:$J,5),"video")</f>
        <v>video</v>
      </c>
      <c r="H358" s="94" t="str">
        <f>IFERROR(IF(MATCH(F358,Video_List!$F:$F,)&gt;0,"ok",""),"error")</f>
        <v>ok</v>
      </c>
      <c r="I358" s="17">
        <v>44418.816967592589</v>
      </c>
      <c r="J358" s="8">
        <v>44418.817083333335</v>
      </c>
      <c r="K358" s="15">
        <f t="shared" si="11"/>
        <v>1.1574074596865103E-4</v>
      </c>
      <c r="L358" s="4" t="s">
        <v>32</v>
      </c>
      <c r="M358" s="4" t="s">
        <v>33</v>
      </c>
      <c r="N358" s="96" t="str">
        <f>IF(ISBLANK(C358),"",IF(C358=F358, "1 video",CONCATENATE((+COUNTIFS(Video_List!$C:$C,"&lt;=" &amp;Monitoring!J358)-COUNTIFS(Video_List!$C:$C,"&lt;=" &amp;Monitoring!I358))+1," videos")))</f>
        <v>1 video</v>
      </c>
      <c r="O358" s="29" t="s">
        <v>44</v>
      </c>
      <c r="P358" s="43" t="s">
        <v>37</v>
      </c>
      <c r="Q358" s="43" t="s">
        <v>38</v>
      </c>
      <c r="R358" s="43" t="s">
        <v>39</v>
      </c>
      <c r="S358" s="97" t="str">
        <f>+IFERROR(IF(T358="#N/C","#N/C",IF(U358=0,INDEX(Taxonomy_UniqueValues!D:D,MATCH(U358,Taxonomy_UniqueValues!F:F,0)),INDEX(Taxonomy_UniqueValues!D:D,MATCH(T358,Taxonomy_UniqueValues!E:E,0)))),"#N/C")</f>
        <v>#N/C</v>
      </c>
      <c r="T358" s="43" t="s">
        <v>35</v>
      </c>
      <c r="U358" s="43" t="s">
        <v>35</v>
      </c>
      <c r="V358" s="43" t="s">
        <v>35</v>
      </c>
      <c r="W358" s="43" t="s">
        <v>35</v>
      </c>
      <c r="X358" s="30" t="s">
        <v>35</v>
      </c>
      <c r="Y358" s="69" t="str" cm="1">
        <f t="array" ref="Y358">_xlfn.LET(_xlpm.cls,P358, _xlpm.ord,IFERROR(Q358,"#N/C"), _xlpm.subord,IFERROR(R358,"#N/C"), _xlpm.infr,IFERROR(S358,"#N/C"), _xlpm.sf,IFERROR(T358,"#N/C"), _xlpm.fam,IFERROR(U358,"#N/C"), _xlpm.subfam,IF(TRIM(V358)="-","#N/C",IFERROR(V358,"#N/C")),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_xlpm.fallback,IF(IFERROR(Q358,"#N/C")="#N/C",P358,IF(IFERROR(R358,"#N/C")="#N/C",Q358,IF(IFERROR(S358,"#N/C")="#N/C",R358,IF(IFERROR(T358,"#N/C")="#N/C",S358,IF(IFERROR(U358,"#N/C")="#N/C",T358,IF(IFERROR(V358,"#N/C")="#N/C",U358,"#N/C")))))), _xlpm.finalResult,IF(OR(_xlpm.computedResult="",_xlpm.computedResult="#N/C"),_xlpm.fallback,_xlpm.computedResult), INDEX(_xlpm.finalResult,1))</f>
        <v>Brachycera</v>
      </c>
      <c r="Z358" s="116" t="str" cm="1">
        <f t="array" ref="Z358">IF(OR(Y358="Insecta",Y358="Arachnida",Y358="#N/C"),"",IFERROR(_xlfn.LET(_xlpm.fc,IFERROR(_xlfn._xlws.FILTER(ClassificationClasses[],ClassificationClasses[Classification Class]=Y358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358,ClassificationClasses[Key])),0),MATCH(Y358,INDEX(ClassificationClasses[],MATCH(TRUE,ISNUMBER(SEARCH(Y358,ClassificationClasses[Key])),0),0),0)-1)))</f>
        <v>Diptera</v>
      </c>
      <c r="AA358" s="116" t="str" cm="1">
        <f t="array" ref="AA358">IFERROR(IF(OR(Z358="Insecta",Z358="Arachnida",Z358="#N/C"),"",INDEX(ClassificationClasses[[Class]:[Infraorder]],MATCH(TRUE,ISNUMBER(SEARCH(Z358,ClassificationClasses[Key])),0),MATCH(Z358,INDEX(ClassificationClasses[#Data], MATCH(TRUE,ISNUMBER(SEARCH(Z358,ClassificationClasses[Key])),0), 0), 0)-1)),"")</f>
        <v>Insecta</v>
      </c>
      <c r="AB358" s="116" t="str" cm="1">
        <f t="array" ref="AB358">IFERROR(IF(OR(AA358="Insecta",AA358="Arachnida",AA358="#N/C"),"",INDEX(ClassificationClasses[[Class]:[Suborder]],MATCH(TRUE,ISNUMBER(SEARCH(AA358,ClassificationClasses[Key])),0),MATCH(AA358,INDEX(ClassificationClasses[#Data], MATCH(TRUE,ISNUMBER(SEARCH(AA358,ClassificationClasses[Key])),0), 0), 0)-1)),"")</f>
        <v/>
      </c>
      <c r="AC358" s="116" t="str" cm="1">
        <f t="array" ref="AC358">IFERROR(IF(OR(AB358="Insecta",AB358="Arachnida",AB358="#N/C"),"",INDEX(ClassificationClasses[[Class]:[Suborder]],MATCH(TRUE,ISNUMBER(SEARCH(AB358,ClassificationClasses[Key])),0),MATCH(AB358,INDEX(ClassificationClasses[#Data], MATCH(TRUE,ISNUMBER(SEARCH(AB358,ClassificationClasses[Key])),0), 0), 0)-1)),"")</f>
        <v/>
      </c>
      <c r="AD358" s="116" t="str" cm="1">
        <f t="array" ref="AD358">IFERROR(IF(OR(AC358="Insecta",AC358="Arachnida",AC358="#N/C"),"",INDEX(ClassificationClasses[[Class]:[Suborder]],MATCH(TRUE,ISNUMBER(SEARCH(AC358,ClassificationClasses[Key])),0),MATCH(AC358,INDEX(ClassificationClasses[#Data], MATCH(TRUE,ISNUMBER(SEARCH(AC358,ClassificationClasses[Key])),0), 0), 0)-1)),"")</f>
        <v/>
      </c>
      <c r="AE358" s="18" t="str">
        <f t="shared" si="12"/>
        <v>Insecta.Diptera.Brachycera.#N/C.#N/C.#N/C.#N/C.#N/C.#N/C</v>
      </c>
    </row>
    <row r="359" spans="1:31" x14ac:dyDescent="0.3">
      <c r="A359" s="91">
        <v>358</v>
      </c>
      <c r="B359" s="101">
        <v>44418</v>
      </c>
      <c r="C359" s="92" t="s">
        <v>610</v>
      </c>
      <c r="D359" s="93" t="str">
        <f>HYPERLINK(VLOOKUP(C359,Video_List!$F:$J,5),"video")</f>
        <v>video</v>
      </c>
      <c r="E359" s="94" t="str">
        <f>IFERROR(IF(MATCH(C359,Video_List!$F:$F,)&gt;0,"ok",""),"error")</f>
        <v>ok</v>
      </c>
      <c r="F359" s="92" t="s">
        <v>610</v>
      </c>
      <c r="G359" s="93" t="str">
        <f>HYPERLINK(VLOOKUP(F359,Video_List!$F:$J,5),"video")</f>
        <v>video</v>
      </c>
      <c r="H359" s="94" t="str">
        <f>IFERROR(IF(MATCH(F359,Video_List!$F:$F,)&gt;0,"ok",""),"error")</f>
        <v>ok</v>
      </c>
      <c r="I359" s="17">
        <v>44418.828657407408</v>
      </c>
      <c r="J359" s="8">
        <v>44418.828715277778</v>
      </c>
      <c r="K359" s="15">
        <f t="shared" si="11"/>
        <v>5.7870369346346706E-5</v>
      </c>
      <c r="L359" s="4" t="s">
        <v>32</v>
      </c>
      <c r="M359" s="4" t="s">
        <v>33</v>
      </c>
      <c r="N359" s="96" t="str">
        <f>IF(ISBLANK(C359),"",IF(C359=F359, "1 video",CONCATENATE((+COUNTIFS(Video_List!$C:$C,"&lt;=" &amp;Monitoring!J359)-COUNTIFS(Video_List!$C:$C,"&lt;=" &amp;Monitoring!I359))+1," videos")))</f>
        <v>1 video</v>
      </c>
      <c r="O359" s="27" t="s">
        <v>32</v>
      </c>
      <c r="P359" s="43" t="s">
        <v>37</v>
      </c>
      <c r="Q359" s="43" t="s">
        <v>38</v>
      </c>
      <c r="R359" s="43" t="s">
        <v>39</v>
      </c>
      <c r="S359" s="97" t="str">
        <f>+IFERROR(IF(T359="#N/C","#N/C",IF(U359=0,INDEX(Taxonomy_UniqueValues!D:D,MATCH(U359,Taxonomy_UniqueValues!F:F,0)),INDEX(Taxonomy_UniqueValues!D:D,MATCH(T359,Taxonomy_UniqueValues!E:E,0)))),"#N/C")</f>
        <v>Asilomorpha</v>
      </c>
      <c r="T359" s="43" t="s">
        <v>439</v>
      </c>
      <c r="U359" s="43" t="s">
        <v>440</v>
      </c>
      <c r="V359" s="43" t="s">
        <v>547</v>
      </c>
      <c r="W359" s="43" t="s">
        <v>548</v>
      </c>
      <c r="X359" s="30" t="s">
        <v>35</v>
      </c>
      <c r="Y359" s="69" t="str" cm="1">
        <f t="array" ref="Y359">_xlfn.LET(_xlpm.cls,P359, _xlpm.ord,IFERROR(Q359,"#N/C"), _xlpm.subord,IFERROR(R359,"#N/C"), _xlpm.infr,IFERROR(S359,"#N/C"), _xlpm.sf,IFERROR(T359,"#N/C"), _xlpm.fam,IFERROR(U359,"#N/C"), _xlpm.subfam,IF(TRIM(V359)="-","#N/C",IFERROR(V359,"#N/C")),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_xlpm.fallback,IF(IFERROR(Q359,"#N/C")="#N/C",P359,IF(IFERROR(R359,"#N/C")="#N/C",Q359,IF(IFERROR(S359,"#N/C")="#N/C",R359,IF(IFERROR(T359,"#N/C")="#N/C",S359,IF(IFERROR(U359,"#N/C")="#N/C",T359,IF(IFERROR(V359,"#N/C")="#N/C",U359,"#N/C")))))), _xlpm.finalResult,IF(OR(_xlpm.computedResult="",_xlpm.computedResult="#N/C"),_xlpm.fallback,_xlpm.computedResult), INDEX(_xlpm.finalResult,1))</f>
        <v>dance_fly</v>
      </c>
      <c r="Z359" s="116" t="str" cm="1">
        <f t="array" ref="Z359">IF(OR(Y359="Insecta",Y359="Arachnida",Y359="#N/C"),"",IFERROR(_xlfn.LET(_xlpm.fc,IFERROR(_xlfn._xlws.FILTER(ClassificationClasses[],ClassificationClasses[Classification Class]=Y359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359,ClassificationClasses[Key])),0),MATCH(Y359,INDEX(ClassificationClasses[],MATCH(TRUE,ISNUMBER(SEARCH(Y359,ClassificationClasses[Key])),0),0),0)-1)))</f>
        <v>Asilomorpha</v>
      </c>
      <c r="AA359" s="116" t="str" cm="1">
        <f t="array" ref="AA359">IFERROR(IF(OR(Z359="Insecta",Z359="Arachnida",Z359="#N/C"),"",INDEX(ClassificationClasses[[Class]:[Infraorder]],MATCH(TRUE,ISNUMBER(SEARCH(Z359,ClassificationClasses[Key])),0),MATCH(Z359,INDEX(ClassificationClasses[#Data], MATCH(TRUE,ISNUMBER(SEARCH(Z359,ClassificationClasses[Key])),0), 0), 0)-1)),"")</f>
        <v>Brachycera</v>
      </c>
      <c r="AB359" s="116" t="str" cm="1">
        <f t="array" ref="AB359">IFERROR(IF(OR(AA359="Insecta",AA359="Arachnida",AA359="#N/C"),"",INDEX(ClassificationClasses[[Class]:[Suborder]],MATCH(TRUE,ISNUMBER(SEARCH(AA359,ClassificationClasses[Key])),0),MATCH(AA359,INDEX(ClassificationClasses[#Data], MATCH(TRUE,ISNUMBER(SEARCH(AA359,ClassificationClasses[Key])),0), 0), 0)-1)),"")</f>
        <v>Diptera</v>
      </c>
      <c r="AC359" s="116" t="str" cm="1">
        <f t="array" ref="AC359">IFERROR(IF(OR(AB359="Insecta",AB359="Arachnida",AB359="#N/C"),"",INDEX(ClassificationClasses[[Class]:[Suborder]],MATCH(TRUE,ISNUMBER(SEARCH(AB359,ClassificationClasses[Key])),0),MATCH(AB359,INDEX(ClassificationClasses[#Data], MATCH(TRUE,ISNUMBER(SEARCH(AB359,ClassificationClasses[Key])),0), 0), 0)-1)),"")</f>
        <v>Insecta</v>
      </c>
      <c r="AD359" s="116" t="str" cm="1">
        <f t="array" ref="AD359">IFERROR(IF(OR(AC359="Insecta",AC359="Arachnida",AC359="#N/C"),"",INDEX(ClassificationClasses[[Class]:[Suborder]],MATCH(TRUE,ISNUMBER(SEARCH(AC359,ClassificationClasses[Key])),0),MATCH(AC359,INDEX(ClassificationClasses[#Data], MATCH(TRUE,ISNUMBER(SEARCH(AC359,ClassificationClasses[Key])),0), 0), 0)-1)),"")</f>
        <v/>
      </c>
      <c r="AE359" s="18" t="str">
        <f t="shared" si="12"/>
        <v>Insecta.Diptera.Brachycera.Asilomorpha.Empidoidea.Dolichopodidae.Medeterinae.Medetera.#N/C</v>
      </c>
    </row>
    <row r="360" spans="1:31" x14ac:dyDescent="0.3">
      <c r="A360" s="91">
        <v>359</v>
      </c>
      <c r="B360" s="101">
        <v>44418</v>
      </c>
      <c r="C360" s="92" t="s">
        <v>611</v>
      </c>
      <c r="D360" s="93" t="str">
        <f>HYPERLINK(VLOOKUP(C360,Video_List!$F:$J,5),"video")</f>
        <v>video</v>
      </c>
      <c r="E360" s="94" t="str">
        <f>IFERROR(IF(MATCH(C360,Video_List!$F:$F,)&gt;0,"ok",""),"error")</f>
        <v>ok</v>
      </c>
      <c r="F360" s="92" t="s">
        <v>611</v>
      </c>
      <c r="G360" s="93" t="str">
        <f>HYPERLINK(VLOOKUP(F360,Video_List!$F:$J,5),"video")</f>
        <v>video</v>
      </c>
      <c r="H360" s="94" t="str">
        <f>IFERROR(IF(MATCH(F360,Video_List!$F:$F,)&gt;0,"ok",""),"error")</f>
        <v>ok</v>
      </c>
      <c r="I360" s="17">
        <v>44418.833738425928</v>
      </c>
      <c r="J360" s="8">
        <v>44418.834236111114</v>
      </c>
      <c r="K360" s="15">
        <f t="shared" si="11"/>
        <v>4.9768518510973081E-4</v>
      </c>
      <c r="L360" s="4" t="s">
        <v>32</v>
      </c>
      <c r="M360" s="4" t="s">
        <v>33</v>
      </c>
      <c r="N360" s="96" t="str">
        <f>IF(ISBLANK(C360),"",IF(C360=F360, "1 video",CONCATENATE((+COUNTIFS(Video_List!$C:$C,"&lt;=" &amp;Monitoring!J360)-COUNTIFS(Video_List!$C:$C,"&lt;=" &amp;Monitoring!I360))+1," videos")))</f>
        <v>1 video</v>
      </c>
      <c r="O360" s="27" t="s">
        <v>32</v>
      </c>
      <c r="P360" s="43" t="s">
        <v>37</v>
      </c>
      <c r="Q360" s="43" t="s">
        <v>38</v>
      </c>
      <c r="R360" s="43" t="s">
        <v>39</v>
      </c>
      <c r="S360" s="97" t="str">
        <f>+IFERROR(IF(T360="#N/C","#N/C",IF(U360=0,INDEX(Taxonomy_UniqueValues!D:D,MATCH(U360,Taxonomy_UniqueValues!F:F,0)),INDEX(Taxonomy_UniqueValues!D:D,MATCH(T360,Taxonomy_UniqueValues!E:E,0)))),"#N/C")</f>
        <v>Muscomorpha</v>
      </c>
      <c r="T360" s="43" t="s">
        <v>175</v>
      </c>
      <c r="U360" s="43" t="s">
        <v>612</v>
      </c>
      <c r="V360" s="43" t="s">
        <v>613</v>
      </c>
      <c r="W360" s="43" t="s">
        <v>614</v>
      </c>
      <c r="X360" s="30" t="s">
        <v>35</v>
      </c>
      <c r="Y360" s="69" t="str" cm="1">
        <f t="array" ref="Y360">_xlfn.LET(_xlpm.cls,P360, _xlpm.ord,IFERROR(Q360,"#N/C"), _xlpm.subord,IFERROR(R360,"#N/C"), _xlpm.infr,IFERROR(S360,"#N/C"), _xlpm.sf,IFERROR(T360,"#N/C"), _xlpm.fam,IFERROR(U360,"#N/C"), _xlpm.subfam,IF(TRIM(V360)="-","#N/C",IFERROR(V360,"#N/C")),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_xlpm.fallback,IF(IFERROR(Q360,"#N/C")="#N/C",P360,IF(IFERROR(R360,"#N/C")="#N/C",Q360,IF(IFERROR(S360,"#N/C")="#N/C",R360,IF(IFERROR(T360,"#N/C")="#N/C",S360,IF(IFERROR(U360,"#N/C")="#N/C",T360,IF(IFERROR(V360,"#N/C")="#N/C",U360,"#N/C")))))), _xlpm.finalResult,IF(OR(_xlpm.computedResult="",_xlpm.computedResult="#N/C"),_xlpm.fallback,_xlpm.computedResult), INDEX(_xlpm.finalResult,1))</f>
        <v>fly</v>
      </c>
      <c r="Z360" s="116" t="str" cm="1">
        <f t="array" ref="Z360">IF(OR(Y360="Insecta",Y360="Arachnida",Y360="#N/C"),"",IFERROR(_xlfn.LET(_xlpm.fc,IFERROR(_xlfn._xlws.FILTER(ClassificationClasses[],ClassificationClasses[Classification Class]=Y360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360,ClassificationClasses[Key])),0),MATCH(Y360,INDEX(ClassificationClasses[],MATCH(TRUE,ISNUMBER(SEARCH(Y360,ClassificationClasses[Key])),0),0),0)-1)))</f>
        <v>Muscomorpha</v>
      </c>
      <c r="AA360" s="116" t="str" cm="1">
        <f t="array" ref="AA360">IFERROR(IF(OR(Z360="Insecta",Z360="Arachnida",Z360="#N/C"),"",INDEX(ClassificationClasses[[Class]:[Infraorder]],MATCH(TRUE,ISNUMBER(SEARCH(Z360,ClassificationClasses[Key])),0),MATCH(Z360,INDEX(ClassificationClasses[#Data], MATCH(TRUE,ISNUMBER(SEARCH(Z360,ClassificationClasses[Key])),0), 0), 0)-1)),"")</f>
        <v>Brachycera</v>
      </c>
      <c r="AB360" s="116" t="str" cm="1">
        <f t="array" ref="AB360">IFERROR(IF(OR(AA360="Insecta",AA360="Arachnida",AA360="#N/C"),"",INDEX(ClassificationClasses[[Class]:[Suborder]],MATCH(TRUE,ISNUMBER(SEARCH(AA360,ClassificationClasses[Key])),0),MATCH(AA360,INDEX(ClassificationClasses[#Data], MATCH(TRUE,ISNUMBER(SEARCH(AA360,ClassificationClasses[Key])),0), 0), 0)-1)),"")</f>
        <v>Diptera</v>
      </c>
      <c r="AC360" s="116" t="str" cm="1">
        <f t="array" ref="AC360">IFERROR(IF(OR(AB360="Insecta",AB360="Arachnida",AB360="#N/C"),"",INDEX(ClassificationClasses[[Class]:[Suborder]],MATCH(TRUE,ISNUMBER(SEARCH(AB360,ClassificationClasses[Key])),0),MATCH(AB360,INDEX(ClassificationClasses[#Data], MATCH(TRUE,ISNUMBER(SEARCH(AB360,ClassificationClasses[Key])),0), 0), 0)-1)),"")</f>
        <v>Insecta</v>
      </c>
      <c r="AD360" s="116" t="str" cm="1">
        <f t="array" ref="AD360">IFERROR(IF(OR(AC360="Insecta",AC360="Arachnida",AC360="#N/C"),"",INDEX(ClassificationClasses[[Class]:[Suborder]],MATCH(TRUE,ISNUMBER(SEARCH(AC360,ClassificationClasses[Key])),0),MATCH(AC360,INDEX(ClassificationClasses[#Data], MATCH(TRUE,ISNUMBER(SEARCH(AC360,ClassificationClasses[Key])),0), 0), 0)-1)),"")</f>
        <v/>
      </c>
      <c r="AE360" s="18" t="str">
        <f t="shared" si="12"/>
        <v>Insecta.Diptera.Brachycera.Muscomorpha.Muscoidea.Anthomyiidae.Anthomyiinae.Fucellia.#N/C</v>
      </c>
    </row>
    <row r="361" spans="1:31" x14ac:dyDescent="0.3">
      <c r="A361" s="91">
        <v>360</v>
      </c>
      <c r="B361" s="101">
        <v>44418</v>
      </c>
      <c r="C361" s="92" t="s">
        <v>615</v>
      </c>
      <c r="D361" s="93" t="str">
        <f>HYPERLINK(VLOOKUP(C361,Video_List!$F:$J,5),"video")</f>
        <v>video</v>
      </c>
      <c r="E361" s="94" t="str">
        <f>IFERROR(IF(MATCH(C361,Video_List!$F:$F,)&gt;0,"ok",""),"error")</f>
        <v>ok</v>
      </c>
      <c r="F361" s="92" t="s">
        <v>615</v>
      </c>
      <c r="G361" s="93" t="str">
        <f>HYPERLINK(VLOOKUP(F361,Video_List!$F:$J,5),"video")</f>
        <v>video</v>
      </c>
      <c r="H361" s="94" t="str">
        <f>IFERROR(IF(MATCH(F361,Video_List!$F:$F,)&gt;0,"ok",""),"error")</f>
        <v>ok</v>
      </c>
      <c r="I361" s="17">
        <v>44418.839803240742</v>
      </c>
      <c r="J361" s="8">
        <v>44418.839918981481</v>
      </c>
      <c r="K361" s="15">
        <f t="shared" si="11"/>
        <v>1.1574073869269341E-4</v>
      </c>
      <c r="L361" s="95" t="s">
        <v>44</v>
      </c>
      <c r="M361" s="95" t="s">
        <v>118</v>
      </c>
      <c r="N361" s="96" t="str">
        <f>IF(ISBLANK(C361),"",IF(C361=F361, "1 video",CONCATENATE((+COUNTIFS(Video_List!$C:$C,"&lt;=" &amp;Monitoring!J361)-COUNTIFS(Video_List!$C:$C,"&lt;=" &amp;Monitoring!I361))+1," videos")))</f>
        <v>1 video</v>
      </c>
      <c r="O361" s="29" t="s">
        <v>44</v>
      </c>
      <c r="P361" s="43" t="s">
        <v>37</v>
      </c>
      <c r="Q361" s="43" t="s">
        <v>38</v>
      </c>
      <c r="R361" s="43" t="s">
        <v>39</v>
      </c>
      <c r="S361" s="97" t="str">
        <f>+IFERROR(IF(T361="#N/C","#N/C",IF(U361=0,INDEX(Taxonomy_UniqueValues!D:D,MATCH(U361,Taxonomy_UniqueValues!F:F,0)),INDEX(Taxonomy_UniqueValues!D:D,MATCH(T361,Taxonomy_UniqueValues!E:E,0)))),"#N/C")</f>
        <v>Asilomorpha</v>
      </c>
      <c r="T361" s="43" t="s">
        <v>439</v>
      </c>
      <c r="U361" s="43" t="s">
        <v>440</v>
      </c>
      <c r="V361" s="43" t="s">
        <v>547</v>
      </c>
      <c r="W361" s="43" t="s">
        <v>548</v>
      </c>
      <c r="X361" s="30" t="s">
        <v>35</v>
      </c>
      <c r="Y361" s="69" t="str" cm="1">
        <f t="array" ref="Y361">_xlfn.LET(_xlpm.cls,P361, _xlpm.ord,IFERROR(Q361,"#N/C"), _xlpm.subord,IFERROR(R361,"#N/C"), _xlpm.infr,IFERROR(S361,"#N/C"), _xlpm.sf,IFERROR(T361,"#N/C"), _xlpm.fam,IFERROR(U361,"#N/C"), _xlpm.subfam,IF(TRIM(V361)="-","#N/C",IFERROR(V361,"#N/C")),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_xlpm.fallback,IF(IFERROR(Q361,"#N/C")="#N/C",P361,IF(IFERROR(R361,"#N/C")="#N/C",Q361,IF(IFERROR(S361,"#N/C")="#N/C",R361,IF(IFERROR(T361,"#N/C")="#N/C",S361,IF(IFERROR(U361,"#N/C")="#N/C",T361,IF(IFERROR(V361,"#N/C")="#N/C",U361,"#N/C")))))), _xlpm.finalResult,IF(OR(_xlpm.computedResult="",_xlpm.computedResult="#N/C"),_xlpm.fallback,_xlpm.computedResult), INDEX(_xlpm.finalResult,1))</f>
        <v>dance_fly</v>
      </c>
      <c r="Z361" s="116" t="str" cm="1">
        <f t="array" ref="Z361">IF(OR(Y361="Insecta",Y361="Arachnida",Y361="#N/C"),"",IFERROR(_xlfn.LET(_xlpm.fc,IFERROR(_xlfn._xlws.FILTER(ClassificationClasses[],ClassificationClasses[Classification Class]=Y361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361,ClassificationClasses[Key])),0),MATCH(Y361,INDEX(ClassificationClasses[],MATCH(TRUE,ISNUMBER(SEARCH(Y361,ClassificationClasses[Key])),0),0),0)-1)))</f>
        <v>Asilomorpha</v>
      </c>
      <c r="AA361" s="116" t="str" cm="1">
        <f t="array" ref="AA361">IFERROR(IF(OR(Z361="Insecta",Z361="Arachnida",Z361="#N/C"),"",INDEX(ClassificationClasses[[Class]:[Infraorder]],MATCH(TRUE,ISNUMBER(SEARCH(Z361,ClassificationClasses[Key])),0),MATCH(Z361,INDEX(ClassificationClasses[#Data], MATCH(TRUE,ISNUMBER(SEARCH(Z361,ClassificationClasses[Key])),0), 0), 0)-1)),"")</f>
        <v>Brachycera</v>
      </c>
      <c r="AB361" s="116" t="str" cm="1">
        <f t="array" ref="AB361">IFERROR(IF(OR(AA361="Insecta",AA361="Arachnida",AA361="#N/C"),"",INDEX(ClassificationClasses[[Class]:[Suborder]],MATCH(TRUE,ISNUMBER(SEARCH(AA361,ClassificationClasses[Key])),0),MATCH(AA361,INDEX(ClassificationClasses[#Data], MATCH(TRUE,ISNUMBER(SEARCH(AA361,ClassificationClasses[Key])),0), 0), 0)-1)),"")</f>
        <v>Diptera</v>
      </c>
      <c r="AC361" s="116" t="str" cm="1">
        <f t="array" ref="AC361">IFERROR(IF(OR(AB361="Insecta",AB361="Arachnida",AB361="#N/C"),"",INDEX(ClassificationClasses[[Class]:[Suborder]],MATCH(TRUE,ISNUMBER(SEARCH(AB361,ClassificationClasses[Key])),0),MATCH(AB361,INDEX(ClassificationClasses[#Data], MATCH(TRUE,ISNUMBER(SEARCH(AB361,ClassificationClasses[Key])),0), 0), 0)-1)),"")</f>
        <v>Insecta</v>
      </c>
      <c r="AD361" s="116" t="str" cm="1">
        <f t="array" ref="AD361">IFERROR(IF(OR(AC361="Insecta",AC361="Arachnida",AC361="#N/C"),"",INDEX(ClassificationClasses[[Class]:[Suborder]],MATCH(TRUE,ISNUMBER(SEARCH(AC361,ClassificationClasses[Key])),0),MATCH(AC361,INDEX(ClassificationClasses[#Data], MATCH(TRUE,ISNUMBER(SEARCH(AC361,ClassificationClasses[Key])),0), 0), 0)-1)),"")</f>
        <v/>
      </c>
      <c r="AE361" s="18" t="str">
        <f t="shared" si="12"/>
        <v>Insecta.Diptera.Brachycera.Asilomorpha.Empidoidea.Dolichopodidae.Medeterinae.Medetera.#N/C</v>
      </c>
    </row>
    <row r="362" spans="1:31" x14ac:dyDescent="0.3">
      <c r="A362" s="91">
        <v>361</v>
      </c>
      <c r="B362" s="101">
        <v>44418</v>
      </c>
      <c r="C362" s="92" t="s">
        <v>616</v>
      </c>
      <c r="D362" s="93" t="str">
        <f>HYPERLINK(VLOOKUP(C362,Video_List!$F:$J,5),"video")</f>
        <v>video</v>
      </c>
      <c r="E362" s="94" t="str">
        <f>IFERROR(IF(MATCH(C362,Video_List!$F:$F,)&gt;0,"ok",""),"error")</f>
        <v>ok</v>
      </c>
      <c r="F362" s="92" t="s">
        <v>616</v>
      </c>
      <c r="G362" s="93" t="str">
        <f>HYPERLINK(VLOOKUP(F362,Video_List!$F:$J,5),"video")</f>
        <v>video</v>
      </c>
      <c r="H362" s="94" t="str">
        <f>IFERROR(IF(MATCH(F362,Video_List!$F:$F,)&gt;0,"ok",""),"error")</f>
        <v>ok</v>
      </c>
      <c r="I362" s="17">
        <v>44418.848819444444</v>
      </c>
      <c r="J362" s="8">
        <v>44418.851643518516</v>
      </c>
      <c r="K362" s="15">
        <f t="shared" si="11"/>
        <v>2.8240740721230395E-3</v>
      </c>
      <c r="L362" s="95" t="s">
        <v>32</v>
      </c>
      <c r="M362" s="95" t="s">
        <v>33</v>
      </c>
      <c r="N362" s="96" t="str">
        <f>IF(ISBLANK(C362),"",IF(C362=F362, "1 video",CONCATENATE((+COUNTIFS(Video_List!$C:$C,"&lt;=" &amp;Monitoring!J362)-COUNTIFS(Video_List!$C:$C,"&lt;=" &amp;Monitoring!I362))+1," videos")))</f>
        <v>1 video</v>
      </c>
      <c r="O362" s="29" t="s">
        <v>44</v>
      </c>
      <c r="P362" s="43" t="s">
        <v>37</v>
      </c>
      <c r="Q362" s="43" t="s">
        <v>38</v>
      </c>
      <c r="R362" s="43" t="s">
        <v>39</v>
      </c>
      <c r="S362" s="97" t="str">
        <f>+IFERROR(IF(T362="#N/C","#N/C",IF(U362=0,INDEX(Taxonomy_UniqueValues!D:D,MATCH(U362,Taxonomy_UniqueValues!F:F,0)),INDEX(Taxonomy_UniqueValues!D:D,MATCH(T362,Taxonomy_UniqueValues!E:E,0)))),"#N/C")</f>
        <v>Asilomorpha</v>
      </c>
      <c r="T362" s="43" t="s">
        <v>439</v>
      </c>
      <c r="U362" s="43" t="s">
        <v>440</v>
      </c>
      <c r="V362" s="43" t="s">
        <v>547</v>
      </c>
      <c r="W362" s="43" t="s">
        <v>548</v>
      </c>
      <c r="X362" s="30" t="s">
        <v>35</v>
      </c>
      <c r="Y362" s="69" t="str" cm="1">
        <f t="array" ref="Y362">_xlfn.LET(_xlpm.cls,P362, _xlpm.ord,IFERROR(Q362,"#N/C"), _xlpm.subord,IFERROR(R362,"#N/C"), _xlpm.infr,IFERROR(S362,"#N/C"), _xlpm.sf,IFERROR(T362,"#N/C"), _xlpm.fam,IFERROR(U362,"#N/C"), _xlpm.subfam,IF(TRIM(V362)="-","#N/C",IFERROR(V362,"#N/C")),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_xlpm.fallback,IF(IFERROR(Q362,"#N/C")="#N/C",P362,IF(IFERROR(R362,"#N/C")="#N/C",Q362,IF(IFERROR(S362,"#N/C")="#N/C",R362,IF(IFERROR(T362,"#N/C")="#N/C",S362,IF(IFERROR(U362,"#N/C")="#N/C",T362,IF(IFERROR(V362,"#N/C")="#N/C",U362,"#N/C")))))), _xlpm.finalResult,IF(OR(_xlpm.computedResult="",_xlpm.computedResult="#N/C"),_xlpm.fallback,_xlpm.computedResult), INDEX(_xlpm.finalResult,1))</f>
        <v>dance_fly</v>
      </c>
      <c r="Z362" s="116" t="str" cm="1">
        <f t="array" ref="Z362">IF(OR(Y362="Insecta",Y362="Arachnida",Y362="#N/C"),"",IFERROR(_xlfn.LET(_xlpm.fc,IFERROR(_xlfn._xlws.FILTER(ClassificationClasses[],ClassificationClasses[Classification Class]=Y362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362,ClassificationClasses[Key])),0),MATCH(Y362,INDEX(ClassificationClasses[],MATCH(TRUE,ISNUMBER(SEARCH(Y362,ClassificationClasses[Key])),0),0),0)-1)))</f>
        <v>Asilomorpha</v>
      </c>
      <c r="AA362" s="116" t="str" cm="1">
        <f t="array" ref="AA362">IFERROR(IF(OR(Z362="Insecta",Z362="Arachnida",Z362="#N/C"),"",INDEX(ClassificationClasses[[Class]:[Infraorder]],MATCH(TRUE,ISNUMBER(SEARCH(Z362,ClassificationClasses[Key])),0),MATCH(Z362,INDEX(ClassificationClasses[#Data], MATCH(TRUE,ISNUMBER(SEARCH(Z362,ClassificationClasses[Key])),0), 0), 0)-1)),"")</f>
        <v>Brachycera</v>
      </c>
      <c r="AB362" s="116" t="str" cm="1">
        <f t="array" ref="AB362">IFERROR(IF(OR(AA362="Insecta",AA362="Arachnida",AA362="#N/C"),"",INDEX(ClassificationClasses[[Class]:[Suborder]],MATCH(TRUE,ISNUMBER(SEARCH(AA362,ClassificationClasses[Key])),0),MATCH(AA362,INDEX(ClassificationClasses[#Data], MATCH(TRUE,ISNUMBER(SEARCH(AA362,ClassificationClasses[Key])),0), 0), 0)-1)),"")</f>
        <v>Diptera</v>
      </c>
      <c r="AC362" s="116" t="str" cm="1">
        <f t="array" ref="AC362">IFERROR(IF(OR(AB362="Insecta",AB362="Arachnida",AB362="#N/C"),"",INDEX(ClassificationClasses[[Class]:[Suborder]],MATCH(TRUE,ISNUMBER(SEARCH(AB362,ClassificationClasses[Key])),0),MATCH(AB362,INDEX(ClassificationClasses[#Data], MATCH(TRUE,ISNUMBER(SEARCH(AB362,ClassificationClasses[Key])),0), 0), 0)-1)),"")</f>
        <v>Insecta</v>
      </c>
      <c r="AD362" s="116" t="str" cm="1">
        <f t="array" ref="AD362">IFERROR(IF(OR(AC362="Insecta",AC362="Arachnida",AC362="#N/C"),"",INDEX(ClassificationClasses[[Class]:[Suborder]],MATCH(TRUE,ISNUMBER(SEARCH(AC362,ClassificationClasses[Key])),0),MATCH(AC362,INDEX(ClassificationClasses[#Data], MATCH(TRUE,ISNUMBER(SEARCH(AC362,ClassificationClasses[Key])),0), 0), 0)-1)),"")</f>
        <v/>
      </c>
      <c r="AE362" s="18" t="str">
        <f t="shared" si="12"/>
        <v>Insecta.Diptera.Brachycera.Asilomorpha.Empidoidea.Dolichopodidae.Medeterinae.Medetera.#N/C</v>
      </c>
    </row>
    <row r="363" spans="1:31" x14ac:dyDescent="0.3">
      <c r="A363" s="91">
        <v>362</v>
      </c>
      <c r="B363" s="101">
        <v>44418</v>
      </c>
      <c r="C363" s="92" t="s">
        <v>617</v>
      </c>
      <c r="D363" s="93" t="str">
        <f>HYPERLINK(VLOOKUP(C363,Video_List!$F:$J,5),"video")</f>
        <v>video</v>
      </c>
      <c r="E363" s="94" t="str">
        <f>IFERROR(IF(MATCH(C363,Video_List!$F:$F,)&gt;0,"ok",""),"error")</f>
        <v>ok</v>
      </c>
      <c r="F363" s="92" t="s">
        <v>617</v>
      </c>
      <c r="G363" s="93" t="str">
        <f>HYPERLINK(VLOOKUP(F363,Video_List!$F:$J,5),"video")</f>
        <v>video</v>
      </c>
      <c r="H363" s="94" t="str">
        <f>IFERROR(IF(MATCH(F363,Video_List!$F:$F,)&gt;0,"ok",""),"error")</f>
        <v>ok</v>
      </c>
      <c r="I363" s="17">
        <v>44418.850405092591</v>
      </c>
      <c r="J363" s="8">
        <v>44418.850532407407</v>
      </c>
      <c r="K363" s="15">
        <f t="shared" si="11"/>
        <v>1.273148154723458E-4</v>
      </c>
      <c r="L363" s="4" t="s">
        <v>32</v>
      </c>
      <c r="M363" s="4" t="s">
        <v>33</v>
      </c>
      <c r="N363" s="96" t="str">
        <f>IF(ISBLANK(C363),"",IF(C363=F363, "1 video",CONCATENATE((+COUNTIFS(Video_List!$C:$C,"&lt;=" &amp;Monitoring!J363)-COUNTIFS(Video_List!$C:$C,"&lt;=" &amp;Monitoring!I363))+1," videos")))</f>
        <v>1 video</v>
      </c>
      <c r="O363" s="29" t="s">
        <v>44</v>
      </c>
      <c r="P363" s="43" t="s">
        <v>37</v>
      </c>
      <c r="Q363" s="43" t="s">
        <v>56</v>
      </c>
      <c r="R363" s="43" t="s">
        <v>35</v>
      </c>
      <c r="S363" s="97" t="str">
        <f>+IFERROR(IF(T363="#N/C","#N/C",IF(U363=0,INDEX(Taxonomy_UniqueValues!D:D,MATCH(U363,Taxonomy_UniqueValues!F:F,0)),INDEX(Taxonomy_UniqueValues!D:D,MATCH(T363,Taxonomy_UniqueValues!E:E,0)))),"#N/C")</f>
        <v>#N/C</v>
      </c>
      <c r="T363" s="43" t="s">
        <v>35</v>
      </c>
      <c r="U363" s="43" t="s">
        <v>35</v>
      </c>
      <c r="V363" s="43" t="s">
        <v>35</v>
      </c>
      <c r="W363" s="43" t="s">
        <v>35</v>
      </c>
      <c r="X363" s="30" t="s">
        <v>35</v>
      </c>
      <c r="Y363" s="69" t="str" cm="1">
        <f t="array" ref="Y363">_xlfn.LET(_xlpm.cls,P363, _xlpm.ord,IFERROR(Q363,"#N/C"), _xlpm.subord,IFERROR(R363,"#N/C"), _xlpm.infr,IFERROR(S363,"#N/C"), _xlpm.sf,IFERROR(T363,"#N/C"), _xlpm.fam,IFERROR(U363,"#N/C"), _xlpm.subfam,IF(TRIM(V363)="-","#N/C",IFERROR(V363,"#N/C")),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_xlpm.fallback,IF(IFERROR(Q363,"#N/C")="#N/C",P363,IF(IFERROR(R363,"#N/C")="#N/C",Q363,IF(IFERROR(S363,"#N/C")="#N/C",R363,IF(IFERROR(T363,"#N/C")="#N/C",S363,IF(IFERROR(U363,"#N/C")="#N/C",T363,IF(IFERROR(V363,"#N/C")="#N/C",U363,"#N/C")))))), _xlpm.finalResult,IF(OR(_xlpm.computedResult="",_xlpm.computedResult="#N/C"),_xlpm.fallback,_xlpm.computedResult), INDEX(_xlpm.finalResult,1))</f>
        <v>Lepidoptera</v>
      </c>
      <c r="Z363" s="116" t="str" cm="1">
        <f t="array" ref="Z363">IF(OR(Y363="Insecta",Y363="Arachnida",Y363="#N/C"),"",IFERROR(_xlfn.LET(_xlpm.fc,IFERROR(_xlfn._xlws.FILTER(ClassificationClasses[],ClassificationClasses[Classification Class]=Y363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363,ClassificationClasses[Key])),0),MATCH(Y363,INDEX(ClassificationClasses[],MATCH(TRUE,ISNUMBER(SEARCH(Y363,ClassificationClasses[Key])),0),0),0)-1)))</f>
        <v>Insecta</v>
      </c>
      <c r="AA363" s="116" t="str" cm="1">
        <f t="array" ref="AA363">IFERROR(IF(OR(Z363="Insecta",Z363="Arachnida",Z363="#N/C"),"",INDEX(ClassificationClasses[[Class]:[Infraorder]],MATCH(TRUE,ISNUMBER(SEARCH(Z363,ClassificationClasses[Key])),0),MATCH(Z363,INDEX(ClassificationClasses[#Data], MATCH(TRUE,ISNUMBER(SEARCH(Z363,ClassificationClasses[Key])),0), 0), 0)-1)),"")</f>
        <v/>
      </c>
      <c r="AB363" s="116" t="str" cm="1">
        <f t="array" ref="AB363">IFERROR(IF(OR(AA363="Insecta",AA363="Arachnida",AA363="#N/C"),"",INDEX(ClassificationClasses[[Class]:[Suborder]],MATCH(TRUE,ISNUMBER(SEARCH(AA363,ClassificationClasses[Key])),0),MATCH(AA363,INDEX(ClassificationClasses[#Data], MATCH(TRUE,ISNUMBER(SEARCH(AA363,ClassificationClasses[Key])),0), 0), 0)-1)),"")</f>
        <v/>
      </c>
      <c r="AC363" s="116" t="str" cm="1">
        <f t="array" ref="AC363">IFERROR(IF(OR(AB363="Insecta",AB363="Arachnida",AB363="#N/C"),"",INDEX(ClassificationClasses[[Class]:[Suborder]],MATCH(TRUE,ISNUMBER(SEARCH(AB363,ClassificationClasses[Key])),0),MATCH(AB363,INDEX(ClassificationClasses[#Data], MATCH(TRUE,ISNUMBER(SEARCH(AB363,ClassificationClasses[Key])),0), 0), 0)-1)),"")</f>
        <v/>
      </c>
      <c r="AD363" s="116" t="str" cm="1">
        <f t="array" ref="AD363">IFERROR(IF(OR(AC363="Insecta",AC363="Arachnida",AC363="#N/C"),"",INDEX(ClassificationClasses[[Class]:[Suborder]],MATCH(TRUE,ISNUMBER(SEARCH(AC363,ClassificationClasses[Key])),0),MATCH(AC363,INDEX(ClassificationClasses[#Data], MATCH(TRUE,ISNUMBER(SEARCH(AC363,ClassificationClasses[Key])),0), 0), 0)-1)),"")</f>
        <v/>
      </c>
      <c r="AE363" s="18" t="str">
        <f t="shared" si="12"/>
        <v>Insecta.Lepidoptera.#N/C.#N/C.#N/C.#N/C.#N/C.#N/C.#N/C</v>
      </c>
    </row>
    <row r="364" spans="1:31" x14ac:dyDescent="0.3">
      <c r="A364" s="91">
        <v>363</v>
      </c>
      <c r="B364" s="101">
        <v>44418</v>
      </c>
      <c r="C364" s="92" t="s">
        <v>618</v>
      </c>
      <c r="D364" s="93" t="str">
        <f>HYPERLINK(VLOOKUP(C364,Video_List!$F:$J,5),"video")</f>
        <v>video</v>
      </c>
      <c r="E364" s="94" t="str">
        <f>IFERROR(IF(MATCH(C364,Video_List!$F:$F,)&gt;0,"ok",""),"error")</f>
        <v>ok</v>
      </c>
      <c r="F364" s="92" t="s">
        <v>618</v>
      </c>
      <c r="G364" s="93" t="str">
        <f>HYPERLINK(VLOOKUP(F364,Video_List!$F:$J,5),"video")</f>
        <v>video</v>
      </c>
      <c r="H364" s="94" t="str">
        <f>IFERROR(IF(MATCH(F364,Video_List!$F:$F,)&gt;0,"ok",""),"error")</f>
        <v>ok</v>
      </c>
      <c r="I364" s="17">
        <v>44418.851041666669</v>
      </c>
      <c r="J364" s="8">
        <v>44418.851261574076</v>
      </c>
      <c r="K364" s="15">
        <f t="shared" si="11"/>
        <v>2.1990740788169205E-4</v>
      </c>
      <c r="L364" s="95" t="s">
        <v>32</v>
      </c>
      <c r="M364" s="95" t="s">
        <v>33</v>
      </c>
      <c r="N364" s="96" t="str">
        <f>IF(ISBLANK(C364),"",IF(C364=F364, "1 video",CONCATENATE((+COUNTIFS(Video_List!$C:$C,"&lt;=" &amp;Monitoring!J364)-COUNTIFS(Video_List!$C:$C,"&lt;=" &amp;Monitoring!I364))+1," videos")))</f>
        <v>1 video</v>
      </c>
      <c r="O364" s="29" t="s">
        <v>44</v>
      </c>
      <c r="P364" s="43" t="s">
        <v>37</v>
      </c>
      <c r="Q364" s="43" t="s">
        <v>38</v>
      </c>
      <c r="R364" s="43" t="s">
        <v>39</v>
      </c>
      <c r="S364" s="97" t="str">
        <f>+IFERROR(IF(T364="#N/C","#N/C",IF(U364=0,INDEX(Taxonomy_UniqueValues!D:D,MATCH(U364,Taxonomy_UniqueValues!F:F,0)),INDEX(Taxonomy_UniqueValues!D:D,MATCH(T364,Taxonomy_UniqueValues!E:E,0)))),"#N/C")</f>
        <v>Asilomorpha</v>
      </c>
      <c r="T364" s="43" t="s">
        <v>439</v>
      </c>
      <c r="U364" s="43" t="s">
        <v>440</v>
      </c>
      <c r="V364" s="43" t="s">
        <v>547</v>
      </c>
      <c r="W364" s="43" t="s">
        <v>548</v>
      </c>
      <c r="X364" s="30" t="s">
        <v>35</v>
      </c>
      <c r="Y364" s="69" t="str" cm="1">
        <f t="array" ref="Y364">_xlfn.LET(_xlpm.cls,P364, _xlpm.ord,IFERROR(Q364,"#N/C"), _xlpm.subord,IFERROR(R364,"#N/C"), _xlpm.infr,IFERROR(S364,"#N/C"), _xlpm.sf,IFERROR(T364,"#N/C"), _xlpm.fam,IFERROR(U364,"#N/C"), _xlpm.subfam,IF(TRIM(V364)="-","#N/C",IFERROR(V364,"#N/C")),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_xlpm.fallback,IF(IFERROR(Q364,"#N/C")="#N/C",P364,IF(IFERROR(R364,"#N/C")="#N/C",Q364,IF(IFERROR(S364,"#N/C")="#N/C",R364,IF(IFERROR(T364,"#N/C")="#N/C",S364,IF(IFERROR(U364,"#N/C")="#N/C",T364,IF(IFERROR(V364,"#N/C")="#N/C",U364,"#N/C")))))), _xlpm.finalResult,IF(OR(_xlpm.computedResult="",_xlpm.computedResult="#N/C"),_xlpm.fallback,_xlpm.computedResult), INDEX(_xlpm.finalResult,1))</f>
        <v>dance_fly</v>
      </c>
      <c r="Z364" s="116" t="str" cm="1">
        <f t="array" ref="Z364">IF(OR(Y364="Insecta",Y364="Arachnida",Y364="#N/C"),"",IFERROR(_xlfn.LET(_xlpm.fc,IFERROR(_xlfn._xlws.FILTER(ClassificationClasses[],ClassificationClasses[Classification Class]=Y364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364,ClassificationClasses[Key])),0),MATCH(Y364,INDEX(ClassificationClasses[],MATCH(TRUE,ISNUMBER(SEARCH(Y364,ClassificationClasses[Key])),0),0),0)-1)))</f>
        <v>Asilomorpha</v>
      </c>
      <c r="AA364" s="116" t="str" cm="1">
        <f t="array" ref="AA364">IFERROR(IF(OR(Z364="Insecta",Z364="Arachnida",Z364="#N/C"),"",INDEX(ClassificationClasses[[Class]:[Infraorder]],MATCH(TRUE,ISNUMBER(SEARCH(Z364,ClassificationClasses[Key])),0),MATCH(Z364,INDEX(ClassificationClasses[#Data], MATCH(TRUE,ISNUMBER(SEARCH(Z364,ClassificationClasses[Key])),0), 0), 0)-1)),"")</f>
        <v>Brachycera</v>
      </c>
      <c r="AB364" s="116" t="str" cm="1">
        <f t="array" ref="AB364">IFERROR(IF(OR(AA364="Insecta",AA364="Arachnida",AA364="#N/C"),"",INDEX(ClassificationClasses[[Class]:[Suborder]],MATCH(TRUE,ISNUMBER(SEARCH(AA364,ClassificationClasses[Key])),0),MATCH(AA364,INDEX(ClassificationClasses[#Data], MATCH(TRUE,ISNUMBER(SEARCH(AA364,ClassificationClasses[Key])),0), 0), 0)-1)),"")</f>
        <v>Diptera</v>
      </c>
      <c r="AC364" s="116" t="str" cm="1">
        <f t="array" ref="AC364">IFERROR(IF(OR(AB364="Insecta",AB364="Arachnida",AB364="#N/C"),"",INDEX(ClassificationClasses[[Class]:[Suborder]],MATCH(TRUE,ISNUMBER(SEARCH(AB364,ClassificationClasses[Key])),0),MATCH(AB364,INDEX(ClassificationClasses[#Data], MATCH(TRUE,ISNUMBER(SEARCH(AB364,ClassificationClasses[Key])),0), 0), 0)-1)),"")</f>
        <v>Insecta</v>
      </c>
      <c r="AD364" s="116" t="str" cm="1">
        <f t="array" ref="AD364">IFERROR(IF(OR(AC364="Insecta",AC364="Arachnida",AC364="#N/C"),"",INDEX(ClassificationClasses[[Class]:[Suborder]],MATCH(TRUE,ISNUMBER(SEARCH(AC364,ClassificationClasses[Key])),0),MATCH(AC364,INDEX(ClassificationClasses[#Data], MATCH(TRUE,ISNUMBER(SEARCH(AC364,ClassificationClasses[Key])),0), 0), 0)-1)),"")</f>
        <v/>
      </c>
      <c r="AE364" s="18" t="str">
        <f t="shared" si="12"/>
        <v>Insecta.Diptera.Brachycera.Asilomorpha.Empidoidea.Dolichopodidae.Medeterinae.Medetera.#N/C</v>
      </c>
    </row>
    <row r="365" spans="1:31" x14ac:dyDescent="0.3">
      <c r="A365" s="91">
        <v>364</v>
      </c>
      <c r="B365" s="101">
        <v>44418</v>
      </c>
      <c r="C365" s="92" t="s">
        <v>619</v>
      </c>
      <c r="D365" s="93" t="str">
        <f>HYPERLINK(VLOOKUP(C365,Video_List!$F:$J,5),"video")</f>
        <v>video</v>
      </c>
      <c r="E365" s="94" t="str">
        <f>IFERROR(IF(MATCH(C365,Video_List!$F:$F,)&gt;0,"ok",""),"error")</f>
        <v>ok</v>
      </c>
      <c r="F365" s="92" t="s">
        <v>619</v>
      </c>
      <c r="G365" s="93" t="str">
        <f>HYPERLINK(VLOOKUP(F365,Video_List!$F:$J,5),"video")</f>
        <v>video</v>
      </c>
      <c r="H365" s="94" t="str">
        <f>IFERROR(IF(MATCH(F365,Video_List!$F:$F,)&gt;0,"ok",""),"error")</f>
        <v>ok</v>
      </c>
      <c r="I365" s="17">
        <v>44418.859293981484</v>
      </c>
      <c r="J365" s="8">
        <v>44418.859386574077</v>
      </c>
      <c r="K365" s="15">
        <f t="shared" si="11"/>
        <v>9.2592592409346253E-5</v>
      </c>
      <c r="L365" s="95" t="s">
        <v>32</v>
      </c>
      <c r="M365" s="95" t="s">
        <v>33</v>
      </c>
      <c r="N365" s="96" t="str">
        <f>IF(ISBLANK(C365),"",IF(C365=F365, "1 video",CONCATENATE((+COUNTIFS(Video_List!$C:$C,"&lt;=" &amp;Monitoring!J365)-COUNTIFS(Video_List!$C:$C,"&lt;=" &amp;Monitoring!I365))+1," videos")))</f>
        <v>1 video</v>
      </c>
      <c r="O365" s="29" t="s">
        <v>44</v>
      </c>
      <c r="P365" s="43" t="s">
        <v>37</v>
      </c>
      <c r="Q365" s="43" t="s">
        <v>38</v>
      </c>
      <c r="R365" s="43" t="s">
        <v>39</v>
      </c>
      <c r="S365" s="97" t="str">
        <f>+IFERROR(IF(T365="#N/C","#N/C",IF(U365=0,INDEX(Taxonomy_UniqueValues!D:D,MATCH(U365,Taxonomy_UniqueValues!F:F,0)),INDEX(Taxonomy_UniqueValues!D:D,MATCH(T365,Taxonomy_UniqueValues!E:E,0)))),"#N/C")</f>
        <v>Asilomorpha</v>
      </c>
      <c r="T365" s="43" t="s">
        <v>439</v>
      </c>
      <c r="U365" s="43" t="s">
        <v>440</v>
      </c>
      <c r="V365" s="43" t="s">
        <v>547</v>
      </c>
      <c r="W365" s="43" t="s">
        <v>548</v>
      </c>
      <c r="X365" s="30" t="s">
        <v>35</v>
      </c>
      <c r="Y365" s="69" t="str" cm="1">
        <f t="array" ref="Y365">_xlfn.LET(_xlpm.cls,P365, _xlpm.ord,IFERROR(Q365,"#N/C"), _xlpm.subord,IFERROR(R365,"#N/C"), _xlpm.infr,IFERROR(S365,"#N/C"), _xlpm.sf,IFERROR(T365,"#N/C"), _xlpm.fam,IFERROR(U365,"#N/C"), _xlpm.subfam,IF(TRIM(V365)="-","#N/C",IFERROR(V365,"#N/C")),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_xlpm.fallback,IF(IFERROR(Q365,"#N/C")="#N/C",P365,IF(IFERROR(R365,"#N/C")="#N/C",Q365,IF(IFERROR(S365,"#N/C")="#N/C",R365,IF(IFERROR(T365,"#N/C")="#N/C",S365,IF(IFERROR(U365,"#N/C")="#N/C",T365,IF(IFERROR(V365,"#N/C")="#N/C",U365,"#N/C")))))), _xlpm.finalResult,IF(OR(_xlpm.computedResult="",_xlpm.computedResult="#N/C"),_xlpm.fallback,_xlpm.computedResult), INDEX(_xlpm.finalResult,1))</f>
        <v>dance_fly</v>
      </c>
      <c r="Z365" s="116" t="str" cm="1">
        <f t="array" ref="Z365">IF(OR(Y365="Insecta",Y365="Arachnida",Y365="#N/C"),"",IFERROR(_xlfn.LET(_xlpm.fc,IFERROR(_xlfn._xlws.FILTER(ClassificationClasses[],ClassificationClasses[Classification Class]=Y365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365,ClassificationClasses[Key])),0),MATCH(Y365,INDEX(ClassificationClasses[],MATCH(TRUE,ISNUMBER(SEARCH(Y365,ClassificationClasses[Key])),0),0),0)-1)))</f>
        <v>Asilomorpha</v>
      </c>
      <c r="AA365" s="116" t="str" cm="1">
        <f t="array" ref="AA365">IFERROR(IF(OR(Z365="Insecta",Z365="Arachnida",Z365="#N/C"),"",INDEX(ClassificationClasses[[Class]:[Infraorder]],MATCH(TRUE,ISNUMBER(SEARCH(Z365,ClassificationClasses[Key])),0),MATCH(Z365,INDEX(ClassificationClasses[#Data], MATCH(TRUE,ISNUMBER(SEARCH(Z365,ClassificationClasses[Key])),0), 0), 0)-1)),"")</f>
        <v>Brachycera</v>
      </c>
      <c r="AB365" s="116" t="str" cm="1">
        <f t="array" ref="AB365">IFERROR(IF(OR(AA365="Insecta",AA365="Arachnida",AA365="#N/C"),"",INDEX(ClassificationClasses[[Class]:[Suborder]],MATCH(TRUE,ISNUMBER(SEARCH(AA365,ClassificationClasses[Key])),0),MATCH(AA365,INDEX(ClassificationClasses[#Data], MATCH(TRUE,ISNUMBER(SEARCH(AA365,ClassificationClasses[Key])),0), 0), 0)-1)),"")</f>
        <v>Diptera</v>
      </c>
      <c r="AC365" s="116" t="str" cm="1">
        <f t="array" ref="AC365">IFERROR(IF(OR(AB365="Insecta",AB365="Arachnida",AB365="#N/C"),"",INDEX(ClassificationClasses[[Class]:[Suborder]],MATCH(TRUE,ISNUMBER(SEARCH(AB365,ClassificationClasses[Key])),0),MATCH(AB365,INDEX(ClassificationClasses[#Data], MATCH(TRUE,ISNUMBER(SEARCH(AB365,ClassificationClasses[Key])),0), 0), 0)-1)),"")</f>
        <v>Insecta</v>
      </c>
      <c r="AD365" s="116" t="str" cm="1">
        <f t="array" ref="AD365">IFERROR(IF(OR(AC365="Insecta",AC365="Arachnida",AC365="#N/C"),"",INDEX(ClassificationClasses[[Class]:[Suborder]],MATCH(TRUE,ISNUMBER(SEARCH(AC365,ClassificationClasses[Key])),0),MATCH(AC365,INDEX(ClassificationClasses[#Data], MATCH(TRUE,ISNUMBER(SEARCH(AC365,ClassificationClasses[Key])),0), 0), 0)-1)),"")</f>
        <v/>
      </c>
      <c r="AE365" s="18" t="str">
        <f t="shared" si="12"/>
        <v>Insecta.Diptera.Brachycera.Asilomorpha.Empidoidea.Dolichopodidae.Medeterinae.Medetera.#N/C</v>
      </c>
    </row>
    <row r="366" spans="1:31" x14ac:dyDescent="0.3">
      <c r="A366" s="91">
        <v>365</v>
      </c>
      <c r="B366" s="101">
        <v>44418</v>
      </c>
      <c r="C366" s="92" t="s">
        <v>620</v>
      </c>
      <c r="D366" s="93" t="str">
        <f>HYPERLINK(VLOOKUP(C366,Video_List!$F:$J,5),"video")</f>
        <v>video</v>
      </c>
      <c r="E366" s="94" t="str">
        <f>IFERROR(IF(MATCH(C366,Video_List!$F:$F,)&gt;0,"ok",""),"error")</f>
        <v>ok</v>
      </c>
      <c r="F366" s="92" t="s">
        <v>621</v>
      </c>
      <c r="G366" s="93" t="str">
        <f>HYPERLINK(VLOOKUP(F366,Video_List!$F:$J,5),"video")</f>
        <v>video</v>
      </c>
      <c r="H366" s="94" t="str">
        <f>IFERROR(IF(MATCH(F366,Video_List!$F:$F,)&gt;0,"ok",""),"error")</f>
        <v>ok</v>
      </c>
      <c r="I366" s="17">
        <v>44418.868969907409</v>
      </c>
      <c r="J366" s="8">
        <v>44418.869976851849</v>
      </c>
      <c r="K366" s="15">
        <f t="shared" si="11"/>
        <v>1.0069444397231564E-3</v>
      </c>
      <c r="L366" s="4" t="s">
        <v>32</v>
      </c>
      <c r="M366" s="4" t="s">
        <v>33</v>
      </c>
      <c r="N366" s="96" t="str">
        <f>IF(ISBLANK(C366),"",IF(C366=F366, "1 video",CONCATENATE((+COUNTIFS(Video_List!$C:$C,"&lt;=" &amp;Monitoring!J366)-COUNTIFS(Video_List!$C:$C,"&lt;=" &amp;Monitoring!I366))+1," videos")))</f>
        <v>2 videos</v>
      </c>
      <c r="O366" s="27" t="s">
        <v>32</v>
      </c>
      <c r="P366" s="43" t="s">
        <v>37</v>
      </c>
      <c r="Q366" s="43" t="s">
        <v>56</v>
      </c>
      <c r="R366" s="43" t="s">
        <v>35</v>
      </c>
      <c r="S366" s="97" t="str">
        <f>+IFERROR(IF(T366="#N/C","#N/C",IF(U366=0,INDEX(Taxonomy_UniqueValues!D:D,MATCH(U366,Taxonomy_UniqueValues!F:F,0)),INDEX(Taxonomy_UniqueValues!D:D,MATCH(T366,Taxonomy_UniqueValues!E:E,0)))),"#N/C")</f>
        <v>#N/C</v>
      </c>
      <c r="T366" s="43" t="s">
        <v>35</v>
      </c>
      <c r="U366" s="43" t="s">
        <v>35</v>
      </c>
      <c r="V366" s="43" t="s">
        <v>35</v>
      </c>
      <c r="W366" s="43" t="s">
        <v>35</v>
      </c>
      <c r="X366" s="30" t="s">
        <v>35</v>
      </c>
      <c r="Y366" s="69" t="str" cm="1">
        <f t="array" ref="Y366">_xlfn.LET(_xlpm.cls,P366, _xlpm.ord,IFERROR(Q366,"#N/C"), _xlpm.subord,IFERROR(R366,"#N/C"), _xlpm.infr,IFERROR(S366,"#N/C"), _xlpm.sf,IFERROR(T366,"#N/C"), _xlpm.fam,IFERROR(U366,"#N/C"), _xlpm.subfam,IF(TRIM(V366)="-","#N/C",IFERROR(V366,"#N/C")),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_xlpm.fallback,IF(IFERROR(Q366,"#N/C")="#N/C",P366,IF(IFERROR(R366,"#N/C")="#N/C",Q366,IF(IFERROR(S366,"#N/C")="#N/C",R366,IF(IFERROR(T366,"#N/C")="#N/C",S366,IF(IFERROR(U366,"#N/C")="#N/C",T366,IF(IFERROR(V366,"#N/C")="#N/C",U366,"#N/C")))))), _xlpm.finalResult,IF(OR(_xlpm.computedResult="",_xlpm.computedResult="#N/C"),_xlpm.fallback,_xlpm.computedResult), INDEX(_xlpm.finalResult,1))</f>
        <v>Lepidoptera</v>
      </c>
      <c r="Z366" s="116" t="str" cm="1">
        <f t="array" ref="Z366">IF(OR(Y366="Insecta",Y366="Arachnida",Y366="#N/C"),"",IFERROR(_xlfn.LET(_xlpm.fc,IFERROR(_xlfn._xlws.FILTER(ClassificationClasses[],ClassificationClasses[Classification Class]=Y366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366,ClassificationClasses[Key])),0),MATCH(Y366,INDEX(ClassificationClasses[],MATCH(TRUE,ISNUMBER(SEARCH(Y366,ClassificationClasses[Key])),0),0),0)-1)))</f>
        <v>Insecta</v>
      </c>
      <c r="AA366" s="116" t="str" cm="1">
        <f t="array" ref="AA366">IFERROR(IF(OR(Z366="Insecta",Z366="Arachnida",Z366="#N/C"),"",INDEX(ClassificationClasses[[Class]:[Infraorder]],MATCH(TRUE,ISNUMBER(SEARCH(Z366,ClassificationClasses[Key])),0),MATCH(Z366,INDEX(ClassificationClasses[#Data], MATCH(TRUE,ISNUMBER(SEARCH(Z366,ClassificationClasses[Key])),0), 0), 0)-1)),"")</f>
        <v/>
      </c>
      <c r="AB366" s="116" t="str" cm="1">
        <f t="array" ref="AB366">IFERROR(IF(OR(AA366="Insecta",AA366="Arachnida",AA366="#N/C"),"",INDEX(ClassificationClasses[[Class]:[Suborder]],MATCH(TRUE,ISNUMBER(SEARCH(AA366,ClassificationClasses[Key])),0),MATCH(AA366,INDEX(ClassificationClasses[#Data], MATCH(TRUE,ISNUMBER(SEARCH(AA366,ClassificationClasses[Key])),0), 0), 0)-1)),"")</f>
        <v/>
      </c>
      <c r="AC366" s="116" t="str" cm="1">
        <f t="array" ref="AC366">IFERROR(IF(OR(AB366="Insecta",AB366="Arachnida",AB366="#N/C"),"",INDEX(ClassificationClasses[[Class]:[Suborder]],MATCH(TRUE,ISNUMBER(SEARCH(AB366,ClassificationClasses[Key])),0),MATCH(AB366,INDEX(ClassificationClasses[#Data], MATCH(TRUE,ISNUMBER(SEARCH(AB366,ClassificationClasses[Key])),0), 0), 0)-1)),"")</f>
        <v/>
      </c>
      <c r="AD366" s="116" t="str" cm="1">
        <f t="array" ref="AD366">IFERROR(IF(OR(AC366="Insecta",AC366="Arachnida",AC366="#N/C"),"",INDEX(ClassificationClasses[[Class]:[Suborder]],MATCH(TRUE,ISNUMBER(SEARCH(AC366,ClassificationClasses[Key])),0),MATCH(AC366,INDEX(ClassificationClasses[#Data], MATCH(TRUE,ISNUMBER(SEARCH(AC366,ClassificationClasses[Key])),0), 0), 0)-1)),"")</f>
        <v/>
      </c>
      <c r="AE366" s="18" t="str">
        <f t="shared" si="12"/>
        <v>Insecta.Lepidoptera.#N/C.#N/C.#N/C.#N/C.#N/C.#N/C.#N/C</v>
      </c>
    </row>
    <row r="367" spans="1:31" x14ac:dyDescent="0.3">
      <c r="A367" s="91">
        <v>366</v>
      </c>
      <c r="B367" s="101">
        <v>44418</v>
      </c>
      <c r="C367" s="92" t="s">
        <v>622</v>
      </c>
      <c r="D367" s="93" t="str">
        <f>HYPERLINK(VLOOKUP(C367,Video_List!$F:$J,5),"video")</f>
        <v>video</v>
      </c>
      <c r="E367" s="94" t="str">
        <f>IFERROR(IF(MATCH(C367,Video_List!$F:$F,)&gt;0,"ok",""),"error")</f>
        <v>ok</v>
      </c>
      <c r="F367" s="92" t="s">
        <v>622</v>
      </c>
      <c r="G367" s="93" t="str">
        <f>HYPERLINK(VLOOKUP(F367,Video_List!$F:$J,5),"video")</f>
        <v>video</v>
      </c>
      <c r="H367" s="94" t="str">
        <f>IFERROR(IF(MATCH(F367,Video_List!$F:$F,)&gt;0,"ok",""),"error")</f>
        <v>ok</v>
      </c>
      <c r="I367" s="17">
        <v>44418.874594907407</v>
      </c>
      <c r="J367" s="8">
        <v>44418.874791666669</v>
      </c>
      <c r="K367" s="15">
        <f t="shared" si="11"/>
        <v>1.9675926159834489E-4</v>
      </c>
      <c r="L367" s="4" t="s">
        <v>32</v>
      </c>
      <c r="M367" s="4" t="s">
        <v>33</v>
      </c>
      <c r="N367" s="96" t="str">
        <f>IF(ISBLANK(C367),"",IF(C367=F367, "1 video",CONCATENATE((+COUNTIFS(Video_List!$C:$C,"&lt;=" &amp;Monitoring!J367)-COUNTIFS(Video_List!$C:$C,"&lt;=" &amp;Monitoring!I367))+1," videos")))</f>
        <v>1 video</v>
      </c>
      <c r="O367" s="27" t="s">
        <v>32</v>
      </c>
      <c r="P367" s="43" t="s">
        <v>37</v>
      </c>
      <c r="Q367" s="43" t="s">
        <v>38</v>
      </c>
      <c r="R367" s="43" t="s">
        <v>39</v>
      </c>
      <c r="S367" s="97" t="str">
        <f>+IFERROR(IF(T367="#N/C","#N/C",IF(U367=0,INDEX(Taxonomy_UniqueValues!D:D,MATCH(U367,Taxonomy_UniqueValues!F:F,0)),INDEX(Taxonomy_UniqueValues!D:D,MATCH(T367,Taxonomy_UniqueValues!E:E,0)))),"#N/C")</f>
        <v>Muscomorpha</v>
      </c>
      <c r="T367" s="43" t="s">
        <v>175</v>
      </c>
      <c r="U367" s="43" t="s">
        <v>35</v>
      </c>
      <c r="V367" s="43" t="s">
        <v>35</v>
      </c>
      <c r="W367" s="43" t="s">
        <v>35</v>
      </c>
      <c r="X367" s="30" t="s">
        <v>35</v>
      </c>
      <c r="Y367" s="69" t="str" cm="1">
        <f t="array" ref="Y367">_xlfn.LET(_xlpm.cls,P367, _xlpm.ord,IFERROR(Q367,"#N/C"), _xlpm.subord,IFERROR(R367,"#N/C"), _xlpm.infr,IFERROR(S367,"#N/C"), _xlpm.sf,IFERROR(T367,"#N/C"), _xlpm.fam,IFERROR(U367,"#N/C"), _xlpm.subfam,IF(TRIM(V367)="-","#N/C",IFERROR(V367,"#N/C")),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_xlpm.fallback,IF(IFERROR(Q367,"#N/C")="#N/C",P367,IF(IFERROR(R367,"#N/C")="#N/C",Q367,IF(IFERROR(S367,"#N/C")="#N/C",R367,IF(IFERROR(T367,"#N/C")="#N/C",S367,IF(IFERROR(U367,"#N/C")="#N/C",T367,IF(IFERROR(V367,"#N/C")="#N/C",U367,"#N/C")))))), _xlpm.finalResult,IF(OR(_xlpm.computedResult="",_xlpm.computedResult="#N/C"),_xlpm.fallback,_xlpm.computedResult), INDEX(_xlpm.finalResult,1))</f>
        <v>Muscoidea</v>
      </c>
      <c r="Z367" s="116" t="str" cm="1">
        <f t="array" ref="Z367">IF(OR(Y367="Insecta",Y367="Arachnida",Y367="#N/C"),"",IFERROR(_xlfn.LET(_xlpm.fc,IFERROR(_xlfn._xlws.FILTER(ClassificationClasses[],ClassificationClasses[Classification Class]=Y367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367,ClassificationClasses[Key])),0),MATCH(Y367,INDEX(ClassificationClasses[],MATCH(TRUE,ISNUMBER(SEARCH(Y367,ClassificationClasses[Key])),0),0),0)-1)))</f>
        <v>Muscomorpha</v>
      </c>
      <c r="AA367" s="116" t="str" cm="1">
        <f t="array" ref="AA367">IFERROR(IF(OR(Z367="Insecta",Z367="Arachnida",Z367="#N/C"),"",INDEX(ClassificationClasses[[Class]:[Infraorder]],MATCH(TRUE,ISNUMBER(SEARCH(Z367,ClassificationClasses[Key])),0),MATCH(Z367,INDEX(ClassificationClasses[#Data], MATCH(TRUE,ISNUMBER(SEARCH(Z367,ClassificationClasses[Key])),0), 0), 0)-1)),"")</f>
        <v>Brachycera</v>
      </c>
      <c r="AB367" s="116" t="str" cm="1">
        <f t="array" ref="AB367">IFERROR(IF(OR(AA367="Insecta",AA367="Arachnida",AA367="#N/C"),"",INDEX(ClassificationClasses[[Class]:[Suborder]],MATCH(TRUE,ISNUMBER(SEARCH(AA367,ClassificationClasses[Key])),0),MATCH(AA367,INDEX(ClassificationClasses[#Data], MATCH(TRUE,ISNUMBER(SEARCH(AA367,ClassificationClasses[Key])),0), 0), 0)-1)),"")</f>
        <v>Diptera</v>
      </c>
      <c r="AC367" s="116" t="str" cm="1">
        <f t="array" ref="AC367">IFERROR(IF(OR(AB367="Insecta",AB367="Arachnida",AB367="#N/C"),"",INDEX(ClassificationClasses[[Class]:[Suborder]],MATCH(TRUE,ISNUMBER(SEARCH(AB367,ClassificationClasses[Key])),0),MATCH(AB367,INDEX(ClassificationClasses[#Data], MATCH(TRUE,ISNUMBER(SEARCH(AB367,ClassificationClasses[Key])),0), 0), 0)-1)),"")</f>
        <v>Insecta</v>
      </c>
      <c r="AD367" s="116" t="str" cm="1">
        <f t="array" ref="AD367">IFERROR(IF(OR(AC367="Insecta",AC367="Arachnida",AC367="#N/C"),"",INDEX(ClassificationClasses[[Class]:[Suborder]],MATCH(TRUE,ISNUMBER(SEARCH(AC367,ClassificationClasses[Key])),0),MATCH(AC367,INDEX(ClassificationClasses[#Data], MATCH(TRUE,ISNUMBER(SEARCH(AC367,ClassificationClasses[Key])),0), 0), 0)-1)),"")</f>
        <v/>
      </c>
      <c r="AE367" s="18" t="str">
        <f t="shared" si="12"/>
        <v>Insecta.Diptera.Brachycera.Muscomorpha.Muscoidea.#N/C.#N/C.#N/C.#N/C</v>
      </c>
    </row>
    <row r="368" spans="1:31" x14ac:dyDescent="0.3">
      <c r="A368" s="91">
        <v>367</v>
      </c>
      <c r="B368" s="101">
        <v>44418</v>
      </c>
      <c r="C368" s="92" t="s">
        <v>623</v>
      </c>
      <c r="D368" s="93" t="str">
        <f>HYPERLINK(VLOOKUP(C368,Video_List!$F:$J,5),"video")</f>
        <v>video</v>
      </c>
      <c r="E368" s="94" t="str">
        <f>IFERROR(IF(MATCH(C368,Video_List!$F:$F,)&gt;0,"ok",""),"error")</f>
        <v>ok</v>
      </c>
      <c r="F368" s="92" t="s">
        <v>623</v>
      </c>
      <c r="G368" s="93" t="str">
        <f>HYPERLINK(VLOOKUP(F368,Video_List!$F:$J,5),"video")</f>
        <v>video</v>
      </c>
      <c r="H368" s="94" t="str">
        <f>IFERROR(IF(MATCH(F368,Video_List!$F:$F,)&gt;0,"ok",""),"error")</f>
        <v>ok</v>
      </c>
      <c r="I368" s="17">
        <v>44418.877175925925</v>
      </c>
      <c r="J368" s="8">
        <v>44418.877418981479</v>
      </c>
      <c r="K368" s="15">
        <f t="shared" si="11"/>
        <v>2.4305555416503921E-4</v>
      </c>
      <c r="L368" s="95" t="s">
        <v>32</v>
      </c>
      <c r="M368" s="95" t="s">
        <v>33</v>
      </c>
      <c r="N368" s="96" t="str">
        <f>IF(ISBLANK(C368),"",IF(C368=F368, "1 video",CONCATENATE((+COUNTIFS(Video_List!$C:$C,"&lt;=" &amp;Monitoring!J368)-COUNTIFS(Video_List!$C:$C,"&lt;=" &amp;Monitoring!I368))+1," videos")))</f>
        <v>1 video</v>
      </c>
      <c r="O368" s="29" t="s">
        <v>44</v>
      </c>
      <c r="P368" s="43" t="s">
        <v>37</v>
      </c>
      <c r="Q368" s="43" t="s">
        <v>38</v>
      </c>
      <c r="R368" s="43" t="s">
        <v>39</v>
      </c>
      <c r="S368" s="97" t="str">
        <f>+IFERROR(IF(T368="#N/C","#N/C",IF(U368=0,INDEX(Taxonomy_UniqueValues!D:D,MATCH(U368,Taxonomy_UniqueValues!F:F,0)),INDEX(Taxonomy_UniqueValues!D:D,MATCH(T368,Taxonomy_UniqueValues!E:E,0)))),"#N/C")</f>
        <v>Muscomorpha</v>
      </c>
      <c r="T368" s="43" t="s">
        <v>175</v>
      </c>
      <c r="U368" s="43" t="s">
        <v>35</v>
      </c>
      <c r="V368" s="43" t="s">
        <v>35</v>
      </c>
      <c r="W368" s="43" t="s">
        <v>35</v>
      </c>
      <c r="X368" s="30" t="s">
        <v>35</v>
      </c>
      <c r="Y368" s="69" t="str" cm="1">
        <f t="array" ref="Y368">_xlfn.LET(_xlpm.cls,P368, _xlpm.ord,IFERROR(Q368,"#N/C"), _xlpm.subord,IFERROR(R368,"#N/C"), _xlpm.infr,IFERROR(S368,"#N/C"), _xlpm.sf,IFERROR(T368,"#N/C"), _xlpm.fam,IFERROR(U368,"#N/C"), _xlpm.subfam,IF(TRIM(V368)="-","#N/C",IFERROR(V368,"#N/C")),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_xlpm.fallback,IF(IFERROR(Q368,"#N/C")="#N/C",P368,IF(IFERROR(R368,"#N/C")="#N/C",Q368,IF(IFERROR(S368,"#N/C")="#N/C",R368,IF(IFERROR(T368,"#N/C")="#N/C",S368,IF(IFERROR(U368,"#N/C")="#N/C",T368,IF(IFERROR(V368,"#N/C")="#N/C",U368,"#N/C")))))), _xlpm.finalResult,IF(OR(_xlpm.computedResult="",_xlpm.computedResult="#N/C"),_xlpm.fallback,_xlpm.computedResult), INDEX(_xlpm.finalResult,1))</f>
        <v>Muscoidea</v>
      </c>
      <c r="Z368" s="116" t="str" cm="1">
        <f t="array" ref="Z368">IF(OR(Y368="Insecta",Y368="Arachnida",Y368="#N/C"),"",IFERROR(_xlfn.LET(_xlpm.fc,IFERROR(_xlfn._xlws.FILTER(ClassificationClasses[],ClassificationClasses[Classification Class]=Y368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368,ClassificationClasses[Key])),0),MATCH(Y368,INDEX(ClassificationClasses[],MATCH(TRUE,ISNUMBER(SEARCH(Y368,ClassificationClasses[Key])),0),0),0)-1)))</f>
        <v>Muscomorpha</v>
      </c>
      <c r="AA368" s="116" t="str" cm="1">
        <f t="array" ref="AA368">IFERROR(IF(OR(Z368="Insecta",Z368="Arachnida",Z368="#N/C"),"",INDEX(ClassificationClasses[[Class]:[Infraorder]],MATCH(TRUE,ISNUMBER(SEARCH(Z368,ClassificationClasses[Key])),0),MATCH(Z368,INDEX(ClassificationClasses[#Data], MATCH(TRUE,ISNUMBER(SEARCH(Z368,ClassificationClasses[Key])),0), 0), 0)-1)),"")</f>
        <v>Brachycera</v>
      </c>
      <c r="AB368" s="116" t="str" cm="1">
        <f t="array" ref="AB368">IFERROR(IF(OR(AA368="Insecta",AA368="Arachnida",AA368="#N/C"),"",INDEX(ClassificationClasses[[Class]:[Suborder]],MATCH(TRUE,ISNUMBER(SEARCH(AA368,ClassificationClasses[Key])),0),MATCH(AA368,INDEX(ClassificationClasses[#Data], MATCH(TRUE,ISNUMBER(SEARCH(AA368,ClassificationClasses[Key])),0), 0), 0)-1)),"")</f>
        <v>Diptera</v>
      </c>
      <c r="AC368" s="116" t="str" cm="1">
        <f t="array" ref="AC368">IFERROR(IF(OR(AB368="Insecta",AB368="Arachnida",AB368="#N/C"),"",INDEX(ClassificationClasses[[Class]:[Suborder]],MATCH(TRUE,ISNUMBER(SEARCH(AB368,ClassificationClasses[Key])),0),MATCH(AB368,INDEX(ClassificationClasses[#Data], MATCH(TRUE,ISNUMBER(SEARCH(AB368,ClassificationClasses[Key])),0), 0), 0)-1)),"")</f>
        <v>Insecta</v>
      </c>
      <c r="AD368" s="116" t="str" cm="1">
        <f t="array" ref="AD368">IFERROR(IF(OR(AC368="Insecta",AC368="Arachnida",AC368="#N/C"),"",INDEX(ClassificationClasses[[Class]:[Suborder]],MATCH(TRUE,ISNUMBER(SEARCH(AC368,ClassificationClasses[Key])),0),MATCH(AC368,INDEX(ClassificationClasses[#Data], MATCH(TRUE,ISNUMBER(SEARCH(AC368,ClassificationClasses[Key])),0), 0), 0)-1)),"")</f>
        <v/>
      </c>
      <c r="AE368" s="18" t="str">
        <f t="shared" si="12"/>
        <v>Insecta.Diptera.Brachycera.Muscomorpha.Muscoidea.#N/C.#N/C.#N/C.#N/C</v>
      </c>
    </row>
    <row r="369" spans="1:31" x14ac:dyDescent="0.3">
      <c r="A369" s="91">
        <v>368</v>
      </c>
      <c r="B369" s="101">
        <v>44418</v>
      </c>
      <c r="C369" s="92" t="s">
        <v>624</v>
      </c>
      <c r="D369" s="93" t="str">
        <f>HYPERLINK(VLOOKUP(C369,Video_List!$F:$J,5),"video")</f>
        <v>video</v>
      </c>
      <c r="E369" s="94" t="str">
        <f>IFERROR(IF(MATCH(C369,Video_List!$F:$F,)&gt;0,"ok",""),"error")</f>
        <v>ok</v>
      </c>
      <c r="F369" s="92" t="s">
        <v>624</v>
      </c>
      <c r="G369" s="93" t="str">
        <f>HYPERLINK(VLOOKUP(F369,Video_List!$F:$J,5),"video")</f>
        <v>video</v>
      </c>
      <c r="H369" s="94" t="str">
        <f>IFERROR(IF(MATCH(F369,Video_List!$F:$F,)&gt;0,"ok",""),"error")</f>
        <v>ok</v>
      </c>
      <c r="I369" s="17">
        <v>44418.878310185188</v>
      </c>
      <c r="J369" s="8">
        <v>44418.878391203703</v>
      </c>
      <c r="K369" s="15">
        <f t="shared" si="11"/>
        <v>8.1018515629693866E-5</v>
      </c>
      <c r="L369" s="4" t="s">
        <v>32</v>
      </c>
      <c r="M369" s="4" t="s">
        <v>33</v>
      </c>
      <c r="N369" s="96" t="str">
        <f>IF(ISBLANK(C369),"",IF(C369=F369, "1 video",CONCATENATE((+COUNTIFS(Video_List!$C:$C,"&lt;=" &amp;Monitoring!J369)-COUNTIFS(Video_List!$C:$C,"&lt;=" &amp;Monitoring!I369))+1," videos")))</f>
        <v>1 video</v>
      </c>
      <c r="O369" s="29" t="s">
        <v>44</v>
      </c>
      <c r="P369" s="43" t="s">
        <v>37</v>
      </c>
      <c r="Q369" s="43" t="s">
        <v>38</v>
      </c>
      <c r="R369" s="43" t="s">
        <v>39</v>
      </c>
      <c r="S369" s="97" t="str">
        <f>+IFERROR(IF(T369="#N/C","#N/C",IF(U369=0,INDEX(Taxonomy_UniqueValues!D:D,MATCH(U369,Taxonomy_UniqueValues!F:F,0)),INDEX(Taxonomy_UniqueValues!D:D,MATCH(T369,Taxonomy_UniqueValues!E:E,0)))),"#N/C")</f>
        <v>Muscomorpha</v>
      </c>
      <c r="T369" s="43" t="s">
        <v>175</v>
      </c>
      <c r="U369" s="43" t="s">
        <v>35</v>
      </c>
      <c r="V369" s="43" t="s">
        <v>35</v>
      </c>
      <c r="W369" s="43" t="s">
        <v>35</v>
      </c>
      <c r="X369" s="30" t="s">
        <v>35</v>
      </c>
      <c r="Y369" s="69" t="str" cm="1">
        <f t="array" ref="Y369">_xlfn.LET(_xlpm.cls,P369, _xlpm.ord,IFERROR(Q369,"#N/C"), _xlpm.subord,IFERROR(R369,"#N/C"), _xlpm.infr,IFERROR(S369,"#N/C"), _xlpm.sf,IFERROR(T369,"#N/C"), _xlpm.fam,IFERROR(U369,"#N/C"), _xlpm.subfam,IF(TRIM(V369)="-","#N/C",IFERROR(V369,"#N/C")),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_xlpm.fallback,IF(IFERROR(Q369,"#N/C")="#N/C",P369,IF(IFERROR(R369,"#N/C")="#N/C",Q369,IF(IFERROR(S369,"#N/C")="#N/C",R369,IF(IFERROR(T369,"#N/C")="#N/C",S369,IF(IFERROR(U369,"#N/C")="#N/C",T369,IF(IFERROR(V369,"#N/C")="#N/C",U369,"#N/C")))))), _xlpm.finalResult,IF(OR(_xlpm.computedResult="",_xlpm.computedResult="#N/C"),_xlpm.fallback,_xlpm.computedResult), INDEX(_xlpm.finalResult,1))</f>
        <v>Muscoidea</v>
      </c>
      <c r="Z369" s="116" t="str" cm="1">
        <f t="array" ref="Z369">IF(OR(Y369="Insecta",Y369="Arachnida",Y369="#N/C"),"",IFERROR(_xlfn.LET(_xlpm.fc,IFERROR(_xlfn._xlws.FILTER(ClassificationClasses[],ClassificationClasses[Classification Class]=Y369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369,ClassificationClasses[Key])),0),MATCH(Y369,INDEX(ClassificationClasses[],MATCH(TRUE,ISNUMBER(SEARCH(Y369,ClassificationClasses[Key])),0),0),0)-1)))</f>
        <v>Muscomorpha</v>
      </c>
      <c r="AA369" s="116" t="str" cm="1">
        <f t="array" ref="AA369">IFERROR(IF(OR(Z369="Insecta",Z369="Arachnida",Z369="#N/C"),"",INDEX(ClassificationClasses[[Class]:[Infraorder]],MATCH(TRUE,ISNUMBER(SEARCH(Z369,ClassificationClasses[Key])),0),MATCH(Z369,INDEX(ClassificationClasses[#Data], MATCH(TRUE,ISNUMBER(SEARCH(Z369,ClassificationClasses[Key])),0), 0), 0)-1)),"")</f>
        <v>Brachycera</v>
      </c>
      <c r="AB369" s="116" t="str" cm="1">
        <f t="array" ref="AB369">IFERROR(IF(OR(AA369="Insecta",AA369="Arachnida",AA369="#N/C"),"",INDEX(ClassificationClasses[[Class]:[Suborder]],MATCH(TRUE,ISNUMBER(SEARCH(AA369,ClassificationClasses[Key])),0),MATCH(AA369,INDEX(ClassificationClasses[#Data], MATCH(TRUE,ISNUMBER(SEARCH(AA369,ClassificationClasses[Key])),0), 0), 0)-1)),"")</f>
        <v>Diptera</v>
      </c>
      <c r="AC369" s="116" t="str" cm="1">
        <f t="array" ref="AC369">IFERROR(IF(OR(AB369="Insecta",AB369="Arachnida",AB369="#N/C"),"",INDEX(ClassificationClasses[[Class]:[Suborder]],MATCH(TRUE,ISNUMBER(SEARCH(AB369,ClassificationClasses[Key])),0),MATCH(AB369,INDEX(ClassificationClasses[#Data], MATCH(TRUE,ISNUMBER(SEARCH(AB369,ClassificationClasses[Key])),0), 0), 0)-1)),"")</f>
        <v>Insecta</v>
      </c>
      <c r="AD369" s="116" t="str" cm="1">
        <f t="array" ref="AD369">IFERROR(IF(OR(AC369="Insecta",AC369="Arachnida",AC369="#N/C"),"",INDEX(ClassificationClasses[[Class]:[Suborder]],MATCH(TRUE,ISNUMBER(SEARCH(AC369,ClassificationClasses[Key])),0),MATCH(AC369,INDEX(ClassificationClasses[#Data], MATCH(TRUE,ISNUMBER(SEARCH(AC369,ClassificationClasses[Key])),0), 0), 0)-1)),"")</f>
        <v/>
      </c>
      <c r="AE369" s="18" t="str">
        <f t="shared" si="12"/>
        <v>Insecta.Diptera.Brachycera.Muscomorpha.Muscoidea.#N/C.#N/C.#N/C.#N/C</v>
      </c>
    </row>
    <row r="370" spans="1:31" x14ac:dyDescent="0.3">
      <c r="A370" s="91">
        <v>369</v>
      </c>
      <c r="B370" s="101">
        <v>44418</v>
      </c>
      <c r="C370" s="92" t="s">
        <v>625</v>
      </c>
      <c r="D370" s="93" t="str">
        <f>HYPERLINK(VLOOKUP(C370,Video_List!$F:$J,5),"video")</f>
        <v>video</v>
      </c>
      <c r="E370" s="94" t="str">
        <f>IFERROR(IF(MATCH(C370,Video_List!$F:$F,)&gt;0,"ok",""),"error")</f>
        <v>ok</v>
      </c>
      <c r="F370" s="92" t="s">
        <v>625</v>
      </c>
      <c r="G370" s="93" t="str">
        <f>HYPERLINK(VLOOKUP(F370,Video_List!$F:$J,5),"video")</f>
        <v>video</v>
      </c>
      <c r="H370" s="94" t="str">
        <f>IFERROR(IF(MATCH(F370,Video_List!$F:$F,)&gt;0,"ok",""),"error")</f>
        <v>ok</v>
      </c>
      <c r="I370" s="17">
        <v>44418.879907407405</v>
      </c>
      <c r="J370" s="8">
        <v>44418.881643518522</v>
      </c>
      <c r="K370" s="15">
        <f t="shared" si="11"/>
        <v>1.7361111167701893E-3</v>
      </c>
      <c r="L370" s="4" t="s">
        <v>32</v>
      </c>
      <c r="M370" s="4" t="s">
        <v>33</v>
      </c>
      <c r="N370" s="96" t="str">
        <f>IF(ISBLANK(C370),"",IF(C370=F370, "1 video",CONCATENATE((+COUNTIFS(Video_List!$C:$C,"&lt;=" &amp;Monitoring!J370)-COUNTIFS(Video_List!$C:$C,"&lt;=" &amp;Monitoring!I370))+1," videos")))</f>
        <v>1 video</v>
      </c>
      <c r="O370" s="27" t="s">
        <v>32</v>
      </c>
      <c r="P370" s="43" t="s">
        <v>37</v>
      </c>
      <c r="Q370" s="43" t="s">
        <v>38</v>
      </c>
      <c r="R370" s="43" t="s">
        <v>39</v>
      </c>
      <c r="S370" s="97" t="str">
        <f>+IFERROR(IF(T370="#N/C","#N/C",IF(U370=0,INDEX(Taxonomy_UniqueValues!D:D,MATCH(U370,Taxonomy_UniqueValues!F:F,0)),INDEX(Taxonomy_UniqueValues!D:D,MATCH(T370,Taxonomy_UniqueValues!E:E,0)))),"#N/C")</f>
        <v>Muscomorpha</v>
      </c>
      <c r="T370" s="43" t="s">
        <v>63</v>
      </c>
      <c r="U370" s="43" t="s">
        <v>64</v>
      </c>
      <c r="V370" s="43" t="s">
        <v>65</v>
      </c>
      <c r="W370" s="43" t="s">
        <v>626</v>
      </c>
      <c r="X370" s="30" t="s">
        <v>627</v>
      </c>
      <c r="Y370" s="69" t="str" cm="1">
        <f t="array" ref="Y370">_xlfn.LET(_xlpm.cls,P370, _xlpm.ord,IFERROR(Q370,"#N/C"), _xlpm.subord,IFERROR(R370,"#N/C"), _xlpm.infr,IFERROR(S370,"#N/C"), _xlpm.sf,IFERROR(T370,"#N/C"), _xlpm.fam,IFERROR(U370,"#N/C"), _xlpm.subfam,IF(TRIM(V370)="-","#N/C",IFERROR(V370,"#N/C")),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_xlpm.fallback,IF(IFERROR(Q370,"#N/C")="#N/C",P370,IF(IFERROR(R370,"#N/C")="#N/C",Q370,IF(IFERROR(S370,"#N/C")="#N/C",R370,IF(IFERROR(T370,"#N/C")="#N/C",S370,IF(IFERROR(U370,"#N/C")="#N/C",T370,IF(IFERROR(V370,"#N/C")="#N/C",U370,"#N/C")))))), _xlpm.finalResult,IF(OR(_xlpm.computedResult="",_xlpm.computedResult="#N/C"),_xlpm.fallback,_xlpm.computedResult), INDEX(_xlpm.finalResult,1))</f>
        <v>fruit_fly</v>
      </c>
      <c r="Z370" s="116" t="str" cm="1">
        <f t="array" ref="Z370">IF(OR(Y370="Insecta",Y370="Arachnida",Y370="#N/C"),"",IFERROR(_xlfn.LET(_xlpm.fc,IFERROR(_xlfn._xlws.FILTER(ClassificationClasses[],ClassificationClasses[Classification Class]=Y370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370,ClassificationClasses[Key])),0),MATCH(Y370,INDEX(ClassificationClasses[],MATCH(TRUE,ISNUMBER(SEARCH(Y370,ClassificationClasses[Key])),0),0),0)-1)))</f>
        <v>Muscomorpha</v>
      </c>
      <c r="AA370" s="116" t="str" cm="1">
        <f t="array" ref="AA370">IFERROR(IF(OR(Z370="Insecta",Z370="Arachnida",Z370="#N/C"),"",INDEX(ClassificationClasses[[Class]:[Infraorder]],MATCH(TRUE,ISNUMBER(SEARCH(Z370,ClassificationClasses[Key])),0),MATCH(Z370,INDEX(ClassificationClasses[#Data], MATCH(TRUE,ISNUMBER(SEARCH(Z370,ClassificationClasses[Key])),0), 0), 0)-1)),"")</f>
        <v>Brachycera</v>
      </c>
      <c r="AB370" s="116" t="str" cm="1">
        <f t="array" ref="AB370">IFERROR(IF(OR(AA370="Insecta",AA370="Arachnida",AA370="#N/C"),"",INDEX(ClassificationClasses[[Class]:[Suborder]],MATCH(TRUE,ISNUMBER(SEARCH(AA370,ClassificationClasses[Key])),0),MATCH(AA370,INDEX(ClassificationClasses[#Data], MATCH(TRUE,ISNUMBER(SEARCH(AA370,ClassificationClasses[Key])),0), 0), 0)-1)),"")</f>
        <v>Diptera</v>
      </c>
      <c r="AC370" s="116" t="str" cm="1">
        <f t="array" ref="AC370">IFERROR(IF(OR(AB370="Insecta",AB370="Arachnida",AB370="#N/C"),"",INDEX(ClassificationClasses[[Class]:[Suborder]],MATCH(TRUE,ISNUMBER(SEARCH(AB370,ClassificationClasses[Key])),0),MATCH(AB370,INDEX(ClassificationClasses[#Data], MATCH(TRUE,ISNUMBER(SEARCH(AB370,ClassificationClasses[Key])),0), 0), 0)-1)),"")</f>
        <v>Insecta</v>
      </c>
      <c r="AD370" s="116" t="str" cm="1">
        <f t="array" ref="AD370">IFERROR(IF(OR(AC370="Insecta",AC370="Arachnida",AC370="#N/C"),"",INDEX(ClassificationClasses[[Class]:[Suborder]],MATCH(TRUE,ISNUMBER(SEARCH(AC370,ClassificationClasses[Key])),0),MATCH(AC370,INDEX(ClassificationClasses[#Data], MATCH(TRUE,ISNUMBER(SEARCH(AC370,ClassificationClasses[Key])),0), 0), 0)-1)),"")</f>
        <v/>
      </c>
      <c r="AE370" s="18" t="str">
        <f t="shared" si="12"/>
        <v>Insecta.Diptera.Brachycera.Muscomorpha.Ephydroidea.Drosophilidae.Drosophilinae.Chymomyza.amoena</v>
      </c>
    </row>
    <row r="371" spans="1:31" x14ac:dyDescent="0.3">
      <c r="A371" s="91">
        <v>370</v>
      </c>
      <c r="B371" s="101">
        <v>44418</v>
      </c>
      <c r="C371" s="92" t="s">
        <v>628</v>
      </c>
      <c r="D371" s="93" t="str">
        <f>HYPERLINK(VLOOKUP(C371,Video_List!$F:$J,5),"video")</f>
        <v>video</v>
      </c>
      <c r="E371" s="94" t="str">
        <f>IFERROR(IF(MATCH(C371,Video_List!$F:$F,)&gt;0,"ok",""),"error")</f>
        <v>ok</v>
      </c>
      <c r="F371" s="92" t="s">
        <v>628</v>
      </c>
      <c r="G371" s="93" t="str">
        <f>HYPERLINK(VLOOKUP(F371,Video_List!$F:$J,5),"video")</f>
        <v>video</v>
      </c>
      <c r="H371" s="94" t="str">
        <f>IFERROR(IF(MATCH(F371,Video_List!$F:$F,)&gt;0,"ok",""),"error")</f>
        <v>ok</v>
      </c>
      <c r="I371" s="17">
        <v>44418.881967592592</v>
      </c>
      <c r="J371" s="8">
        <v>44418.882673611108</v>
      </c>
      <c r="K371" s="15">
        <f t="shared" si="11"/>
        <v>7.0601851621177047E-4</v>
      </c>
      <c r="L371" s="95" t="s">
        <v>32</v>
      </c>
      <c r="M371" s="95" t="s">
        <v>33</v>
      </c>
      <c r="N371" s="96" t="str">
        <f>IF(ISBLANK(C371),"",IF(C371=F371, "1 video",CONCATENATE((+COUNTIFS(Video_List!$C:$C,"&lt;=" &amp;Monitoring!J371)-COUNTIFS(Video_List!$C:$C,"&lt;=" &amp;Monitoring!I371))+1," videos")))</f>
        <v>1 video</v>
      </c>
      <c r="O371" s="29" t="s">
        <v>44</v>
      </c>
      <c r="P371" s="43" t="s">
        <v>37</v>
      </c>
      <c r="Q371" s="43" t="s">
        <v>38</v>
      </c>
      <c r="R371" s="43" t="s">
        <v>39</v>
      </c>
      <c r="S371" s="97" t="str">
        <f>+IFERROR(IF(T371="#N/C","#N/C",IF(U371=0,INDEX(Taxonomy_UniqueValues!D:D,MATCH(U371,Taxonomy_UniqueValues!F:F,0)),INDEX(Taxonomy_UniqueValues!D:D,MATCH(T371,Taxonomy_UniqueValues!E:E,0)))),"#N/C")</f>
        <v>#N/C</v>
      </c>
      <c r="T371" s="43" t="s">
        <v>35</v>
      </c>
      <c r="U371" s="43" t="s">
        <v>35</v>
      </c>
      <c r="V371" s="43" t="s">
        <v>35</v>
      </c>
      <c r="W371" s="43" t="s">
        <v>35</v>
      </c>
      <c r="X371" s="30" t="s">
        <v>35</v>
      </c>
      <c r="Y371" s="69" t="str" cm="1">
        <f t="array" ref="Y371">_xlfn.LET(_xlpm.cls,P371, _xlpm.ord,IFERROR(Q371,"#N/C"), _xlpm.subord,IFERROR(R371,"#N/C"), _xlpm.infr,IFERROR(S371,"#N/C"), _xlpm.sf,IFERROR(T371,"#N/C"), _xlpm.fam,IFERROR(U371,"#N/C"), _xlpm.subfam,IF(TRIM(V371)="-","#N/C",IFERROR(V371,"#N/C")),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_xlpm.fallback,IF(IFERROR(Q371,"#N/C")="#N/C",P371,IF(IFERROR(R371,"#N/C")="#N/C",Q371,IF(IFERROR(S371,"#N/C")="#N/C",R371,IF(IFERROR(T371,"#N/C")="#N/C",S371,IF(IFERROR(U371,"#N/C")="#N/C",T371,IF(IFERROR(V371,"#N/C")="#N/C",U371,"#N/C")))))), _xlpm.finalResult,IF(OR(_xlpm.computedResult="",_xlpm.computedResult="#N/C"),_xlpm.fallback,_xlpm.computedResult), INDEX(_xlpm.finalResult,1))</f>
        <v>Brachycera</v>
      </c>
      <c r="Z371" s="116" t="str" cm="1">
        <f t="array" ref="Z371">IF(OR(Y371="Insecta",Y371="Arachnida",Y371="#N/C"),"",IFERROR(_xlfn.LET(_xlpm.fc,IFERROR(_xlfn._xlws.FILTER(ClassificationClasses[],ClassificationClasses[Classification Class]=Y371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371,ClassificationClasses[Key])),0),MATCH(Y371,INDEX(ClassificationClasses[],MATCH(TRUE,ISNUMBER(SEARCH(Y371,ClassificationClasses[Key])),0),0),0)-1)))</f>
        <v>Diptera</v>
      </c>
      <c r="AA371" s="116" t="str" cm="1">
        <f t="array" ref="AA371">IFERROR(IF(OR(Z371="Insecta",Z371="Arachnida",Z371="#N/C"),"",INDEX(ClassificationClasses[[Class]:[Infraorder]],MATCH(TRUE,ISNUMBER(SEARCH(Z371,ClassificationClasses[Key])),0),MATCH(Z371,INDEX(ClassificationClasses[#Data], MATCH(TRUE,ISNUMBER(SEARCH(Z371,ClassificationClasses[Key])),0), 0), 0)-1)),"")</f>
        <v>Insecta</v>
      </c>
      <c r="AB371" s="116" t="str" cm="1">
        <f t="array" ref="AB371">IFERROR(IF(OR(AA371="Insecta",AA371="Arachnida",AA371="#N/C"),"",INDEX(ClassificationClasses[[Class]:[Suborder]],MATCH(TRUE,ISNUMBER(SEARCH(AA371,ClassificationClasses[Key])),0),MATCH(AA371,INDEX(ClassificationClasses[#Data], MATCH(TRUE,ISNUMBER(SEARCH(AA371,ClassificationClasses[Key])),0), 0), 0)-1)),"")</f>
        <v/>
      </c>
      <c r="AC371" s="116" t="str" cm="1">
        <f t="array" ref="AC371">IFERROR(IF(OR(AB371="Insecta",AB371="Arachnida",AB371="#N/C"),"",INDEX(ClassificationClasses[[Class]:[Suborder]],MATCH(TRUE,ISNUMBER(SEARCH(AB371,ClassificationClasses[Key])),0),MATCH(AB371,INDEX(ClassificationClasses[#Data], MATCH(TRUE,ISNUMBER(SEARCH(AB371,ClassificationClasses[Key])),0), 0), 0)-1)),"")</f>
        <v/>
      </c>
      <c r="AD371" s="116" t="str" cm="1">
        <f t="array" ref="AD371">IFERROR(IF(OR(AC371="Insecta",AC371="Arachnida",AC371="#N/C"),"",INDEX(ClassificationClasses[[Class]:[Suborder]],MATCH(TRUE,ISNUMBER(SEARCH(AC371,ClassificationClasses[Key])),0),MATCH(AC371,INDEX(ClassificationClasses[#Data], MATCH(TRUE,ISNUMBER(SEARCH(AC371,ClassificationClasses[Key])),0), 0), 0)-1)),"")</f>
        <v/>
      </c>
      <c r="AE371" s="18" t="str">
        <f t="shared" si="12"/>
        <v>Insecta.Diptera.Brachycera.#N/C.#N/C.#N/C.#N/C.#N/C.#N/C</v>
      </c>
    </row>
    <row r="372" spans="1:31" x14ac:dyDescent="0.3">
      <c r="A372" s="91">
        <v>371</v>
      </c>
      <c r="B372" s="101">
        <v>44418</v>
      </c>
      <c r="C372" s="92" t="s">
        <v>629</v>
      </c>
      <c r="D372" s="93" t="str">
        <f>HYPERLINK(VLOOKUP(C372,Video_List!$F:$J,5),"video")</f>
        <v>video</v>
      </c>
      <c r="E372" s="94" t="str">
        <f>IFERROR(IF(MATCH(C372,Video_List!$F:$F,)&gt;0,"ok",""),"error")</f>
        <v>ok</v>
      </c>
      <c r="F372" s="92" t="s">
        <v>629</v>
      </c>
      <c r="G372" s="93" t="str">
        <f>HYPERLINK(VLOOKUP(F372,Video_List!$F:$J,5),"video")</f>
        <v>video</v>
      </c>
      <c r="H372" s="94" t="str">
        <f>IFERROR(IF(MATCH(F372,Video_List!$F:$F,)&gt;0,"ok",""),"error")</f>
        <v>ok</v>
      </c>
      <c r="I372" s="17">
        <v>44418.883773148147</v>
      </c>
      <c r="J372" s="8">
        <v>44418.883993055555</v>
      </c>
      <c r="K372" s="15">
        <f t="shared" si="11"/>
        <v>2.1990740788169205E-4</v>
      </c>
      <c r="L372" s="95" t="s">
        <v>32</v>
      </c>
      <c r="M372" s="95" t="s">
        <v>33</v>
      </c>
      <c r="N372" s="96" t="str">
        <f>IF(ISBLANK(C372),"",IF(C372=F372, "1 video",CONCATENATE((+COUNTIFS(Video_List!$C:$C,"&lt;=" &amp;Monitoring!J372)-COUNTIFS(Video_List!$C:$C,"&lt;=" &amp;Monitoring!I372))+1," videos")))</f>
        <v>1 video</v>
      </c>
      <c r="O372" s="29" t="s">
        <v>44</v>
      </c>
      <c r="P372" s="43" t="s">
        <v>37</v>
      </c>
      <c r="Q372" s="43" t="s">
        <v>38</v>
      </c>
      <c r="R372" s="43" t="s">
        <v>39</v>
      </c>
      <c r="S372" s="97" t="str">
        <f>+IFERROR(IF(T372="#N/C","#N/C",IF(U372=0,INDEX(Taxonomy_UniqueValues!D:D,MATCH(U372,Taxonomy_UniqueValues!F:F,0)),INDEX(Taxonomy_UniqueValues!D:D,MATCH(T372,Taxonomy_UniqueValues!E:E,0)))),"#N/C")</f>
        <v>Muscomorpha</v>
      </c>
      <c r="T372" s="43" t="s">
        <v>175</v>
      </c>
      <c r="U372" s="43" t="s">
        <v>495</v>
      </c>
      <c r="V372" s="43" t="s">
        <v>496</v>
      </c>
      <c r="W372" s="43" t="s">
        <v>630</v>
      </c>
      <c r="X372" s="30" t="s">
        <v>631</v>
      </c>
      <c r="Y372" s="69" t="str" cm="1">
        <f t="array" ref="Y372">_xlfn.LET(_xlpm.cls,P372, _xlpm.ord,IFERROR(Q372,"#N/C"), _xlpm.subord,IFERROR(R372,"#N/C"), _xlpm.infr,IFERROR(S372,"#N/C"), _xlpm.sf,IFERROR(T372,"#N/C"), _xlpm.fam,IFERROR(U372,"#N/C"), _xlpm.subfam,IF(TRIM(V372)="-","#N/C",IFERROR(V372,"#N/C")),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_xlpm.fallback,IF(IFERROR(Q372,"#N/C")="#N/C",P372,IF(IFERROR(R372,"#N/C")="#N/C",Q372,IF(IFERROR(S372,"#N/C")="#N/C",R372,IF(IFERROR(T372,"#N/C")="#N/C",S372,IF(IFERROR(U372,"#N/C")="#N/C",T372,IF(IFERROR(V372,"#N/C")="#N/C",U372,"#N/C")))))), _xlpm.finalResult,IF(OR(_xlpm.computedResult="",_xlpm.computedResult="#N/C"),_xlpm.fallback,_xlpm.computedResult), INDEX(_xlpm.finalResult,1))</f>
        <v>fly</v>
      </c>
      <c r="Z372" s="116" t="str" cm="1">
        <f t="array" ref="Z372">IF(OR(Y372="Insecta",Y372="Arachnida",Y372="#N/C"),"",IFERROR(_xlfn.LET(_xlpm.fc,IFERROR(_xlfn._xlws.FILTER(ClassificationClasses[],ClassificationClasses[Classification Class]=Y372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372,ClassificationClasses[Key])),0),MATCH(Y372,INDEX(ClassificationClasses[],MATCH(TRUE,ISNUMBER(SEARCH(Y372,ClassificationClasses[Key])),0),0),0)-1)))</f>
        <v>Muscomorpha</v>
      </c>
      <c r="AA372" s="116" t="str" cm="1">
        <f t="array" ref="AA372">IFERROR(IF(OR(Z372="Insecta",Z372="Arachnida",Z372="#N/C"),"",INDEX(ClassificationClasses[[Class]:[Infraorder]],MATCH(TRUE,ISNUMBER(SEARCH(Z372,ClassificationClasses[Key])),0),MATCH(Z372,INDEX(ClassificationClasses[#Data], MATCH(TRUE,ISNUMBER(SEARCH(Z372,ClassificationClasses[Key])),0), 0), 0)-1)),"")</f>
        <v>Brachycera</v>
      </c>
      <c r="AB372" s="116" t="str" cm="1">
        <f t="array" ref="AB372">IFERROR(IF(OR(AA372="Insecta",AA372="Arachnida",AA372="#N/C"),"",INDEX(ClassificationClasses[[Class]:[Suborder]],MATCH(TRUE,ISNUMBER(SEARCH(AA372,ClassificationClasses[Key])),0),MATCH(AA372,INDEX(ClassificationClasses[#Data], MATCH(TRUE,ISNUMBER(SEARCH(AA372,ClassificationClasses[Key])),0), 0), 0)-1)),"")</f>
        <v>Diptera</v>
      </c>
      <c r="AC372" s="116" t="str" cm="1">
        <f t="array" ref="AC372">IFERROR(IF(OR(AB372="Insecta",AB372="Arachnida",AB372="#N/C"),"",INDEX(ClassificationClasses[[Class]:[Suborder]],MATCH(TRUE,ISNUMBER(SEARCH(AB372,ClassificationClasses[Key])),0),MATCH(AB372,INDEX(ClassificationClasses[#Data], MATCH(TRUE,ISNUMBER(SEARCH(AB372,ClassificationClasses[Key])),0), 0), 0)-1)),"")</f>
        <v>Insecta</v>
      </c>
      <c r="AD372" s="116" t="str" cm="1">
        <f t="array" ref="AD372">IFERROR(IF(OR(AC372="Insecta",AC372="Arachnida",AC372="#N/C"),"",INDEX(ClassificationClasses[[Class]:[Suborder]],MATCH(TRUE,ISNUMBER(SEARCH(AC372,ClassificationClasses[Key])),0),MATCH(AC372,INDEX(ClassificationClasses[#Data], MATCH(TRUE,ISNUMBER(SEARCH(AC372,ClassificationClasses[Key])),0), 0), 0)-1)),"")</f>
        <v/>
      </c>
      <c r="AE372" s="18" t="str">
        <f t="shared" si="12"/>
        <v>Insecta.Diptera.Brachycera.Muscomorpha.Muscoidea.Muscidae.Muscinae.Musca.domestica</v>
      </c>
    </row>
    <row r="373" spans="1:31" x14ac:dyDescent="0.3">
      <c r="A373" s="91">
        <v>372</v>
      </c>
      <c r="B373" s="101">
        <v>44418</v>
      </c>
      <c r="C373" s="92" t="s">
        <v>632</v>
      </c>
      <c r="D373" s="93" t="str">
        <f>HYPERLINK(VLOOKUP(C373,Video_List!$F:$J,5),"video")</f>
        <v>video</v>
      </c>
      <c r="E373" s="94" t="str">
        <f>IFERROR(IF(MATCH(C373,Video_List!$F:$F,)&gt;0,"ok",""),"error")</f>
        <v>ok</v>
      </c>
      <c r="F373" s="92" t="s">
        <v>632</v>
      </c>
      <c r="G373" s="93" t="str">
        <f>HYPERLINK(VLOOKUP(F373,Video_List!$F:$J,5),"video")</f>
        <v>video</v>
      </c>
      <c r="H373" s="94" t="str">
        <f>IFERROR(IF(MATCH(F373,Video_List!$F:$F,)&gt;0,"ok",""),"error")</f>
        <v>ok</v>
      </c>
      <c r="I373" s="17">
        <v>44418.88690972222</v>
      </c>
      <c r="J373" s="8">
        <v>44418.887106481481</v>
      </c>
      <c r="K373" s="15">
        <f t="shared" si="11"/>
        <v>1.9675926159834489E-4</v>
      </c>
      <c r="L373" s="95" t="s">
        <v>32</v>
      </c>
      <c r="M373" s="95" t="s">
        <v>33</v>
      </c>
      <c r="N373" s="96" t="str">
        <f>IF(ISBLANK(C373),"",IF(C373=F373, "1 video",CONCATENATE((+COUNTIFS(Video_List!$C:$C,"&lt;=" &amp;Monitoring!J373)-COUNTIFS(Video_List!$C:$C,"&lt;=" &amp;Monitoring!I373))+1," videos")))</f>
        <v>1 video</v>
      </c>
      <c r="O373" s="29" t="s">
        <v>44</v>
      </c>
      <c r="P373" s="43" t="s">
        <v>37</v>
      </c>
      <c r="Q373" s="43" t="s">
        <v>38</v>
      </c>
      <c r="R373" s="43" t="s">
        <v>39</v>
      </c>
      <c r="S373" s="97" t="str">
        <f>+IFERROR(IF(T373="#N/C","#N/C",IF(U373=0,INDEX(Taxonomy_UniqueValues!D:D,MATCH(U373,Taxonomy_UniqueValues!F:F,0)),INDEX(Taxonomy_UniqueValues!D:D,MATCH(T373,Taxonomy_UniqueValues!E:E,0)))),"#N/C")</f>
        <v>Muscomorpha</v>
      </c>
      <c r="T373" s="43" t="s">
        <v>175</v>
      </c>
      <c r="U373" s="43" t="s">
        <v>35</v>
      </c>
      <c r="V373" s="43" t="s">
        <v>35</v>
      </c>
      <c r="W373" s="43" t="s">
        <v>35</v>
      </c>
      <c r="X373" s="30" t="s">
        <v>35</v>
      </c>
      <c r="Y373" s="69" t="str" cm="1">
        <f t="array" ref="Y373">_xlfn.LET(_xlpm.cls,P373, _xlpm.ord,IFERROR(Q373,"#N/C"), _xlpm.subord,IFERROR(R373,"#N/C"), _xlpm.infr,IFERROR(S373,"#N/C"), _xlpm.sf,IFERROR(T373,"#N/C"), _xlpm.fam,IFERROR(U373,"#N/C"), _xlpm.subfam,IF(TRIM(V373)="-","#N/C",IFERROR(V373,"#N/C")),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_xlpm.fallback,IF(IFERROR(Q373,"#N/C")="#N/C",P373,IF(IFERROR(R373,"#N/C")="#N/C",Q373,IF(IFERROR(S373,"#N/C")="#N/C",R373,IF(IFERROR(T373,"#N/C")="#N/C",S373,IF(IFERROR(U373,"#N/C")="#N/C",T373,IF(IFERROR(V373,"#N/C")="#N/C",U373,"#N/C")))))), _xlpm.finalResult,IF(OR(_xlpm.computedResult="",_xlpm.computedResult="#N/C"),_xlpm.fallback,_xlpm.computedResult), INDEX(_xlpm.finalResult,1))</f>
        <v>Muscoidea</v>
      </c>
      <c r="Z373" s="116" t="str" cm="1">
        <f t="array" ref="Z373">IF(OR(Y373="Insecta",Y373="Arachnida",Y373="#N/C"),"",IFERROR(_xlfn.LET(_xlpm.fc,IFERROR(_xlfn._xlws.FILTER(ClassificationClasses[],ClassificationClasses[Classification Class]=Y373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373,ClassificationClasses[Key])),0),MATCH(Y373,INDEX(ClassificationClasses[],MATCH(TRUE,ISNUMBER(SEARCH(Y373,ClassificationClasses[Key])),0),0),0)-1)))</f>
        <v>Muscomorpha</v>
      </c>
      <c r="AA373" s="116" t="str" cm="1">
        <f t="array" ref="AA373">IFERROR(IF(OR(Z373="Insecta",Z373="Arachnida",Z373="#N/C"),"",INDEX(ClassificationClasses[[Class]:[Infraorder]],MATCH(TRUE,ISNUMBER(SEARCH(Z373,ClassificationClasses[Key])),0),MATCH(Z373,INDEX(ClassificationClasses[#Data], MATCH(TRUE,ISNUMBER(SEARCH(Z373,ClassificationClasses[Key])),0), 0), 0)-1)),"")</f>
        <v>Brachycera</v>
      </c>
      <c r="AB373" s="116" t="str" cm="1">
        <f t="array" ref="AB373">IFERROR(IF(OR(AA373="Insecta",AA373="Arachnida",AA373="#N/C"),"",INDEX(ClassificationClasses[[Class]:[Suborder]],MATCH(TRUE,ISNUMBER(SEARCH(AA373,ClassificationClasses[Key])),0),MATCH(AA373,INDEX(ClassificationClasses[#Data], MATCH(TRUE,ISNUMBER(SEARCH(AA373,ClassificationClasses[Key])),0), 0), 0)-1)),"")</f>
        <v>Diptera</v>
      </c>
      <c r="AC373" s="116" t="str" cm="1">
        <f t="array" ref="AC373">IFERROR(IF(OR(AB373="Insecta",AB373="Arachnida",AB373="#N/C"),"",INDEX(ClassificationClasses[[Class]:[Suborder]],MATCH(TRUE,ISNUMBER(SEARCH(AB373,ClassificationClasses[Key])),0),MATCH(AB373,INDEX(ClassificationClasses[#Data], MATCH(TRUE,ISNUMBER(SEARCH(AB373,ClassificationClasses[Key])),0), 0), 0)-1)),"")</f>
        <v>Insecta</v>
      </c>
      <c r="AD373" s="116" t="str" cm="1">
        <f t="array" ref="AD373">IFERROR(IF(OR(AC373="Insecta",AC373="Arachnida",AC373="#N/C"),"",INDEX(ClassificationClasses[[Class]:[Suborder]],MATCH(TRUE,ISNUMBER(SEARCH(AC373,ClassificationClasses[Key])),0),MATCH(AC373,INDEX(ClassificationClasses[#Data], MATCH(TRUE,ISNUMBER(SEARCH(AC373,ClassificationClasses[Key])),0), 0), 0)-1)),"")</f>
        <v/>
      </c>
      <c r="AE373" s="18" t="str">
        <f t="shared" si="12"/>
        <v>Insecta.Diptera.Brachycera.Muscomorpha.Muscoidea.#N/C.#N/C.#N/C.#N/C</v>
      </c>
    </row>
    <row r="374" spans="1:31" x14ac:dyDescent="0.3">
      <c r="A374" s="91">
        <v>373</v>
      </c>
      <c r="B374" s="7">
        <v>44418</v>
      </c>
      <c r="C374" s="92" t="s">
        <v>633</v>
      </c>
      <c r="D374" s="93" t="str">
        <f>HYPERLINK(VLOOKUP(C374,Video_List!$F:$J,5),"video")</f>
        <v>video</v>
      </c>
      <c r="E374" s="94" t="str">
        <f>IFERROR(IF(MATCH(C374,Video_List!$F:$F,)&gt;0,"ok",""),"error")</f>
        <v>ok</v>
      </c>
      <c r="F374" s="92" t="s">
        <v>633</v>
      </c>
      <c r="G374" s="93" t="str">
        <f>HYPERLINK(VLOOKUP(F374,Video_List!$F:$J,5),"video")</f>
        <v>video</v>
      </c>
      <c r="H374" s="94" t="str">
        <f>IFERROR(IF(MATCH(F374,Video_List!$F:$F,)&gt;0,"ok",""),"error")</f>
        <v>ok</v>
      </c>
      <c r="I374" s="17">
        <v>44418.888854166667</v>
      </c>
      <c r="J374" s="8">
        <v>44418.88921296296</v>
      </c>
      <c r="K374" s="15">
        <f t="shared" si="11"/>
        <v>3.5879629285773262E-4</v>
      </c>
      <c r="L374" s="4" t="s">
        <v>32</v>
      </c>
      <c r="M374" s="4" t="s">
        <v>33</v>
      </c>
      <c r="N374" s="96" t="str">
        <f>IF(ISBLANK(C374),"",IF(C374=F374, "1 video",CONCATENATE((+COUNTIFS(Video_List!$C:$C,"&lt;=" &amp;Monitoring!J374)-COUNTIFS(Video_List!$C:$C,"&lt;=" &amp;Monitoring!I374))+1," videos")))</f>
        <v>1 video</v>
      </c>
      <c r="O374" s="27" t="s">
        <v>32</v>
      </c>
      <c r="P374" s="43" t="s">
        <v>37</v>
      </c>
      <c r="Q374" s="43" t="s">
        <v>360</v>
      </c>
      <c r="R374" s="43" t="s">
        <v>361</v>
      </c>
      <c r="S374" s="97">
        <f>+IFERROR(IF(T374="#N/C","#N/C",IF(U374=0,INDEX(Taxonomy_UniqueValues!D:D,MATCH(U374,Taxonomy_UniqueValues!F:F,0)),INDEX(Taxonomy_UniqueValues!D:D,MATCH(T374,Taxonomy_UniqueValues!E:E,0)))),"#N/C")</f>
        <v>0</v>
      </c>
      <c r="T374" s="43" t="s">
        <v>362</v>
      </c>
      <c r="U374" s="43" t="s">
        <v>634</v>
      </c>
      <c r="V374" s="43" t="s">
        <v>635</v>
      </c>
      <c r="W374" s="43" t="s">
        <v>636</v>
      </c>
      <c r="X374" s="30" t="s">
        <v>637</v>
      </c>
      <c r="Y374" s="69" t="str" cm="1">
        <f t="array" ref="Y374">_xlfn.LET(_xlpm.cls,P374, _xlpm.ord,IFERROR(Q374,"#N/C"), _xlpm.subord,IFERROR(R374,"#N/C"), _xlpm.infr,IFERROR(S374,"#N/C"), _xlpm.sf,IFERROR(T374,"#N/C"), _xlpm.fam,IFERROR(U374,"#N/C"), _xlpm.subfam,IF(TRIM(V374)="-","#N/C",IFERROR(V374,"#N/C")),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_xlpm.fallback,IF(IFERROR(Q374,"#N/C")="#N/C",P374,IF(IFERROR(R374,"#N/C")="#N/C",Q374,IF(IFERROR(S374,"#N/C")="#N/C",R374,IF(IFERROR(T374,"#N/C")="#N/C",S374,IF(IFERROR(U374,"#N/C")="#N/C",T374,IF(IFERROR(V374,"#N/C")="#N/C",U374,"#N/C")))))), _xlpm.finalResult,IF(OR(_xlpm.computedResult="",_xlpm.computedResult="#N/C"),_xlpm.fallback,_xlpm.computedResult), INDEX(_xlpm.finalResult,1))</f>
        <v>lacewing</v>
      </c>
      <c r="Z374" s="116" t="str" cm="1">
        <f t="array" ref="Z374">IF(OR(Y374="Insecta",Y374="Arachnida",Y374="#N/C"),"",IFERROR(_xlfn.LET(_xlpm.fc,IFERROR(_xlfn._xlws.FILTER(ClassificationClasses[],ClassificationClasses[Classification Class]=Y374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374,ClassificationClasses[Key])),0),MATCH(Y374,INDEX(ClassificationClasses[],MATCH(TRUE,ISNUMBER(SEARCH(Y374,ClassificationClasses[Key])),0),0),0)-1)))</f>
        <v>Hemerobiiformia</v>
      </c>
      <c r="AA374" s="116" t="str" cm="1">
        <f t="array" ref="AA374">IFERROR(IF(OR(Z374="Insecta",Z374="Arachnida",Z374="#N/C"),"",INDEX(ClassificationClasses[[Class]:[Infraorder]],MATCH(TRUE,ISNUMBER(SEARCH(Z374,ClassificationClasses[Key])),0),MATCH(Z374,INDEX(ClassificationClasses[#Data], MATCH(TRUE,ISNUMBER(SEARCH(Z374,ClassificationClasses[Key])),0), 0), 0)-1)),"")</f>
        <v>Neuroptera</v>
      </c>
      <c r="AB374" s="116" t="str" cm="1">
        <f t="array" ref="AB374">IFERROR(IF(OR(AA374="Insecta",AA374="Arachnida",AA374="#N/C"),"",INDEX(ClassificationClasses[[Class]:[Suborder]],MATCH(TRUE,ISNUMBER(SEARCH(AA374,ClassificationClasses[Key])),0),MATCH(AA374,INDEX(ClassificationClasses[#Data], MATCH(TRUE,ISNUMBER(SEARCH(AA374,ClassificationClasses[Key])),0), 0), 0)-1)),"")</f>
        <v>Insecta</v>
      </c>
      <c r="AC374" s="116" t="str" cm="1">
        <f t="array" ref="AC374">IFERROR(IF(OR(AB374="Insecta",AB374="Arachnida",AB374="#N/C"),"",INDEX(ClassificationClasses[[Class]:[Suborder]],MATCH(TRUE,ISNUMBER(SEARCH(AB374,ClassificationClasses[Key])),0),MATCH(AB374,INDEX(ClassificationClasses[#Data], MATCH(TRUE,ISNUMBER(SEARCH(AB374,ClassificationClasses[Key])),0), 0), 0)-1)),"")</f>
        <v/>
      </c>
      <c r="AD374" s="116" t="str" cm="1">
        <f t="array" ref="AD374">IFERROR(IF(OR(AC374="Insecta",AC374="Arachnida",AC374="#N/C"),"",INDEX(ClassificationClasses[[Class]:[Suborder]],MATCH(TRUE,ISNUMBER(SEARCH(AC374,ClassificationClasses[Key])),0),MATCH(AC374,INDEX(ClassificationClasses[#Data], MATCH(TRUE,ISNUMBER(SEARCH(AC374,ClassificationClasses[Key])),0), 0), 0)-1)),"")</f>
        <v/>
      </c>
      <c r="AE374" s="18" t="str">
        <f t="shared" si="12"/>
        <v>Insecta.Neuroptera.Hemerobiiformia.0.Hemerobioidea.Hemerobiidae.Microminae.Micromus.angulatus</v>
      </c>
    </row>
    <row r="375" spans="1:31" x14ac:dyDescent="0.3">
      <c r="A375" s="91">
        <v>374</v>
      </c>
      <c r="B375" s="101">
        <v>44418</v>
      </c>
      <c r="C375" s="92" t="s">
        <v>638</v>
      </c>
      <c r="D375" s="93" t="str">
        <f>HYPERLINK(VLOOKUP(C375,Video_List!$F:$J,5),"video")</f>
        <v>video</v>
      </c>
      <c r="E375" s="94" t="str">
        <f>IFERROR(IF(MATCH(C375,Video_List!$F:$F,)&gt;0,"ok",""),"error")</f>
        <v>ok</v>
      </c>
      <c r="F375" s="92" t="s">
        <v>638</v>
      </c>
      <c r="G375" s="93" t="str">
        <f>HYPERLINK(VLOOKUP(F375,Video_List!$F:$J,5),"video")</f>
        <v>video</v>
      </c>
      <c r="H375" s="94" t="str">
        <f>IFERROR(IF(MATCH(F375,Video_List!$F:$F,)&gt;0,"ok",""),"error")</f>
        <v>ok</v>
      </c>
      <c r="I375" s="17">
        <v>44418.889548611114</v>
      </c>
      <c r="J375" s="8">
        <v>44418.892245370371</v>
      </c>
      <c r="K375" s="15">
        <f t="shared" si="11"/>
        <v>2.6967592566506937E-3</v>
      </c>
      <c r="L375" s="4" t="s">
        <v>32</v>
      </c>
      <c r="M375" s="4" t="s">
        <v>33</v>
      </c>
      <c r="N375" s="96" t="str">
        <f>IF(ISBLANK(C375),"",IF(C375=F375, "1 video",CONCATENATE((+COUNTIFS(Video_List!$C:$C,"&lt;=" &amp;Monitoring!J375)-COUNTIFS(Video_List!$C:$C,"&lt;=" &amp;Monitoring!I375))+1," videos")))</f>
        <v>1 video</v>
      </c>
      <c r="O375" s="27" t="s">
        <v>32</v>
      </c>
      <c r="P375" s="43" t="s">
        <v>37</v>
      </c>
      <c r="Q375" s="43" t="s">
        <v>38</v>
      </c>
      <c r="R375" s="43" t="s">
        <v>39</v>
      </c>
      <c r="S375" s="97" t="str">
        <f>+IFERROR(IF(T375="#N/C","#N/C",IF(U375=0,INDEX(Taxonomy_UniqueValues!D:D,MATCH(U375,Taxonomy_UniqueValues!F:F,0)),INDEX(Taxonomy_UniqueValues!D:D,MATCH(T375,Taxonomy_UniqueValues!E:E,0)))),"#N/C")</f>
        <v>Muscomorpha</v>
      </c>
      <c r="T375" s="43" t="s">
        <v>161</v>
      </c>
      <c r="U375" s="43" t="s">
        <v>639</v>
      </c>
      <c r="V375" s="43" t="s">
        <v>640</v>
      </c>
      <c r="W375" s="43" t="s">
        <v>641</v>
      </c>
      <c r="X375" s="30" t="s">
        <v>35</v>
      </c>
      <c r="Y375" s="69" t="str" cm="1">
        <f t="array" ref="Y375">_xlfn.LET(_xlpm.cls,P375, _xlpm.ord,IFERROR(Q375,"#N/C"), _xlpm.subord,IFERROR(R375,"#N/C"), _xlpm.infr,IFERROR(S375,"#N/C"), _xlpm.sf,IFERROR(T375,"#N/C"), _xlpm.fam,IFERROR(U375,"#N/C"), _xlpm.subfam,IF(TRIM(V375)="-","#N/C",IFERROR(V375,"#N/C")),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_xlpm.fallback,IF(IFERROR(Q375,"#N/C")="#N/C",P375,IF(IFERROR(R375,"#N/C")="#N/C",Q375,IF(IFERROR(S375,"#N/C")="#N/C",R375,IF(IFERROR(T375,"#N/C")="#N/C",S375,IF(IFERROR(U375,"#N/C")="#N/C",T375,IF(IFERROR(V375,"#N/C")="#N/C",U375,"#N/C")))))), _xlpm.finalResult,IF(OR(_xlpm.computedResult="",_xlpm.computedResult="#N/C"),_xlpm.fallback,_xlpm.computedResult), INDEX(_xlpm.finalResult,1))</f>
        <v>marsh_fly</v>
      </c>
      <c r="Z375" s="116" t="str" cm="1">
        <f t="array" ref="Z375">IF(OR(Y375="Insecta",Y375="Arachnida",Y375="#N/C"),"",IFERROR(_xlfn.LET(_xlpm.fc,IFERROR(_xlfn._xlws.FILTER(ClassificationClasses[],ClassificationClasses[Classification Class]=Y375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375,ClassificationClasses[Key])),0),MATCH(Y375,INDEX(ClassificationClasses[],MATCH(TRUE,ISNUMBER(SEARCH(Y375,ClassificationClasses[Key])),0),0),0)-1)))</f>
        <v>Muscomorpha</v>
      </c>
      <c r="AA375" s="116" t="str" cm="1">
        <f t="array" ref="AA375">IFERROR(IF(OR(Z375="Insecta",Z375="Arachnida",Z375="#N/C"),"",INDEX(ClassificationClasses[[Class]:[Infraorder]],MATCH(TRUE,ISNUMBER(SEARCH(Z375,ClassificationClasses[Key])),0),MATCH(Z375,INDEX(ClassificationClasses[#Data], MATCH(TRUE,ISNUMBER(SEARCH(Z375,ClassificationClasses[Key])),0), 0), 0)-1)),"")</f>
        <v>Brachycera</v>
      </c>
      <c r="AB375" s="116" t="str" cm="1">
        <f t="array" ref="AB375">IFERROR(IF(OR(AA375="Insecta",AA375="Arachnida",AA375="#N/C"),"",INDEX(ClassificationClasses[[Class]:[Suborder]],MATCH(TRUE,ISNUMBER(SEARCH(AA375,ClassificationClasses[Key])),0),MATCH(AA375,INDEX(ClassificationClasses[#Data], MATCH(TRUE,ISNUMBER(SEARCH(AA375,ClassificationClasses[Key])),0), 0), 0)-1)),"")</f>
        <v>Diptera</v>
      </c>
      <c r="AC375" s="116" t="str" cm="1">
        <f t="array" ref="AC375">IFERROR(IF(OR(AB375="Insecta",AB375="Arachnida",AB375="#N/C"),"",INDEX(ClassificationClasses[[Class]:[Suborder]],MATCH(TRUE,ISNUMBER(SEARCH(AB375,ClassificationClasses[Key])),0),MATCH(AB375,INDEX(ClassificationClasses[#Data], MATCH(TRUE,ISNUMBER(SEARCH(AB375,ClassificationClasses[Key])),0), 0), 0)-1)),"")</f>
        <v>Insecta</v>
      </c>
      <c r="AD375" s="116" t="str" cm="1">
        <f t="array" ref="AD375">IFERROR(IF(OR(AC375="Insecta",AC375="Arachnida",AC375="#N/C"),"",INDEX(ClassificationClasses[[Class]:[Suborder]],MATCH(TRUE,ISNUMBER(SEARCH(AC375,ClassificationClasses[Key])),0),MATCH(AC375,INDEX(ClassificationClasses[#Data], MATCH(TRUE,ISNUMBER(SEARCH(AC375,ClassificationClasses[Key])),0), 0), 0)-1)),"")</f>
        <v/>
      </c>
      <c r="AE375" s="18" t="str">
        <f t="shared" si="12"/>
        <v>Insecta.Diptera.Brachycera.Muscomorpha.Sciomyzoidea.Sciomyzidae.Sciomyzinae.Tetanocera.#N/C</v>
      </c>
    </row>
    <row r="376" spans="1:31" x14ac:dyDescent="0.3">
      <c r="A376" s="91">
        <v>375</v>
      </c>
      <c r="B376" s="101">
        <v>44418</v>
      </c>
      <c r="C376" s="92" t="s">
        <v>638</v>
      </c>
      <c r="D376" s="93" t="str">
        <f>HYPERLINK(VLOOKUP(C376,Video_List!$F:$J,5),"video")</f>
        <v>video</v>
      </c>
      <c r="E376" s="94" t="str">
        <f>IFERROR(IF(MATCH(C376,Video_List!$F:$F,)&gt;0,"ok",""),"error")</f>
        <v>ok</v>
      </c>
      <c r="F376" s="92" t="s">
        <v>638</v>
      </c>
      <c r="G376" s="93" t="str">
        <f>HYPERLINK(VLOOKUP(F376,Video_List!$F:$J,5),"video")</f>
        <v>video</v>
      </c>
      <c r="H376" s="94" t="str">
        <f>IFERROR(IF(MATCH(F376,Video_List!$F:$F,)&gt;0,"ok",""),"error")</f>
        <v>ok</v>
      </c>
      <c r="I376" s="17">
        <v>44418.890752314815</v>
      </c>
      <c r="J376" s="8">
        <v>44418.8909375</v>
      </c>
      <c r="K376" s="15">
        <f t="shared" si="11"/>
        <v>1.8518518481869251E-4</v>
      </c>
      <c r="L376" s="4" t="s">
        <v>32</v>
      </c>
      <c r="M376" s="4" t="s">
        <v>33</v>
      </c>
      <c r="N376" s="96" t="str">
        <f>IF(ISBLANK(C376),"",IF(C376=F376, "1 video",CONCATENATE((+COUNTIFS(Video_List!$C:$C,"&lt;=" &amp;Monitoring!J376)-COUNTIFS(Video_List!$C:$C,"&lt;=" &amp;Monitoring!I376))+1," videos")))</f>
        <v>1 video</v>
      </c>
      <c r="O376" s="27" t="s">
        <v>32</v>
      </c>
      <c r="P376" s="43" t="s">
        <v>37</v>
      </c>
      <c r="Q376" s="43" t="s">
        <v>38</v>
      </c>
      <c r="R376" s="43" t="s">
        <v>39</v>
      </c>
      <c r="S376" s="97" t="str">
        <f>+IFERROR(IF(T376="#N/C","#N/C",IF(U376=0,INDEX(Taxonomy_UniqueValues!D:D,MATCH(U376,Taxonomy_UniqueValues!F:F,0)),INDEX(Taxonomy_UniqueValues!D:D,MATCH(T376,Taxonomy_UniqueValues!E:E,0)))),"#N/C")</f>
        <v>Tabanomorpha</v>
      </c>
      <c r="T376" s="43" t="s">
        <v>642</v>
      </c>
      <c r="U376" s="43" t="s">
        <v>643</v>
      </c>
      <c r="V376" s="43" t="s">
        <v>644</v>
      </c>
      <c r="W376" s="43" t="s">
        <v>645</v>
      </c>
      <c r="X376" s="30" t="s">
        <v>646</v>
      </c>
      <c r="Y376" s="69" t="str" cm="1">
        <f t="array" ref="Y376">_xlfn.LET(_xlpm.cls,P376, _xlpm.ord,IFERROR(Q376,"#N/C"), _xlpm.subord,IFERROR(R376,"#N/C"), _xlpm.infr,IFERROR(S376,"#N/C"), _xlpm.sf,IFERROR(T376,"#N/C"), _xlpm.fam,IFERROR(U376,"#N/C"), _xlpm.subfam,IF(TRIM(V376)="-","#N/C",IFERROR(V376,"#N/C")),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_xlpm.fallback,IF(IFERROR(Q376,"#N/C")="#N/C",P376,IF(IFERROR(R376,"#N/C")="#N/C",Q376,IF(IFERROR(S376,"#N/C")="#N/C",R376,IF(IFERROR(T376,"#N/C")="#N/C",S376,IF(IFERROR(U376,"#N/C")="#N/C",T376,IF(IFERROR(V376,"#N/C")="#N/C",U376,"#N/C")))))), _xlpm.finalResult,IF(OR(_xlpm.computedResult="",_xlpm.computedResult="#N/C"),_xlpm.fallback,_xlpm.computedResult), INDEX(_xlpm.finalResult,1))</f>
        <v>snipe_fly</v>
      </c>
      <c r="Z376" s="116" t="str" cm="1">
        <f t="array" ref="Z376">IF(OR(Y376="Insecta",Y376="Arachnida",Y376="#N/C"),"",IFERROR(_xlfn.LET(_xlpm.fc,IFERROR(_xlfn._xlws.FILTER(ClassificationClasses[],ClassificationClasses[Classification Class]=Y376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376,ClassificationClasses[Key])),0),MATCH(Y376,INDEX(ClassificationClasses[],MATCH(TRUE,ISNUMBER(SEARCH(Y376,ClassificationClasses[Key])),0),0),0)-1)))</f>
        <v>Tabanomorpha</v>
      </c>
      <c r="AA376" s="116" t="str" cm="1">
        <f t="array" ref="AA376">IFERROR(IF(OR(Z376="Insecta",Z376="Arachnida",Z376="#N/C"),"",INDEX(ClassificationClasses[[Class]:[Infraorder]],MATCH(TRUE,ISNUMBER(SEARCH(Z376,ClassificationClasses[Key])),0),MATCH(Z376,INDEX(ClassificationClasses[#Data], MATCH(TRUE,ISNUMBER(SEARCH(Z376,ClassificationClasses[Key])),0), 0), 0)-1)),"")</f>
        <v>Brachycera</v>
      </c>
      <c r="AB376" s="116" t="str" cm="1">
        <f t="array" ref="AB376">IFERROR(IF(OR(AA376="Insecta",AA376="Arachnida",AA376="#N/C"),"",INDEX(ClassificationClasses[[Class]:[Suborder]],MATCH(TRUE,ISNUMBER(SEARCH(AA376,ClassificationClasses[Key])),0),MATCH(AA376,INDEX(ClassificationClasses[#Data], MATCH(TRUE,ISNUMBER(SEARCH(AA376,ClassificationClasses[Key])),0), 0), 0)-1)),"")</f>
        <v>Diptera</v>
      </c>
      <c r="AC376" s="116" t="str" cm="1">
        <f t="array" ref="AC376">IFERROR(IF(OR(AB376="Insecta",AB376="Arachnida",AB376="#N/C"),"",INDEX(ClassificationClasses[[Class]:[Suborder]],MATCH(TRUE,ISNUMBER(SEARCH(AB376,ClassificationClasses[Key])),0),MATCH(AB376,INDEX(ClassificationClasses[#Data], MATCH(TRUE,ISNUMBER(SEARCH(AB376,ClassificationClasses[Key])),0), 0), 0)-1)),"")</f>
        <v>Insecta</v>
      </c>
      <c r="AD376" s="116" t="str" cm="1">
        <f t="array" ref="AD376">IFERROR(IF(OR(AC376="Insecta",AC376="Arachnida",AC376="#N/C"),"",INDEX(ClassificationClasses[[Class]:[Suborder]],MATCH(TRUE,ISNUMBER(SEARCH(AC376,ClassificationClasses[Key])),0),MATCH(AC376,INDEX(ClassificationClasses[#Data], MATCH(TRUE,ISNUMBER(SEARCH(AC376,ClassificationClasses[Key])),0), 0), 0)-1)),"")</f>
        <v/>
      </c>
      <c r="AE376" s="18" t="str">
        <f t="shared" si="12"/>
        <v>Insecta.Diptera.Brachycera.Tabanomorpha.Rhagionoidea.Rhagionidae.Rhagioninae.Rhagio.tringarius</v>
      </c>
    </row>
    <row r="377" spans="1:31" x14ac:dyDescent="0.3">
      <c r="A377" s="91">
        <v>376</v>
      </c>
      <c r="B377" s="101">
        <v>44418</v>
      </c>
      <c r="C377" s="92" t="s">
        <v>638</v>
      </c>
      <c r="D377" s="93" t="str">
        <f>HYPERLINK(VLOOKUP(C377,Video_List!$F:$J,5),"video")</f>
        <v>video</v>
      </c>
      <c r="E377" s="94" t="str">
        <f>IFERROR(IF(MATCH(C377,Video_List!$F:$F,)&gt;0,"ok",""),"error")</f>
        <v>ok</v>
      </c>
      <c r="F377" s="92" t="s">
        <v>638</v>
      </c>
      <c r="G377" s="93" t="str">
        <f>HYPERLINK(VLOOKUP(F377,Video_List!$F:$J,5),"video")</f>
        <v>video</v>
      </c>
      <c r="H377" s="94" t="str">
        <f>IFERROR(IF(MATCH(F377,Video_List!$F:$F,)&gt;0,"ok",""),"error")</f>
        <v>ok</v>
      </c>
      <c r="I377" s="17">
        <v>44418.892372685186</v>
      </c>
      <c r="J377" s="8">
        <v>44418.892777777779</v>
      </c>
      <c r="K377" s="15">
        <f t="shared" si="11"/>
        <v>4.0509259270038456E-4</v>
      </c>
      <c r="L377" s="4" t="s">
        <v>32</v>
      </c>
      <c r="M377" s="4" t="s">
        <v>33</v>
      </c>
      <c r="N377" s="96" t="str">
        <f>IF(ISBLANK(C377),"",IF(C377=F377, "1 video",CONCATENATE((+COUNTIFS(Video_List!$C:$C,"&lt;=" &amp;Monitoring!J377)-COUNTIFS(Video_List!$C:$C,"&lt;=" &amp;Monitoring!I377))+1," videos")))</f>
        <v>1 video</v>
      </c>
      <c r="O377" s="27" t="s">
        <v>32</v>
      </c>
      <c r="P377" s="43" t="s">
        <v>37</v>
      </c>
      <c r="Q377" s="43" t="s">
        <v>38</v>
      </c>
      <c r="R377" s="43" t="s">
        <v>39</v>
      </c>
      <c r="S377" s="97" t="str">
        <f>+IFERROR(IF(T377="#N/C","#N/C",IF(U377=0,INDEX(Taxonomy_UniqueValues!D:D,MATCH(U377,Taxonomy_UniqueValues!F:F,0)),INDEX(Taxonomy_UniqueValues!D:D,MATCH(T377,Taxonomy_UniqueValues!E:E,0)))),"#N/C")</f>
        <v>Muscomorpha</v>
      </c>
      <c r="T377" s="43" t="s">
        <v>175</v>
      </c>
      <c r="U377" s="43" t="s">
        <v>495</v>
      </c>
      <c r="V377" s="43" t="s">
        <v>35</v>
      </c>
      <c r="W377" s="43" t="s">
        <v>35</v>
      </c>
      <c r="X377" s="30" t="s">
        <v>35</v>
      </c>
      <c r="Y377" s="69" t="str" cm="1">
        <f t="array" ref="Y377">_xlfn.LET(_xlpm.cls,P377, _xlpm.ord,IFERROR(Q377,"#N/C"), _xlpm.subord,IFERROR(R377,"#N/C"), _xlpm.infr,IFERROR(S377,"#N/C"), _xlpm.sf,IFERROR(T377,"#N/C"), _xlpm.fam,IFERROR(U377,"#N/C"), _xlpm.subfam,IF(TRIM(V377)="-","#N/C",IFERROR(V377,"#N/C")),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_xlpm.fallback,IF(IFERROR(Q377,"#N/C")="#N/C",P377,IF(IFERROR(R377,"#N/C")="#N/C",Q377,IF(IFERROR(S377,"#N/C")="#N/C",R377,IF(IFERROR(T377,"#N/C")="#N/C",S377,IF(IFERROR(U377,"#N/C")="#N/C",T377,IF(IFERROR(V377,"#N/C")="#N/C",U377,"#N/C")))))), _xlpm.finalResult,IF(OR(_xlpm.computedResult="",_xlpm.computedResult="#N/C"),_xlpm.fallback,_xlpm.computedResult), INDEX(_xlpm.finalResult,1))</f>
        <v>fly</v>
      </c>
      <c r="Z377" s="116" t="str" cm="1">
        <f t="array" ref="Z377">IF(OR(Y377="Insecta",Y377="Arachnida",Y377="#N/C"),"",IFERROR(_xlfn.LET(_xlpm.fc,IFERROR(_xlfn._xlws.FILTER(ClassificationClasses[],ClassificationClasses[Classification Class]=Y377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377,ClassificationClasses[Key])),0),MATCH(Y377,INDEX(ClassificationClasses[],MATCH(TRUE,ISNUMBER(SEARCH(Y377,ClassificationClasses[Key])),0),0),0)-1)))</f>
        <v>Muscomorpha</v>
      </c>
      <c r="AA377" s="116" t="str" cm="1">
        <f t="array" ref="AA377">IFERROR(IF(OR(Z377="Insecta",Z377="Arachnida",Z377="#N/C"),"",INDEX(ClassificationClasses[[Class]:[Infraorder]],MATCH(TRUE,ISNUMBER(SEARCH(Z377,ClassificationClasses[Key])),0),MATCH(Z377,INDEX(ClassificationClasses[#Data], MATCH(TRUE,ISNUMBER(SEARCH(Z377,ClassificationClasses[Key])),0), 0), 0)-1)),"")</f>
        <v>Brachycera</v>
      </c>
      <c r="AB377" s="116" t="str" cm="1">
        <f t="array" ref="AB377">IFERROR(IF(OR(AA377="Insecta",AA377="Arachnida",AA377="#N/C"),"",INDEX(ClassificationClasses[[Class]:[Suborder]],MATCH(TRUE,ISNUMBER(SEARCH(AA377,ClassificationClasses[Key])),0),MATCH(AA377,INDEX(ClassificationClasses[#Data], MATCH(TRUE,ISNUMBER(SEARCH(AA377,ClassificationClasses[Key])),0), 0), 0)-1)),"")</f>
        <v>Diptera</v>
      </c>
      <c r="AC377" s="116" t="str" cm="1">
        <f t="array" ref="AC377">IFERROR(IF(OR(AB377="Insecta",AB377="Arachnida",AB377="#N/C"),"",INDEX(ClassificationClasses[[Class]:[Suborder]],MATCH(TRUE,ISNUMBER(SEARCH(AB377,ClassificationClasses[Key])),0),MATCH(AB377,INDEX(ClassificationClasses[#Data], MATCH(TRUE,ISNUMBER(SEARCH(AB377,ClassificationClasses[Key])),0), 0), 0)-1)),"")</f>
        <v>Insecta</v>
      </c>
      <c r="AD377" s="116" t="str" cm="1">
        <f t="array" ref="AD377">IFERROR(IF(OR(AC377="Insecta",AC377="Arachnida",AC377="#N/C"),"",INDEX(ClassificationClasses[[Class]:[Suborder]],MATCH(TRUE,ISNUMBER(SEARCH(AC377,ClassificationClasses[Key])),0),MATCH(AC377,INDEX(ClassificationClasses[#Data], MATCH(TRUE,ISNUMBER(SEARCH(AC377,ClassificationClasses[Key])),0), 0), 0)-1)),"")</f>
        <v/>
      </c>
      <c r="AE377" s="18" t="str">
        <f t="shared" si="12"/>
        <v>Insecta.Diptera.Brachycera.Muscomorpha.Muscoidea.Muscidae.#N/C.#N/C.#N/C</v>
      </c>
    </row>
    <row r="378" spans="1:31" x14ac:dyDescent="0.3">
      <c r="A378" s="91">
        <v>377</v>
      </c>
      <c r="B378" s="101">
        <v>44418</v>
      </c>
      <c r="C378" s="92" t="s">
        <v>647</v>
      </c>
      <c r="D378" s="93" t="str">
        <f>HYPERLINK(VLOOKUP(C378,Video_List!$F:$J,5),"video")</f>
        <v>video</v>
      </c>
      <c r="E378" s="94" t="str">
        <f>IFERROR(IF(MATCH(C378,Video_List!$F:$F,)&gt;0,"ok",""),"error")</f>
        <v>ok</v>
      </c>
      <c r="F378" s="92" t="s">
        <v>647</v>
      </c>
      <c r="G378" s="93" t="str">
        <f>HYPERLINK(VLOOKUP(F378,Video_List!$F:$J,5),"video")</f>
        <v>video</v>
      </c>
      <c r="H378" s="94" t="str">
        <f>IFERROR(IF(MATCH(F378,Video_List!$F:$F,)&gt;0,"ok",""),"error")</f>
        <v>ok</v>
      </c>
      <c r="I378" s="17">
        <v>44418.893148148149</v>
      </c>
      <c r="J378" s="8">
        <v>44418.893831018519</v>
      </c>
      <c r="K378" s="15">
        <f t="shared" si="11"/>
        <v>6.8287036992842332E-4</v>
      </c>
      <c r="L378" s="95" t="s">
        <v>32</v>
      </c>
      <c r="M378" s="95" t="s">
        <v>33</v>
      </c>
      <c r="N378" s="96" t="str">
        <f>IF(ISBLANK(C378),"",IF(C378=F378, "1 video",CONCATENATE((+COUNTIFS(Video_List!$C:$C,"&lt;=" &amp;Monitoring!J378)-COUNTIFS(Video_List!$C:$C,"&lt;=" &amp;Monitoring!I378))+1," videos")))</f>
        <v>1 video</v>
      </c>
      <c r="O378" s="29" t="s">
        <v>44</v>
      </c>
      <c r="P378" s="43" t="s">
        <v>37</v>
      </c>
      <c r="Q378" s="43" t="s">
        <v>38</v>
      </c>
      <c r="R378" s="43" t="s">
        <v>39</v>
      </c>
      <c r="S378" s="97" t="str">
        <f>+IFERROR(IF(T378="#N/C","#N/C",IF(U378=0,INDEX(Taxonomy_UniqueValues!D:D,MATCH(U378,Taxonomy_UniqueValues!F:F,0)),INDEX(Taxonomy_UniqueValues!D:D,MATCH(T378,Taxonomy_UniqueValues!E:E,0)))),"#N/C")</f>
        <v>Muscomorpha</v>
      </c>
      <c r="T378" s="43" t="s">
        <v>175</v>
      </c>
      <c r="U378" s="43" t="s">
        <v>495</v>
      </c>
      <c r="V378" s="43" t="s">
        <v>35</v>
      </c>
      <c r="W378" s="43" t="s">
        <v>35</v>
      </c>
      <c r="X378" s="30" t="s">
        <v>35</v>
      </c>
      <c r="Y378" s="69" t="str" cm="1">
        <f t="array" ref="Y378">_xlfn.LET(_xlpm.cls,P378, _xlpm.ord,IFERROR(Q378,"#N/C"), _xlpm.subord,IFERROR(R378,"#N/C"), _xlpm.infr,IFERROR(S378,"#N/C"), _xlpm.sf,IFERROR(T378,"#N/C"), _xlpm.fam,IFERROR(U378,"#N/C"), _xlpm.subfam,IF(TRIM(V378)="-","#N/C",IFERROR(V378,"#N/C")),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_xlpm.fallback,IF(IFERROR(Q378,"#N/C")="#N/C",P378,IF(IFERROR(R378,"#N/C")="#N/C",Q378,IF(IFERROR(S378,"#N/C")="#N/C",R378,IF(IFERROR(T378,"#N/C")="#N/C",S378,IF(IFERROR(U378,"#N/C")="#N/C",T378,IF(IFERROR(V378,"#N/C")="#N/C",U378,"#N/C")))))), _xlpm.finalResult,IF(OR(_xlpm.computedResult="",_xlpm.computedResult="#N/C"),_xlpm.fallback,_xlpm.computedResult), INDEX(_xlpm.finalResult,1))</f>
        <v>fly</v>
      </c>
      <c r="Z378" s="116" t="str" cm="1">
        <f t="array" ref="Z378">IF(OR(Y378="Insecta",Y378="Arachnida",Y378="#N/C"),"",IFERROR(_xlfn.LET(_xlpm.fc,IFERROR(_xlfn._xlws.FILTER(ClassificationClasses[],ClassificationClasses[Classification Class]=Y378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378,ClassificationClasses[Key])),0),MATCH(Y378,INDEX(ClassificationClasses[],MATCH(TRUE,ISNUMBER(SEARCH(Y378,ClassificationClasses[Key])),0),0),0)-1)))</f>
        <v>Muscomorpha</v>
      </c>
      <c r="AA378" s="116" t="str" cm="1">
        <f t="array" ref="AA378">IFERROR(IF(OR(Z378="Insecta",Z378="Arachnida",Z378="#N/C"),"",INDEX(ClassificationClasses[[Class]:[Infraorder]],MATCH(TRUE,ISNUMBER(SEARCH(Z378,ClassificationClasses[Key])),0),MATCH(Z378,INDEX(ClassificationClasses[#Data], MATCH(TRUE,ISNUMBER(SEARCH(Z378,ClassificationClasses[Key])),0), 0), 0)-1)),"")</f>
        <v>Brachycera</v>
      </c>
      <c r="AB378" s="116" t="str" cm="1">
        <f t="array" ref="AB378">IFERROR(IF(OR(AA378="Insecta",AA378="Arachnida",AA378="#N/C"),"",INDEX(ClassificationClasses[[Class]:[Suborder]],MATCH(TRUE,ISNUMBER(SEARCH(AA378,ClassificationClasses[Key])),0),MATCH(AA378,INDEX(ClassificationClasses[#Data], MATCH(TRUE,ISNUMBER(SEARCH(AA378,ClassificationClasses[Key])),0), 0), 0)-1)),"")</f>
        <v>Diptera</v>
      </c>
      <c r="AC378" s="116" t="str" cm="1">
        <f t="array" ref="AC378">IFERROR(IF(OR(AB378="Insecta",AB378="Arachnida",AB378="#N/C"),"",INDEX(ClassificationClasses[[Class]:[Suborder]],MATCH(TRUE,ISNUMBER(SEARCH(AB378,ClassificationClasses[Key])),0),MATCH(AB378,INDEX(ClassificationClasses[#Data], MATCH(TRUE,ISNUMBER(SEARCH(AB378,ClassificationClasses[Key])),0), 0), 0)-1)),"")</f>
        <v>Insecta</v>
      </c>
      <c r="AD378" s="116" t="str" cm="1">
        <f t="array" ref="AD378">IFERROR(IF(OR(AC378="Insecta",AC378="Arachnida",AC378="#N/C"),"",INDEX(ClassificationClasses[[Class]:[Suborder]],MATCH(TRUE,ISNUMBER(SEARCH(AC378,ClassificationClasses[Key])),0),MATCH(AC378,INDEX(ClassificationClasses[#Data], MATCH(TRUE,ISNUMBER(SEARCH(AC378,ClassificationClasses[Key])),0), 0), 0)-1)),"")</f>
        <v/>
      </c>
      <c r="AE378" s="18" t="str">
        <f t="shared" si="12"/>
        <v>Insecta.Diptera.Brachycera.Muscomorpha.Muscoidea.Muscidae.#N/C.#N/C.#N/C</v>
      </c>
    </row>
    <row r="379" spans="1:31" x14ac:dyDescent="0.3">
      <c r="A379" s="91">
        <v>378</v>
      </c>
      <c r="B379" s="101">
        <v>44418</v>
      </c>
      <c r="C379" s="92" t="s">
        <v>648</v>
      </c>
      <c r="D379" s="93" t="str">
        <f>HYPERLINK(VLOOKUP(C379,Video_List!$F:$J,5),"video")</f>
        <v>video</v>
      </c>
      <c r="E379" s="94" t="str">
        <f>IFERROR(IF(MATCH(C379,Video_List!$F:$F,)&gt;0,"ok",""),"error")</f>
        <v>ok</v>
      </c>
      <c r="F379" s="92" t="s">
        <v>648</v>
      </c>
      <c r="G379" s="93" t="str">
        <f>HYPERLINK(VLOOKUP(F379,Video_List!$F:$J,5),"video")</f>
        <v>video</v>
      </c>
      <c r="H379" s="94" t="str">
        <f>IFERROR(IF(MATCH(F379,Video_List!$F:$F,)&gt;0,"ok",""),"error")</f>
        <v>ok</v>
      </c>
      <c r="I379" s="17">
        <v>44418.894652777781</v>
      </c>
      <c r="J379" s="8">
        <v>44418.89471064815</v>
      </c>
      <c r="K379" s="15">
        <f t="shared" si="11"/>
        <v>5.7870369346346706E-5</v>
      </c>
      <c r="L379" s="95" t="s">
        <v>32</v>
      </c>
      <c r="M379" s="95" t="s">
        <v>33</v>
      </c>
      <c r="N379" s="96" t="str">
        <f>IF(ISBLANK(C379),"",IF(C379=F379, "1 video",CONCATENATE((+COUNTIFS(Video_List!$C:$C,"&lt;=" &amp;Monitoring!J379)-COUNTIFS(Video_List!$C:$C,"&lt;=" &amp;Monitoring!I379))+1," videos")))</f>
        <v>1 video</v>
      </c>
      <c r="O379" s="29" t="s">
        <v>44</v>
      </c>
      <c r="P379" s="43" t="s">
        <v>37</v>
      </c>
      <c r="Q379" s="43" t="s">
        <v>56</v>
      </c>
      <c r="R379" s="43" t="s">
        <v>35</v>
      </c>
      <c r="S379" s="97" t="str">
        <f>+IFERROR(IF(T379="#N/C","#N/C",IF(U379=0,INDEX(Taxonomy_UniqueValues!D:D,MATCH(U379,Taxonomy_UniqueValues!F:F,0)),INDEX(Taxonomy_UniqueValues!D:D,MATCH(T379,Taxonomy_UniqueValues!E:E,0)))),"#N/C")</f>
        <v>#N/C</v>
      </c>
      <c r="T379" s="43" t="s">
        <v>35</v>
      </c>
      <c r="U379" s="43" t="s">
        <v>35</v>
      </c>
      <c r="V379" s="43" t="s">
        <v>35</v>
      </c>
      <c r="W379" s="43" t="s">
        <v>35</v>
      </c>
      <c r="X379" s="30" t="s">
        <v>35</v>
      </c>
      <c r="Y379" s="69" t="str" cm="1">
        <f t="array" ref="Y379">_xlfn.LET(_xlpm.cls,P379, _xlpm.ord,IFERROR(Q379,"#N/C"), _xlpm.subord,IFERROR(R379,"#N/C"), _xlpm.infr,IFERROR(S379,"#N/C"), _xlpm.sf,IFERROR(T379,"#N/C"), _xlpm.fam,IFERROR(U379,"#N/C"), _xlpm.subfam,IF(TRIM(V379)="-","#N/C",IFERROR(V379,"#N/C")),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_xlpm.fallback,IF(IFERROR(Q379,"#N/C")="#N/C",P379,IF(IFERROR(R379,"#N/C")="#N/C",Q379,IF(IFERROR(S379,"#N/C")="#N/C",R379,IF(IFERROR(T379,"#N/C")="#N/C",S379,IF(IFERROR(U379,"#N/C")="#N/C",T379,IF(IFERROR(V379,"#N/C")="#N/C",U379,"#N/C")))))), _xlpm.finalResult,IF(OR(_xlpm.computedResult="",_xlpm.computedResult="#N/C"),_xlpm.fallback,_xlpm.computedResult), INDEX(_xlpm.finalResult,1))</f>
        <v>Lepidoptera</v>
      </c>
      <c r="Z379" s="116" t="str" cm="1">
        <f t="array" ref="Z379">IF(OR(Y379="Insecta",Y379="Arachnida",Y379="#N/C"),"",IFERROR(_xlfn.LET(_xlpm.fc,IFERROR(_xlfn._xlws.FILTER(ClassificationClasses[],ClassificationClasses[Classification Class]=Y379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379,ClassificationClasses[Key])),0),MATCH(Y379,INDEX(ClassificationClasses[],MATCH(TRUE,ISNUMBER(SEARCH(Y379,ClassificationClasses[Key])),0),0),0)-1)))</f>
        <v>Insecta</v>
      </c>
      <c r="AA379" s="116" t="str" cm="1">
        <f t="array" ref="AA379">IFERROR(IF(OR(Z379="Insecta",Z379="Arachnida",Z379="#N/C"),"",INDEX(ClassificationClasses[[Class]:[Infraorder]],MATCH(TRUE,ISNUMBER(SEARCH(Z379,ClassificationClasses[Key])),0),MATCH(Z379,INDEX(ClassificationClasses[#Data], MATCH(TRUE,ISNUMBER(SEARCH(Z379,ClassificationClasses[Key])),0), 0), 0)-1)),"")</f>
        <v/>
      </c>
      <c r="AB379" s="116" t="str" cm="1">
        <f t="array" ref="AB379">IFERROR(IF(OR(AA379="Insecta",AA379="Arachnida",AA379="#N/C"),"",INDEX(ClassificationClasses[[Class]:[Suborder]],MATCH(TRUE,ISNUMBER(SEARCH(AA379,ClassificationClasses[Key])),0),MATCH(AA379,INDEX(ClassificationClasses[#Data], MATCH(TRUE,ISNUMBER(SEARCH(AA379,ClassificationClasses[Key])),0), 0), 0)-1)),"")</f>
        <v/>
      </c>
      <c r="AC379" s="116" t="str" cm="1">
        <f t="array" ref="AC379">IFERROR(IF(OR(AB379="Insecta",AB379="Arachnida",AB379="#N/C"),"",INDEX(ClassificationClasses[[Class]:[Suborder]],MATCH(TRUE,ISNUMBER(SEARCH(AB379,ClassificationClasses[Key])),0),MATCH(AB379,INDEX(ClassificationClasses[#Data], MATCH(TRUE,ISNUMBER(SEARCH(AB379,ClassificationClasses[Key])),0), 0), 0)-1)),"")</f>
        <v/>
      </c>
      <c r="AD379" s="116" t="str" cm="1">
        <f t="array" ref="AD379">IFERROR(IF(OR(AC379="Insecta",AC379="Arachnida",AC379="#N/C"),"",INDEX(ClassificationClasses[[Class]:[Suborder]],MATCH(TRUE,ISNUMBER(SEARCH(AC379,ClassificationClasses[Key])),0),MATCH(AC379,INDEX(ClassificationClasses[#Data], MATCH(TRUE,ISNUMBER(SEARCH(AC379,ClassificationClasses[Key])),0), 0), 0)-1)),"")</f>
        <v/>
      </c>
      <c r="AE379" s="18" t="str">
        <f t="shared" si="12"/>
        <v>Insecta.Lepidoptera.#N/C.#N/C.#N/C.#N/C.#N/C.#N/C.#N/C</v>
      </c>
    </row>
    <row r="380" spans="1:31" x14ac:dyDescent="0.3">
      <c r="A380" s="91">
        <v>379</v>
      </c>
      <c r="B380" s="7">
        <v>44418</v>
      </c>
      <c r="C380" s="92" t="s">
        <v>649</v>
      </c>
      <c r="D380" s="93" t="str">
        <f>HYPERLINK(VLOOKUP(C380,Video_List!$F:$J,5),"video")</f>
        <v>video</v>
      </c>
      <c r="E380" s="94" t="str">
        <f>IFERROR(IF(MATCH(C380,Video_List!$F:$F,)&gt;0,"ok",""),"error")</f>
        <v>ok</v>
      </c>
      <c r="F380" s="92" t="s">
        <v>649</v>
      </c>
      <c r="G380" s="93" t="str">
        <f>HYPERLINK(VLOOKUP(F380,Video_List!$F:$J,5),"video")</f>
        <v>video</v>
      </c>
      <c r="H380" s="94" t="str">
        <f>IFERROR(IF(MATCH(F380,Video_List!$F:$F,)&gt;0,"ok",""),"error")</f>
        <v>ok</v>
      </c>
      <c r="I380" s="17">
        <v>44418.895914351851</v>
      </c>
      <c r="J380" s="8">
        <v>44418.896168981482</v>
      </c>
      <c r="K380" s="15">
        <f t="shared" si="11"/>
        <v>2.546296309446916E-4</v>
      </c>
      <c r="L380" s="4" t="s">
        <v>32</v>
      </c>
      <c r="M380" s="4" t="s">
        <v>33</v>
      </c>
      <c r="N380" s="96" t="str">
        <f>IF(ISBLANK(C380),"",IF(C380=F380, "1 video",CONCATENATE((+COUNTIFS(Video_List!$C:$C,"&lt;=" &amp;Monitoring!J380)-COUNTIFS(Video_List!$C:$C,"&lt;=" &amp;Monitoring!I380))+1," videos")))</f>
        <v>1 video</v>
      </c>
      <c r="O380" s="27" t="s">
        <v>32</v>
      </c>
      <c r="P380" s="43" t="s">
        <v>37</v>
      </c>
      <c r="Q380" s="43" t="s">
        <v>38</v>
      </c>
      <c r="R380" s="43" t="s">
        <v>39</v>
      </c>
      <c r="S380" s="97" t="str">
        <f>+IFERROR(IF(T380="#N/C","#N/C",IF(U380=0,INDEX(Taxonomy_UniqueValues!D:D,MATCH(U380,Taxonomy_UniqueValues!F:F,0)),INDEX(Taxonomy_UniqueValues!D:D,MATCH(T380,Taxonomy_UniqueValues!E:E,0)))),"#N/C")</f>
        <v>Tabanomorpha</v>
      </c>
      <c r="T380" s="43" t="s">
        <v>642</v>
      </c>
      <c r="U380" s="43" t="s">
        <v>643</v>
      </c>
      <c r="V380" s="43" t="s">
        <v>644</v>
      </c>
      <c r="W380" s="43" t="s">
        <v>645</v>
      </c>
      <c r="X380" s="30" t="s">
        <v>646</v>
      </c>
      <c r="Y380" s="69" t="str" cm="1">
        <f t="array" ref="Y380">_xlfn.LET(_xlpm.cls,P380, _xlpm.ord,IFERROR(Q380,"#N/C"), _xlpm.subord,IFERROR(R380,"#N/C"), _xlpm.infr,IFERROR(S380,"#N/C"), _xlpm.sf,IFERROR(T380,"#N/C"), _xlpm.fam,IFERROR(U380,"#N/C"), _xlpm.subfam,IF(TRIM(V380)="-","#N/C",IFERROR(V380,"#N/C")),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_xlpm.fallback,IF(IFERROR(Q380,"#N/C")="#N/C",P380,IF(IFERROR(R380,"#N/C")="#N/C",Q380,IF(IFERROR(S380,"#N/C")="#N/C",R380,IF(IFERROR(T380,"#N/C")="#N/C",S380,IF(IFERROR(U380,"#N/C")="#N/C",T380,IF(IFERROR(V380,"#N/C")="#N/C",U380,"#N/C")))))), _xlpm.finalResult,IF(OR(_xlpm.computedResult="",_xlpm.computedResult="#N/C"),_xlpm.fallback,_xlpm.computedResult), INDEX(_xlpm.finalResult,1))</f>
        <v>snipe_fly</v>
      </c>
      <c r="Z380" s="116" t="str" cm="1">
        <f t="array" ref="Z380">IF(OR(Y380="Insecta",Y380="Arachnida",Y380="#N/C"),"",IFERROR(_xlfn.LET(_xlpm.fc,IFERROR(_xlfn._xlws.FILTER(ClassificationClasses[],ClassificationClasses[Classification Class]=Y380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380,ClassificationClasses[Key])),0),MATCH(Y380,INDEX(ClassificationClasses[],MATCH(TRUE,ISNUMBER(SEARCH(Y380,ClassificationClasses[Key])),0),0),0)-1)))</f>
        <v>Tabanomorpha</v>
      </c>
      <c r="AA380" s="116" t="str" cm="1">
        <f t="array" ref="AA380">IFERROR(IF(OR(Z380="Insecta",Z380="Arachnida",Z380="#N/C"),"",INDEX(ClassificationClasses[[Class]:[Infraorder]],MATCH(TRUE,ISNUMBER(SEARCH(Z380,ClassificationClasses[Key])),0),MATCH(Z380,INDEX(ClassificationClasses[#Data], MATCH(TRUE,ISNUMBER(SEARCH(Z380,ClassificationClasses[Key])),0), 0), 0)-1)),"")</f>
        <v>Brachycera</v>
      </c>
      <c r="AB380" s="116" t="str" cm="1">
        <f t="array" ref="AB380">IFERROR(IF(OR(AA380="Insecta",AA380="Arachnida",AA380="#N/C"),"",INDEX(ClassificationClasses[[Class]:[Suborder]],MATCH(TRUE,ISNUMBER(SEARCH(AA380,ClassificationClasses[Key])),0),MATCH(AA380,INDEX(ClassificationClasses[#Data], MATCH(TRUE,ISNUMBER(SEARCH(AA380,ClassificationClasses[Key])),0), 0), 0)-1)),"")</f>
        <v>Diptera</v>
      </c>
      <c r="AC380" s="116" t="str" cm="1">
        <f t="array" ref="AC380">IFERROR(IF(OR(AB380="Insecta",AB380="Arachnida",AB380="#N/C"),"",INDEX(ClassificationClasses[[Class]:[Suborder]],MATCH(TRUE,ISNUMBER(SEARCH(AB380,ClassificationClasses[Key])),0),MATCH(AB380,INDEX(ClassificationClasses[#Data], MATCH(TRUE,ISNUMBER(SEARCH(AB380,ClassificationClasses[Key])),0), 0), 0)-1)),"")</f>
        <v>Insecta</v>
      </c>
      <c r="AD380" s="116" t="str" cm="1">
        <f t="array" ref="AD380">IFERROR(IF(OR(AC380="Insecta",AC380="Arachnida",AC380="#N/C"),"",INDEX(ClassificationClasses[[Class]:[Suborder]],MATCH(TRUE,ISNUMBER(SEARCH(AC380,ClassificationClasses[Key])),0),MATCH(AC380,INDEX(ClassificationClasses[#Data], MATCH(TRUE,ISNUMBER(SEARCH(AC380,ClassificationClasses[Key])),0), 0), 0)-1)),"")</f>
        <v/>
      </c>
      <c r="AE380" s="18" t="str">
        <f t="shared" si="12"/>
        <v>Insecta.Diptera.Brachycera.Tabanomorpha.Rhagionoidea.Rhagionidae.Rhagioninae.Rhagio.tringarius</v>
      </c>
    </row>
    <row r="381" spans="1:31" x14ac:dyDescent="0.3">
      <c r="A381" s="91">
        <v>380</v>
      </c>
      <c r="B381" s="101">
        <v>44418</v>
      </c>
      <c r="C381" s="92" t="s">
        <v>650</v>
      </c>
      <c r="D381" s="93" t="str">
        <f>HYPERLINK(VLOOKUP(C381,Video_List!$F:$J,5),"video")</f>
        <v>video</v>
      </c>
      <c r="E381" s="94" t="str">
        <f>IFERROR(IF(MATCH(C381,Video_List!$F:$F,)&gt;0,"ok",""),"error")</f>
        <v>ok</v>
      </c>
      <c r="F381" s="92" t="s">
        <v>650</v>
      </c>
      <c r="G381" s="93" t="str">
        <f>HYPERLINK(VLOOKUP(F381,Video_List!$F:$J,5),"video")</f>
        <v>video</v>
      </c>
      <c r="H381" s="94" t="str">
        <f>IFERROR(IF(MATCH(F381,Video_List!$F:$F,)&gt;0,"ok",""),"error")</f>
        <v>ok</v>
      </c>
      <c r="I381" s="17">
        <v>44418.896585648145</v>
      </c>
      <c r="J381" s="8">
        <v>44418.897696759261</v>
      </c>
      <c r="K381" s="15">
        <f t="shared" si="11"/>
        <v>1.1111111161881126E-3</v>
      </c>
      <c r="L381" s="95" t="s">
        <v>44</v>
      </c>
      <c r="M381" s="95" t="s">
        <v>33</v>
      </c>
      <c r="N381" s="96" t="str">
        <f>IF(ISBLANK(C381),"",IF(C381=F381, "1 video",CONCATENATE((+COUNTIFS(Video_List!$C:$C,"&lt;=" &amp;Monitoring!J381)-COUNTIFS(Video_List!$C:$C,"&lt;=" &amp;Monitoring!I381))+1," videos")))</f>
        <v>1 video</v>
      </c>
      <c r="O381" s="29" t="s">
        <v>44</v>
      </c>
      <c r="P381" s="43" t="s">
        <v>37</v>
      </c>
      <c r="Q381" s="43" t="s">
        <v>38</v>
      </c>
      <c r="R381" s="43" t="s">
        <v>39</v>
      </c>
      <c r="S381" s="97" t="str">
        <f>+IFERROR(IF(T381="#N/C","#N/C",IF(U381=0,INDEX(Taxonomy_UniqueValues!D:D,MATCH(U381,Taxonomy_UniqueValues!F:F,0)),INDEX(Taxonomy_UniqueValues!D:D,MATCH(T381,Taxonomy_UniqueValues!E:E,0)))),"#N/C")</f>
        <v>Muscomorpha</v>
      </c>
      <c r="T381" s="43" t="s">
        <v>335</v>
      </c>
      <c r="U381" s="43" t="s">
        <v>375</v>
      </c>
      <c r="V381" s="43" t="s">
        <v>376</v>
      </c>
      <c r="W381" s="43" t="s">
        <v>377</v>
      </c>
      <c r="X381" s="30" t="s">
        <v>35</v>
      </c>
      <c r="Y381" s="69" t="str" cm="1">
        <f t="array" ref="Y381">_xlfn.LET(_xlpm.cls,P381, _xlpm.ord,IFERROR(Q381,"#N/C"), _xlpm.subord,IFERROR(R381,"#N/C"), _xlpm.infr,IFERROR(S381,"#N/C"), _xlpm.sf,IFERROR(T381,"#N/C"), _xlpm.fam,IFERROR(U381,"#N/C"), _xlpm.subfam,IF(TRIM(V381)="-","#N/C",IFERROR(V381,"#N/C")),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_xlpm.fallback,IF(IFERROR(Q381,"#N/C")="#N/C",P381,IF(IFERROR(R381,"#N/C")="#N/C",Q381,IF(IFERROR(S381,"#N/C")="#N/C",R381,IF(IFERROR(T381,"#N/C")="#N/C",S381,IF(IFERROR(U381,"#N/C")="#N/C",T381,IF(IFERROR(V381,"#N/C")="#N/C",U381,"#N/C")))))), _xlpm.finalResult,IF(OR(_xlpm.computedResult="",_xlpm.computedResult="#N/C"),_xlpm.fallback,_xlpm.computedResult), INDEX(_xlpm.finalResult,1))</f>
        <v>flesh_fly</v>
      </c>
      <c r="Z381" s="116" t="str" cm="1">
        <f t="array" ref="Z381">IF(OR(Y381="Insecta",Y381="Arachnida",Y381="#N/C"),"",IFERROR(_xlfn.LET(_xlpm.fc,IFERROR(_xlfn._xlws.FILTER(ClassificationClasses[],ClassificationClasses[Classification Class]=Y381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381,ClassificationClasses[Key])),0),MATCH(Y381,INDEX(ClassificationClasses[],MATCH(TRUE,ISNUMBER(SEARCH(Y381,ClassificationClasses[Key])),0),0),0)-1)))</f>
        <v>Muscomorpha</v>
      </c>
      <c r="AA381" s="116" t="str" cm="1">
        <f t="array" ref="AA381">IFERROR(IF(OR(Z381="Insecta",Z381="Arachnida",Z381="#N/C"),"",INDEX(ClassificationClasses[[Class]:[Infraorder]],MATCH(TRUE,ISNUMBER(SEARCH(Z381,ClassificationClasses[Key])),0),MATCH(Z381,INDEX(ClassificationClasses[#Data], MATCH(TRUE,ISNUMBER(SEARCH(Z381,ClassificationClasses[Key])),0), 0), 0)-1)),"")</f>
        <v>Brachycera</v>
      </c>
      <c r="AB381" s="116" t="str" cm="1">
        <f t="array" ref="AB381">IFERROR(IF(OR(AA381="Insecta",AA381="Arachnida",AA381="#N/C"),"",INDEX(ClassificationClasses[[Class]:[Suborder]],MATCH(TRUE,ISNUMBER(SEARCH(AA381,ClassificationClasses[Key])),0),MATCH(AA381,INDEX(ClassificationClasses[#Data], MATCH(TRUE,ISNUMBER(SEARCH(AA381,ClassificationClasses[Key])),0), 0), 0)-1)),"")</f>
        <v>Diptera</v>
      </c>
      <c r="AC381" s="116" t="str" cm="1">
        <f t="array" ref="AC381">IFERROR(IF(OR(AB381="Insecta",AB381="Arachnida",AB381="#N/C"),"",INDEX(ClassificationClasses[[Class]:[Suborder]],MATCH(TRUE,ISNUMBER(SEARCH(AB381,ClassificationClasses[Key])),0),MATCH(AB381,INDEX(ClassificationClasses[#Data], MATCH(TRUE,ISNUMBER(SEARCH(AB381,ClassificationClasses[Key])),0), 0), 0)-1)),"")</f>
        <v>Insecta</v>
      </c>
      <c r="AD381" s="116" t="str" cm="1">
        <f t="array" ref="AD381">IFERROR(IF(OR(AC381="Insecta",AC381="Arachnida",AC381="#N/C"),"",INDEX(ClassificationClasses[[Class]:[Suborder]],MATCH(TRUE,ISNUMBER(SEARCH(AC381,ClassificationClasses[Key])),0),MATCH(AC381,INDEX(ClassificationClasses[#Data], MATCH(TRUE,ISNUMBER(SEARCH(AC381,ClassificationClasses[Key])),0), 0), 0)-1)),"")</f>
        <v/>
      </c>
      <c r="AE381" s="18" t="str">
        <f t="shared" si="12"/>
        <v>Insecta.Diptera.Brachycera.Muscomorpha.Oestroidea.Sarcophagidae.Sarcophaginae.Sarcophaga.#N/C</v>
      </c>
    </row>
    <row r="382" spans="1:31" x14ac:dyDescent="0.3">
      <c r="A382" s="91">
        <v>381</v>
      </c>
      <c r="B382" s="101">
        <v>44418</v>
      </c>
      <c r="C382" s="92" t="s">
        <v>651</v>
      </c>
      <c r="D382" s="93" t="str">
        <f>HYPERLINK(VLOOKUP(C382,Video_List!$F:$J,5),"video")</f>
        <v>video</v>
      </c>
      <c r="E382" s="94" t="str">
        <f>IFERROR(IF(MATCH(C382,Video_List!$F:$F,)&gt;0,"ok",""),"error")</f>
        <v>ok</v>
      </c>
      <c r="F382" s="92" t="s">
        <v>651</v>
      </c>
      <c r="G382" s="93" t="str">
        <f>HYPERLINK(VLOOKUP(F382,Video_List!$F:$J,5),"video")</f>
        <v>video</v>
      </c>
      <c r="H382" s="94" t="str">
        <f>IFERROR(IF(MATCH(F382,Video_List!$F:$F,)&gt;0,"ok",""),"error")</f>
        <v>ok</v>
      </c>
      <c r="I382" s="17">
        <v>44418.904664351852</v>
      </c>
      <c r="J382" s="8">
        <v>44418.904780092591</v>
      </c>
      <c r="K382" s="15">
        <f t="shared" si="11"/>
        <v>1.1574073869269341E-4</v>
      </c>
      <c r="L382" s="95" t="s">
        <v>32</v>
      </c>
      <c r="M382" s="95" t="s">
        <v>55</v>
      </c>
      <c r="N382" s="96" t="str">
        <f>IF(ISBLANK(C382),"",IF(C382=F382, "1 video",CONCATENATE((+COUNTIFS(Video_List!$C:$C,"&lt;=" &amp;Monitoring!J382)-COUNTIFS(Video_List!$C:$C,"&lt;=" &amp;Monitoring!I382))+1," videos")))</f>
        <v>1 video</v>
      </c>
      <c r="O382" s="29" t="s">
        <v>44</v>
      </c>
      <c r="P382" s="43" t="s">
        <v>37</v>
      </c>
      <c r="Q382" s="43" t="s">
        <v>38</v>
      </c>
      <c r="R382" s="43" t="s">
        <v>185</v>
      </c>
      <c r="S382" s="97" t="str">
        <f>+IFERROR(IF(T382="#N/C","#N/C",IF(U382=0,INDEX(Taxonomy_UniqueValues!D:D,MATCH(U382,Taxonomy_UniqueValues!F:F,0)),INDEX(Taxonomy_UniqueValues!D:D,MATCH(T382,Taxonomy_UniqueValues!E:E,0)))),"#N/C")</f>
        <v>#N/C</v>
      </c>
      <c r="T382" s="43" t="s">
        <v>35</v>
      </c>
      <c r="U382" s="43" t="s">
        <v>35</v>
      </c>
      <c r="V382" s="43" t="s">
        <v>35</v>
      </c>
      <c r="W382" s="43" t="s">
        <v>35</v>
      </c>
      <c r="X382" s="30" t="s">
        <v>35</v>
      </c>
      <c r="Y382" s="69" t="str" cm="1">
        <f t="array" ref="Y382">_xlfn.LET(_xlpm.cls,P382, _xlpm.ord,IFERROR(Q382,"#N/C"), _xlpm.subord,IFERROR(R382,"#N/C"), _xlpm.infr,IFERROR(S382,"#N/C"), _xlpm.sf,IFERROR(T382,"#N/C"), _xlpm.fam,IFERROR(U382,"#N/C"), _xlpm.subfam,IF(TRIM(V382)="-","#N/C",IFERROR(V382,"#N/C")),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_xlpm.fallback,IF(IFERROR(Q382,"#N/C")="#N/C",P382,IF(IFERROR(R382,"#N/C")="#N/C",Q382,IF(IFERROR(S382,"#N/C")="#N/C",R382,IF(IFERROR(T382,"#N/C")="#N/C",S382,IF(IFERROR(U382,"#N/C")="#N/C",T382,IF(IFERROR(V382,"#N/C")="#N/C",U382,"#N/C")))))), _xlpm.finalResult,IF(OR(_xlpm.computedResult="",_xlpm.computedResult="#N/C"),_xlpm.fallback,_xlpm.computedResult), INDEX(_xlpm.finalResult,1))</f>
        <v>Nematocera</v>
      </c>
      <c r="Z382" s="116" t="str" cm="1">
        <f t="array" ref="Z382">IF(OR(Y382="Insecta",Y382="Arachnida",Y382="#N/C"),"",IFERROR(_xlfn.LET(_xlpm.fc,IFERROR(_xlfn._xlws.FILTER(ClassificationClasses[],ClassificationClasses[Classification Class]=Y382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382,ClassificationClasses[Key])),0),MATCH(Y382,INDEX(ClassificationClasses[],MATCH(TRUE,ISNUMBER(SEARCH(Y382,ClassificationClasses[Key])),0),0),0)-1)))</f>
        <v>Diptera</v>
      </c>
      <c r="AA382" s="116" t="str" cm="1">
        <f t="array" ref="AA382">IFERROR(IF(OR(Z382="Insecta",Z382="Arachnida",Z382="#N/C"),"",INDEX(ClassificationClasses[[Class]:[Infraorder]],MATCH(TRUE,ISNUMBER(SEARCH(Z382,ClassificationClasses[Key])),0),MATCH(Z382,INDEX(ClassificationClasses[#Data], MATCH(TRUE,ISNUMBER(SEARCH(Z382,ClassificationClasses[Key])),0), 0), 0)-1)),"")</f>
        <v>Insecta</v>
      </c>
      <c r="AB382" s="116" t="str" cm="1">
        <f t="array" ref="AB382">IFERROR(IF(OR(AA382="Insecta",AA382="Arachnida",AA382="#N/C"),"",INDEX(ClassificationClasses[[Class]:[Suborder]],MATCH(TRUE,ISNUMBER(SEARCH(AA382,ClassificationClasses[Key])),0),MATCH(AA382,INDEX(ClassificationClasses[#Data], MATCH(TRUE,ISNUMBER(SEARCH(AA382,ClassificationClasses[Key])),0), 0), 0)-1)),"")</f>
        <v/>
      </c>
      <c r="AC382" s="116" t="str" cm="1">
        <f t="array" ref="AC382">IFERROR(IF(OR(AB382="Insecta",AB382="Arachnida",AB382="#N/C"),"",INDEX(ClassificationClasses[[Class]:[Suborder]],MATCH(TRUE,ISNUMBER(SEARCH(AB382,ClassificationClasses[Key])),0),MATCH(AB382,INDEX(ClassificationClasses[#Data], MATCH(TRUE,ISNUMBER(SEARCH(AB382,ClassificationClasses[Key])),0), 0), 0)-1)),"")</f>
        <v/>
      </c>
      <c r="AD382" s="116" t="str" cm="1">
        <f t="array" ref="AD382">IFERROR(IF(OR(AC382="Insecta",AC382="Arachnida",AC382="#N/C"),"",INDEX(ClassificationClasses[[Class]:[Suborder]],MATCH(TRUE,ISNUMBER(SEARCH(AC382,ClassificationClasses[Key])),0),MATCH(AC382,INDEX(ClassificationClasses[#Data], MATCH(TRUE,ISNUMBER(SEARCH(AC382,ClassificationClasses[Key])),0), 0), 0)-1)),"")</f>
        <v/>
      </c>
      <c r="AE382" s="18" t="str">
        <f t="shared" si="12"/>
        <v>Insecta.Diptera.Nematocera.#N/C.#N/C.#N/C.#N/C.#N/C.#N/C</v>
      </c>
    </row>
    <row r="383" spans="1:31" x14ac:dyDescent="0.3">
      <c r="A383" s="91">
        <v>382</v>
      </c>
      <c r="B383" s="101">
        <v>44418</v>
      </c>
      <c r="C383" s="92" t="s">
        <v>652</v>
      </c>
      <c r="D383" s="93" t="str">
        <f>HYPERLINK(VLOOKUP(C383,Video_List!$F:$J,5),"video")</f>
        <v>video</v>
      </c>
      <c r="E383" s="94" t="str">
        <f>IFERROR(IF(MATCH(C383,Video_List!$F:$F,)&gt;0,"ok",""),"error")</f>
        <v>ok</v>
      </c>
      <c r="F383" s="92" t="s">
        <v>652</v>
      </c>
      <c r="G383" s="93" t="str">
        <f>HYPERLINK(VLOOKUP(F383,Video_List!$F:$J,5),"video")</f>
        <v>video</v>
      </c>
      <c r="H383" s="94" t="str">
        <f>IFERROR(IF(MATCH(F383,Video_List!$F:$F,)&gt;0,"ok",""),"error")</f>
        <v>ok</v>
      </c>
      <c r="I383" s="17">
        <v>44418.914085648146</v>
      </c>
      <c r="J383" s="8">
        <v>44418.914178240739</v>
      </c>
      <c r="K383" s="15">
        <f t="shared" si="11"/>
        <v>9.2592592409346253E-5</v>
      </c>
      <c r="L383" s="95" t="s">
        <v>32</v>
      </c>
      <c r="M383" s="95" t="s">
        <v>33</v>
      </c>
      <c r="N383" s="96" t="str">
        <f>IF(ISBLANK(C383),"",IF(C383=F383, "1 video",CONCATENATE((+COUNTIFS(Video_List!$C:$C,"&lt;=" &amp;Monitoring!J383)-COUNTIFS(Video_List!$C:$C,"&lt;=" &amp;Monitoring!I383))+1," videos")))</f>
        <v>1 video</v>
      </c>
      <c r="O383" s="29" t="s">
        <v>44</v>
      </c>
      <c r="P383" s="43" t="s">
        <v>37</v>
      </c>
      <c r="Q383" s="43" t="s">
        <v>38</v>
      </c>
      <c r="R383" s="43" t="s">
        <v>39</v>
      </c>
      <c r="S383" s="97" t="str">
        <f>+IFERROR(IF(T383="#N/C","#N/C",IF(U383=0,INDEX(Taxonomy_UniqueValues!D:D,MATCH(U383,Taxonomy_UniqueValues!F:F,0)),INDEX(Taxonomy_UniqueValues!D:D,MATCH(T383,Taxonomy_UniqueValues!E:E,0)))),"#N/C")</f>
        <v>Muscomorpha</v>
      </c>
      <c r="T383" s="43" t="s">
        <v>175</v>
      </c>
      <c r="U383" s="43" t="s">
        <v>495</v>
      </c>
      <c r="V383" s="43" t="s">
        <v>35</v>
      </c>
      <c r="W383" s="43" t="s">
        <v>35</v>
      </c>
      <c r="X383" s="30" t="s">
        <v>35</v>
      </c>
      <c r="Y383" s="69" t="str" cm="1">
        <f t="array" ref="Y383">_xlfn.LET(_xlpm.cls,P383, _xlpm.ord,IFERROR(Q383,"#N/C"), _xlpm.subord,IFERROR(R383,"#N/C"), _xlpm.infr,IFERROR(S383,"#N/C"), _xlpm.sf,IFERROR(T383,"#N/C"), _xlpm.fam,IFERROR(U383,"#N/C"), _xlpm.subfam,IF(TRIM(V383)="-","#N/C",IFERROR(V383,"#N/C")),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_xlpm.fallback,IF(IFERROR(Q383,"#N/C")="#N/C",P383,IF(IFERROR(R383,"#N/C")="#N/C",Q383,IF(IFERROR(S383,"#N/C")="#N/C",R383,IF(IFERROR(T383,"#N/C")="#N/C",S383,IF(IFERROR(U383,"#N/C")="#N/C",T383,IF(IFERROR(V383,"#N/C")="#N/C",U383,"#N/C")))))), _xlpm.finalResult,IF(OR(_xlpm.computedResult="",_xlpm.computedResult="#N/C"),_xlpm.fallback,_xlpm.computedResult), INDEX(_xlpm.finalResult,1))</f>
        <v>fly</v>
      </c>
      <c r="Z383" s="116" t="str" cm="1">
        <f t="array" ref="Z383">IF(OR(Y383="Insecta",Y383="Arachnida",Y383="#N/C"),"",IFERROR(_xlfn.LET(_xlpm.fc,IFERROR(_xlfn._xlws.FILTER(ClassificationClasses[],ClassificationClasses[Classification Class]=Y383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383,ClassificationClasses[Key])),0),MATCH(Y383,INDEX(ClassificationClasses[],MATCH(TRUE,ISNUMBER(SEARCH(Y383,ClassificationClasses[Key])),0),0),0)-1)))</f>
        <v>Muscomorpha</v>
      </c>
      <c r="AA383" s="116" t="str" cm="1">
        <f t="array" ref="AA383">IFERROR(IF(OR(Z383="Insecta",Z383="Arachnida",Z383="#N/C"),"",INDEX(ClassificationClasses[[Class]:[Infraorder]],MATCH(TRUE,ISNUMBER(SEARCH(Z383,ClassificationClasses[Key])),0),MATCH(Z383,INDEX(ClassificationClasses[#Data], MATCH(TRUE,ISNUMBER(SEARCH(Z383,ClassificationClasses[Key])),0), 0), 0)-1)),"")</f>
        <v>Brachycera</v>
      </c>
      <c r="AB383" s="116" t="str" cm="1">
        <f t="array" ref="AB383">IFERROR(IF(OR(AA383="Insecta",AA383="Arachnida",AA383="#N/C"),"",INDEX(ClassificationClasses[[Class]:[Suborder]],MATCH(TRUE,ISNUMBER(SEARCH(AA383,ClassificationClasses[Key])),0),MATCH(AA383,INDEX(ClassificationClasses[#Data], MATCH(TRUE,ISNUMBER(SEARCH(AA383,ClassificationClasses[Key])),0), 0), 0)-1)),"")</f>
        <v>Diptera</v>
      </c>
      <c r="AC383" s="116" t="str" cm="1">
        <f t="array" ref="AC383">IFERROR(IF(OR(AB383="Insecta",AB383="Arachnida",AB383="#N/C"),"",INDEX(ClassificationClasses[[Class]:[Suborder]],MATCH(TRUE,ISNUMBER(SEARCH(AB383,ClassificationClasses[Key])),0),MATCH(AB383,INDEX(ClassificationClasses[#Data], MATCH(TRUE,ISNUMBER(SEARCH(AB383,ClassificationClasses[Key])),0), 0), 0)-1)),"")</f>
        <v>Insecta</v>
      </c>
      <c r="AD383" s="116" t="str" cm="1">
        <f t="array" ref="AD383">IFERROR(IF(OR(AC383="Insecta",AC383="Arachnida",AC383="#N/C"),"",INDEX(ClassificationClasses[[Class]:[Suborder]],MATCH(TRUE,ISNUMBER(SEARCH(AC383,ClassificationClasses[Key])),0),MATCH(AC383,INDEX(ClassificationClasses[#Data], MATCH(TRUE,ISNUMBER(SEARCH(AC383,ClassificationClasses[Key])),0), 0), 0)-1)),"")</f>
        <v/>
      </c>
      <c r="AE383" s="18" t="str">
        <f t="shared" si="12"/>
        <v>Insecta.Diptera.Brachycera.Muscomorpha.Muscoidea.Muscidae.#N/C.#N/C.#N/C</v>
      </c>
    </row>
    <row r="384" spans="1:31" x14ac:dyDescent="0.3">
      <c r="A384" s="91">
        <v>383</v>
      </c>
      <c r="B384" s="101">
        <v>44418</v>
      </c>
      <c r="C384" s="92" t="s">
        <v>652</v>
      </c>
      <c r="D384" s="93" t="str">
        <f>HYPERLINK(VLOOKUP(C384,Video_List!$F:$J,5),"video")</f>
        <v>video</v>
      </c>
      <c r="E384" s="94" t="str">
        <f>IFERROR(IF(MATCH(C384,Video_List!$F:$F,)&gt;0,"ok",""),"error")</f>
        <v>ok</v>
      </c>
      <c r="F384" s="92" t="s">
        <v>652</v>
      </c>
      <c r="G384" s="93" t="str">
        <f>HYPERLINK(VLOOKUP(F384,Video_List!$F:$J,5),"video")</f>
        <v>video</v>
      </c>
      <c r="H384" s="94" t="str">
        <f>IFERROR(IF(MATCH(F384,Video_List!$F:$F,)&gt;0,"ok",""),"error")</f>
        <v>ok</v>
      </c>
      <c r="I384" s="17">
        <v>44418.914085648146</v>
      </c>
      <c r="J384" s="8">
        <v>44418.914212962962</v>
      </c>
      <c r="K384" s="15">
        <f t="shared" si="11"/>
        <v>1.273148154723458E-4</v>
      </c>
      <c r="L384" s="95" t="s">
        <v>32</v>
      </c>
      <c r="M384" s="95" t="s">
        <v>33</v>
      </c>
      <c r="N384" s="96" t="str">
        <f>IF(ISBLANK(C384),"",IF(C384=F384, "1 video",CONCATENATE((+COUNTIFS(Video_List!$C:$C,"&lt;=" &amp;Monitoring!J384)-COUNTIFS(Video_List!$C:$C,"&lt;=" &amp;Monitoring!I384))+1," videos")))</f>
        <v>1 video</v>
      </c>
      <c r="O384" s="29" t="s">
        <v>44</v>
      </c>
      <c r="P384" s="43" t="s">
        <v>37</v>
      </c>
      <c r="Q384" s="43" t="s">
        <v>360</v>
      </c>
      <c r="R384" s="43" t="s">
        <v>361</v>
      </c>
      <c r="S384" s="97">
        <f>+IFERROR(IF(T384="#N/C","#N/C",IF(U384=0,INDEX(Taxonomy_UniqueValues!D:D,MATCH(U384,Taxonomy_UniqueValues!F:F,0)),INDEX(Taxonomy_UniqueValues!D:D,MATCH(T384,Taxonomy_UniqueValues!E:E,0)))),"#N/C")</f>
        <v>0</v>
      </c>
      <c r="T384" s="43" t="s">
        <v>362</v>
      </c>
      <c r="U384" s="43" t="s">
        <v>634</v>
      </c>
      <c r="V384" s="43" t="s">
        <v>635</v>
      </c>
      <c r="W384" s="43" t="s">
        <v>636</v>
      </c>
      <c r="X384" s="30" t="s">
        <v>637</v>
      </c>
      <c r="Y384" s="69" t="str" cm="1">
        <f t="array" ref="Y384">_xlfn.LET(_xlpm.cls,P384, _xlpm.ord,IFERROR(Q384,"#N/C"), _xlpm.subord,IFERROR(R384,"#N/C"), _xlpm.infr,IFERROR(S384,"#N/C"), _xlpm.sf,IFERROR(T384,"#N/C"), _xlpm.fam,IFERROR(U384,"#N/C"), _xlpm.subfam,IF(TRIM(V384)="-","#N/C",IFERROR(V384,"#N/C")),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_xlpm.fallback,IF(IFERROR(Q384,"#N/C")="#N/C",P384,IF(IFERROR(R384,"#N/C")="#N/C",Q384,IF(IFERROR(S384,"#N/C")="#N/C",R384,IF(IFERROR(T384,"#N/C")="#N/C",S384,IF(IFERROR(U384,"#N/C")="#N/C",T384,IF(IFERROR(V384,"#N/C")="#N/C",U384,"#N/C")))))), _xlpm.finalResult,IF(OR(_xlpm.computedResult="",_xlpm.computedResult="#N/C"),_xlpm.fallback,_xlpm.computedResult), INDEX(_xlpm.finalResult,1))</f>
        <v>lacewing</v>
      </c>
      <c r="Z384" s="116" t="str" cm="1">
        <f t="array" ref="Z384">IF(OR(Y384="Insecta",Y384="Arachnida",Y384="#N/C"),"",IFERROR(_xlfn.LET(_xlpm.fc,IFERROR(_xlfn._xlws.FILTER(ClassificationClasses[],ClassificationClasses[Classification Class]=Y384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384,ClassificationClasses[Key])),0),MATCH(Y384,INDEX(ClassificationClasses[],MATCH(TRUE,ISNUMBER(SEARCH(Y384,ClassificationClasses[Key])),0),0),0)-1)))</f>
        <v>Hemerobiiformia</v>
      </c>
      <c r="AA384" s="116" t="str" cm="1">
        <f t="array" ref="AA384">IFERROR(IF(OR(Z384="Insecta",Z384="Arachnida",Z384="#N/C"),"",INDEX(ClassificationClasses[[Class]:[Infraorder]],MATCH(TRUE,ISNUMBER(SEARCH(Z384,ClassificationClasses[Key])),0),MATCH(Z384,INDEX(ClassificationClasses[#Data], MATCH(TRUE,ISNUMBER(SEARCH(Z384,ClassificationClasses[Key])),0), 0), 0)-1)),"")</f>
        <v>Neuroptera</v>
      </c>
      <c r="AB384" s="116" t="str" cm="1">
        <f t="array" ref="AB384">IFERROR(IF(OR(AA384="Insecta",AA384="Arachnida",AA384="#N/C"),"",INDEX(ClassificationClasses[[Class]:[Suborder]],MATCH(TRUE,ISNUMBER(SEARCH(AA384,ClassificationClasses[Key])),0),MATCH(AA384,INDEX(ClassificationClasses[#Data], MATCH(TRUE,ISNUMBER(SEARCH(AA384,ClassificationClasses[Key])),0), 0), 0)-1)),"")</f>
        <v>Insecta</v>
      </c>
      <c r="AC384" s="116" t="str" cm="1">
        <f t="array" ref="AC384">IFERROR(IF(OR(AB384="Insecta",AB384="Arachnida",AB384="#N/C"),"",INDEX(ClassificationClasses[[Class]:[Suborder]],MATCH(TRUE,ISNUMBER(SEARCH(AB384,ClassificationClasses[Key])),0),MATCH(AB384,INDEX(ClassificationClasses[#Data], MATCH(TRUE,ISNUMBER(SEARCH(AB384,ClassificationClasses[Key])),0), 0), 0)-1)),"")</f>
        <v/>
      </c>
      <c r="AD384" s="116" t="str" cm="1">
        <f t="array" ref="AD384">IFERROR(IF(OR(AC384="Insecta",AC384="Arachnida",AC384="#N/C"),"",INDEX(ClassificationClasses[[Class]:[Suborder]],MATCH(TRUE,ISNUMBER(SEARCH(AC384,ClassificationClasses[Key])),0),MATCH(AC384,INDEX(ClassificationClasses[#Data], MATCH(TRUE,ISNUMBER(SEARCH(AC384,ClassificationClasses[Key])),0), 0), 0)-1)),"")</f>
        <v/>
      </c>
      <c r="AE384" s="18" t="str">
        <f t="shared" si="12"/>
        <v>Insecta.Neuroptera.Hemerobiiformia.0.Hemerobioidea.Hemerobiidae.Microminae.Micromus.angulatus</v>
      </c>
    </row>
    <row r="385" spans="1:31" x14ac:dyDescent="0.3">
      <c r="A385" s="91">
        <v>384</v>
      </c>
      <c r="B385" s="101">
        <v>44418</v>
      </c>
      <c r="C385" s="92" t="s">
        <v>653</v>
      </c>
      <c r="D385" s="93" t="str">
        <f>HYPERLINK(VLOOKUP(C385,Video_List!$F:$J,5),"video")</f>
        <v>video</v>
      </c>
      <c r="E385" s="94" t="str">
        <f>IFERROR(IF(MATCH(C385,Video_List!$F:$F,)&gt;0,"ok",""),"error")</f>
        <v>ok</v>
      </c>
      <c r="F385" s="92" t="s">
        <v>653</v>
      </c>
      <c r="G385" s="93" t="str">
        <f>HYPERLINK(VLOOKUP(F385,Video_List!$F:$J,5),"video")</f>
        <v>video</v>
      </c>
      <c r="H385" s="94" t="str">
        <f>IFERROR(IF(MATCH(F385,Video_List!$F:$F,)&gt;0,"ok",""),"error")</f>
        <v>ok</v>
      </c>
      <c r="I385" s="17">
        <v>44418.915405092594</v>
      </c>
      <c r="J385" s="8">
        <v>44418.916967592595</v>
      </c>
      <c r="K385" s="15">
        <f t="shared" si="11"/>
        <v>1.5625000014551915E-3</v>
      </c>
      <c r="L385" s="95" t="s">
        <v>32</v>
      </c>
      <c r="M385" s="95" t="s">
        <v>33</v>
      </c>
      <c r="N385" s="96" t="str">
        <f>IF(ISBLANK(C385),"",IF(C385=F385, "1 video",CONCATENATE((+COUNTIFS(Video_List!$C:$C,"&lt;=" &amp;Monitoring!J385)-COUNTIFS(Video_List!$C:$C,"&lt;=" &amp;Monitoring!I385))+1," videos")))</f>
        <v>1 video</v>
      </c>
      <c r="O385" s="29" t="s">
        <v>44</v>
      </c>
      <c r="P385" s="43" t="s">
        <v>37</v>
      </c>
      <c r="Q385" s="43" t="s">
        <v>38</v>
      </c>
      <c r="R385" s="43" t="s">
        <v>39</v>
      </c>
      <c r="S385" s="97" t="str">
        <f>+IFERROR(IF(T385="#N/C","#N/C",IF(U385=0,INDEX(Taxonomy_UniqueValues!D:D,MATCH(U385,Taxonomy_UniqueValues!F:F,0)),INDEX(Taxonomy_UniqueValues!D:D,MATCH(T385,Taxonomy_UniqueValues!E:E,0)))),"#N/C")</f>
        <v>Muscomorpha</v>
      </c>
      <c r="T385" s="43" t="s">
        <v>175</v>
      </c>
      <c r="U385" s="43" t="s">
        <v>495</v>
      </c>
      <c r="V385" s="43" t="s">
        <v>35</v>
      </c>
      <c r="W385" s="43" t="s">
        <v>35</v>
      </c>
      <c r="X385" s="30" t="s">
        <v>35</v>
      </c>
      <c r="Y385" s="69" t="str" cm="1">
        <f t="array" ref="Y385">_xlfn.LET(_xlpm.cls,P385, _xlpm.ord,IFERROR(Q385,"#N/C"), _xlpm.subord,IFERROR(R385,"#N/C"), _xlpm.infr,IFERROR(S385,"#N/C"), _xlpm.sf,IFERROR(T385,"#N/C"), _xlpm.fam,IFERROR(U385,"#N/C"), _xlpm.subfam,IF(TRIM(V385)="-","#N/C",IFERROR(V385,"#N/C")),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_xlpm.fallback,IF(IFERROR(Q385,"#N/C")="#N/C",P385,IF(IFERROR(R385,"#N/C")="#N/C",Q385,IF(IFERROR(S385,"#N/C")="#N/C",R385,IF(IFERROR(T385,"#N/C")="#N/C",S385,IF(IFERROR(U385,"#N/C")="#N/C",T385,IF(IFERROR(V385,"#N/C")="#N/C",U385,"#N/C")))))), _xlpm.finalResult,IF(OR(_xlpm.computedResult="",_xlpm.computedResult="#N/C"),_xlpm.fallback,_xlpm.computedResult), INDEX(_xlpm.finalResult,1))</f>
        <v>fly</v>
      </c>
      <c r="Z385" s="116" t="str" cm="1">
        <f t="array" ref="Z385">IF(OR(Y385="Insecta",Y385="Arachnida",Y385="#N/C"),"",IFERROR(_xlfn.LET(_xlpm.fc,IFERROR(_xlfn._xlws.FILTER(ClassificationClasses[],ClassificationClasses[Classification Class]=Y385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385,ClassificationClasses[Key])),0),MATCH(Y385,INDEX(ClassificationClasses[],MATCH(TRUE,ISNUMBER(SEARCH(Y385,ClassificationClasses[Key])),0),0),0)-1)))</f>
        <v>Muscomorpha</v>
      </c>
      <c r="AA385" s="116" t="str" cm="1">
        <f t="array" ref="AA385">IFERROR(IF(OR(Z385="Insecta",Z385="Arachnida",Z385="#N/C"),"",INDEX(ClassificationClasses[[Class]:[Infraorder]],MATCH(TRUE,ISNUMBER(SEARCH(Z385,ClassificationClasses[Key])),0),MATCH(Z385,INDEX(ClassificationClasses[#Data], MATCH(TRUE,ISNUMBER(SEARCH(Z385,ClassificationClasses[Key])),0), 0), 0)-1)),"")</f>
        <v>Brachycera</v>
      </c>
      <c r="AB385" s="116" t="str" cm="1">
        <f t="array" ref="AB385">IFERROR(IF(OR(AA385="Insecta",AA385="Arachnida",AA385="#N/C"),"",INDEX(ClassificationClasses[[Class]:[Suborder]],MATCH(TRUE,ISNUMBER(SEARCH(AA385,ClassificationClasses[Key])),0),MATCH(AA385,INDEX(ClassificationClasses[#Data], MATCH(TRUE,ISNUMBER(SEARCH(AA385,ClassificationClasses[Key])),0), 0), 0)-1)),"")</f>
        <v>Diptera</v>
      </c>
      <c r="AC385" s="116" t="str" cm="1">
        <f t="array" ref="AC385">IFERROR(IF(OR(AB385="Insecta",AB385="Arachnida",AB385="#N/C"),"",INDEX(ClassificationClasses[[Class]:[Suborder]],MATCH(TRUE,ISNUMBER(SEARCH(AB385,ClassificationClasses[Key])),0),MATCH(AB385,INDEX(ClassificationClasses[#Data], MATCH(TRUE,ISNUMBER(SEARCH(AB385,ClassificationClasses[Key])),0), 0), 0)-1)),"")</f>
        <v>Insecta</v>
      </c>
      <c r="AD385" s="116" t="str" cm="1">
        <f t="array" ref="AD385">IFERROR(IF(OR(AC385="Insecta",AC385="Arachnida",AC385="#N/C"),"",INDEX(ClassificationClasses[[Class]:[Suborder]],MATCH(TRUE,ISNUMBER(SEARCH(AC385,ClassificationClasses[Key])),0),MATCH(AC385,INDEX(ClassificationClasses[#Data], MATCH(TRUE,ISNUMBER(SEARCH(AC385,ClassificationClasses[Key])),0), 0), 0)-1)),"")</f>
        <v/>
      </c>
      <c r="AE385" s="18" t="str">
        <f t="shared" si="12"/>
        <v>Insecta.Diptera.Brachycera.Muscomorpha.Muscoidea.Muscidae.#N/C.#N/C.#N/C</v>
      </c>
    </row>
    <row r="386" spans="1:31" x14ac:dyDescent="0.3">
      <c r="A386" s="91">
        <v>385</v>
      </c>
      <c r="B386" s="101">
        <v>44418</v>
      </c>
      <c r="C386" s="92" t="s">
        <v>654</v>
      </c>
      <c r="D386" s="93" t="str">
        <f>HYPERLINK(VLOOKUP(C386,Video_List!$F:$J,5),"video")</f>
        <v>video</v>
      </c>
      <c r="E386" s="94" t="str">
        <f>IFERROR(IF(MATCH(C386,Video_List!$F:$F,)&gt;0,"ok",""),"error")</f>
        <v>ok</v>
      </c>
      <c r="F386" s="92" t="s">
        <v>654</v>
      </c>
      <c r="G386" s="93" t="str">
        <f>HYPERLINK(VLOOKUP(F386,Video_List!$F:$J,5),"video")</f>
        <v>video</v>
      </c>
      <c r="H386" s="94" t="str">
        <f>IFERROR(IF(MATCH(F386,Video_List!$F:$F,)&gt;0,"ok",""),"error")</f>
        <v>ok</v>
      </c>
      <c r="I386" s="17">
        <v>44418.91710648148</v>
      </c>
      <c r="J386" s="8">
        <v>44418.917222222219</v>
      </c>
      <c r="K386" s="15">
        <f t="shared" ref="K386:K432" si="13">J386-I386</f>
        <v>1.1574073869269341E-4</v>
      </c>
      <c r="L386" s="95" t="s">
        <v>32</v>
      </c>
      <c r="M386" s="95" t="s">
        <v>33</v>
      </c>
      <c r="N386" s="96" t="str">
        <f>IF(ISBLANK(C386),"",IF(C386=F386, "1 video",CONCATENATE((+COUNTIFS(Video_List!$C:$C,"&lt;=" &amp;Monitoring!J386)-COUNTIFS(Video_List!$C:$C,"&lt;=" &amp;Monitoring!I386))+1," videos")))</f>
        <v>1 video</v>
      </c>
      <c r="O386" s="29" t="s">
        <v>44</v>
      </c>
      <c r="P386" s="43" t="s">
        <v>37</v>
      </c>
      <c r="Q386" s="43" t="s">
        <v>38</v>
      </c>
      <c r="R386" s="43" t="s">
        <v>39</v>
      </c>
      <c r="S386" s="97" t="str">
        <f>+IFERROR(IF(T386="#N/C","#N/C",IF(U386=0,INDEX(Taxonomy_UniqueValues!D:D,MATCH(U386,Taxonomy_UniqueValues!F:F,0)),INDEX(Taxonomy_UniqueValues!D:D,MATCH(T386,Taxonomy_UniqueValues!E:E,0)))),"#N/C")</f>
        <v>Muscomorpha</v>
      </c>
      <c r="T386" s="43" t="s">
        <v>175</v>
      </c>
      <c r="U386" s="43" t="s">
        <v>495</v>
      </c>
      <c r="V386" s="43" t="s">
        <v>35</v>
      </c>
      <c r="W386" s="43" t="s">
        <v>35</v>
      </c>
      <c r="X386" s="30" t="s">
        <v>35</v>
      </c>
      <c r="Y386" s="69" t="str" cm="1">
        <f t="array" ref="Y386">_xlfn.LET(_xlpm.cls,P386, _xlpm.ord,IFERROR(Q386,"#N/C"), _xlpm.subord,IFERROR(R386,"#N/C"), _xlpm.infr,IFERROR(S386,"#N/C"), _xlpm.sf,IFERROR(T386,"#N/C"), _xlpm.fam,IFERROR(U386,"#N/C"), _xlpm.subfam,IF(TRIM(V386)="-","#N/C",IFERROR(V386,"#N/C")),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_xlpm.fallback,IF(IFERROR(Q386,"#N/C")="#N/C",P386,IF(IFERROR(R386,"#N/C")="#N/C",Q386,IF(IFERROR(S386,"#N/C")="#N/C",R386,IF(IFERROR(T386,"#N/C")="#N/C",S386,IF(IFERROR(U386,"#N/C")="#N/C",T386,IF(IFERROR(V386,"#N/C")="#N/C",U386,"#N/C")))))), _xlpm.finalResult,IF(OR(_xlpm.computedResult="",_xlpm.computedResult="#N/C"),_xlpm.fallback,_xlpm.computedResult), INDEX(_xlpm.finalResult,1))</f>
        <v>fly</v>
      </c>
      <c r="Z386" s="116" t="str" cm="1">
        <f t="array" ref="Z386">IF(OR(Y386="Insecta",Y386="Arachnida",Y386="#N/C"),"",IFERROR(_xlfn.LET(_xlpm.fc,IFERROR(_xlfn._xlws.FILTER(ClassificationClasses[],ClassificationClasses[Classification Class]=Y386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386,ClassificationClasses[Key])),0),MATCH(Y386,INDEX(ClassificationClasses[],MATCH(TRUE,ISNUMBER(SEARCH(Y386,ClassificationClasses[Key])),0),0),0)-1)))</f>
        <v>Muscomorpha</v>
      </c>
      <c r="AA386" s="116" t="str" cm="1">
        <f t="array" ref="AA386">IFERROR(IF(OR(Z386="Insecta",Z386="Arachnida",Z386="#N/C"),"",INDEX(ClassificationClasses[[Class]:[Infraorder]],MATCH(TRUE,ISNUMBER(SEARCH(Z386,ClassificationClasses[Key])),0),MATCH(Z386,INDEX(ClassificationClasses[#Data], MATCH(TRUE,ISNUMBER(SEARCH(Z386,ClassificationClasses[Key])),0), 0), 0)-1)),"")</f>
        <v>Brachycera</v>
      </c>
      <c r="AB386" s="116" t="str" cm="1">
        <f t="array" ref="AB386">IFERROR(IF(OR(AA386="Insecta",AA386="Arachnida",AA386="#N/C"),"",INDEX(ClassificationClasses[[Class]:[Suborder]],MATCH(TRUE,ISNUMBER(SEARCH(AA386,ClassificationClasses[Key])),0),MATCH(AA386,INDEX(ClassificationClasses[#Data], MATCH(TRUE,ISNUMBER(SEARCH(AA386,ClassificationClasses[Key])),0), 0), 0)-1)),"")</f>
        <v>Diptera</v>
      </c>
      <c r="AC386" s="116" t="str" cm="1">
        <f t="array" ref="AC386">IFERROR(IF(OR(AB386="Insecta",AB386="Arachnida",AB386="#N/C"),"",INDEX(ClassificationClasses[[Class]:[Suborder]],MATCH(TRUE,ISNUMBER(SEARCH(AB386,ClassificationClasses[Key])),0),MATCH(AB386,INDEX(ClassificationClasses[#Data], MATCH(TRUE,ISNUMBER(SEARCH(AB386,ClassificationClasses[Key])),0), 0), 0)-1)),"")</f>
        <v>Insecta</v>
      </c>
      <c r="AD386" s="116" t="str" cm="1">
        <f t="array" ref="AD386">IFERROR(IF(OR(AC386="Insecta",AC386="Arachnida",AC386="#N/C"),"",INDEX(ClassificationClasses[[Class]:[Suborder]],MATCH(TRUE,ISNUMBER(SEARCH(AC386,ClassificationClasses[Key])),0),MATCH(AC386,INDEX(ClassificationClasses[#Data], MATCH(TRUE,ISNUMBER(SEARCH(AC386,ClassificationClasses[Key])),0), 0), 0)-1)),"")</f>
        <v/>
      </c>
      <c r="AE386" s="18" t="str">
        <f t="shared" si="12"/>
        <v>Insecta.Diptera.Brachycera.Muscomorpha.Muscoidea.Muscidae.#N/C.#N/C.#N/C</v>
      </c>
    </row>
    <row r="387" spans="1:31" x14ac:dyDescent="0.3">
      <c r="A387" s="91">
        <v>386</v>
      </c>
      <c r="B387" s="101">
        <v>44418</v>
      </c>
      <c r="C387" s="92" t="s">
        <v>655</v>
      </c>
      <c r="D387" s="93" t="str">
        <f>HYPERLINK(VLOOKUP(C387,Video_List!$F:$J,5),"video")</f>
        <v>video</v>
      </c>
      <c r="E387" s="94" t="str">
        <f>IFERROR(IF(MATCH(C387,Video_List!$F:$F,)&gt;0,"ok",""),"error")</f>
        <v>ok</v>
      </c>
      <c r="F387" s="92" t="s">
        <v>655</v>
      </c>
      <c r="G387" s="93" t="str">
        <f>HYPERLINK(VLOOKUP(F387,Video_List!$F:$J,5),"video")</f>
        <v>video</v>
      </c>
      <c r="H387" s="94" t="str">
        <f>IFERROR(IF(MATCH(F387,Video_List!$F:$F,)&gt;0,"ok",""),"error")</f>
        <v>ok</v>
      </c>
      <c r="I387" s="17">
        <v>44418.918136574073</v>
      </c>
      <c r="J387" s="8">
        <v>44418.918206018519</v>
      </c>
      <c r="K387" s="15">
        <f t="shared" si="13"/>
        <v>6.9444446125999093E-5</v>
      </c>
      <c r="L387" s="95" t="s">
        <v>32</v>
      </c>
      <c r="M387" s="95" t="s">
        <v>33</v>
      </c>
      <c r="N387" s="96" t="str">
        <f>IF(ISBLANK(C387),"",IF(C387=F387, "1 video",CONCATENATE((+COUNTIFS(Video_List!$C:$C,"&lt;=" &amp;Monitoring!J387)-COUNTIFS(Video_List!$C:$C,"&lt;=" &amp;Monitoring!I387))+1," videos")))</f>
        <v>1 video</v>
      </c>
      <c r="O387" s="29" t="s">
        <v>44</v>
      </c>
      <c r="P387" s="43" t="s">
        <v>37</v>
      </c>
      <c r="Q387" s="43" t="s">
        <v>38</v>
      </c>
      <c r="R387" s="43" t="s">
        <v>39</v>
      </c>
      <c r="S387" s="97" t="str">
        <f>+IFERROR(IF(T387="#N/C","#N/C",IF(U387=0,INDEX(Taxonomy_UniqueValues!D:D,MATCH(U387,Taxonomy_UniqueValues!F:F,0)),INDEX(Taxonomy_UniqueValues!D:D,MATCH(T387,Taxonomy_UniqueValues!E:E,0)))),"#N/C")</f>
        <v>Muscomorpha</v>
      </c>
      <c r="T387" s="43" t="s">
        <v>175</v>
      </c>
      <c r="U387" s="43" t="s">
        <v>495</v>
      </c>
      <c r="V387" s="43" t="s">
        <v>35</v>
      </c>
      <c r="W387" s="43" t="s">
        <v>35</v>
      </c>
      <c r="X387" s="30" t="s">
        <v>35</v>
      </c>
      <c r="Y387" s="69" t="str" cm="1">
        <f t="array" ref="Y387">_xlfn.LET(_xlpm.cls,P387, _xlpm.ord,IFERROR(Q387,"#N/C"), _xlpm.subord,IFERROR(R387,"#N/C"), _xlpm.infr,IFERROR(S387,"#N/C"), _xlpm.sf,IFERROR(T387,"#N/C"), _xlpm.fam,IFERROR(U387,"#N/C"), _xlpm.subfam,IF(TRIM(V387)="-","#N/C",IFERROR(V387,"#N/C")),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_xlpm.fallback,IF(IFERROR(Q387,"#N/C")="#N/C",P387,IF(IFERROR(R387,"#N/C")="#N/C",Q387,IF(IFERROR(S387,"#N/C")="#N/C",R387,IF(IFERROR(T387,"#N/C")="#N/C",S387,IF(IFERROR(U387,"#N/C")="#N/C",T387,IF(IFERROR(V387,"#N/C")="#N/C",U387,"#N/C")))))), _xlpm.finalResult,IF(OR(_xlpm.computedResult="",_xlpm.computedResult="#N/C"),_xlpm.fallback,_xlpm.computedResult), INDEX(_xlpm.finalResult,1))</f>
        <v>fly</v>
      </c>
      <c r="Z387" s="116" t="str" cm="1">
        <f t="array" ref="Z387">IF(OR(Y387="Insecta",Y387="Arachnida",Y387="#N/C"),"",IFERROR(_xlfn.LET(_xlpm.fc,IFERROR(_xlfn._xlws.FILTER(ClassificationClasses[],ClassificationClasses[Classification Class]=Y387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387,ClassificationClasses[Key])),0),MATCH(Y387,INDEX(ClassificationClasses[],MATCH(TRUE,ISNUMBER(SEARCH(Y387,ClassificationClasses[Key])),0),0),0)-1)))</f>
        <v>Muscomorpha</v>
      </c>
      <c r="AA387" s="116" t="str" cm="1">
        <f t="array" ref="AA387">IFERROR(IF(OR(Z387="Insecta",Z387="Arachnida",Z387="#N/C"),"",INDEX(ClassificationClasses[[Class]:[Infraorder]],MATCH(TRUE,ISNUMBER(SEARCH(Z387,ClassificationClasses[Key])),0),MATCH(Z387,INDEX(ClassificationClasses[#Data], MATCH(TRUE,ISNUMBER(SEARCH(Z387,ClassificationClasses[Key])),0), 0), 0)-1)),"")</f>
        <v>Brachycera</v>
      </c>
      <c r="AB387" s="116" t="str" cm="1">
        <f t="array" ref="AB387">IFERROR(IF(OR(AA387="Insecta",AA387="Arachnida",AA387="#N/C"),"",INDEX(ClassificationClasses[[Class]:[Suborder]],MATCH(TRUE,ISNUMBER(SEARCH(AA387,ClassificationClasses[Key])),0),MATCH(AA387,INDEX(ClassificationClasses[#Data], MATCH(TRUE,ISNUMBER(SEARCH(AA387,ClassificationClasses[Key])),0), 0), 0)-1)),"")</f>
        <v>Diptera</v>
      </c>
      <c r="AC387" s="116" t="str" cm="1">
        <f t="array" ref="AC387">IFERROR(IF(OR(AB387="Insecta",AB387="Arachnida",AB387="#N/C"),"",INDEX(ClassificationClasses[[Class]:[Suborder]],MATCH(TRUE,ISNUMBER(SEARCH(AB387,ClassificationClasses[Key])),0),MATCH(AB387,INDEX(ClassificationClasses[#Data], MATCH(TRUE,ISNUMBER(SEARCH(AB387,ClassificationClasses[Key])),0), 0), 0)-1)),"")</f>
        <v>Insecta</v>
      </c>
      <c r="AD387" s="116" t="str" cm="1">
        <f t="array" ref="AD387">IFERROR(IF(OR(AC387="Insecta",AC387="Arachnida",AC387="#N/C"),"",INDEX(ClassificationClasses[[Class]:[Suborder]],MATCH(TRUE,ISNUMBER(SEARCH(AC387,ClassificationClasses[Key])),0),MATCH(AC387,INDEX(ClassificationClasses[#Data], MATCH(TRUE,ISNUMBER(SEARCH(AC387,ClassificationClasses[Key])),0), 0), 0)-1)),"")</f>
        <v/>
      </c>
      <c r="AE387" s="18" t="str">
        <f t="shared" si="12"/>
        <v>Insecta.Diptera.Brachycera.Muscomorpha.Muscoidea.Muscidae.#N/C.#N/C.#N/C</v>
      </c>
    </row>
    <row r="388" spans="1:31" x14ac:dyDescent="0.3">
      <c r="A388" s="91">
        <v>387</v>
      </c>
      <c r="B388" s="101">
        <v>44418</v>
      </c>
      <c r="C388" s="92" t="s">
        <v>656</v>
      </c>
      <c r="D388" s="93" t="str">
        <f>HYPERLINK(VLOOKUP(C388,Video_List!$F:$J,5),"video")</f>
        <v>video</v>
      </c>
      <c r="E388" s="94" t="str">
        <f>IFERROR(IF(MATCH(C388,Video_List!$F:$F,)&gt;0,"ok",""),"error")</f>
        <v>ok</v>
      </c>
      <c r="F388" s="92" t="s">
        <v>656</v>
      </c>
      <c r="G388" s="93" t="str">
        <f>HYPERLINK(VLOOKUP(F388,Video_List!$F:$J,5),"video")</f>
        <v>video</v>
      </c>
      <c r="H388" s="94" t="str">
        <f>IFERROR(IF(MATCH(F388,Video_List!$F:$F,)&gt;0,"ok",""),"error")</f>
        <v>ok</v>
      </c>
      <c r="I388" s="17">
        <v>44418.994166666664</v>
      </c>
      <c r="J388" s="8">
        <v>44418.994247685187</v>
      </c>
      <c r="K388" s="15">
        <f t="shared" si="13"/>
        <v>8.101852290565148E-5</v>
      </c>
      <c r="L388" s="95" t="s">
        <v>32</v>
      </c>
      <c r="M388" s="95" t="s">
        <v>33</v>
      </c>
      <c r="N388" s="96" t="str">
        <f>IF(ISBLANK(C388),"",IF(C388=F388, "1 video",CONCATENATE((+COUNTIFS(Video_List!$C:$C,"&lt;=" &amp;Monitoring!J388)-COUNTIFS(Video_List!$C:$C,"&lt;=" &amp;Monitoring!I388))+1," videos")))</f>
        <v>1 video</v>
      </c>
      <c r="O388" s="29" t="s">
        <v>44</v>
      </c>
      <c r="P388" s="43" t="s">
        <v>37</v>
      </c>
      <c r="Q388" s="43" t="s">
        <v>38</v>
      </c>
      <c r="R388" s="43" t="s">
        <v>185</v>
      </c>
      <c r="S388" s="97" t="str">
        <f>+IFERROR(IF(T388="#N/C","#N/C",IF(U388=0,INDEX(Taxonomy_UniqueValues!D:D,MATCH(U388,Taxonomy_UniqueValues!F:F,0)),INDEX(Taxonomy_UniqueValues!D:D,MATCH(T388,Taxonomy_UniqueValues!E:E,0)))),"#N/C")</f>
        <v>Tipulomorpha</v>
      </c>
      <c r="T388" s="43" t="s">
        <v>236</v>
      </c>
      <c r="U388" s="43" t="s">
        <v>237</v>
      </c>
      <c r="V388" s="43" t="s">
        <v>238</v>
      </c>
      <c r="W388" s="43" t="s">
        <v>239</v>
      </c>
      <c r="X388" s="30" t="s">
        <v>35</v>
      </c>
      <c r="Y388" s="69" t="str" cm="1">
        <f t="array" ref="Y388">_xlfn.LET(_xlpm.cls,P388, _xlpm.ord,IFERROR(Q388,"#N/C"), _xlpm.subord,IFERROR(R388,"#N/C"), _xlpm.infr,IFERROR(S388,"#N/C"), _xlpm.sf,IFERROR(T388,"#N/C"), _xlpm.fam,IFERROR(U388,"#N/C"), _xlpm.subfam,IF(TRIM(V388)="-","#N/C",IFERROR(V388,"#N/C")),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_xlpm.fallback,IF(IFERROR(Q388,"#N/C")="#N/C",P388,IF(IFERROR(R388,"#N/C")="#N/C",Q388,IF(IFERROR(S388,"#N/C")="#N/C",R388,IF(IFERROR(T388,"#N/C")="#N/C",S388,IF(IFERROR(U388,"#N/C")="#N/C",T388,IF(IFERROR(V388,"#N/C")="#N/C",U388,"#N/C")))))), _xlpm.finalResult,IF(OR(_xlpm.computedResult="",_xlpm.computedResult="#N/C"),_xlpm.fallback,_xlpm.computedResult), INDEX(_xlpm.finalResult,1))</f>
        <v>crane_fly</v>
      </c>
      <c r="Z388" s="116" t="str" cm="1">
        <f t="array" ref="Z388">IF(OR(Y388="Insecta",Y388="Arachnida",Y388="#N/C"),"",IFERROR(_xlfn.LET(_xlpm.fc,IFERROR(_xlfn._xlws.FILTER(ClassificationClasses[],ClassificationClasses[Classification Class]=Y388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388,ClassificationClasses[Key])),0),MATCH(Y388,INDEX(ClassificationClasses[],MATCH(TRUE,ISNUMBER(SEARCH(Y388,ClassificationClasses[Key])),0),0),0)-1)))</f>
        <v>Tipulomorpha</v>
      </c>
      <c r="AA388" s="116" t="str" cm="1">
        <f t="array" ref="AA388">IFERROR(IF(OR(Z388="Insecta",Z388="Arachnida",Z388="#N/C"),"",INDEX(ClassificationClasses[[Class]:[Infraorder]],MATCH(TRUE,ISNUMBER(SEARCH(Z388,ClassificationClasses[Key])),0),MATCH(Z388,INDEX(ClassificationClasses[#Data], MATCH(TRUE,ISNUMBER(SEARCH(Z388,ClassificationClasses[Key])),0), 0), 0)-1)),"")</f>
        <v>Nematocera</v>
      </c>
      <c r="AB388" s="116" t="str" cm="1">
        <f t="array" ref="AB388">IFERROR(IF(OR(AA388="Insecta",AA388="Arachnida",AA388="#N/C"),"",INDEX(ClassificationClasses[[Class]:[Suborder]],MATCH(TRUE,ISNUMBER(SEARCH(AA388,ClassificationClasses[Key])),0),MATCH(AA388,INDEX(ClassificationClasses[#Data], MATCH(TRUE,ISNUMBER(SEARCH(AA388,ClassificationClasses[Key])),0), 0), 0)-1)),"")</f>
        <v>Diptera</v>
      </c>
      <c r="AC388" s="116" t="str" cm="1">
        <f t="array" ref="AC388">IFERROR(IF(OR(AB388="Insecta",AB388="Arachnida",AB388="#N/C"),"",INDEX(ClassificationClasses[[Class]:[Suborder]],MATCH(TRUE,ISNUMBER(SEARCH(AB388,ClassificationClasses[Key])),0),MATCH(AB388,INDEX(ClassificationClasses[#Data], MATCH(TRUE,ISNUMBER(SEARCH(AB388,ClassificationClasses[Key])),0), 0), 0)-1)),"")</f>
        <v>Insecta</v>
      </c>
      <c r="AD388" s="116" t="str" cm="1">
        <f t="array" ref="AD388">IFERROR(IF(OR(AC388="Insecta",AC388="Arachnida",AC388="#N/C"),"",INDEX(ClassificationClasses[[Class]:[Suborder]],MATCH(TRUE,ISNUMBER(SEARCH(AC388,ClassificationClasses[Key])),0),MATCH(AC388,INDEX(ClassificationClasses[#Data], MATCH(TRUE,ISNUMBER(SEARCH(AC388,ClassificationClasses[Key])),0), 0), 0)-1)),"")</f>
        <v/>
      </c>
      <c r="AE388" s="18" t="str">
        <f t="shared" si="12"/>
        <v>Insecta.Diptera.Nematocera.Tipulomorpha.Tipuloidea.Tipulidae.Tipulinae.Nephrotoma.#N/C</v>
      </c>
    </row>
    <row r="389" spans="1:31" x14ac:dyDescent="0.3">
      <c r="A389" s="91">
        <v>388</v>
      </c>
      <c r="B389" s="7">
        <v>44419</v>
      </c>
      <c r="C389" s="92" t="s">
        <v>657</v>
      </c>
      <c r="D389" s="93" t="str">
        <f>HYPERLINK(VLOOKUP(C389,Video_List!$F:$J,5),"video")</f>
        <v>video</v>
      </c>
      <c r="E389" s="94" t="str">
        <f>IFERROR(IF(MATCH(C389,Video_List!$F:$F,)&gt;0,"ok",""),"error")</f>
        <v>ok</v>
      </c>
      <c r="F389" s="92" t="s">
        <v>657</v>
      </c>
      <c r="G389" s="93" t="str">
        <f>HYPERLINK(VLOOKUP(F389,Video_List!$F:$J,5),"video")</f>
        <v>video</v>
      </c>
      <c r="H389" s="94" t="str">
        <f>IFERROR(IF(MATCH(F389,Video_List!$F:$F,)&gt;0,"ok",""),"error")</f>
        <v>ok</v>
      </c>
      <c r="I389" s="17">
        <v>44419.021643518521</v>
      </c>
      <c r="J389" s="8">
        <v>44419.021701388891</v>
      </c>
      <c r="K389" s="15">
        <f t="shared" si="13"/>
        <v>5.7870369346346706E-5</v>
      </c>
      <c r="L389" s="4" t="s">
        <v>32</v>
      </c>
      <c r="M389" s="4" t="s">
        <v>33</v>
      </c>
      <c r="N389" s="96" t="str">
        <f>IF(ISBLANK(C389),"",IF(C389=F389, "1 video",CONCATENATE((+COUNTIFS(Video_List!$C:$C,"&lt;=" &amp;Monitoring!J389)-COUNTIFS(Video_List!$C:$C,"&lt;=" &amp;Monitoring!I389))+1," videos")))</f>
        <v>1 video</v>
      </c>
      <c r="O389" s="27" t="s">
        <v>32</v>
      </c>
      <c r="P389" s="43" t="s">
        <v>37</v>
      </c>
      <c r="Q389" s="43" t="s">
        <v>56</v>
      </c>
      <c r="R389" s="43" t="s">
        <v>57</v>
      </c>
      <c r="S389" s="97" t="str">
        <f>+IFERROR(IF(T389="#N/C","#N/C",IF(U389=0,INDEX(Taxonomy_UniqueValues!D:D,MATCH(U389,Taxonomy_UniqueValues!F:F,0)),INDEX(Taxonomy_UniqueValues!D:D,MATCH(T389,Taxonomy_UniqueValues!E:E,0)))),"#N/C")</f>
        <v>Heterocera</v>
      </c>
      <c r="T389" s="43" t="s">
        <v>257</v>
      </c>
      <c r="U389" s="43" t="s">
        <v>658</v>
      </c>
      <c r="V389" s="43" t="s">
        <v>659</v>
      </c>
      <c r="W389" s="43" t="s">
        <v>660</v>
      </c>
      <c r="X389" s="30" t="s">
        <v>661</v>
      </c>
      <c r="Y389" s="69" t="str" cm="1">
        <f t="array" ref="Y389">_xlfn.LET(_xlpm.cls,P389, _xlpm.ord,IFERROR(Q389,"#N/C"), _xlpm.subord,IFERROR(R389,"#N/C"), _xlpm.infr,IFERROR(S389,"#N/C"), _xlpm.sf,IFERROR(T389,"#N/C"), _xlpm.fam,IFERROR(U389,"#N/C"), _xlpm.subfam,IF(TRIM(V389)="-","#N/C",IFERROR(V389,"#N/C")),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_xlpm.fallback,IF(IFERROR(Q389,"#N/C")="#N/C",P389,IF(IFERROR(R389,"#N/C")="#N/C",Q389,IF(IFERROR(S389,"#N/C")="#N/C",R389,IF(IFERROR(T389,"#N/C")="#N/C",S389,IF(IFERROR(U389,"#N/C")="#N/C",T389,IF(IFERROR(V389,"#N/C")="#N/C",U389,"#N/C")))))), _xlpm.finalResult,IF(OR(_xlpm.computedResult="",_xlpm.computedResult="#N/C"),_xlpm.fallback,_xlpm.computedResult), INDEX(_xlpm.finalResult,1))</f>
        <v>moth</v>
      </c>
      <c r="Z389" s="116" t="str" cm="1">
        <f t="array" ref="Z389">IF(OR(Y389="Insecta",Y389="Arachnida",Y389="#N/C"),"",IFERROR(_xlfn.LET(_xlpm.fc,IFERROR(_xlfn._xlws.FILTER(ClassificationClasses[],ClassificationClasses[Classification Class]=Y389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389,ClassificationClasses[Key])),0),MATCH(Y389,INDEX(ClassificationClasses[],MATCH(TRUE,ISNUMBER(SEARCH(Y389,ClassificationClasses[Key])),0),0),0)-1)))</f>
        <v>Heterocera</v>
      </c>
      <c r="AA389" s="116" t="str" cm="1">
        <f t="array" ref="AA389">IFERROR(IF(OR(Z389="Insecta",Z389="Arachnida",Z389="#N/C"),"",INDEX(ClassificationClasses[[Class]:[Infraorder]],MATCH(TRUE,ISNUMBER(SEARCH(Z389,ClassificationClasses[Key])),0),MATCH(Z389,INDEX(ClassificationClasses[#Data], MATCH(TRUE,ISNUMBER(SEARCH(Z389,ClassificationClasses[Key])),0), 0), 0)-1)),"")</f>
        <v>Glossata</v>
      </c>
      <c r="AB389" s="116" t="str" cm="1">
        <f t="array" ref="AB389">IFERROR(IF(OR(AA389="Insecta",AA389="Arachnida",AA389="#N/C"),"",INDEX(ClassificationClasses[[Class]:[Suborder]],MATCH(TRUE,ISNUMBER(SEARCH(AA389,ClassificationClasses[Key])),0),MATCH(AA389,INDEX(ClassificationClasses[#Data], MATCH(TRUE,ISNUMBER(SEARCH(AA389,ClassificationClasses[Key])),0), 0), 0)-1)),"")</f>
        <v>Lepidoptera</v>
      </c>
      <c r="AC389" s="116" t="str" cm="1">
        <f t="array" ref="AC389">IFERROR(IF(OR(AB389="Insecta",AB389="Arachnida",AB389="#N/C"),"",INDEX(ClassificationClasses[[Class]:[Suborder]],MATCH(TRUE,ISNUMBER(SEARCH(AB389,ClassificationClasses[Key])),0),MATCH(AB389,INDEX(ClassificationClasses[#Data], MATCH(TRUE,ISNUMBER(SEARCH(AB389,ClassificationClasses[Key])),0), 0), 0)-1)),"")</f>
        <v>Insecta</v>
      </c>
      <c r="AD389" s="116" t="str" cm="1">
        <f t="array" ref="AD389">IFERROR(IF(OR(AC389="Insecta",AC389="Arachnida",AC389="#N/C"),"",INDEX(ClassificationClasses[[Class]:[Suborder]],MATCH(TRUE,ISNUMBER(SEARCH(AC389,ClassificationClasses[Key])),0),MATCH(AC389,INDEX(ClassificationClasses[#Data], MATCH(TRUE,ISNUMBER(SEARCH(AC389,ClassificationClasses[Key])),0), 0), 0)-1)),"")</f>
        <v/>
      </c>
      <c r="AE389" s="18" t="str">
        <f t="shared" si="12"/>
        <v>Insecta.Lepidoptera.Glossata.Heterocera.Gelechioidea.Peleopodidae.Peleopodinae.Carcina.quercana</v>
      </c>
    </row>
    <row r="390" spans="1:31" x14ac:dyDescent="0.3">
      <c r="A390" s="91">
        <v>389</v>
      </c>
      <c r="B390" s="7">
        <v>44419</v>
      </c>
      <c r="C390" s="92" t="s">
        <v>662</v>
      </c>
      <c r="D390" s="93" t="str">
        <f>HYPERLINK(VLOOKUP(C390,Video_List!$F:$J,5),"video")</f>
        <v>video</v>
      </c>
      <c r="E390" s="94" t="str">
        <f>IFERROR(IF(MATCH(C390,Video_List!$F:$F,)&gt;0,"ok",""),"error")</f>
        <v>ok</v>
      </c>
      <c r="F390" s="92" t="s">
        <v>662</v>
      </c>
      <c r="G390" s="93" t="str">
        <f>HYPERLINK(VLOOKUP(F390,Video_List!$F:$J,5),"video")</f>
        <v>video</v>
      </c>
      <c r="H390" s="94" t="str">
        <f>IFERROR(IF(MATCH(F390,Video_List!$F:$F,)&gt;0,"ok",""),"error")</f>
        <v>ok</v>
      </c>
      <c r="I390" s="17">
        <v>44419.404374999998</v>
      </c>
      <c r="J390" s="8">
        <v>44419.405474537038</v>
      </c>
      <c r="K390" s="15">
        <f t="shared" si="13"/>
        <v>1.0995370394084603E-3</v>
      </c>
      <c r="L390" s="4" t="s">
        <v>44</v>
      </c>
      <c r="M390" s="4" t="s">
        <v>33</v>
      </c>
      <c r="N390" s="96" t="str">
        <f>IF(ISBLANK(C390),"",IF(C390=F390, "1 video",CONCATENATE((+COUNTIFS(Video_List!$C:$C,"&lt;=" &amp;Monitoring!J390)-COUNTIFS(Video_List!$C:$C,"&lt;=" &amp;Monitoring!I390))+1," videos")))</f>
        <v>1 video</v>
      </c>
      <c r="O390" s="27" t="s">
        <v>32</v>
      </c>
      <c r="P390" s="43" t="s">
        <v>37</v>
      </c>
      <c r="Q390" s="43" t="s">
        <v>123</v>
      </c>
      <c r="R390" s="43" t="s">
        <v>124</v>
      </c>
      <c r="S390" s="97" t="str">
        <f>+IFERROR(IF(T390="#N/C","#N/C",IF(U390=0,INDEX(Taxonomy_UniqueValues!D:D,MATCH(U390,Taxonomy_UniqueValues!F:F,0)),INDEX(Taxonomy_UniqueValues!D:D,MATCH(T390,Taxonomy_UniqueValues!E:E,0)))),"#N/C")</f>
        <v>Acrididea</v>
      </c>
      <c r="T390" s="43" t="s">
        <v>125</v>
      </c>
      <c r="U390" s="43" t="s">
        <v>126</v>
      </c>
      <c r="V390" s="43" t="s">
        <v>173</v>
      </c>
      <c r="W390" s="43" t="s">
        <v>174</v>
      </c>
      <c r="X390" s="30" t="s">
        <v>663</v>
      </c>
      <c r="Y390" s="69" t="str" cm="1">
        <f t="array" ref="Y390">_xlfn.LET(_xlpm.cls,P390, _xlpm.ord,IFERROR(Q390,"#N/C"), _xlpm.subord,IFERROR(R390,"#N/C"), _xlpm.infr,IFERROR(S390,"#N/C"), _xlpm.sf,IFERROR(T390,"#N/C"), _xlpm.fam,IFERROR(U390,"#N/C"), _xlpm.subfam,IF(TRIM(V390)="-","#N/C",IFERROR(V390,"#N/C")),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_xlpm.fallback,IF(IFERROR(Q390,"#N/C")="#N/C",P390,IF(IFERROR(R390,"#N/C")="#N/C",Q390,IF(IFERROR(S390,"#N/C")="#N/C",R390,IF(IFERROR(T390,"#N/C")="#N/C",S390,IF(IFERROR(U390,"#N/C")="#N/C",T390,IF(IFERROR(V390,"#N/C")="#N/C",U390,"#N/C")))))), _xlpm.finalResult,IF(OR(_xlpm.computedResult="",_xlpm.computedResult="#N/C"),_xlpm.fallback,_xlpm.computedResult), INDEX(_xlpm.finalResult,1))</f>
        <v>grasshopper</v>
      </c>
      <c r="Z390" s="116" t="str" cm="1">
        <f t="array" ref="Z390">IF(OR(Y390="Insecta",Y390="Arachnida",Y390="#N/C"),"",IFERROR(_xlfn.LET(_xlpm.fc,IFERROR(_xlfn._xlws.FILTER(ClassificationClasses[],ClassificationClasses[Classification Class]=Y390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390,ClassificationClasses[Key])),0),MATCH(Y390,INDEX(ClassificationClasses[],MATCH(TRUE,ISNUMBER(SEARCH(Y390,ClassificationClasses[Key])),0),0),0)-1)))</f>
        <v>Orthoptera</v>
      </c>
      <c r="AA390" s="116" t="str" cm="1">
        <f t="array" ref="AA390">IFERROR(IF(OR(Z390="Insecta",Z390="Arachnida",Z390="#N/C"),"",INDEX(ClassificationClasses[[Class]:[Infraorder]],MATCH(TRUE,ISNUMBER(SEARCH(Z390,ClassificationClasses[Key])),0),MATCH(Z390,INDEX(ClassificationClasses[#Data], MATCH(TRUE,ISNUMBER(SEARCH(Z390,ClassificationClasses[Key])),0), 0), 0)-1)),"")</f>
        <v>Insecta</v>
      </c>
      <c r="AB390" s="116" t="str" cm="1">
        <f t="array" ref="AB390">IFERROR(IF(OR(AA390="Insecta",AA390="Arachnida",AA390="#N/C"),"",INDEX(ClassificationClasses[[Class]:[Suborder]],MATCH(TRUE,ISNUMBER(SEARCH(AA390,ClassificationClasses[Key])),0),MATCH(AA390,INDEX(ClassificationClasses[#Data], MATCH(TRUE,ISNUMBER(SEARCH(AA390,ClassificationClasses[Key])),0), 0), 0)-1)),"")</f>
        <v/>
      </c>
      <c r="AC390" s="116" t="str" cm="1">
        <f t="array" ref="AC390">IFERROR(IF(OR(AB390="Insecta",AB390="Arachnida",AB390="#N/C"),"",INDEX(ClassificationClasses[[Class]:[Suborder]],MATCH(TRUE,ISNUMBER(SEARCH(AB390,ClassificationClasses[Key])),0),MATCH(AB390,INDEX(ClassificationClasses[#Data], MATCH(TRUE,ISNUMBER(SEARCH(AB390,ClassificationClasses[Key])),0), 0), 0)-1)),"")</f>
        <v/>
      </c>
      <c r="AD390" s="116" t="str" cm="1">
        <f t="array" ref="AD390">IFERROR(IF(OR(AC390="Insecta",AC390="Arachnida",AC390="#N/C"),"",INDEX(ClassificationClasses[[Class]:[Suborder]],MATCH(TRUE,ISNUMBER(SEARCH(AC390,ClassificationClasses[Key])),0),MATCH(AC390,INDEX(ClassificationClasses[#Data], MATCH(TRUE,ISNUMBER(SEARCH(AC390,ClassificationClasses[Key])),0), 0), 0)-1)),"")</f>
        <v/>
      </c>
      <c r="AE390" s="18" t="str">
        <f t="shared" si="12"/>
        <v>Insecta.Orthoptera.Caelifera.Acrididea.Acridoidea.Acrididae.Gomphocerinae.Chorthippus.dorsatus</v>
      </c>
    </row>
    <row r="391" spans="1:31" x14ac:dyDescent="0.3">
      <c r="A391" s="91">
        <v>390</v>
      </c>
      <c r="B391" s="7">
        <v>44419</v>
      </c>
      <c r="C391" s="92" t="s">
        <v>664</v>
      </c>
      <c r="D391" s="93" t="str">
        <f>HYPERLINK(VLOOKUP(C391,Video_List!$F:$J,5),"video")</f>
        <v>video</v>
      </c>
      <c r="E391" s="94" t="str">
        <f>IFERROR(IF(MATCH(C391,Video_List!$F:$F,)&gt;0,"ok",""),"error")</f>
        <v>ok</v>
      </c>
      <c r="F391" s="92" t="s">
        <v>664</v>
      </c>
      <c r="G391" s="93" t="str">
        <f>HYPERLINK(VLOOKUP(F391,Video_List!$F:$J,5),"video")</f>
        <v>video</v>
      </c>
      <c r="H391" s="94" t="str">
        <f>IFERROR(IF(MATCH(F391,Video_List!$F:$F,)&gt;0,"ok",""),"error")</f>
        <v>ok</v>
      </c>
      <c r="I391" s="17">
        <v>44419.452349537038</v>
      </c>
      <c r="J391" s="8">
        <v>44419.45275462963</v>
      </c>
      <c r="K391" s="15">
        <f t="shared" si="13"/>
        <v>4.0509259270038456E-4</v>
      </c>
      <c r="L391" s="4" t="s">
        <v>44</v>
      </c>
      <c r="M391" s="4" t="s">
        <v>33</v>
      </c>
      <c r="N391" s="96" t="str">
        <f>IF(ISBLANK(C391),"",IF(C391=F391, "1 video",CONCATENATE((+COUNTIFS(Video_List!$C:$C,"&lt;=" &amp;Monitoring!J391)-COUNTIFS(Video_List!$C:$C,"&lt;=" &amp;Monitoring!I391))+1," videos")))</f>
        <v>1 video</v>
      </c>
      <c r="O391" s="27" t="s">
        <v>32</v>
      </c>
      <c r="P391" s="43" t="s">
        <v>37</v>
      </c>
      <c r="Q391" s="43" t="s">
        <v>41</v>
      </c>
      <c r="R391" s="43" t="s">
        <v>42</v>
      </c>
      <c r="S391" s="97" t="str">
        <f>+IFERROR(IF(T391="#N/C","#N/C",IF(U391=0,INDEX(Taxonomy_UniqueValues!D:D,MATCH(U391,Taxonomy_UniqueValues!F:F,0)),INDEX(Taxonomy_UniqueValues!D:D,MATCH(T391,Taxonomy_UniqueValues!E:E,0)))),"#N/C")</f>
        <v>Parasitica</v>
      </c>
      <c r="T391" s="43" t="s">
        <v>71</v>
      </c>
      <c r="U391" s="43" t="s">
        <v>72</v>
      </c>
      <c r="V391" s="43" t="s">
        <v>665</v>
      </c>
      <c r="W391" s="43" t="s">
        <v>35</v>
      </c>
      <c r="X391" s="30" t="s">
        <v>35</v>
      </c>
      <c r="Y391" s="69" t="str" cm="1">
        <f t="array" ref="Y391">_xlfn.LET(_xlpm.cls,P391, _xlpm.ord,IFERROR(Q391,"#N/C"), _xlpm.subord,IFERROR(R391,"#N/C"), _xlpm.infr,IFERROR(S391,"#N/C"), _xlpm.sf,IFERROR(T391,"#N/C"), _xlpm.fam,IFERROR(U391,"#N/C"), _xlpm.subfam,IF(TRIM(V391)="-","#N/C",IFERROR(V391,"#N/C")),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_xlpm.fallback,IF(IFERROR(Q391,"#N/C")="#N/C",P391,IF(IFERROR(R391,"#N/C")="#N/C",Q391,IF(IFERROR(S391,"#N/C")="#N/C",R391,IF(IFERROR(T391,"#N/C")="#N/C",S391,IF(IFERROR(U391,"#N/C")="#N/C",T391,IF(IFERROR(V391,"#N/C")="#N/C",U391,"#N/C")))))), _xlpm.finalResult,IF(OR(_xlpm.computedResult="",_xlpm.computedResult="#N/C"),_xlpm.fallback,_xlpm.computedResult), INDEX(_xlpm.finalResult,1))</f>
        <v>Ichneumonidae</v>
      </c>
      <c r="Z391" s="116" t="str" cm="1">
        <f t="array" ref="Z391">IF(OR(Y391="Insecta",Y391="Arachnida",Y391="#N/C"),"",IFERROR(_xlfn.LET(_xlpm.fc,IFERROR(_xlfn._xlws.FILTER(ClassificationClasses[],ClassificationClasses[Classification Class]=Y391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391,ClassificationClasses[Key])),0),MATCH(Y391,INDEX(ClassificationClasses[],MATCH(TRUE,ISNUMBER(SEARCH(Y391,ClassificationClasses[Key])),0),0),0)-1)))</f>
        <v>Ichneumonoidea</v>
      </c>
      <c r="AA391" s="116" t="str" cm="1">
        <f t="array" ref="AA391">IFERROR(IF(OR(Z391="Insecta",Z391="Arachnida",Z391="#N/C"),"",INDEX(ClassificationClasses[[Class]:[Infraorder]],MATCH(TRUE,ISNUMBER(SEARCH(Z391,ClassificationClasses[Key])),0),MATCH(Z391,INDEX(ClassificationClasses[#Data], MATCH(TRUE,ISNUMBER(SEARCH(Z391,ClassificationClasses[Key])),0), 0), 0)-1)),"")</f>
        <v>Parasitica</v>
      </c>
      <c r="AB391" s="116" t="str" cm="1">
        <f t="array" ref="AB391">IFERROR(IF(OR(AA391="Insecta",AA391="Arachnida",AA391="#N/C"),"",INDEX(ClassificationClasses[[Class]:[Suborder]],MATCH(TRUE,ISNUMBER(SEARCH(AA391,ClassificationClasses[Key])),0),MATCH(AA391,INDEX(ClassificationClasses[#Data], MATCH(TRUE,ISNUMBER(SEARCH(AA391,ClassificationClasses[Key])),0), 0), 0)-1)),"")</f>
        <v>Apocrita</v>
      </c>
      <c r="AC391" s="116" t="str" cm="1">
        <f t="array" ref="AC391">IFERROR(IF(OR(AB391="Insecta",AB391="Arachnida",AB391="#N/C"),"",INDEX(ClassificationClasses[[Class]:[Suborder]],MATCH(TRUE,ISNUMBER(SEARCH(AB391,ClassificationClasses[Key])),0),MATCH(AB391,INDEX(ClassificationClasses[#Data], MATCH(TRUE,ISNUMBER(SEARCH(AB391,ClassificationClasses[Key])),0), 0), 0)-1)),"")</f>
        <v>Hymenoptera</v>
      </c>
      <c r="AD391" s="116" t="str" cm="1">
        <f t="array" ref="AD391">IFERROR(IF(OR(AC391="Insecta",AC391="Arachnida",AC391="#N/C"),"",INDEX(ClassificationClasses[[Class]:[Suborder]],MATCH(TRUE,ISNUMBER(SEARCH(AC391,ClassificationClasses[Key])),0),MATCH(AC391,INDEX(ClassificationClasses[#Data], MATCH(TRUE,ISNUMBER(SEARCH(AC391,ClassificationClasses[Key])),0), 0), 0)-1)),"")</f>
        <v>Insecta</v>
      </c>
      <c r="AE391" s="18" t="str">
        <f t="shared" si="12"/>
        <v>Insecta.Hymenoptera.Apocrita.Parasitica.Ichneumonoidea.Ichneumonidae.Ichneumoninae.#N/C.#N/C</v>
      </c>
    </row>
    <row r="392" spans="1:31" x14ac:dyDescent="0.3">
      <c r="A392" s="91">
        <v>391</v>
      </c>
      <c r="B392" s="7">
        <v>44419</v>
      </c>
      <c r="C392" s="92" t="s">
        <v>666</v>
      </c>
      <c r="D392" s="93" t="str">
        <f>HYPERLINK(VLOOKUP(C392,Video_List!$F:$J,5),"video")</f>
        <v>video</v>
      </c>
      <c r="E392" s="94" t="str">
        <f>IFERROR(IF(MATCH(C392,Video_List!$F:$F,)&gt;0,"ok",""),"error")</f>
        <v>ok</v>
      </c>
      <c r="F392" s="92" t="s">
        <v>666</v>
      </c>
      <c r="G392" s="93" t="str">
        <f>HYPERLINK(VLOOKUP(F392,Video_List!$F:$J,5),"video")</f>
        <v>video</v>
      </c>
      <c r="H392" s="94" t="str">
        <f>IFERROR(IF(MATCH(F392,Video_List!$F:$F,)&gt;0,"ok",""),"error")</f>
        <v>ok</v>
      </c>
      <c r="I392" s="17">
        <v>44419.470752314817</v>
      </c>
      <c r="J392" s="8">
        <v>44419.470810185187</v>
      </c>
      <c r="K392" s="15">
        <f t="shared" si="13"/>
        <v>5.7870369346346706E-5</v>
      </c>
      <c r="L392" s="4" t="s">
        <v>32</v>
      </c>
      <c r="M392" s="4" t="s">
        <v>33</v>
      </c>
      <c r="N392" s="96" t="str">
        <f>IF(ISBLANK(C392),"",IF(C392=F392, "1 video",CONCATENATE((+COUNTIFS(Video_List!$C:$C,"&lt;=" &amp;Monitoring!J392)-COUNTIFS(Video_List!$C:$C,"&lt;=" &amp;Monitoring!I392))+1," videos")))</f>
        <v>1 video</v>
      </c>
      <c r="O392" s="27" t="s">
        <v>32</v>
      </c>
      <c r="P392" s="43" t="s">
        <v>37</v>
      </c>
      <c r="Q392" s="43" t="s">
        <v>38</v>
      </c>
      <c r="R392" s="43" t="s">
        <v>39</v>
      </c>
      <c r="S392" s="97" t="str">
        <f>+IFERROR(IF(T392="#N/C","#N/C",IF(U392=0,INDEX(Taxonomy_UniqueValues!D:D,MATCH(U392,Taxonomy_UniqueValues!F:F,0)),INDEX(Taxonomy_UniqueValues!D:D,MATCH(T392,Taxonomy_UniqueValues!E:E,0)))),"#N/C")</f>
        <v>Muscomorpha</v>
      </c>
      <c r="T392" s="43" t="s">
        <v>175</v>
      </c>
      <c r="U392" s="43" t="s">
        <v>495</v>
      </c>
      <c r="V392" s="43" t="s">
        <v>667</v>
      </c>
      <c r="W392" s="43" t="s">
        <v>668</v>
      </c>
      <c r="X392" s="30" t="s">
        <v>35</v>
      </c>
      <c r="Y392" s="69" t="str" cm="1">
        <f t="array" ref="Y392">_xlfn.LET(_xlpm.cls,P392, _xlpm.ord,IFERROR(Q392,"#N/C"), _xlpm.subord,IFERROR(R392,"#N/C"), _xlpm.infr,IFERROR(S392,"#N/C"), _xlpm.sf,IFERROR(T392,"#N/C"), _xlpm.fam,IFERROR(U392,"#N/C"), _xlpm.subfam,IF(TRIM(V392)="-","#N/C",IFERROR(V392,"#N/C")),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_xlpm.fallback,IF(IFERROR(Q392,"#N/C")="#N/C",P392,IF(IFERROR(R392,"#N/C")="#N/C",Q392,IF(IFERROR(S392,"#N/C")="#N/C",R392,IF(IFERROR(T392,"#N/C")="#N/C",S392,IF(IFERROR(U392,"#N/C")="#N/C",T392,IF(IFERROR(V392,"#N/C")="#N/C",U392,"#N/C")))))), _xlpm.finalResult,IF(OR(_xlpm.computedResult="",_xlpm.computedResult="#N/C"),_xlpm.fallback,_xlpm.computedResult), INDEX(_xlpm.finalResult,1))</f>
        <v>fly</v>
      </c>
      <c r="Z392" s="116" t="str" cm="1">
        <f t="array" ref="Z392">IF(OR(Y392="Insecta",Y392="Arachnida",Y392="#N/C"),"",IFERROR(_xlfn.LET(_xlpm.fc,IFERROR(_xlfn._xlws.FILTER(ClassificationClasses[],ClassificationClasses[Classification Class]=Y392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392,ClassificationClasses[Key])),0),MATCH(Y392,INDEX(ClassificationClasses[],MATCH(TRUE,ISNUMBER(SEARCH(Y392,ClassificationClasses[Key])),0),0),0)-1)))</f>
        <v>Muscomorpha</v>
      </c>
      <c r="AA392" s="116" t="str" cm="1">
        <f t="array" ref="AA392">IFERROR(IF(OR(Z392="Insecta",Z392="Arachnida",Z392="#N/C"),"",INDEX(ClassificationClasses[[Class]:[Infraorder]],MATCH(TRUE,ISNUMBER(SEARCH(Z392,ClassificationClasses[Key])),0),MATCH(Z392,INDEX(ClassificationClasses[#Data], MATCH(TRUE,ISNUMBER(SEARCH(Z392,ClassificationClasses[Key])),0), 0), 0)-1)),"")</f>
        <v>Brachycera</v>
      </c>
      <c r="AB392" s="116" t="str" cm="1">
        <f t="array" ref="AB392">IFERROR(IF(OR(AA392="Insecta",AA392="Arachnida",AA392="#N/C"),"",INDEX(ClassificationClasses[[Class]:[Suborder]],MATCH(TRUE,ISNUMBER(SEARCH(AA392,ClassificationClasses[Key])),0),MATCH(AA392,INDEX(ClassificationClasses[#Data], MATCH(TRUE,ISNUMBER(SEARCH(AA392,ClassificationClasses[Key])),0), 0), 0)-1)),"")</f>
        <v>Diptera</v>
      </c>
      <c r="AC392" s="116" t="str" cm="1">
        <f t="array" ref="AC392">IFERROR(IF(OR(AB392="Insecta",AB392="Arachnida",AB392="#N/C"),"",INDEX(ClassificationClasses[[Class]:[Suborder]],MATCH(TRUE,ISNUMBER(SEARCH(AB392,ClassificationClasses[Key])),0),MATCH(AB392,INDEX(ClassificationClasses[#Data], MATCH(TRUE,ISNUMBER(SEARCH(AB392,ClassificationClasses[Key])),0), 0), 0)-1)),"")</f>
        <v>Insecta</v>
      </c>
      <c r="AD392" s="116" t="str" cm="1">
        <f t="array" ref="AD392">IFERROR(IF(OR(AC392="Insecta",AC392="Arachnida",AC392="#N/C"),"",INDEX(ClassificationClasses[[Class]:[Suborder]],MATCH(TRUE,ISNUMBER(SEARCH(AC392,ClassificationClasses[Key])),0),MATCH(AC392,INDEX(ClassificationClasses[#Data], MATCH(TRUE,ISNUMBER(SEARCH(AC392,ClassificationClasses[Key])),0), 0), 0)-1)),"")</f>
        <v/>
      </c>
      <c r="AE392" s="18" t="str">
        <f t="shared" ref="AE392:AE432" si="14">+CONCATENATE(P392,".",Q392,".",R392,".",S392,".",T392,".",U392,".",V392,".",W392,".",X392)</f>
        <v>Insecta.Diptera.Brachycera.Muscomorpha.Muscoidea.Muscidae.Coenosiinae.Coenosia.#N/C</v>
      </c>
    </row>
    <row r="393" spans="1:31" x14ac:dyDescent="0.3">
      <c r="A393" s="91">
        <v>392</v>
      </c>
      <c r="B393" s="7">
        <v>44419</v>
      </c>
      <c r="C393" s="92" t="s">
        <v>669</v>
      </c>
      <c r="D393" s="93" t="str">
        <f>HYPERLINK(VLOOKUP(C393,Video_List!$F:$J,5),"video")</f>
        <v>video</v>
      </c>
      <c r="E393" s="94" t="str">
        <f>IFERROR(IF(MATCH(C393,Video_List!$F:$F,)&gt;0,"ok",""),"error")</f>
        <v>ok</v>
      </c>
      <c r="F393" s="92" t="s">
        <v>669</v>
      </c>
      <c r="G393" s="93" t="str">
        <f>HYPERLINK(VLOOKUP(F393,Video_List!$F:$J,5),"video")</f>
        <v>video</v>
      </c>
      <c r="H393" s="94" t="str">
        <f>IFERROR(IF(MATCH(F393,Video_List!$F:$F,)&gt;0,"ok",""),"error")</f>
        <v>ok</v>
      </c>
      <c r="I393" s="17">
        <v>44419.473356481481</v>
      </c>
      <c r="J393" s="8">
        <v>44419.473541666666</v>
      </c>
      <c r="K393" s="15">
        <f t="shared" si="13"/>
        <v>1.8518518481869251E-4</v>
      </c>
      <c r="L393" s="4" t="s">
        <v>44</v>
      </c>
      <c r="M393" s="4" t="s">
        <v>33</v>
      </c>
      <c r="N393" s="96" t="str">
        <f>IF(ISBLANK(C393),"",IF(C393=F393, "1 video",CONCATENATE((+COUNTIFS(Video_List!$C:$C,"&lt;=" &amp;Monitoring!J393)-COUNTIFS(Video_List!$C:$C,"&lt;=" &amp;Monitoring!I393))+1," videos")))</f>
        <v>1 video</v>
      </c>
      <c r="O393" s="27" t="s">
        <v>32</v>
      </c>
      <c r="P393" s="43" t="s">
        <v>37</v>
      </c>
      <c r="Q393" s="43" t="s">
        <v>123</v>
      </c>
      <c r="R393" s="43" t="s">
        <v>124</v>
      </c>
      <c r="S393" s="97" t="str">
        <f>+IFERROR(IF(T393="#N/C","#N/C",IF(U393=0,INDEX(Taxonomy_UniqueValues!D:D,MATCH(U393,Taxonomy_UniqueValues!F:F,0)),INDEX(Taxonomy_UniqueValues!D:D,MATCH(T393,Taxonomy_UniqueValues!E:E,0)))),"#N/C")</f>
        <v>Acrididea</v>
      </c>
      <c r="T393" s="43" t="s">
        <v>125</v>
      </c>
      <c r="U393" s="43" t="s">
        <v>126</v>
      </c>
      <c r="V393" s="43" t="s">
        <v>173</v>
      </c>
      <c r="W393" s="43" t="s">
        <v>174</v>
      </c>
      <c r="X393" s="30" t="s">
        <v>35</v>
      </c>
      <c r="Y393" s="69" t="str" cm="1">
        <f t="array" ref="Y393">_xlfn.LET(_xlpm.cls,P393, _xlpm.ord,IFERROR(Q393,"#N/C"), _xlpm.subord,IFERROR(R393,"#N/C"), _xlpm.infr,IFERROR(S393,"#N/C"), _xlpm.sf,IFERROR(T393,"#N/C"), _xlpm.fam,IFERROR(U393,"#N/C"), _xlpm.subfam,IF(TRIM(V393)="-","#N/C",IFERROR(V393,"#N/C")),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_xlpm.fallback,IF(IFERROR(Q393,"#N/C")="#N/C",P393,IF(IFERROR(R393,"#N/C")="#N/C",Q393,IF(IFERROR(S393,"#N/C")="#N/C",R393,IF(IFERROR(T393,"#N/C")="#N/C",S393,IF(IFERROR(U393,"#N/C")="#N/C",T393,IF(IFERROR(V393,"#N/C")="#N/C",U393,"#N/C")))))), _xlpm.finalResult,IF(OR(_xlpm.computedResult="",_xlpm.computedResult="#N/C"),_xlpm.fallback,_xlpm.computedResult), INDEX(_xlpm.finalResult,1))</f>
        <v>grasshopper</v>
      </c>
      <c r="Z393" s="116" t="str" cm="1">
        <f t="array" ref="Z393">IF(OR(Y393="Insecta",Y393="Arachnida",Y393="#N/C"),"",IFERROR(_xlfn.LET(_xlpm.fc,IFERROR(_xlfn._xlws.FILTER(ClassificationClasses[],ClassificationClasses[Classification Class]=Y393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393,ClassificationClasses[Key])),0),MATCH(Y393,INDEX(ClassificationClasses[],MATCH(TRUE,ISNUMBER(SEARCH(Y393,ClassificationClasses[Key])),0),0),0)-1)))</f>
        <v>Orthoptera</v>
      </c>
      <c r="AA393" s="116" t="str" cm="1">
        <f t="array" ref="AA393">IFERROR(IF(OR(Z393="Insecta",Z393="Arachnida",Z393="#N/C"),"",INDEX(ClassificationClasses[[Class]:[Infraorder]],MATCH(TRUE,ISNUMBER(SEARCH(Z393,ClassificationClasses[Key])),0),MATCH(Z393,INDEX(ClassificationClasses[#Data], MATCH(TRUE,ISNUMBER(SEARCH(Z393,ClassificationClasses[Key])),0), 0), 0)-1)),"")</f>
        <v>Insecta</v>
      </c>
      <c r="AB393" s="116" t="str" cm="1">
        <f t="array" ref="AB393">IFERROR(IF(OR(AA393="Insecta",AA393="Arachnida",AA393="#N/C"),"",INDEX(ClassificationClasses[[Class]:[Suborder]],MATCH(TRUE,ISNUMBER(SEARCH(AA393,ClassificationClasses[Key])),0),MATCH(AA393,INDEX(ClassificationClasses[#Data], MATCH(TRUE,ISNUMBER(SEARCH(AA393,ClassificationClasses[Key])),0), 0), 0)-1)),"")</f>
        <v/>
      </c>
      <c r="AC393" s="116" t="str" cm="1">
        <f t="array" ref="AC393">IFERROR(IF(OR(AB393="Insecta",AB393="Arachnida",AB393="#N/C"),"",INDEX(ClassificationClasses[[Class]:[Suborder]],MATCH(TRUE,ISNUMBER(SEARCH(AB393,ClassificationClasses[Key])),0),MATCH(AB393,INDEX(ClassificationClasses[#Data], MATCH(TRUE,ISNUMBER(SEARCH(AB393,ClassificationClasses[Key])),0), 0), 0)-1)),"")</f>
        <v/>
      </c>
      <c r="AD393" s="116" t="str" cm="1">
        <f t="array" ref="AD393">IFERROR(IF(OR(AC393="Insecta",AC393="Arachnida",AC393="#N/C"),"",INDEX(ClassificationClasses[[Class]:[Suborder]],MATCH(TRUE,ISNUMBER(SEARCH(AC393,ClassificationClasses[Key])),0),MATCH(AC393,INDEX(ClassificationClasses[#Data], MATCH(TRUE,ISNUMBER(SEARCH(AC393,ClassificationClasses[Key])),0), 0), 0)-1)),"")</f>
        <v/>
      </c>
      <c r="AE393" s="18" t="str">
        <f t="shared" si="14"/>
        <v>Insecta.Orthoptera.Caelifera.Acrididea.Acridoidea.Acrididae.Gomphocerinae.Chorthippus.#N/C</v>
      </c>
    </row>
    <row r="394" spans="1:31" x14ac:dyDescent="0.3">
      <c r="A394" s="91">
        <v>393</v>
      </c>
      <c r="B394" s="7">
        <v>44419</v>
      </c>
      <c r="C394" s="92" t="s">
        <v>670</v>
      </c>
      <c r="D394" s="93" t="str">
        <f>HYPERLINK(VLOOKUP(C394,Video_List!$F:$J,5),"video")</f>
        <v>video</v>
      </c>
      <c r="E394" s="94" t="str">
        <f>IFERROR(IF(MATCH(C394,Video_List!$F:$F,)&gt;0,"ok",""),"error")</f>
        <v>ok</v>
      </c>
      <c r="F394" s="92" t="s">
        <v>670</v>
      </c>
      <c r="G394" s="93" t="str">
        <f>HYPERLINK(VLOOKUP(F394,Video_List!$F:$J,5),"video")</f>
        <v>video</v>
      </c>
      <c r="H394" s="94" t="str">
        <f>IFERROR(IF(MATCH(F394,Video_List!$F:$F,)&gt;0,"ok",""),"error")</f>
        <v>ok</v>
      </c>
      <c r="I394" s="17">
        <v>44419.506180555552</v>
      </c>
      <c r="J394" s="8">
        <v>44419.50640046296</v>
      </c>
      <c r="K394" s="15">
        <f t="shared" si="13"/>
        <v>2.1990740788169205E-4</v>
      </c>
      <c r="L394" s="95" t="s">
        <v>32</v>
      </c>
      <c r="M394" s="95" t="s">
        <v>33</v>
      </c>
      <c r="N394" s="96" t="str">
        <f>IF(ISBLANK(C394),"",IF(C394=F394, "1 video",CONCATENATE((+COUNTIFS(Video_List!$C:$C,"&lt;=" &amp;Monitoring!J394)-COUNTIFS(Video_List!$C:$C,"&lt;=" &amp;Monitoring!I394))+1," videos")))</f>
        <v>1 video</v>
      </c>
      <c r="O394" s="29" t="s">
        <v>44</v>
      </c>
      <c r="P394" s="43" t="s">
        <v>37</v>
      </c>
      <c r="Q394" s="43" t="s">
        <v>38</v>
      </c>
      <c r="R394" s="43" t="s">
        <v>39</v>
      </c>
      <c r="S394" s="97" t="str">
        <f>+IFERROR(IF(T394="#N/C","#N/C",IF(U394=0,INDEX(Taxonomy_UniqueValues!D:D,MATCH(U394,Taxonomy_UniqueValues!F:F,0)),INDEX(Taxonomy_UniqueValues!D:D,MATCH(T394,Taxonomy_UniqueValues!E:E,0)))),"#N/C")</f>
        <v>#N/C</v>
      </c>
      <c r="T394" s="43" t="s">
        <v>35</v>
      </c>
      <c r="U394" s="43" t="s">
        <v>35</v>
      </c>
      <c r="V394" s="43" t="s">
        <v>35</v>
      </c>
      <c r="W394" s="43" t="s">
        <v>35</v>
      </c>
      <c r="X394" s="30" t="s">
        <v>35</v>
      </c>
      <c r="Y394" s="69" t="str" cm="1">
        <f t="array" ref="Y394">_xlfn.LET(_xlpm.cls,P394, _xlpm.ord,IFERROR(Q394,"#N/C"), _xlpm.subord,IFERROR(R394,"#N/C"), _xlpm.infr,IFERROR(S394,"#N/C"), _xlpm.sf,IFERROR(T394,"#N/C"), _xlpm.fam,IFERROR(U394,"#N/C"), _xlpm.subfam,IF(TRIM(V394)="-","#N/C",IFERROR(V394,"#N/C")),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_xlpm.fallback,IF(IFERROR(Q394,"#N/C")="#N/C",P394,IF(IFERROR(R394,"#N/C")="#N/C",Q394,IF(IFERROR(S394,"#N/C")="#N/C",R394,IF(IFERROR(T394,"#N/C")="#N/C",S394,IF(IFERROR(U394,"#N/C")="#N/C",T394,IF(IFERROR(V394,"#N/C")="#N/C",U394,"#N/C")))))), _xlpm.finalResult,IF(OR(_xlpm.computedResult="",_xlpm.computedResult="#N/C"),_xlpm.fallback,_xlpm.computedResult), INDEX(_xlpm.finalResult,1))</f>
        <v>Brachycera</v>
      </c>
      <c r="Z394" s="116" t="str" cm="1">
        <f t="array" ref="Z394">IF(OR(Y394="Insecta",Y394="Arachnida",Y394="#N/C"),"",IFERROR(_xlfn.LET(_xlpm.fc,IFERROR(_xlfn._xlws.FILTER(ClassificationClasses[],ClassificationClasses[Classification Class]=Y394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394,ClassificationClasses[Key])),0),MATCH(Y394,INDEX(ClassificationClasses[],MATCH(TRUE,ISNUMBER(SEARCH(Y394,ClassificationClasses[Key])),0),0),0)-1)))</f>
        <v>Diptera</v>
      </c>
      <c r="AA394" s="116" t="str" cm="1">
        <f t="array" ref="AA394">IFERROR(IF(OR(Z394="Insecta",Z394="Arachnida",Z394="#N/C"),"",INDEX(ClassificationClasses[[Class]:[Infraorder]],MATCH(TRUE,ISNUMBER(SEARCH(Z394,ClassificationClasses[Key])),0),MATCH(Z394,INDEX(ClassificationClasses[#Data], MATCH(TRUE,ISNUMBER(SEARCH(Z394,ClassificationClasses[Key])),0), 0), 0)-1)),"")</f>
        <v>Insecta</v>
      </c>
      <c r="AB394" s="116" t="str" cm="1">
        <f t="array" ref="AB394">IFERROR(IF(OR(AA394="Insecta",AA394="Arachnida",AA394="#N/C"),"",INDEX(ClassificationClasses[[Class]:[Suborder]],MATCH(TRUE,ISNUMBER(SEARCH(AA394,ClassificationClasses[Key])),0),MATCH(AA394,INDEX(ClassificationClasses[#Data], MATCH(TRUE,ISNUMBER(SEARCH(AA394,ClassificationClasses[Key])),0), 0), 0)-1)),"")</f>
        <v/>
      </c>
      <c r="AC394" s="116" t="str" cm="1">
        <f t="array" ref="AC394">IFERROR(IF(OR(AB394="Insecta",AB394="Arachnida",AB394="#N/C"),"",INDEX(ClassificationClasses[[Class]:[Suborder]],MATCH(TRUE,ISNUMBER(SEARCH(AB394,ClassificationClasses[Key])),0),MATCH(AB394,INDEX(ClassificationClasses[#Data], MATCH(TRUE,ISNUMBER(SEARCH(AB394,ClassificationClasses[Key])),0), 0), 0)-1)),"")</f>
        <v/>
      </c>
      <c r="AD394" s="116" t="str" cm="1">
        <f t="array" ref="AD394">IFERROR(IF(OR(AC394="Insecta",AC394="Arachnida",AC394="#N/C"),"",INDEX(ClassificationClasses[[Class]:[Suborder]],MATCH(TRUE,ISNUMBER(SEARCH(AC394,ClassificationClasses[Key])),0),MATCH(AC394,INDEX(ClassificationClasses[#Data], MATCH(TRUE,ISNUMBER(SEARCH(AC394,ClassificationClasses[Key])),0), 0), 0)-1)),"")</f>
        <v/>
      </c>
      <c r="AE394" s="18" t="str">
        <f t="shared" si="14"/>
        <v>Insecta.Diptera.Brachycera.#N/C.#N/C.#N/C.#N/C.#N/C.#N/C</v>
      </c>
    </row>
    <row r="395" spans="1:31" x14ac:dyDescent="0.3">
      <c r="A395" s="91">
        <v>394</v>
      </c>
      <c r="B395" s="7">
        <v>44419</v>
      </c>
      <c r="C395" s="92" t="s">
        <v>671</v>
      </c>
      <c r="D395" s="93" t="str">
        <f>HYPERLINK(VLOOKUP(C395,Video_List!$F:$J,5),"video")</f>
        <v>video</v>
      </c>
      <c r="E395" s="94" t="str">
        <f>IFERROR(IF(MATCH(C395,Video_List!$F:$F,)&gt;0,"ok",""),"error")</f>
        <v>ok</v>
      </c>
      <c r="F395" s="92" t="s">
        <v>671</v>
      </c>
      <c r="G395" s="93" t="str">
        <f>HYPERLINK(VLOOKUP(F395,Video_List!$F:$J,5),"video")</f>
        <v>video</v>
      </c>
      <c r="H395" s="94" t="str">
        <f>IFERROR(IF(MATCH(F395,Video_List!$F:$F,)&gt;0,"ok",""),"error")</f>
        <v>ok</v>
      </c>
      <c r="I395" s="17">
        <v>44419.530069444445</v>
      </c>
      <c r="J395" s="8">
        <v>44419.530231481483</v>
      </c>
      <c r="K395" s="15">
        <f t="shared" si="13"/>
        <v>1.6203703853534535E-4</v>
      </c>
      <c r="L395" s="95" t="s">
        <v>44</v>
      </c>
      <c r="M395" s="95" t="s">
        <v>33</v>
      </c>
      <c r="N395" s="96" t="str">
        <f>IF(ISBLANK(C395),"",IF(C395=F395, "1 video",CONCATENATE((+COUNTIFS(Video_List!$C:$C,"&lt;=" &amp;Monitoring!J395)-COUNTIFS(Video_List!$C:$C,"&lt;=" &amp;Monitoring!I395))+1," videos")))</f>
        <v>1 video</v>
      </c>
      <c r="O395" s="29" t="s">
        <v>44</v>
      </c>
      <c r="P395" s="43" t="s">
        <v>37</v>
      </c>
      <c r="Q395" s="43" t="s">
        <v>38</v>
      </c>
      <c r="R395" s="43" t="s">
        <v>39</v>
      </c>
      <c r="S395" s="97" t="str">
        <f>+IFERROR(IF(T395="#N/C","#N/C",IF(U395=0,INDEX(Taxonomy_UniqueValues!D:D,MATCH(U395,Taxonomy_UniqueValues!F:F,0)),INDEX(Taxonomy_UniqueValues!D:D,MATCH(T395,Taxonomy_UniqueValues!E:E,0)))),"#N/C")</f>
        <v>Muscomorpha</v>
      </c>
      <c r="T395" s="43" t="s">
        <v>335</v>
      </c>
      <c r="U395" s="43" t="s">
        <v>375</v>
      </c>
      <c r="V395" s="43" t="s">
        <v>376</v>
      </c>
      <c r="W395" s="43" t="s">
        <v>377</v>
      </c>
      <c r="X395" s="30" t="s">
        <v>35</v>
      </c>
      <c r="Y395" s="69" t="str" cm="1">
        <f t="array" ref="Y395">_xlfn.LET(_xlpm.cls,P395, _xlpm.ord,IFERROR(Q395,"#N/C"), _xlpm.subord,IFERROR(R395,"#N/C"), _xlpm.infr,IFERROR(S395,"#N/C"), _xlpm.sf,IFERROR(T395,"#N/C"), _xlpm.fam,IFERROR(U395,"#N/C"), _xlpm.subfam,IF(TRIM(V395)="-","#N/C",IFERROR(V395,"#N/C")),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_xlpm.fallback,IF(IFERROR(Q395,"#N/C")="#N/C",P395,IF(IFERROR(R395,"#N/C")="#N/C",Q395,IF(IFERROR(S395,"#N/C")="#N/C",R395,IF(IFERROR(T395,"#N/C")="#N/C",S395,IF(IFERROR(U395,"#N/C")="#N/C",T395,IF(IFERROR(V395,"#N/C")="#N/C",U395,"#N/C")))))), _xlpm.finalResult,IF(OR(_xlpm.computedResult="",_xlpm.computedResult="#N/C"),_xlpm.fallback,_xlpm.computedResult), INDEX(_xlpm.finalResult,1))</f>
        <v>flesh_fly</v>
      </c>
      <c r="Z395" s="116" t="str" cm="1">
        <f t="array" ref="Z395">IF(OR(Y395="Insecta",Y395="Arachnida",Y395="#N/C"),"",IFERROR(_xlfn.LET(_xlpm.fc,IFERROR(_xlfn._xlws.FILTER(ClassificationClasses[],ClassificationClasses[Classification Class]=Y395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395,ClassificationClasses[Key])),0),MATCH(Y395,INDEX(ClassificationClasses[],MATCH(TRUE,ISNUMBER(SEARCH(Y395,ClassificationClasses[Key])),0),0),0)-1)))</f>
        <v>Muscomorpha</v>
      </c>
      <c r="AA395" s="116" t="str" cm="1">
        <f t="array" ref="AA395">IFERROR(IF(OR(Z395="Insecta",Z395="Arachnida",Z395="#N/C"),"",INDEX(ClassificationClasses[[Class]:[Infraorder]],MATCH(TRUE,ISNUMBER(SEARCH(Z395,ClassificationClasses[Key])),0),MATCH(Z395,INDEX(ClassificationClasses[#Data], MATCH(TRUE,ISNUMBER(SEARCH(Z395,ClassificationClasses[Key])),0), 0), 0)-1)),"")</f>
        <v>Brachycera</v>
      </c>
      <c r="AB395" s="116" t="str" cm="1">
        <f t="array" ref="AB395">IFERROR(IF(OR(AA395="Insecta",AA395="Arachnida",AA395="#N/C"),"",INDEX(ClassificationClasses[[Class]:[Suborder]],MATCH(TRUE,ISNUMBER(SEARCH(AA395,ClassificationClasses[Key])),0),MATCH(AA395,INDEX(ClassificationClasses[#Data], MATCH(TRUE,ISNUMBER(SEARCH(AA395,ClassificationClasses[Key])),0), 0), 0)-1)),"")</f>
        <v>Diptera</v>
      </c>
      <c r="AC395" s="116" t="str" cm="1">
        <f t="array" ref="AC395">IFERROR(IF(OR(AB395="Insecta",AB395="Arachnida",AB395="#N/C"),"",INDEX(ClassificationClasses[[Class]:[Suborder]],MATCH(TRUE,ISNUMBER(SEARCH(AB395,ClassificationClasses[Key])),0),MATCH(AB395,INDEX(ClassificationClasses[#Data], MATCH(TRUE,ISNUMBER(SEARCH(AB395,ClassificationClasses[Key])),0), 0), 0)-1)),"")</f>
        <v>Insecta</v>
      </c>
      <c r="AD395" s="116" t="str" cm="1">
        <f t="array" ref="AD395">IFERROR(IF(OR(AC395="Insecta",AC395="Arachnida",AC395="#N/C"),"",INDEX(ClassificationClasses[[Class]:[Suborder]],MATCH(TRUE,ISNUMBER(SEARCH(AC395,ClassificationClasses[Key])),0),MATCH(AC395,INDEX(ClassificationClasses[#Data], MATCH(TRUE,ISNUMBER(SEARCH(AC395,ClassificationClasses[Key])),0), 0), 0)-1)),"")</f>
        <v/>
      </c>
      <c r="AE395" s="18" t="str">
        <f t="shared" si="14"/>
        <v>Insecta.Diptera.Brachycera.Muscomorpha.Oestroidea.Sarcophagidae.Sarcophaginae.Sarcophaga.#N/C</v>
      </c>
    </row>
    <row r="396" spans="1:31" x14ac:dyDescent="0.3">
      <c r="A396" s="91">
        <v>395</v>
      </c>
      <c r="B396" s="7">
        <v>44419</v>
      </c>
      <c r="C396" s="92" t="s">
        <v>672</v>
      </c>
      <c r="D396" s="93" t="str">
        <f>HYPERLINK(VLOOKUP(C396,Video_List!$F:$J,5),"video")</f>
        <v>video</v>
      </c>
      <c r="E396" s="94" t="str">
        <f>IFERROR(IF(MATCH(C396,Video_List!$F:$F,)&gt;0,"ok",""),"error")</f>
        <v>ok</v>
      </c>
      <c r="F396" s="92" t="s">
        <v>672</v>
      </c>
      <c r="G396" s="93" t="str">
        <f>HYPERLINK(VLOOKUP(F396,Video_List!$F:$J,5),"video")</f>
        <v>video</v>
      </c>
      <c r="H396" s="94" t="str">
        <f>IFERROR(IF(MATCH(F396,Video_List!$F:$F,)&gt;0,"ok",""),"error")</f>
        <v>ok</v>
      </c>
      <c r="I396" s="17">
        <v>44419.589467592596</v>
      </c>
      <c r="J396" s="8">
        <v>44419.589629629627</v>
      </c>
      <c r="K396" s="15">
        <f t="shared" si="13"/>
        <v>1.6203703125938773E-4</v>
      </c>
      <c r="L396" s="4" t="s">
        <v>32</v>
      </c>
      <c r="M396" s="4" t="s">
        <v>33</v>
      </c>
      <c r="N396" s="96" t="str">
        <f>IF(ISBLANK(C396),"",IF(C396=F396, "1 video",CONCATENATE((+COUNTIFS(Video_List!$C:$C,"&lt;=" &amp;Monitoring!J396)-COUNTIFS(Video_List!$C:$C,"&lt;=" &amp;Monitoring!I396))+1," videos")))</f>
        <v>1 video</v>
      </c>
      <c r="O396" s="27" t="s">
        <v>32</v>
      </c>
      <c r="P396" s="43" t="s">
        <v>37</v>
      </c>
      <c r="Q396" s="43" t="s">
        <v>38</v>
      </c>
      <c r="R396" s="43" t="s">
        <v>39</v>
      </c>
      <c r="S396" s="97" t="str">
        <f>+IFERROR(IF(T396="#N/C","#N/C",IF(U396=0,INDEX(Taxonomy_UniqueValues!D:D,MATCH(U396,Taxonomy_UniqueValues!F:F,0)),INDEX(Taxonomy_UniqueValues!D:D,MATCH(T396,Taxonomy_UniqueValues!E:E,0)))),"#N/C")</f>
        <v>#N/C</v>
      </c>
      <c r="T396" s="43" t="s">
        <v>35</v>
      </c>
      <c r="U396" s="43" t="s">
        <v>35</v>
      </c>
      <c r="V396" s="43" t="s">
        <v>35</v>
      </c>
      <c r="W396" s="43" t="s">
        <v>35</v>
      </c>
      <c r="X396" s="30" t="s">
        <v>35</v>
      </c>
      <c r="Y396" s="69" t="str" cm="1">
        <f t="array" ref="Y396">_xlfn.LET(_xlpm.cls,P396, _xlpm.ord,IFERROR(Q396,"#N/C"), _xlpm.subord,IFERROR(R396,"#N/C"), _xlpm.infr,IFERROR(S396,"#N/C"), _xlpm.sf,IFERROR(T396,"#N/C"), _xlpm.fam,IFERROR(U396,"#N/C"), _xlpm.subfam,IF(TRIM(V396)="-","#N/C",IFERROR(V396,"#N/C")),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_xlpm.fallback,IF(IFERROR(Q396,"#N/C")="#N/C",P396,IF(IFERROR(R396,"#N/C")="#N/C",Q396,IF(IFERROR(S396,"#N/C")="#N/C",R396,IF(IFERROR(T396,"#N/C")="#N/C",S396,IF(IFERROR(U396,"#N/C")="#N/C",T396,IF(IFERROR(V396,"#N/C")="#N/C",U396,"#N/C")))))), _xlpm.finalResult,IF(OR(_xlpm.computedResult="",_xlpm.computedResult="#N/C"),_xlpm.fallback,_xlpm.computedResult), INDEX(_xlpm.finalResult,1))</f>
        <v>Brachycera</v>
      </c>
      <c r="Z396" s="116" t="str" cm="1">
        <f t="array" ref="Z396">IF(OR(Y396="Insecta",Y396="Arachnida",Y396="#N/C"),"",IFERROR(_xlfn.LET(_xlpm.fc,IFERROR(_xlfn._xlws.FILTER(ClassificationClasses[],ClassificationClasses[Classification Class]=Y396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396,ClassificationClasses[Key])),0),MATCH(Y396,INDEX(ClassificationClasses[],MATCH(TRUE,ISNUMBER(SEARCH(Y396,ClassificationClasses[Key])),0),0),0)-1)))</f>
        <v>Diptera</v>
      </c>
      <c r="AA396" s="116" t="str" cm="1">
        <f t="array" ref="AA396">IFERROR(IF(OR(Z396="Insecta",Z396="Arachnida",Z396="#N/C"),"",INDEX(ClassificationClasses[[Class]:[Infraorder]],MATCH(TRUE,ISNUMBER(SEARCH(Z396,ClassificationClasses[Key])),0),MATCH(Z396,INDEX(ClassificationClasses[#Data], MATCH(TRUE,ISNUMBER(SEARCH(Z396,ClassificationClasses[Key])),0), 0), 0)-1)),"")</f>
        <v>Insecta</v>
      </c>
      <c r="AB396" s="116" t="str" cm="1">
        <f t="array" ref="AB396">IFERROR(IF(OR(AA396="Insecta",AA396="Arachnida",AA396="#N/C"),"",INDEX(ClassificationClasses[[Class]:[Suborder]],MATCH(TRUE,ISNUMBER(SEARCH(AA396,ClassificationClasses[Key])),0),MATCH(AA396,INDEX(ClassificationClasses[#Data], MATCH(TRUE,ISNUMBER(SEARCH(AA396,ClassificationClasses[Key])),0), 0), 0)-1)),"")</f>
        <v/>
      </c>
      <c r="AC396" s="116" t="str" cm="1">
        <f t="array" ref="AC396">IFERROR(IF(OR(AB396="Insecta",AB396="Arachnida",AB396="#N/C"),"",INDEX(ClassificationClasses[[Class]:[Suborder]],MATCH(TRUE,ISNUMBER(SEARCH(AB396,ClassificationClasses[Key])),0),MATCH(AB396,INDEX(ClassificationClasses[#Data], MATCH(TRUE,ISNUMBER(SEARCH(AB396,ClassificationClasses[Key])),0), 0), 0)-1)),"")</f>
        <v/>
      </c>
      <c r="AD396" s="116" t="str" cm="1">
        <f t="array" ref="AD396">IFERROR(IF(OR(AC396="Insecta",AC396="Arachnida",AC396="#N/C"),"",INDEX(ClassificationClasses[[Class]:[Suborder]],MATCH(TRUE,ISNUMBER(SEARCH(AC396,ClassificationClasses[Key])),0),MATCH(AC396,INDEX(ClassificationClasses[#Data], MATCH(TRUE,ISNUMBER(SEARCH(AC396,ClassificationClasses[Key])),0), 0), 0)-1)),"")</f>
        <v/>
      </c>
      <c r="AE396" s="18" t="str">
        <f t="shared" si="14"/>
        <v>Insecta.Diptera.Brachycera.#N/C.#N/C.#N/C.#N/C.#N/C.#N/C</v>
      </c>
    </row>
    <row r="397" spans="1:31" x14ac:dyDescent="0.3">
      <c r="A397" s="91">
        <v>396</v>
      </c>
      <c r="B397" s="7">
        <v>44419</v>
      </c>
      <c r="C397" s="92" t="s">
        <v>673</v>
      </c>
      <c r="D397" s="93" t="str">
        <f>HYPERLINK(VLOOKUP(C397,Video_List!$F:$J,5),"video")</f>
        <v>video</v>
      </c>
      <c r="E397" s="94" t="str">
        <f>IFERROR(IF(MATCH(C397,Video_List!$F:$F,)&gt;0,"ok",""),"error")</f>
        <v>ok</v>
      </c>
      <c r="F397" s="92" t="s">
        <v>673</v>
      </c>
      <c r="G397" s="93" t="str">
        <f>HYPERLINK(VLOOKUP(F397,Video_List!$F:$J,5),"video")</f>
        <v>video</v>
      </c>
      <c r="H397" s="94" t="str">
        <f>IFERROR(IF(MATCH(F397,Video_List!$F:$F,)&gt;0,"ok",""),"error")</f>
        <v>ok</v>
      </c>
      <c r="I397" s="17">
        <v>44419.612800925926</v>
      </c>
      <c r="J397" s="8">
        <v>44419.612847222219</v>
      </c>
      <c r="K397" s="15">
        <f t="shared" si="13"/>
        <v>4.6296292566694319E-5</v>
      </c>
      <c r="L397" s="95" t="s">
        <v>32</v>
      </c>
      <c r="M397" s="95" t="s">
        <v>33</v>
      </c>
      <c r="N397" s="96" t="str">
        <f>IF(ISBLANK(C397),"",IF(C397=F397, "1 video",CONCATENATE((+COUNTIFS(Video_List!$C:$C,"&lt;=" &amp;Monitoring!J397)-COUNTIFS(Video_List!$C:$C,"&lt;=" &amp;Monitoring!I397))+1," videos")))</f>
        <v>1 video</v>
      </c>
      <c r="O397" s="29" t="s">
        <v>44</v>
      </c>
      <c r="P397" s="43" t="s">
        <v>37</v>
      </c>
      <c r="Q397" s="43" t="s">
        <v>38</v>
      </c>
      <c r="R397" s="43" t="s">
        <v>39</v>
      </c>
      <c r="S397" s="97" t="str">
        <f>+IFERROR(IF(T397="#N/C","#N/C",IF(U397=0,INDEX(Taxonomy_UniqueValues!D:D,MATCH(U397,Taxonomy_UniqueValues!F:F,0)),INDEX(Taxonomy_UniqueValues!D:D,MATCH(T397,Taxonomy_UniqueValues!E:E,0)))),"#N/C")</f>
        <v>Asilomorpha</v>
      </c>
      <c r="T397" s="43" t="s">
        <v>439</v>
      </c>
      <c r="U397" s="43" t="s">
        <v>440</v>
      </c>
      <c r="V397" s="43" t="s">
        <v>35</v>
      </c>
      <c r="W397" s="43" t="s">
        <v>35</v>
      </c>
      <c r="X397" s="30" t="s">
        <v>35</v>
      </c>
      <c r="Y397" s="69" t="str" cm="1">
        <f t="array" ref="Y397">_xlfn.LET(_xlpm.cls,P397, _xlpm.ord,IFERROR(Q397,"#N/C"), _xlpm.subord,IFERROR(R397,"#N/C"), _xlpm.infr,IFERROR(S397,"#N/C"), _xlpm.sf,IFERROR(T397,"#N/C"), _xlpm.fam,IFERROR(U397,"#N/C"), _xlpm.subfam,IF(TRIM(V397)="-","#N/C",IFERROR(V397,"#N/C")),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_xlpm.fallback,IF(IFERROR(Q397,"#N/C")="#N/C",P397,IF(IFERROR(R397,"#N/C")="#N/C",Q397,IF(IFERROR(S397,"#N/C")="#N/C",R397,IF(IFERROR(T397,"#N/C")="#N/C",S397,IF(IFERROR(U397,"#N/C")="#N/C",T397,IF(IFERROR(V397,"#N/C")="#N/C",U397,"#N/C")))))), _xlpm.finalResult,IF(OR(_xlpm.computedResult="",_xlpm.computedResult="#N/C"),_xlpm.fallback,_xlpm.computedResult), INDEX(_xlpm.finalResult,1))</f>
        <v>dance_fly</v>
      </c>
      <c r="Z397" s="116" t="str" cm="1">
        <f t="array" ref="Z397">IF(OR(Y397="Insecta",Y397="Arachnida",Y397="#N/C"),"",IFERROR(_xlfn.LET(_xlpm.fc,IFERROR(_xlfn._xlws.FILTER(ClassificationClasses[],ClassificationClasses[Classification Class]=Y397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397,ClassificationClasses[Key])),0),MATCH(Y397,INDEX(ClassificationClasses[],MATCH(TRUE,ISNUMBER(SEARCH(Y397,ClassificationClasses[Key])),0),0),0)-1)))</f>
        <v>Asilomorpha</v>
      </c>
      <c r="AA397" s="116" t="str" cm="1">
        <f t="array" ref="AA397">IFERROR(IF(OR(Z397="Insecta",Z397="Arachnida",Z397="#N/C"),"",INDEX(ClassificationClasses[[Class]:[Infraorder]],MATCH(TRUE,ISNUMBER(SEARCH(Z397,ClassificationClasses[Key])),0),MATCH(Z397,INDEX(ClassificationClasses[#Data], MATCH(TRUE,ISNUMBER(SEARCH(Z397,ClassificationClasses[Key])),0), 0), 0)-1)),"")</f>
        <v>Brachycera</v>
      </c>
      <c r="AB397" s="116" t="str" cm="1">
        <f t="array" ref="AB397">IFERROR(IF(OR(AA397="Insecta",AA397="Arachnida",AA397="#N/C"),"",INDEX(ClassificationClasses[[Class]:[Suborder]],MATCH(TRUE,ISNUMBER(SEARCH(AA397,ClassificationClasses[Key])),0),MATCH(AA397,INDEX(ClassificationClasses[#Data], MATCH(TRUE,ISNUMBER(SEARCH(AA397,ClassificationClasses[Key])),0), 0), 0)-1)),"")</f>
        <v>Diptera</v>
      </c>
      <c r="AC397" s="116" t="str" cm="1">
        <f t="array" ref="AC397">IFERROR(IF(OR(AB397="Insecta",AB397="Arachnida",AB397="#N/C"),"",INDEX(ClassificationClasses[[Class]:[Suborder]],MATCH(TRUE,ISNUMBER(SEARCH(AB397,ClassificationClasses[Key])),0),MATCH(AB397,INDEX(ClassificationClasses[#Data], MATCH(TRUE,ISNUMBER(SEARCH(AB397,ClassificationClasses[Key])),0), 0), 0)-1)),"")</f>
        <v>Insecta</v>
      </c>
      <c r="AD397" s="116" t="str" cm="1">
        <f t="array" ref="AD397">IFERROR(IF(OR(AC397="Insecta",AC397="Arachnida",AC397="#N/C"),"",INDEX(ClassificationClasses[[Class]:[Suborder]],MATCH(TRUE,ISNUMBER(SEARCH(AC397,ClassificationClasses[Key])),0),MATCH(AC397,INDEX(ClassificationClasses[#Data], MATCH(TRUE,ISNUMBER(SEARCH(AC397,ClassificationClasses[Key])),0), 0), 0)-1)),"")</f>
        <v/>
      </c>
      <c r="AE397" s="18" t="str">
        <f t="shared" si="14"/>
        <v>Insecta.Diptera.Brachycera.Asilomorpha.Empidoidea.Dolichopodidae.#N/C.#N/C.#N/C</v>
      </c>
    </row>
    <row r="398" spans="1:31" x14ac:dyDescent="0.3">
      <c r="A398" s="91">
        <v>397</v>
      </c>
      <c r="B398" s="7">
        <v>44419</v>
      </c>
      <c r="C398" s="92" t="s">
        <v>674</v>
      </c>
      <c r="D398" s="93" t="str">
        <f>HYPERLINK(VLOOKUP(C398,Video_List!$F:$J,5),"video")</f>
        <v>video</v>
      </c>
      <c r="E398" s="94" t="str">
        <f>IFERROR(IF(MATCH(C398,Video_List!$F:$F,)&gt;0,"ok",""),"error")</f>
        <v>ok</v>
      </c>
      <c r="F398" s="92" t="s">
        <v>674</v>
      </c>
      <c r="G398" s="93" t="str">
        <f>HYPERLINK(VLOOKUP(F398,Video_List!$F:$J,5),"video")</f>
        <v>video</v>
      </c>
      <c r="H398" s="94" t="str">
        <f>IFERROR(IF(MATCH(F398,Video_List!$F:$F,)&gt;0,"ok",""),"error")</f>
        <v>ok</v>
      </c>
      <c r="I398" s="17">
        <v>44419.621782407405</v>
      </c>
      <c r="J398" s="8">
        <v>44419.621840277781</v>
      </c>
      <c r="K398" s="15">
        <f t="shared" si="13"/>
        <v>5.787037662230432E-5</v>
      </c>
      <c r="L398" s="95" t="s">
        <v>32</v>
      </c>
      <c r="M398" s="95" t="s">
        <v>33</v>
      </c>
      <c r="N398" s="96" t="str">
        <f>IF(ISBLANK(C398),"",IF(C398=F398, "1 video",CONCATENATE((+COUNTIFS(Video_List!$C:$C,"&lt;=" &amp;Monitoring!J398)-COUNTIFS(Video_List!$C:$C,"&lt;=" &amp;Monitoring!I398))+1," videos")))</f>
        <v>1 video</v>
      </c>
      <c r="O398" s="29" t="s">
        <v>44</v>
      </c>
      <c r="P398" s="43" t="s">
        <v>37</v>
      </c>
      <c r="Q398" s="43" t="s">
        <v>38</v>
      </c>
      <c r="R398" s="43" t="s">
        <v>39</v>
      </c>
      <c r="S398" s="97" t="str">
        <f>+IFERROR(IF(T398="#N/C","#N/C",IF(U398=0,INDEX(Taxonomy_UniqueValues!D:D,MATCH(U398,Taxonomy_UniqueValues!F:F,0)),INDEX(Taxonomy_UniqueValues!D:D,MATCH(T398,Taxonomy_UniqueValues!E:E,0)))),"#N/C")</f>
        <v>Asilomorpha</v>
      </c>
      <c r="T398" s="43" t="s">
        <v>439</v>
      </c>
      <c r="U398" s="43" t="s">
        <v>440</v>
      </c>
      <c r="V398" s="43" t="s">
        <v>35</v>
      </c>
      <c r="W398" s="43" t="s">
        <v>35</v>
      </c>
      <c r="X398" s="30" t="s">
        <v>35</v>
      </c>
      <c r="Y398" s="69" t="str" cm="1">
        <f t="array" ref="Y398">_xlfn.LET(_xlpm.cls,P398, _xlpm.ord,IFERROR(Q398,"#N/C"), _xlpm.subord,IFERROR(R398,"#N/C"), _xlpm.infr,IFERROR(S398,"#N/C"), _xlpm.sf,IFERROR(T398,"#N/C"), _xlpm.fam,IFERROR(U398,"#N/C"), _xlpm.subfam,IF(TRIM(V398)="-","#N/C",IFERROR(V398,"#N/C")),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_xlpm.fallback,IF(IFERROR(Q398,"#N/C")="#N/C",P398,IF(IFERROR(R398,"#N/C")="#N/C",Q398,IF(IFERROR(S398,"#N/C")="#N/C",R398,IF(IFERROR(T398,"#N/C")="#N/C",S398,IF(IFERROR(U398,"#N/C")="#N/C",T398,IF(IFERROR(V398,"#N/C")="#N/C",U398,"#N/C")))))), _xlpm.finalResult,IF(OR(_xlpm.computedResult="",_xlpm.computedResult="#N/C"),_xlpm.fallback,_xlpm.computedResult), INDEX(_xlpm.finalResult,1))</f>
        <v>dance_fly</v>
      </c>
      <c r="Z398" s="116" t="str" cm="1">
        <f t="array" ref="Z398">IF(OR(Y398="Insecta",Y398="Arachnida",Y398="#N/C"),"",IFERROR(_xlfn.LET(_xlpm.fc,IFERROR(_xlfn._xlws.FILTER(ClassificationClasses[],ClassificationClasses[Classification Class]=Y398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398,ClassificationClasses[Key])),0),MATCH(Y398,INDEX(ClassificationClasses[],MATCH(TRUE,ISNUMBER(SEARCH(Y398,ClassificationClasses[Key])),0),0),0)-1)))</f>
        <v>Asilomorpha</v>
      </c>
      <c r="AA398" s="116" t="str" cm="1">
        <f t="array" ref="AA398">IFERROR(IF(OR(Z398="Insecta",Z398="Arachnida",Z398="#N/C"),"",INDEX(ClassificationClasses[[Class]:[Infraorder]],MATCH(TRUE,ISNUMBER(SEARCH(Z398,ClassificationClasses[Key])),0),MATCH(Z398,INDEX(ClassificationClasses[#Data], MATCH(TRUE,ISNUMBER(SEARCH(Z398,ClassificationClasses[Key])),0), 0), 0)-1)),"")</f>
        <v>Brachycera</v>
      </c>
      <c r="AB398" s="116" t="str" cm="1">
        <f t="array" ref="AB398">IFERROR(IF(OR(AA398="Insecta",AA398="Arachnida",AA398="#N/C"),"",INDEX(ClassificationClasses[[Class]:[Suborder]],MATCH(TRUE,ISNUMBER(SEARCH(AA398,ClassificationClasses[Key])),0),MATCH(AA398,INDEX(ClassificationClasses[#Data], MATCH(TRUE,ISNUMBER(SEARCH(AA398,ClassificationClasses[Key])),0), 0), 0)-1)),"")</f>
        <v>Diptera</v>
      </c>
      <c r="AC398" s="116" t="str" cm="1">
        <f t="array" ref="AC398">IFERROR(IF(OR(AB398="Insecta",AB398="Arachnida",AB398="#N/C"),"",INDEX(ClassificationClasses[[Class]:[Suborder]],MATCH(TRUE,ISNUMBER(SEARCH(AB398,ClassificationClasses[Key])),0),MATCH(AB398,INDEX(ClassificationClasses[#Data], MATCH(TRUE,ISNUMBER(SEARCH(AB398,ClassificationClasses[Key])),0), 0), 0)-1)),"")</f>
        <v>Insecta</v>
      </c>
      <c r="AD398" s="116" t="str" cm="1">
        <f t="array" ref="AD398">IFERROR(IF(OR(AC398="Insecta",AC398="Arachnida",AC398="#N/C"),"",INDEX(ClassificationClasses[[Class]:[Suborder]],MATCH(TRUE,ISNUMBER(SEARCH(AC398,ClassificationClasses[Key])),0),MATCH(AC398,INDEX(ClassificationClasses[#Data], MATCH(TRUE,ISNUMBER(SEARCH(AC398,ClassificationClasses[Key])),0), 0), 0)-1)),"")</f>
        <v/>
      </c>
      <c r="AE398" s="18" t="str">
        <f t="shared" si="14"/>
        <v>Insecta.Diptera.Brachycera.Asilomorpha.Empidoidea.Dolichopodidae.#N/C.#N/C.#N/C</v>
      </c>
    </row>
    <row r="399" spans="1:31" x14ac:dyDescent="0.3">
      <c r="A399" s="91">
        <v>398</v>
      </c>
      <c r="B399" s="7">
        <v>44424</v>
      </c>
      <c r="C399" s="92" t="s">
        <v>675</v>
      </c>
      <c r="D399" s="93" t="str">
        <f>HYPERLINK(VLOOKUP(C399,Video_List!$F:$J,5),"video")</f>
        <v>video</v>
      </c>
      <c r="E399" s="94" t="str">
        <f>IFERROR(IF(MATCH(C399,Video_List!$F:$F,)&gt;0,"ok",""),"error")</f>
        <v>ok</v>
      </c>
      <c r="F399" s="92" t="s">
        <v>675</v>
      </c>
      <c r="G399" s="93" t="str">
        <f>HYPERLINK(VLOOKUP(F399,Video_List!$F:$J,5),"video")</f>
        <v>video</v>
      </c>
      <c r="H399" s="94" t="str">
        <f>IFERROR(IF(MATCH(F399,Video_List!$F:$F,)&gt;0,"ok",""),"error")</f>
        <v>ok</v>
      </c>
      <c r="I399" s="17">
        <v>44424.509386574071</v>
      </c>
      <c r="J399" s="8">
        <v>44424.516296296293</v>
      </c>
      <c r="K399" s="15">
        <f t="shared" si="13"/>
        <v>6.9097222221898846E-3</v>
      </c>
      <c r="L399" s="95" t="s">
        <v>32</v>
      </c>
      <c r="M399" s="95" t="s">
        <v>33</v>
      </c>
      <c r="N399" s="96" t="str">
        <f>IF(ISBLANK(C399),"",IF(C399=F399, "1 video",CONCATENATE((+COUNTIFS(Video_List!$C:$C,"&lt;=" &amp;Monitoring!J399)-COUNTIFS(Video_List!$C:$C,"&lt;=" &amp;Monitoring!I399))+1," videos")))</f>
        <v>1 video</v>
      </c>
      <c r="O399" s="29" t="s">
        <v>44</v>
      </c>
      <c r="P399" s="43" t="s">
        <v>37</v>
      </c>
      <c r="Q399" s="43" t="s">
        <v>38</v>
      </c>
      <c r="R399" s="43" t="s">
        <v>39</v>
      </c>
      <c r="S399" s="97" t="str">
        <f>+IFERROR(IF(T399="#N/C","#N/C",IF(U399=0,INDEX(Taxonomy_UniqueValues!D:D,MATCH(U399,Taxonomy_UniqueValues!F:F,0)),INDEX(Taxonomy_UniqueValues!D:D,MATCH(T399,Taxonomy_UniqueValues!E:E,0)))),"#N/C")</f>
        <v>Muscomorpha</v>
      </c>
      <c r="T399" s="43" t="s">
        <v>46</v>
      </c>
      <c r="U399" s="43" t="s">
        <v>47</v>
      </c>
      <c r="V399" s="43" t="s">
        <v>48</v>
      </c>
      <c r="W399" s="43" t="s">
        <v>49</v>
      </c>
      <c r="X399" s="30" t="s">
        <v>357</v>
      </c>
      <c r="Y399" s="69" t="str" cm="1">
        <f t="array" ref="Y399">_xlfn.LET(_xlpm.cls,P399, _xlpm.ord,IFERROR(Q399,"#N/C"), _xlpm.subord,IFERROR(R399,"#N/C"), _xlpm.infr,IFERROR(S399,"#N/C"), _xlpm.sf,IFERROR(T399,"#N/C"), _xlpm.fam,IFERROR(U399,"#N/C"), _xlpm.subfam,IF(TRIM(V399)="-","#N/C",IFERROR(V399,"#N/C")),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_xlpm.fallback,IF(IFERROR(Q399,"#N/C")="#N/C",P399,IF(IFERROR(R399,"#N/C")="#N/C",Q399,IF(IFERROR(S399,"#N/C")="#N/C",R399,IF(IFERROR(T399,"#N/C")="#N/C",S399,IF(IFERROR(U399,"#N/C")="#N/C",T399,IF(IFERROR(V399,"#N/C")="#N/C",U399,"#N/C")))))), _xlpm.finalResult,IF(OR(_xlpm.computedResult="",_xlpm.computedResult="#N/C"),_xlpm.fallback,_xlpm.computedResult), INDEX(_xlpm.finalResult,1))</f>
        <v>hoverfly</v>
      </c>
      <c r="Z399" s="116" t="str" cm="1">
        <f t="array" ref="Z399">IF(OR(Y399="Insecta",Y399="Arachnida",Y399="#N/C"),"",IFERROR(_xlfn.LET(_xlpm.fc,IFERROR(_xlfn._xlws.FILTER(ClassificationClasses[],ClassificationClasses[Classification Class]=Y399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399,ClassificationClasses[Key])),0),MATCH(Y399,INDEX(ClassificationClasses[],MATCH(TRUE,ISNUMBER(SEARCH(Y399,ClassificationClasses[Key])),0),0),0)-1)))</f>
        <v>Muscomorpha</v>
      </c>
      <c r="AA399" s="116" t="str" cm="1">
        <f t="array" ref="AA399">IFERROR(IF(OR(Z399="Insecta",Z399="Arachnida",Z399="#N/C"),"",INDEX(ClassificationClasses[[Class]:[Infraorder]],MATCH(TRUE,ISNUMBER(SEARCH(Z399,ClassificationClasses[Key])),0),MATCH(Z399,INDEX(ClassificationClasses[#Data], MATCH(TRUE,ISNUMBER(SEARCH(Z399,ClassificationClasses[Key])),0), 0), 0)-1)),"")</f>
        <v>Brachycera</v>
      </c>
      <c r="AB399" s="116" t="str" cm="1">
        <f t="array" ref="AB399">IFERROR(IF(OR(AA399="Insecta",AA399="Arachnida",AA399="#N/C"),"",INDEX(ClassificationClasses[[Class]:[Suborder]],MATCH(TRUE,ISNUMBER(SEARCH(AA399,ClassificationClasses[Key])),0),MATCH(AA399,INDEX(ClassificationClasses[#Data], MATCH(TRUE,ISNUMBER(SEARCH(AA399,ClassificationClasses[Key])),0), 0), 0)-1)),"")</f>
        <v>Diptera</v>
      </c>
      <c r="AC399" s="116" t="str" cm="1">
        <f t="array" ref="AC399">IFERROR(IF(OR(AB399="Insecta",AB399="Arachnida",AB399="#N/C"),"",INDEX(ClassificationClasses[[Class]:[Suborder]],MATCH(TRUE,ISNUMBER(SEARCH(AB399,ClassificationClasses[Key])),0),MATCH(AB399,INDEX(ClassificationClasses[#Data], MATCH(TRUE,ISNUMBER(SEARCH(AB399,ClassificationClasses[Key])),0), 0), 0)-1)),"")</f>
        <v>Insecta</v>
      </c>
      <c r="AD399" s="116" t="str" cm="1">
        <f t="array" ref="AD399">IFERROR(IF(OR(AC399="Insecta",AC399="Arachnida",AC399="#N/C"),"",INDEX(ClassificationClasses[[Class]:[Suborder]],MATCH(TRUE,ISNUMBER(SEARCH(AC399,ClassificationClasses[Key])),0),MATCH(AC399,INDEX(ClassificationClasses[#Data], MATCH(TRUE,ISNUMBER(SEARCH(AC399,ClassificationClasses[Key])),0), 0), 0)-1)),"")</f>
        <v/>
      </c>
      <c r="AE399" s="18" t="str">
        <f t="shared" si="14"/>
        <v>Insecta.Diptera.Brachycera.Muscomorpha.Syrphoidea.Syrphidae.Syrphinae.Sphaerophoria.scripta</v>
      </c>
    </row>
    <row r="400" spans="1:31" x14ac:dyDescent="0.3">
      <c r="A400" s="91">
        <v>399</v>
      </c>
      <c r="B400" s="7">
        <v>44424</v>
      </c>
      <c r="C400" s="92" t="s">
        <v>676</v>
      </c>
      <c r="D400" s="93" t="str">
        <f>HYPERLINK(VLOOKUP(C400,Video_List!$F:$J,5),"video")</f>
        <v>video</v>
      </c>
      <c r="E400" s="94" t="str">
        <f>IFERROR(IF(MATCH(C400,Video_List!$F:$F,)&gt;0,"ok",""),"error")</f>
        <v>ok</v>
      </c>
      <c r="F400" s="92" t="s">
        <v>676</v>
      </c>
      <c r="G400" s="93" t="str">
        <f>HYPERLINK(VLOOKUP(F400,Video_List!$F:$J,5),"video")</f>
        <v>video</v>
      </c>
      <c r="H400" s="94" t="str">
        <f>IFERROR(IF(MATCH(F400,Video_List!$F:$F,)&gt;0,"ok",""),"error")</f>
        <v>ok</v>
      </c>
      <c r="I400" s="17">
        <v>44424.540995370371</v>
      </c>
      <c r="J400" s="8">
        <v>44424.54146990741</v>
      </c>
      <c r="K400" s="15">
        <f t="shared" si="13"/>
        <v>4.7453703882638365E-4</v>
      </c>
      <c r="L400" s="4" t="s">
        <v>32</v>
      </c>
      <c r="M400" s="4" t="s">
        <v>33</v>
      </c>
      <c r="N400" s="96" t="str">
        <f>IF(ISBLANK(C400),"",IF(C400=F400, "1 video",CONCATENATE((+COUNTIFS(Video_List!$C:$C,"&lt;=" &amp;Monitoring!J400)-COUNTIFS(Video_List!$C:$C,"&lt;=" &amp;Monitoring!I400))+1," videos")))</f>
        <v>1 video</v>
      </c>
      <c r="O400" s="27" t="s">
        <v>32</v>
      </c>
      <c r="P400" s="43" t="s">
        <v>37</v>
      </c>
      <c r="Q400" s="43" t="s">
        <v>38</v>
      </c>
      <c r="R400" s="43" t="s">
        <v>39</v>
      </c>
      <c r="S400" s="97" t="str">
        <f>+IFERROR(IF(T400="#N/C","#N/C",IF(U400=0,INDEX(Taxonomy_UniqueValues!D:D,MATCH(U400,Taxonomy_UniqueValues!F:F,0)),INDEX(Taxonomy_UniqueValues!D:D,MATCH(T400,Taxonomy_UniqueValues!E:E,0)))),"#N/C")</f>
        <v>Asilomorpha</v>
      </c>
      <c r="T400" s="43" t="s">
        <v>149</v>
      </c>
      <c r="U400" s="43" t="s">
        <v>150</v>
      </c>
      <c r="V400" s="43" t="s">
        <v>151</v>
      </c>
      <c r="W400" s="43" t="s">
        <v>34</v>
      </c>
      <c r="X400" s="30" t="s">
        <v>35</v>
      </c>
      <c r="Y400" s="69" t="str" cm="1">
        <f t="array" ref="Y400">_xlfn.LET(_xlpm.cls,P400, _xlpm.ord,IFERROR(Q400,"#N/C"), _xlpm.subord,IFERROR(R400,"#N/C"), _xlpm.infr,IFERROR(S400,"#N/C"), _xlpm.sf,IFERROR(T400,"#N/C"), _xlpm.fam,IFERROR(U400,"#N/C"), _xlpm.subfam,IF(TRIM(V400)="-","#N/C",IFERROR(V400,"#N/C")),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_xlpm.fallback,IF(IFERROR(Q400,"#N/C")="#N/C",P400,IF(IFERROR(R400,"#N/C")="#N/C",Q400,IF(IFERROR(S400,"#N/C")="#N/C",R400,IF(IFERROR(T400,"#N/C")="#N/C",S400,IF(IFERROR(U400,"#N/C")="#N/C",T400,IF(IFERROR(V400,"#N/C")="#N/C",U400,"#N/C")))))), _xlpm.finalResult,IF(OR(_xlpm.computedResult="",_xlpm.computedResult="#N/C"),_xlpm.fallback,_xlpm.computedResult), INDEX(_xlpm.finalResult,1))</f>
        <v>robber_fly</v>
      </c>
      <c r="Z400" s="116" t="str" cm="1">
        <f t="array" ref="Z400">IF(OR(Y400="Insecta",Y400="Arachnida",Y400="#N/C"),"",IFERROR(_xlfn.LET(_xlpm.fc,IFERROR(_xlfn._xlws.FILTER(ClassificationClasses[],ClassificationClasses[Classification Class]=Y400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400,ClassificationClasses[Key])),0),MATCH(Y400,INDEX(ClassificationClasses[],MATCH(TRUE,ISNUMBER(SEARCH(Y400,ClassificationClasses[Key])),0),0),0)-1)))</f>
        <v>Asilomorpha</v>
      </c>
      <c r="AA400" s="116" t="str" cm="1">
        <f t="array" ref="AA400">IFERROR(IF(OR(Z400="Insecta",Z400="Arachnida",Z400="#N/C"),"",INDEX(ClassificationClasses[[Class]:[Infraorder]],MATCH(TRUE,ISNUMBER(SEARCH(Z400,ClassificationClasses[Key])),0),MATCH(Z400,INDEX(ClassificationClasses[#Data], MATCH(TRUE,ISNUMBER(SEARCH(Z400,ClassificationClasses[Key])),0), 0), 0)-1)),"")</f>
        <v>Brachycera</v>
      </c>
      <c r="AB400" s="116" t="str" cm="1">
        <f t="array" ref="AB400">IFERROR(IF(OR(AA400="Insecta",AA400="Arachnida",AA400="#N/C"),"",INDEX(ClassificationClasses[[Class]:[Suborder]],MATCH(TRUE,ISNUMBER(SEARCH(AA400,ClassificationClasses[Key])),0),MATCH(AA400,INDEX(ClassificationClasses[#Data], MATCH(TRUE,ISNUMBER(SEARCH(AA400,ClassificationClasses[Key])),0), 0), 0)-1)),"")</f>
        <v>Diptera</v>
      </c>
      <c r="AC400" s="116" t="str" cm="1">
        <f t="array" ref="AC400">IFERROR(IF(OR(AB400="Insecta",AB400="Arachnida",AB400="#N/C"),"",INDEX(ClassificationClasses[[Class]:[Suborder]],MATCH(TRUE,ISNUMBER(SEARCH(AB400,ClassificationClasses[Key])),0),MATCH(AB400,INDEX(ClassificationClasses[#Data], MATCH(TRUE,ISNUMBER(SEARCH(AB400,ClassificationClasses[Key])),0), 0), 0)-1)),"")</f>
        <v>Insecta</v>
      </c>
      <c r="AD400" s="116" t="str" cm="1">
        <f t="array" ref="AD400">IFERROR(IF(OR(AC400="Insecta",AC400="Arachnida",AC400="#N/C"),"",INDEX(ClassificationClasses[[Class]:[Suborder]],MATCH(TRUE,ISNUMBER(SEARCH(AC400,ClassificationClasses[Key])),0),MATCH(AC400,INDEX(ClassificationClasses[#Data], MATCH(TRUE,ISNUMBER(SEARCH(AC400,ClassificationClasses[Key])),0), 0), 0)-1)),"")</f>
        <v/>
      </c>
      <c r="AE400" s="18" t="str">
        <f t="shared" si="14"/>
        <v>Insecta.Diptera.Brachycera.Asilomorpha.Asiloidea.Asilidae.Asilinae.Tolmerus.#N/C</v>
      </c>
    </row>
    <row r="401" spans="1:31" x14ac:dyDescent="0.3">
      <c r="A401" s="91">
        <v>400</v>
      </c>
      <c r="B401" s="7">
        <v>44426</v>
      </c>
      <c r="C401" s="92" t="s">
        <v>677</v>
      </c>
      <c r="D401" s="93" t="str">
        <f>HYPERLINK(VLOOKUP(C401,Video_List!$F:$J,5),"video")</f>
        <v>video</v>
      </c>
      <c r="E401" s="94" t="str">
        <f>IFERROR(IF(MATCH(C401,Video_List!$F:$F,)&gt;0,"ok",""),"error")</f>
        <v>ok</v>
      </c>
      <c r="F401" s="92" t="s">
        <v>677</v>
      </c>
      <c r="G401" s="93" t="str">
        <f>HYPERLINK(VLOOKUP(F401,Video_List!$F:$J,5),"video")</f>
        <v>video</v>
      </c>
      <c r="H401" s="94" t="str">
        <f>IFERROR(IF(MATCH(F401,Video_List!$F:$F,)&gt;0,"ok",""),"error")</f>
        <v>ok</v>
      </c>
      <c r="I401" s="17">
        <v>44426.770092592589</v>
      </c>
      <c r="J401" s="8">
        <v>44426.770543981482</v>
      </c>
      <c r="K401" s="15">
        <f t="shared" si="13"/>
        <v>4.5138889254303649E-4</v>
      </c>
      <c r="L401" s="4" t="s">
        <v>32</v>
      </c>
      <c r="M401" s="4" t="s">
        <v>33</v>
      </c>
      <c r="N401" s="96" t="str">
        <f>IF(ISBLANK(C401),"",IF(C401=F401, "1 video",CONCATENATE((+COUNTIFS(Video_List!$C:$C,"&lt;=" &amp;Monitoring!J401)-COUNTIFS(Video_List!$C:$C,"&lt;=" &amp;Monitoring!I401))+1," videos")))</f>
        <v>1 video</v>
      </c>
      <c r="O401" s="27" t="s">
        <v>32</v>
      </c>
      <c r="P401" s="43" t="s">
        <v>37</v>
      </c>
      <c r="Q401" s="43" t="s">
        <v>56</v>
      </c>
      <c r="R401" s="43" t="s">
        <v>35</v>
      </c>
      <c r="S401" s="97" t="str">
        <f>+IFERROR(IF(T401="#N/C","#N/C",IF(U401=0,INDEX(Taxonomy_UniqueValues!D:D,MATCH(U401,Taxonomy_UniqueValues!F:F,0)),INDEX(Taxonomy_UniqueValues!D:D,MATCH(T401,Taxonomy_UniqueValues!E:E,0)))),"#N/C")</f>
        <v>#N/C</v>
      </c>
      <c r="T401" s="43" t="s">
        <v>35</v>
      </c>
      <c r="U401" s="43" t="s">
        <v>35</v>
      </c>
      <c r="V401" s="43" t="s">
        <v>35</v>
      </c>
      <c r="W401" s="43" t="s">
        <v>35</v>
      </c>
      <c r="X401" s="30" t="s">
        <v>35</v>
      </c>
      <c r="Y401" s="69" t="str" cm="1">
        <f t="array" ref="Y401">_xlfn.LET(_xlpm.cls,P401, _xlpm.ord,IFERROR(Q401,"#N/C"), _xlpm.subord,IFERROR(R401,"#N/C"), _xlpm.infr,IFERROR(S401,"#N/C"), _xlpm.sf,IFERROR(T401,"#N/C"), _xlpm.fam,IFERROR(U401,"#N/C"), _xlpm.subfam,IF(TRIM(V401)="-","#N/C",IFERROR(V401,"#N/C")),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_xlpm.fallback,IF(IFERROR(Q401,"#N/C")="#N/C",P401,IF(IFERROR(R401,"#N/C")="#N/C",Q401,IF(IFERROR(S401,"#N/C")="#N/C",R401,IF(IFERROR(T401,"#N/C")="#N/C",S401,IF(IFERROR(U401,"#N/C")="#N/C",T401,IF(IFERROR(V401,"#N/C")="#N/C",U401,"#N/C")))))), _xlpm.finalResult,IF(OR(_xlpm.computedResult="",_xlpm.computedResult="#N/C"),_xlpm.fallback,_xlpm.computedResult), INDEX(_xlpm.finalResult,1))</f>
        <v>Lepidoptera</v>
      </c>
      <c r="Z401" s="116" t="str" cm="1">
        <f t="array" ref="Z401">IF(OR(Y401="Insecta",Y401="Arachnida",Y401="#N/C"),"",IFERROR(_xlfn.LET(_xlpm.fc,IFERROR(_xlfn._xlws.FILTER(ClassificationClasses[],ClassificationClasses[Classification Class]=Y401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401,ClassificationClasses[Key])),0),MATCH(Y401,INDEX(ClassificationClasses[],MATCH(TRUE,ISNUMBER(SEARCH(Y401,ClassificationClasses[Key])),0),0),0)-1)))</f>
        <v>Insecta</v>
      </c>
      <c r="AA401" s="116" t="str" cm="1">
        <f t="array" ref="AA401">IFERROR(IF(OR(Z401="Insecta",Z401="Arachnida",Z401="#N/C"),"",INDEX(ClassificationClasses[[Class]:[Infraorder]],MATCH(TRUE,ISNUMBER(SEARCH(Z401,ClassificationClasses[Key])),0),MATCH(Z401,INDEX(ClassificationClasses[#Data], MATCH(TRUE,ISNUMBER(SEARCH(Z401,ClassificationClasses[Key])),0), 0), 0)-1)),"")</f>
        <v/>
      </c>
      <c r="AB401" s="116" t="str" cm="1">
        <f t="array" ref="AB401">IFERROR(IF(OR(AA401="Insecta",AA401="Arachnida",AA401="#N/C"),"",INDEX(ClassificationClasses[[Class]:[Suborder]],MATCH(TRUE,ISNUMBER(SEARCH(AA401,ClassificationClasses[Key])),0),MATCH(AA401,INDEX(ClassificationClasses[#Data], MATCH(TRUE,ISNUMBER(SEARCH(AA401,ClassificationClasses[Key])),0), 0), 0)-1)),"")</f>
        <v/>
      </c>
      <c r="AC401" s="116" t="str" cm="1">
        <f t="array" ref="AC401">IFERROR(IF(OR(AB401="Insecta",AB401="Arachnida",AB401="#N/C"),"",INDEX(ClassificationClasses[[Class]:[Suborder]],MATCH(TRUE,ISNUMBER(SEARCH(AB401,ClassificationClasses[Key])),0),MATCH(AB401,INDEX(ClassificationClasses[#Data], MATCH(TRUE,ISNUMBER(SEARCH(AB401,ClassificationClasses[Key])),0), 0), 0)-1)),"")</f>
        <v/>
      </c>
      <c r="AD401" s="116" t="str" cm="1">
        <f t="array" ref="AD401">IFERROR(IF(OR(AC401="Insecta",AC401="Arachnida",AC401="#N/C"),"",INDEX(ClassificationClasses[[Class]:[Suborder]],MATCH(TRUE,ISNUMBER(SEARCH(AC401,ClassificationClasses[Key])),0),MATCH(AC401,INDEX(ClassificationClasses[#Data], MATCH(TRUE,ISNUMBER(SEARCH(AC401,ClassificationClasses[Key])),0), 0), 0)-1)),"")</f>
        <v/>
      </c>
      <c r="AE401" s="18" t="str">
        <f t="shared" si="14"/>
        <v>Insecta.Lepidoptera.#N/C.#N/C.#N/C.#N/C.#N/C.#N/C.#N/C</v>
      </c>
    </row>
    <row r="402" spans="1:31" x14ac:dyDescent="0.3">
      <c r="A402" s="91">
        <v>401</v>
      </c>
      <c r="B402" s="7">
        <v>44426</v>
      </c>
      <c r="C402" s="92" t="s">
        <v>678</v>
      </c>
      <c r="D402" s="93" t="str">
        <f>HYPERLINK(VLOOKUP(C402,Video_List!$F:$J,5),"video")</f>
        <v>video</v>
      </c>
      <c r="E402" s="94" t="str">
        <f>IFERROR(IF(MATCH(C402,Video_List!$F:$F,)&gt;0,"ok",""),"error")</f>
        <v>ok</v>
      </c>
      <c r="F402" s="92" t="s">
        <v>678</v>
      </c>
      <c r="G402" s="93" t="str">
        <f>HYPERLINK(VLOOKUP(F402,Video_List!$F:$J,5),"video")</f>
        <v>video</v>
      </c>
      <c r="H402" s="94" t="str">
        <f>IFERROR(IF(MATCH(F402,Video_List!$F:$F,)&gt;0,"ok",""),"error")</f>
        <v>ok</v>
      </c>
      <c r="I402" s="17">
        <v>44426.807974537034</v>
      </c>
      <c r="J402" s="8">
        <v>44426.808020833334</v>
      </c>
      <c r="K402" s="15">
        <f t="shared" si="13"/>
        <v>4.6296299842651933E-5</v>
      </c>
      <c r="L402" s="95" t="s">
        <v>32</v>
      </c>
      <c r="M402" s="95" t="s">
        <v>33</v>
      </c>
      <c r="N402" s="96" t="str">
        <f>IF(ISBLANK(C402),"",IF(C402=F402, "1 video",CONCATENATE((+COUNTIFS(Video_List!$C:$C,"&lt;=" &amp;Monitoring!J402)-COUNTIFS(Video_List!$C:$C,"&lt;=" &amp;Monitoring!I402))+1," videos")))</f>
        <v>1 video</v>
      </c>
      <c r="O402" s="29" t="s">
        <v>44</v>
      </c>
      <c r="P402" s="43" t="s">
        <v>37</v>
      </c>
      <c r="Q402" s="43" t="s">
        <v>38</v>
      </c>
      <c r="R402" s="43" t="s">
        <v>39</v>
      </c>
      <c r="S402" s="97" t="str">
        <f>+IFERROR(IF(T402="#N/C","#N/C",IF(U402=0,INDEX(Taxonomy_UniqueValues!D:D,MATCH(U402,Taxonomy_UniqueValues!F:F,0)),INDEX(Taxonomy_UniqueValues!D:D,MATCH(T402,Taxonomy_UniqueValues!E:E,0)))),"#N/C")</f>
        <v>#N/C</v>
      </c>
      <c r="T402" s="43" t="s">
        <v>35</v>
      </c>
      <c r="U402" s="43" t="s">
        <v>35</v>
      </c>
      <c r="V402" s="43" t="s">
        <v>35</v>
      </c>
      <c r="W402" s="43" t="s">
        <v>35</v>
      </c>
      <c r="X402" s="30" t="s">
        <v>35</v>
      </c>
      <c r="Y402" s="69" t="str" cm="1">
        <f t="array" ref="Y402">_xlfn.LET(_xlpm.cls,P402, _xlpm.ord,IFERROR(Q402,"#N/C"), _xlpm.subord,IFERROR(R402,"#N/C"), _xlpm.infr,IFERROR(S402,"#N/C"), _xlpm.sf,IFERROR(T402,"#N/C"), _xlpm.fam,IFERROR(U402,"#N/C"), _xlpm.subfam,IF(TRIM(V402)="-","#N/C",IFERROR(V402,"#N/C")),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_xlpm.fallback,IF(IFERROR(Q402,"#N/C")="#N/C",P402,IF(IFERROR(R402,"#N/C")="#N/C",Q402,IF(IFERROR(S402,"#N/C")="#N/C",R402,IF(IFERROR(T402,"#N/C")="#N/C",S402,IF(IFERROR(U402,"#N/C")="#N/C",T402,IF(IFERROR(V402,"#N/C")="#N/C",U402,"#N/C")))))), _xlpm.finalResult,IF(OR(_xlpm.computedResult="",_xlpm.computedResult="#N/C"),_xlpm.fallback,_xlpm.computedResult), INDEX(_xlpm.finalResult,1))</f>
        <v>Brachycera</v>
      </c>
      <c r="Z402" s="116" t="str" cm="1">
        <f t="array" ref="Z402">IF(OR(Y402="Insecta",Y402="Arachnida",Y402="#N/C"),"",IFERROR(_xlfn.LET(_xlpm.fc,IFERROR(_xlfn._xlws.FILTER(ClassificationClasses[],ClassificationClasses[Classification Class]=Y402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402,ClassificationClasses[Key])),0),MATCH(Y402,INDEX(ClassificationClasses[],MATCH(TRUE,ISNUMBER(SEARCH(Y402,ClassificationClasses[Key])),0),0),0)-1)))</f>
        <v>Diptera</v>
      </c>
      <c r="AA402" s="116" t="str" cm="1">
        <f t="array" ref="AA402">IFERROR(IF(OR(Z402="Insecta",Z402="Arachnida",Z402="#N/C"),"",INDEX(ClassificationClasses[[Class]:[Infraorder]],MATCH(TRUE,ISNUMBER(SEARCH(Z402,ClassificationClasses[Key])),0),MATCH(Z402,INDEX(ClassificationClasses[#Data], MATCH(TRUE,ISNUMBER(SEARCH(Z402,ClassificationClasses[Key])),0), 0), 0)-1)),"")</f>
        <v>Insecta</v>
      </c>
      <c r="AB402" s="116" t="str" cm="1">
        <f t="array" ref="AB402">IFERROR(IF(OR(AA402="Insecta",AA402="Arachnida",AA402="#N/C"),"",INDEX(ClassificationClasses[[Class]:[Suborder]],MATCH(TRUE,ISNUMBER(SEARCH(AA402,ClassificationClasses[Key])),0),MATCH(AA402,INDEX(ClassificationClasses[#Data], MATCH(TRUE,ISNUMBER(SEARCH(AA402,ClassificationClasses[Key])),0), 0), 0)-1)),"")</f>
        <v/>
      </c>
      <c r="AC402" s="116" t="str" cm="1">
        <f t="array" ref="AC402">IFERROR(IF(OR(AB402="Insecta",AB402="Arachnida",AB402="#N/C"),"",INDEX(ClassificationClasses[[Class]:[Suborder]],MATCH(TRUE,ISNUMBER(SEARCH(AB402,ClassificationClasses[Key])),0),MATCH(AB402,INDEX(ClassificationClasses[#Data], MATCH(TRUE,ISNUMBER(SEARCH(AB402,ClassificationClasses[Key])),0), 0), 0)-1)),"")</f>
        <v/>
      </c>
      <c r="AD402" s="116" t="str" cm="1">
        <f t="array" ref="AD402">IFERROR(IF(OR(AC402="Insecta",AC402="Arachnida",AC402="#N/C"),"",INDEX(ClassificationClasses[[Class]:[Suborder]],MATCH(TRUE,ISNUMBER(SEARCH(AC402,ClassificationClasses[Key])),0),MATCH(AC402,INDEX(ClassificationClasses[#Data], MATCH(TRUE,ISNUMBER(SEARCH(AC402,ClassificationClasses[Key])),0), 0), 0)-1)),"")</f>
        <v/>
      </c>
      <c r="AE402" s="18" t="str">
        <f t="shared" si="14"/>
        <v>Insecta.Diptera.Brachycera.#N/C.#N/C.#N/C.#N/C.#N/C.#N/C</v>
      </c>
    </row>
    <row r="403" spans="1:31" x14ac:dyDescent="0.3">
      <c r="A403" s="91">
        <v>402</v>
      </c>
      <c r="B403" s="7">
        <v>44426</v>
      </c>
      <c r="C403" s="92" t="s">
        <v>679</v>
      </c>
      <c r="D403" s="93" t="str">
        <f>HYPERLINK(VLOOKUP(C403,Video_List!$F:$J,5),"video")</f>
        <v>video</v>
      </c>
      <c r="E403" s="94" t="str">
        <f>IFERROR(IF(MATCH(C403,Video_List!$F:$F,)&gt;0,"ok",""),"error")</f>
        <v>ok</v>
      </c>
      <c r="F403" s="92" t="s">
        <v>679</v>
      </c>
      <c r="G403" s="93" t="str">
        <f>HYPERLINK(VLOOKUP(F403,Video_List!$F:$J,5),"video")</f>
        <v>video</v>
      </c>
      <c r="H403" s="94" t="str">
        <f>IFERROR(IF(MATCH(F403,Video_List!$F:$F,)&gt;0,"ok",""),"error")</f>
        <v>ok</v>
      </c>
      <c r="I403" s="17">
        <v>44426.810914351852</v>
      </c>
      <c r="J403" s="8">
        <v>44426.810960648145</v>
      </c>
      <c r="K403" s="15">
        <f t="shared" si="13"/>
        <v>4.6296292566694319E-5</v>
      </c>
      <c r="L403" s="95" t="s">
        <v>32</v>
      </c>
      <c r="M403" s="95" t="s">
        <v>33</v>
      </c>
      <c r="N403" s="96" t="str">
        <f>IF(ISBLANK(C403),"",IF(C403=F403, "1 video",CONCATENATE((+COUNTIFS(Video_List!$C:$C,"&lt;=" &amp;Monitoring!J403)-COUNTIFS(Video_List!$C:$C,"&lt;=" &amp;Monitoring!I403))+1," videos")))</f>
        <v>1 video</v>
      </c>
      <c r="O403" s="29" t="s">
        <v>44</v>
      </c>
      <c r="P403" s="43" t="s">
        <v>37</v>
      </c>
      <c r="Q403" s="43" t="s">
        <v>38</v>
      </c>
      <c r="R403" s="43" t="s">
        <v>39</v>
      </c>
      <c r="S403" s="97" t="str">
        <f>+IFERROR(IF(T403="#N/C","#N/C",IF(U403=0,INDEX(Taxonomy_UniqueValues!D:D,MATCH(U403,Taxonomy_UniqueValues!F:F,0)),INDEX(Taxonomy_UniqueValues!D:D,MATCH(T403,Taxonomy_UniqueValues!E:E,0)))),"#N/C")</f>
        <v>Asilomorpha</v>
      </c>
      <c r="T403" s="43" t="s">
        <v>439</v>
      </c>
      <c r="U403" s="43" t="s">
        <v>440</v>
      </c>
      <c r="V403" s="43" t="s">
        <v>35</v>
      </c>
      <c r="W403" s="43" t="s">
        <v>35</v>
      </c>
      <c r="X403" s="30" t="s">
        <v>35</v>
      </c>
      <c r="Y403" s="69" t="str" cm="1">
        <f t="array" ref="Y403">_xlfn.LET(_xlpm.cls,P403, _xlpm.ord,IFERROR(Q403,"#N/C"), _xlpm.subord,IFERROR(R403,"#N/C"), _xlpm.infr,IFERROR(S403,"#N/C"), _xlpm.sf,IFERROR(T403,"#N/C"), _xlpm.fam,IFERROR(U403,"#N/C"), _xlpm.subfam,IF(TRIM(V403)="-","#N/C",IFERROR(V403,"#N/C")),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_xlpm.fallback,IF(IFERROR(Q403,"#N/C")="#N/C",P403,IF(IFERROR(R403,"#N/C")="#N/C",Q403,IF(IFERROR(S403,"#N/C")="#N/C",R403,IF(IFERROR(T403,"#N/C")="#N/C",S403,IF(IFERROR(U403,"#N/C")="#N/C",T403,IF(IFERROR(V403,"#N/C")="#N/C",U403,"#N/C")))))), _xlpm.finalResult,IF(OR(_xlpm.computedResult="",_xlpm.computedResult="#N/C"),_xlpm.fallback,_xlpm.computedResult), INDEX(_xlpm.finalResult,1))</f>
        <v>dance_fly</v>
      </c>
      <c r="Z403" s="116" t="str" cm="1">
        <f t="array" ref="Z403">IF(OR(Y403="Insecta",Y403="Arachnida",Y403="#N/C"),"",IFERROR(_xlfn.LET(_xlpm.fc,IFERROR(_xlfn._xlws.FILTER(ClassificationClasses[],ClassificationClasses[Classification Class]=Y403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403,ClassificationClasses[Key])),0),MATCH(Y403,INDEX(ClassificationClasses[],MATCH(TRUE,ISNUMBER(SEARCH(Y403,ClassificationClasses[Key])),0),0),0)-1)))</f>
        <v>Asilomorpha</v>
      </c>
      <c r="AA403" s="116" t="str" cm="1">
        <f t="array" ref="AA403">IFERROR(IF(OR(Z403="Insecta",Z403="Arachnida",Z403="#N/C"),"",INDEX(ClassificationClasses[[Class]:[Infraorder]],MATCH(TRUE,ISNUMBER(SEARCH(Z403,ClassificationClasses[Key])),0),MATCH(Z403,INDEX(ClassificationClasses[#Data], MATCH(TRUE,ISNUMBER(SEARCH(Z403,ClassificationClasses[Key])),0), 0), 0)-1)),"")</f>
        <v>Brachycera</v>
      </c>
      <c r="AB403" s="116" t="str" cm="1">
        <f t="array" ref="AB403">IFERROR(IF(OR(AA403="Insecta",AA403="Arachnida",AA403="#N/C"),"",INDEX(ClassificationClasses[[Class]:[Suborder]],MATCH(TRUE,ISNUMBER(SEARCH(AA403,ClassificationClasses[Key])),0),MATCH(AA403,INDEX(ClassificationClasses[#Data], MATCH(TRUE,ISNUMBER(SEARCH(AA403,ClassificationClasses[Key])),0), 0), 0)-1)),"")</f>
        <v>Diptera</v>
      </c>
      <c r="AC403" s="116" t="str" cm="1">
        <f t="array" ref="AC403">IFERROR(IF(OR(AB403="Insecta",AB403="Arachnida",AB403="#N/C"),"",INDEX(ClassificationClasses[[Class]:[Suborder]],MATCH(TRUE,ISNUMBER(SEARCH(AB403,ClassificationClasses[Key])),0),MATCH(AB403,INDEX(ClassificationClasses[#Data], MATCH(TRUE,ISNUMBER(SEARCH(AB403,ClassificationClasses[Key])),0), 0), 0)-1)),"")</f>
        <v>Insecta</v>
      </c>
      <c r="AD403" s="116" t="str" cm="1">
        <f t="array" ref="AD403">IFERROR(IF(OR(AC403="Insecta",AC403="Arachnida",AC403="#N/C"),"",INDEX(ClassificationClasses[[Class]:[Suborder]],MATCH(TRUE,ISNUMBER(SEARCH(AC403,ClassificationClasses[Key])),0),MATCH(AC403,INDEX(ClassificationClasses[#Data], MATCH(TRUE,ISNUMBER(SEARCH(AC403,ClassificationClasses[Key])),0), 0), 0)-1)),"")</f>
        <v/>
      </c>
      <c r="AE403" s="18" t="str">
        <f t="shared" si="14"/>
        <v>Insecta.Diptera.Brachycera.Asilomorpha.Empidoidea.Dolichopodidae.#N/C.#N/C.#N/C</v>
      </c>
    </row>
    <row r="404" spans="1:31" x14ac:dyDescent="0.3">
      <c r="A404" s="91">
        <v>403</v>
      </c>
      <c r="B404" s="7">
        <v>44426</v>
      </c>
      <c r="C404" s="92" t="s">
        <v>680</v>
      </c>
      <c r="D404" s="93" t="str">
        <f>HYPERLINK(VLOOKUP(C404,Video_List!$F:$J,5),"video")</f>
        <v>video</v>
      </c>
      <c r="E404" s="94" t="str">
        <f>IFERROR(IF(MATCH(C404,Video_List!$F:$F,)&gt;0,"ok",""),"error")</f>
        <v>ok</v>
      </c>
      <c r="F404" s="92" t="s">
        <v>680</v>
      </c>
      <c r="G404" s="93" t="str">
        <f>HYPERLINK(VLOOKUP(F404,Video_List!$F:$J,5),"video")</f>
        <v>video</v>
      </c>
      <c r="H404" s="94" t="str">
        <f>IFERROR(IF(MATCH(F404,Video_List!$F:$F,)&gt;0,"ok",""),"error")</f>
        <v>ok</v>
      </c>
      <c r="I404" s="17">
        <v>44426.831828703704</v>
      </c>
      <c r="J404" s="8">
        <v>44426.832268518519</v>
      </c>
      <c r="K404" s="15">
        <f t="shared" si="13"/>
        <v>4.398148157633841E-4</v>
      </c>
      <c r="L404" s="95" t="s">
        <v>32</v>
      </c>
      <c r="M404" s="95" t="s">
        <v>33</v>
      </c>
      <c r="N404" s="96" t="str">
        <f>IF(ISBLANK(C404),"",IF(C404=F404, "1 video",CONCATENATE((+COUNTIFS(Video_List!$C:$C,"&lt;=" &amp;Monitoring!J404)-COUNTIFS(Video_List!$C:$C,"&lt;=" &amp;Monitoring!I404))+1," videos")))</f>
        <v>1 video</v>
      </c>
      <c r="O404" s="29" t="s">
        <v>44</v>
      </c>
      <c r="P404" s="43" t="s">
        <v>37</v>
      </c>
      <c r="Q404" s="43" t="s">
        <v>38</v>
      </c>
      <c r="R404" s="43" t="s">
        <v>39</v>
      </c>
      <c r="S404" s="97" t="str">
        <f>+IFERROR(IF(T404="#N/C","#N/C",IF(U404=0,INDEX(Taxonomy_UniqueValues!D:D,MATCH(U404,Taxonomy_UniqueValues!F:F,0)),INDEX(Taxonomy_UniqueValues!D:D,MATCH(T404,Taxonomy_UniqueValues!E:E,0)))),"#N/C")</f>
        <v>Muscomorpha</v>
      </c>
      <c r="T404" s="43" t="s">
        <v>63</v>
      </c>
      <c r="U404" s="43" t="s">
        <v>64</v>
      </c>
      <c r="V404" s="43" t="s">
        <v>65</v>
      </c>
      <c r="W404" s="43" t="s">
        <v>626</v>
      </c>
      <c r="X404" s="30" t="s">
        <v>35</v>
      </c>
      <c r="Y404" s="69" t="str" cm="1">
        <f t="array" ref="Y404">_xlfn.LET(_xlpm.cls,P404, _xlpm.ord,IFERROR(Q404,"#N/C"), _xlpm.subord,IFERROR(R404,"#N/C"), _xlpm.infr,IFERROR(S404,"#N/C"), _xlpm.sf,IFERROR(T404,"#N/C"), _xlpm.fam,IFERROR(U404,"#N/C"), _xlpm.subfam,IF(TRIM(V404)="-","#N/C",IFERROR(V404,"#N/C")),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_xlpm.fallback,IF(IFERROR(Q404,"#N/C")="#N/C",P404,IF(IFERROR(R404,"#N/C")="#N/C",Q404,IF(IFERROR(S404,"#N/C")="#N/C",R404,IF(IFERROR(T404,"#N/C")="#N/C",S404,IF(IFERROR(U404,"#N/C")="#N/C",T404,IF(IFERROR(V404,"#N/C")="#N/C",U404,"#N/C")))))), _xlpm.finalResult,IF(OR(_xlpm.computedResult="",_xlpm.computedResult="#N/C"),_xlpm.fallback,_xlpm.computedResult), INDEX(_xlpm.finalResult,1))</f>
        <v>fruit_fly</v>
      </c>
      <c r="Z404" s="116" t="str" cm="1">
        <f t="array" ref="Z404">IF(OR(Y404="Insecta",Y404="Arachnida",Y404="#N/C"),"",IFERROR(_xlfn.LET(_xlpm.fc,IFERROR(_xlfn._xlws.FILTER(ClassificationClasses[],ClassificationClasses[Classification Class]=Y404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404,ClassificationClasses[Key])),0),MATCH(Y404,INDEX(ClassificationClasses[],MATCH(TRUE,ISNUMBER(SEARCH(Y404,ClassificationClasses[Key])),0),0),0)-1)))</f>
        <v>Muscomorpha</v>
      </c>
      <c r="AA404" s="116" t="str" cm="1">
        <f t="array" ref="AA404">IFERROR(IF(OR(Z404="Insecta",Z404="Arachnida",Z404="#N/C"),"",INDEX(ClassificationClasses[[Class]:[Infraorder]],MATCH(TRUE,ISNUMBER(SEARCH(Z404,ClassificationClasses[Key])),0),MATCH(Z404,INDEX(ClassificationClasses[#Data], MATCH(TRUE,ISNUMBER(SEARCH(Z404,ClassificationClasses[Key])),0), 0), 0)-1)),"")</f>
        <v>Brachycera</v>
      </c>
      <c r="AB404" s="116" t="str" cm="1">
        <f t="array" ref="AB404">IFERROR(IF(OR(AA404="Insecta",AA404="Arachnida",AA404="#N/C"),"",INDEX(ClassificationClasses[[Class]:[Suborder]],MATCH(TRUE,ISNUMBER(SEARCH(AA404,ClassificationClasses[Key])),0),MATCH(AA404,INDEX(ClassificationClasses[#Data], MATCH(TRUE,ISNUMBER(SEARCH(AA404,ClassificationClasses[Key])),0), 0), 0)-1)),"")</f>
        <v>Diptera</v>
      </c>
      <c r="AC404" s="116" t="str" cm="1">
        <f t="array" ref="AC404">IFERROR(IF(OR(AB404="Insecta",AB404="Arachnida",AB404="#N/C"),"",INDEX(ClassificationClasses[[Class]:[Suborder]],MATCH(TRUE,ISNUMBER(SEARCH(AB404,ClassificationClasses[Key])),0),MATCH(AB404,INDEX(ClassificationClasses[#Data], MATCH(TRUE,ISNUMBER(SEARCH(AB404,ClassificationClasses[Key])),0), 0), 0)-1)),"")</f>
        <v>Insecta</v>
      </c>
      <c r="AD404" s="116" t="str" cm="1">
        <f t="array" ref="AD404">IFERROR(IF(OR(AC404="Insecta",AC404="Arachnida",AC404="#N/C"),"",INDEX(ClassificationClasses[[Class]:[Suborder]],MATCH(TRUE,ISNUMBER(SEARCH(AC404,ClassificationClasses[Key])),0),MATCH(AC404,INDEX(ClassificationClasses[#Data], MATCH(TRUE,ISNUMBER(SEARCH(AC404,ClassificationClasses[Key])),0), 0), 0)-1)),"")</f>
        <v/>
      </c>
      <c r="AE404" s="18" t="str">
        <f t="shared" si="14"/>
        <v>Insecta.Diptera.Brachycera.Muscomorpha.Ephydroidea.Drosophilidae.Drosophilinae.Chymomyza.#N/C</v>
      </c>
    </row>
    <row r="405" spans="1:31" x14ac:dyDescent="0.3">
      <c r="A405" s="91">
        <v>404</v>
      </c>
      <c r="B405" s="7">
        <v>44426</v>
      </c>
      <c r="C405" s="92" t="s">
        <v>681</v>
      </c>
      <c r="D405" s="93" t="str">
        <f>HYPERLINK(VLOOKUP(C405,Video_List!$F:$J,5),"video")</f>
        <v>video</v>
      </c>
      <c r="E405" s="94" t="str">
        <f>IFERROR(IF(MATCH(C405,Video_List!$F:$F,)&gt;0,"ok",""),"error")</f>
        <v>ok</v>
      </c>
      <c r="F405" s="92" t="s">
        <v>681</v>
      </c>
      <c r="G405" s="93" t="str">
        <f>HYPERLINK(VLOOKUP(F405,Video_List!$F:$J,5),"video")</f>
        <v>video</v>
      </c>
      <c r="H405" s="94" t="str">
        <f>IFERROR(IF(MATCH(F405,Video_List!$F:$F,)&gt;0,"ok",""),"error")</f>
        <v>ok</v>
      </c>
      <c r="I405" s="17">
        <v>44426.855219907404</v>
      </c>
      <c r="J405" s="8">
        <v>44426.855266203704</v>
      </c>
      <c r="K405" s="15">
        <f t="shared" si="13"/>
        <v>4.6296299842651933E-5</v>
      </c>
      <c r="L405" s="4" t="s">
        <v>32</v>
      </c>
      <c r="M405" s="4" t="s">
        <v>33</v>
      </c>
      <c r="N405" s="96" t="str">
        <f>IF(ISBLANK(C405),"",IF(C405=F405, "1 video",CONCATENATE((+COUNTIFS(Video_List!$C:$C,"&lt;=" &amp;Monitoring!J405)-COUNTIFS(Video_List!$C:$C,"&lt;=" &amp;Monitoring!I405))+1," videos")))</f>
        <v>1 video</v>
      </c>
      <c r="O405" s="27" t="s">
        <v>32</v>
      </c>
      <c r="P405" s="43" t="s">
        <v>37</v>
      </c>
      <c r="Q405" s="43" t="s">
        <v>38</v>
      </c>
      <c r="R405" s="43" t="s">
        <v>39</v>
      </c>
      <c r="S405" s="97" t="str">
        <f>+IFERROR(IF(T405="#N/C","#N/C",IF(U405=0,INDEX(Taxonomy_UniqueValues!D:D,MATCH(U405,Taxonomy_UniqueValues!F:F,0)),INDEX(Taxonomy_UniqueValues!D:D,MATCH(T405,Taxonomy_UniqueValues!E:E,0)))),"#N/C")</f>
        <v>#N/C</v>
      </c>
      <c r="T405" s="43" t="s">
        <v>35</v>
      </c>
      <c r="U405" s="43" t="s">
        <v>35</v>
      </c>
      <c r="V405" s="43" t="s">
        <v>35</v>
      </c>
      <c r="W405" s="43" t="s">
        <v>35</v>
      </c>
      <c r="X405" s="30" t="s">
        <v>35</v>
      </c>
      <c r="Y405" s="69" t="str" cm="1">
        <f t="array" ref="Y405">_xlfn.LET(_xlpm.cls,P405, _xlpm.ord,IFERROR(Q405,"#N/C"), _xlpm.subord,IFERROR(R405,"#N/C"), _xlpm.infr,IFERROR(S405,"#N/C"), _xlpm.sf,IFERROR(T405,"#N/C"), _xlpm.fam,IFERROR(U405,"#N/C"), _xlpm.subfam,IF(TRIM(V405)="-","#N/C",IFERROR(V405,"#N/C")),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_xlpm.fallback,IF(IFERROR(Q405,"#N/C")="#N/C",P405,IF(IFERROR(R405,"#N/C")="#N/C",Q405,IF(IFERROR(S405,"#N/C")="#N/C",R405,IF(IFERROR(T405,"#N/C")="#N/C",S405,IF(IFERROR(U405,"#N/C")="#N/C",T405,IF(IFERROR(V405,"#N/C")="#N/C",U405,"#N/C")))))), _xlpm.finalResult,IF(OR(_xlpm.computedResult="",_xlpm.computedResult="#N/C"),_xlpm.fallback,_xlpm.computedResult), INDEX(_xlpm.finalResult,1))</f>
        <v>Brachycera</v>
      </c>
      <c r="Z405" s="116" t="str" cm="1">
        <f t="array" ref="Z405">IF(OR(Y405="Insecta",Y405="Arachnida",Y405="#N/C"),"",IFERROR(_xlfn.LET(_xlpm.fc,IFERROR(_xlfn._xlws.FILTER(ClassificationClasses[],ClassificationClasses[Classification Class]=Y405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405,ClassificationClasses[Key])),0),MATCH(Y405,INDEX(ClassificationClasses[],MATCH(TRUE,ISNUMBER(SEARCH(Y405,ClassificationClasses[Key])),0),0),0)-1)))</f>
        <v>Diptera</v>
      </c>
      <c r="AA405" s="116" t="str" cm="1">
        <f t="array" ref="AA405">IFERROR(IF(OR(Z405="Insecta",Z405="Arachnida",Z405="#N/C"),"",INDEX(ClassificationClasses[[Class]:[Infraorder]],MATCH(TRUE,ISNUMBER(SEARCH(Z405,ClassificationClasses[Key])),0),MATCH(Z405,INDEX(ClassificationClasses[#Data], MATCH(TRUE,ISNUMBER(SEARCH(Z405,ClassificationClasses[Key])),0), 0), 0)-1)),"")</f>
        <v>Insecta</v>
      </c>
      <c r="AB405" s="116" t="str" cm="1">
        <f t="array" ref="AB405">IFERROR(IF(OR(AA405="Insecta",AA405="Arachnida",AA405="#N/C"),"",INDEX(ClassificationClasses[[Class]:[Suborder]],MATCH(TRUE,ISNUMBER(SEARCH(AA405,ClassificationClasses[Key])),0),MATCH(AA405,INDEX(ClassificationClasses[#Data], MATCH(TRUE,ISNUMBER(SEARCH(AA405,ClassificationClasses[Key])),0), 0), 0)-1)),"")</f>
        <v/>
      </c>
      <c r="AC405" s="116" t="str" cm="1">
        <f t="array" ref="AC405">IFERROR(IF(OR(AB405="Insecta",AB405="Arachnida",AB405="#N/C"),"",INDEX(ClassificationClasses[[Class]:[Suborder]],MATCH(TRUE,ISNUMBER(SEARCH(AB405,ClassificationClasses[Key])),0),MATCH(AB405,INDEX(ClassificationClasses[#Data], MATCH(TRUE,ISNUMBER(SEARCH(AB405,ClassificationClasses[Key])),0), 0), 0)-1)),"")</f>
        <v/>
      </c>
      <c r="AD405" s="116" t="str" cm="1">
        <f t="array" ref="AD405">IFERROR(IF(OR(AC405="Insecta",AC405="Arachnida",AC405="#N/C"),"",INDEX(ClassificationClasses[[Class]:[Suborder]],MATCH(TRUE,ISNUMBER(SEARCH(AC405,ClassificationClasses[Key])),0),MATCH(AC405,INDEX(ClassificationClasses[#Data], MATCH(TRUE,ISNUMBER(SEARCH(AC405,ClassificationClasses[Key])),0), 0), 0)-1)),"")</f>
        <v/>
      </c>
      <c r="AE405" s="18" t="str">
        <f t="shared" si="14"/>
        <v>Insecta.Diptera.Brachycera.#N/C.#N/C.#N/C.#N/C.#N/C.#N/C</v>
      </c>
    </row>
    <row r="406" spans="1:31" x14ac:dyDescent="0.3">
      <c r="A406" s="91">
        <v>405</v>
      </c>
      <c r="B406" s="7">
        <v>44426</v>
      </c>
      <c r="C406" s="92" t="s">
        <v>682</v>
      </c>
      <c r="D406" s="93" t="str">
        <f>HYPERLINK(VLOOKUP(C406,Video_List!$F:$J,5),"video")</f>
        <v>video</v>
      </c>
      <c r="E406" s="94" t="str">
        <f>IFERROR(IF(MATCH(C406,Video_List!$F:$F,)&gt;0,"ok",""),"error")</f>
        <v>ok</v>
      </c>
      <c r="F406" s="92" t="s">
        <v>683</v>
      </c>
      <c r="G406" s="93" t="str">
        <f>HYPERLINK(VLOOKUP(F406,Video_List!$F:$J,5),"video")</f>
        <v>video</v>
      </c>
      <c r="H406" s="94" t="str">
        <f>IFERROR(IF(MATCH(F406,Video_List!$F:$F,)&gt;0,"ok",""),"error")</f>
        <v>ok</v>
      </c>
      <c r="I406" s="17">
        <v>44426.870925925927</v>
      </c>
      <c r="J406" s="8">
        <v>44426.871168981481</v>
      </c>
      <c r="K406" s="15">
        <f t="shared" si="13"/>
        <v>2.4305555416503921E-4</v>
      </c>
      <c r="L406" s="4" t="s">
        <v>32</v>
      </c>
      <c r="M406" s="4" t="s">
        <v>33</v>
      </c>
      <c r="N406" s="96" t="str">
        <f>IF(ISBLANK(C406),"",IF(C406=F406, "1 video",CONCATENATE((+COUNTIFS(Video_List!$C:$C,"&lt;=" &amp;Monitoring!J406)-COUNTIFS(Video_List!$C:$C,"&lt;=" &amp;Monitoring!I406))+1," videos")))</f>
        <v>2 videos</v>
      </c>
      <c r="O406" s="27" t="s">
        <v>32</v>
      </c>
      <c r="P406" s="43" t="s">
        <v>37</v>
      </c>
      <c r="Q406" s="43" t="s">
        <v>41</v>
      </c>
      <c r="R406" s="43" t="s">
        <v>42</v>
      </c>
      <c r="S406" s="97" t="str">
        <f>+IFERROR(IF(T406="#N/C","#N/C",IF(U406=0,INDEX(Taxonomy_UniqueValues!D:D,MATCH(U406,Taxonomy_UniqueValues!F:F,0)),INDEX(Taxonomy_UniqueValues!D:D,MATCH(T406,Taxonomy_UniqueValues!E:E,0)))),"#N/C")</f>
        <v>Parasitica</v>
      </c>
      <c r="T406" s="43" t="s">
        <v>71</v>
      </c>
      <c r="U406" s="43" t="s">
        <v>35</v>
      </c>
      <c r="V406" s="43" t="s">
        <v>35</v>
      </c>
      <c r="W406" s="43" t="s">
        <v>35</v>
      </c>
      <c r="X406" s="30" t="s">
        <v>35</v>
      </c>
      <c r="Y406" s="69" t="str" cm="1">
        <f t="array" ref="Y406">_xlfn.LET(_xlpm.cls,P406, _xlpm.ord,IFERROR(Q406,"#N/C"), _xlpm.subord,IFERROR(R406,"#N/C"), _xlpm.infr,IFERROR(S406,"#N/C"), _xlpm.sf,IFERROR(T406,"#N/C"), _xlpm.fam,IFERROR(U406,"#N/C"), _xlpm.subfam,IF(TRIM(V406)="-","#N/C",IFERROR(V406,"#N/C")),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_xlpm.fallback,IF(IFERROR(Q406,"#N/C")="#N/C",P406,IF(IFERROR(R406,"#N/C")="#N/C",Q406,IF(IFERROR(S406,"#N/C")="#N/C",R406,IF(IFERROR(T406,"#N/C")="#N/C",S406,IF(IFERROR(U406,"#N/C")="#N/C",T406,IF(IFERROR(V406,"#N/C")="#N/C",U406,"#N/C")))))), _xlpm.finalResult,IF(OR(_xlpm.computedResult="",_xlpm.computedResult="#N/C"),_xlpm.fallback,_xlpm.computedResult), INDEX(_xlpm.finalResult,1))</f>
        <v>Ichneumonoidea</v>
      </c>
      <c r="Z406" s="116" t="str" cm="1">
        <f t="array" ref="Z406">IF(OR(Y406="Insecta",Y406="Arachnida",Y406="#N/C"),"",IFERROR(_xlfn.LET(_xlpm.fc,IFERROR(_xlfn._xlws.FILTER(ClassificationClasses[],ClassificationClasses[Classification Class]=Y406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406,ClassificationClasses[Key])),0),MATCH(Y406,INDEX(ClassificationClasses[],MATCH(TRUE,ISNUMBER(SEARCH(Y406,ClassificationClasses[Key])),0),0),0)-1)))</f>
        <v>Parasitica</v>
      </c>
      <c r="AA406" s="116" t="str" cm="1">
        <f t="array" ref="AA406">IFERROR(IF(OR(Z406="Insecta",Z406="Arachnida",Z406="#N/C"),"",INDEX(ClassificationClasses[[Class]:[Infraorder]],MATCH(TRUE,ISNUMBER(SEARCH(Z406,ClassificationClasses[Key])),0),MATCH(Z406,INDEX(ClassificationClasses[#Data], MATCH(TRUE,ISNUMBER(SEARCH(Z406,ClassificationClasses[Key])),0), 0), 0)-1)),"")</f>
        <v>Apocrita</v>
      </c>
      <c r="AB406" s="116" t="str" cm="1">
        <f t="array" ref="AB406">IFERROR(IF(OR(AA406="Insecta",AA406="Arachnida",AA406="#N/C"),"",INDEX(ClassificationClasses[[Class]:[Suborder]],MATCH(TRUE,ISNUMBER(SEARCH(AA406,ClassificationClasses[Key])),0),MATCH(AA406,INDEX(ClassificationClasses[#Data], MATCH(TRUE,ISNUMBER(SEARCH(AA406,ClassificationClasses[Key])),0), 0), 0)-1)),"")</f>
        <v>Hymenoptera</v>
      </c>
      <c r="AC406" s="116" t="str" cm="1">
        <f t="array" ref="AC406">IFERROR(IF(OR(AB406="Insecta",AB406="Arachnida",AB406="#N/C"),"",INDEX(ClassificationClasses[[Class]:[Suborder]],MATCH(TRUE,ISNUMBER(SEARCH(AB406,ClassificationClasses[Key])),0),MATCH(AB406,INDEX(ClassificationClasses[#Data], MATCH(TRUE,ISNUMBER(SEARCH(AB406,ClassificationClasses[Key])),0), 0), 0)-1)),"")</f>
        <v>Insecta</v>
      </c>
      <c r="AD406" s="116" t="str" cm="1">
        <f t="array" ref="AD406">IFERROR(IF(OR(AC406="Insecta",AC406="Arachnida",AC406="#N/C"),"",INDEX(ClassificationClasses[[Class]:[Suborder]],MATCH(TRUE,ISNUMBER(SEARCH(AC406,ClassificationClasses[Key])),0),MATCH(AC406,INDEX(ClassificationClasses[#Data], MATCH(TRUE,ISNUMBER(SEARCH(AC406,ClassificationClasses[Key])),0), 0), 0)-1)),"")</f>
        <v/>
      </c>
      <c r="AE406" s="18" t="str">
        <f t="shared" si="14"/>
        <v>Insecta.Hymenoptera.Apocrita.Parasitica.Ichneumonoidea.#N/C.#N/C.#N/C.#N/C</v>
      </c>
    </row>
    <row r="407" spans="1:31" x14ac:dyDescent="0.3">
      <c r="A407" s="91">
        <v>406</v>
      </c>
      <c r="B407" s="7">
        <v>44426</v>
      </c>
      <c r="C407" s="92" t="s">
        <v>684</v>
      </c>
      <c r="D407" s="93" t="str">
        <f>HYPERLINK(VLOOKUP(C407,Video_List!$F:$J,5),"video")</f>
        <v>video</v>
      </c>
      <c r="E407" s="94" t="str">
        <f>IFERROR(IF(MATCH(C407,Video_List!$F:$F,)&gt;0,"ok",""),"error")</f>
        <v>ok</v>
      </c>
      <c r="F407" s="92" t="s">
        <v>684</v>
      </c>
      <c r="G407" s="93" t="str">
        <f>HYPERLINK(VLOOKUP(F407,Video_List!$F:$J,5),"video")</f>
        <v>video</v>
      </c>
      <c r="H407" s="94" t="str">
        <f>IFERROR(IF(MATCH(F407,Video_List!$F:$F,)&gt;0,"ok",""),"error")</f>
        <v>ok</v>
      </c>
      <c r="I407" s="17">
        <v>44426.874282407407</v>
      </c>
      <c r="J407" s="8">
        <v>44426.874421296299</v>
      </c>
      <c r="K407" s="15">
        <f t="shared" si="13"/>
        <v>1.3888889225199819E-4</v>
      </c>
      <c r="L407" s="95" t="s">
        <v>32</v>
      </c>
      <c r="M407" s="95" t="s">
        <v>33</v>
      </c>
      <c r="N407" s="96" t="str">
        <f>IF(ISBLANK(C407),"",IF(C407=F407, "1 video",CONCATENATE((+COUNTIFS(Video_List!$C:$C,"&lt;=" &amp;Monitoring!J407)-COUNTIFS(Video_List!$C:$C,"&lt;=" &amp;Monitoring!I407))+1," videos")))</f>
        <v>1 video</v>
      </c>
      <c r="O407" s="29" t="s">
        <v>44</v>
      </c>
      <c r="P407" s="43" t="s">
        <v>37</v>
      </c>
      <c r="Q407" s="43" t="s">
        <v>38</v>
      </c>
      <c r="R407" s="43" t="s">
        <v>39</v>
      </c>
      <c r="S407" s="97" t="str">
        <f>+IFERROR(IF(T407="#N/C","#N/C",IF(U407=0,INDEX(Taxonomy_UniqueValues!D:D,MATCH(U407,Taxonomy_UniqueValues!F:F,0)),INDEX(Taxonomy_UniqueValues!D:D,MATCH(T407,Taxonomy_UniqueValues!E:E,0)))),"#N/C")</f>
        <v>Asilomorpha</v>
      </c>
      <c r="T407" s="43" t="s">
        <v>439</v>
      </c>
      <c r="U407" s="43" t="s">
        <v>440</v>
      </c>
      <c r="V407" s="43" t="s">
        <v>35</v>
      </c>
      <c r="W407" s="43" t="s">
        <v>35</v>
      </c>
      <c r="X407" s="30" t="s">
        <v>35</v>
      </c>
      <c r="Y407" s="69" t="str" cm="1">
        <f t="array" ref="Y407">_xlfn.LET(_xlpm.cls,P407, _xlpm.ord,IFERROR(Q407,"#N/C"), _xlpm.subord,IFERROR(R407,"#N/C"), _xlpm.infr,IFERROR(S407,"#N/C"), _xlpm.sf,IFERROR(T407,"#N/C"), _xlpm.fam,IFERROR(U407,"#N/C"), _xlpm.subfam,IF(TRIM(V407)="-","#N/C",IFERROR(V407,"#N/C")),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_xlpm.fallback,IF(IFERROR(Q407,"#N/C")="#N/C",P407,IF(IFERROR(R407,"#N/C")="#N/C",Q407,IF(IFERROR(S407,"#N/C")="#N/C",R407,IF(IFERROR(T407,"#N/C")="#N/C",S407,IF(IFERROR(U407,"#N/C")="#N/C",T407,IF(IFERROR(V407,"#N/C")="#N/C",U407,"#N/C")))))), _xlpm.finalResult,IF(OR(_xlpm.computedResult="",_xlpm.computedResult="#N/C"),_xlpm.fallback,_xlpm.computedResult), INDEX(_xlpm.finalResult,1))</f>
        <v>dance_fly</v>
      </c>
      <c r="Z407" s="116" t="str" cm="1">
        <f t="array" ref="Z407">IF(OR(Y407="Insecta",Y407="Arachnida",Y407="#N/C"),"",IFERROR(_xlfn.LET(_xlpm.fc,IFERROR(_xlfn._xlws.FILTER(ClassificationClasses[],ClassificationClasses[Classification Class]=Y407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407,ClassificationClasses[Key])),0),MATCH(Y407,INDEX(ClassificationClasses[],MATCH(TRUE,ISNUMBER(SEARCH(Y407,ClassificationClasses[Key])),0),0),0)-1)))</f>
        <v>Asilomorpha</v>
      </c>
      <c r="AA407" s="116" t="str" cm="1">
        <f t="array" ref="AA407">IFERROR(IF(OR(Z407="Insecta",Z407="Arachnida",Z407="#N/C"),"",INDEX(ClassificationClasses[[Class]:[Infraorder]],MATCH(TRUE,ISNUMBER(SEARCH(Z407,ClassificationClasses[Key])),0),MATCH(Z407,INDEX(ClassificationClasses[#Data], MATCH(TRUE,ISNUMBER(SEARCH(Z407,ClassificationClasses[Key])),0), 0), 0)-1)),"")</f>
        <v>Brachycera</v>
      </c>
      <c r="AB407" s="116" t="str" cm="1">
        <f t="array" ref="AB407">IFERROR(IF(OR(AA407="Insecta",AA407="Arachnida",AA407="#N/C"),"",INDEX(ClassificationClasses[[Class]:[Suborder]],MATCH(TRUE,ISNUMBER(SEARCH(AA407,ClassificationClasses[Key])),0),MATCH(AA407,INDEX(ClassificationClasses[#Data], MATCH(TRUE,ISNUMBER(SEARCH(AA407,ClassificationClasses[Key])),0), 0), 0)-1)),"")</f>
        <v>Diptera</v>
      </c>
      <c r="AC407" s="116" t="str" cm="1">
        <f t="array" ref="AC407">IFERROR(IF(OR(AB407="Insecta",AB407="Arachnida",AB407="#N/C"),"",INDEX(ClassificationClasses[[Class]:[Suborder]],MATCH(TRUE,ISNUMBER(SEARCH(AB407,ClassificationClasses[Key])),0),MATCH(AB407,INDEX(ClassificationClasses[#Data], MATCH(TRUE,ISNUMBER(SEARCH(AB407,ClassificationClasses[Key])),0), 0), 0)-1)),"")</f>
        <v>Insecta</v>
      </c>
      <c r="AD407" s="116" t="str" cm="1">
        <f t="array" ref="AD407">IFERROR(IF(OR(AC407="Insecta",AC407="Arachnida",AC407="#N/C"),"",INDEX(ClassificationClasses[[Class]:[Suborder]],MATCH(TRUE,ISNUMBER(SEARCH(AC407,ClassificationClasses[Key])),0),MATCH(AC407,INDEX(ClassificationClasses[#Data], MATCH(TRUE,ISNUMBER(SEARCH(AC407,ClassificationClasses[Key])),0), 0), 0)-1)),"")</f>
        <v/>
      </c>
      <c r="AE407" s="18" t="str">
        <f t="shared" si="14"/>
        <v>Insecta.Diptera.Brachycera.Asilomorpha.Empidoidea.Dolichopodidae.#N/C.#N/C.#N/C</v>
      </c>
    </row>
    <row r="408" spans="1:31" x14ac:dyDescent="0.3">
      <c r="A408" s="91">
        <v>407</v>
      </c>
      <c r="B408" s="7">
        <v>44426</v>
      </c>
      <c r="C408" s="92" t="s">
        <v>685</v>
      </c>
      <c r="D408" s="93" t="str">
        <f>HYPERLINK(VLOOKUP(C408,Video_List!$F:$J,5),"video")</f>
        <v>video</v>
      </c>
      <c r="E408" s="94" t="str">
        <f>IFERROR(IF(MATCH(C408,Video_List!$F:$F,)&gt;0,"ok",""),"error")</f>
        <v>ok</v>
      </c>
      <c r="F408" s="92" t="s">
        <v>685</v>
      </c>
      <c r="G408" s="93" t="str">
        <f>HYPERLINK(VLOOKUP(F408,Video_List!$F:$J,5),"video")</f>
        <v>video</v>
      </c>
      <c r="H408" s="94" t="str">
        <f>IFERROR(IF(MATCH(F408,Video_List!$F:$F,)&gt;0,"ok",""),"error")</f>
        <v>ok</v>
      </c>
      <c r="I408" s="17">
        <v>44426.874571759261</v>
      </c>
      <c r="J408" s="8">
        <v>44426.87462962963</v>
      </c>
      <c r="K408" s="15">
        <f t="shared" si="13"/>
        <v>5.7870369346346706E-5</v>
      </c>
      <c r="L408" s="95" t="s">
        <v>32</v>
      </c>
      <c r="M408" s="95" t="s">
        <v>33</v>
      </c>
      <c r="N408" s="96" t="str">
        <f>IF(ISBLANK(C408),"",IF(C408=F408, "1 video",CONCATENATE((+COUNTIFS(Video_List!$C:$C,"&lt;=" &amp;Monitoring!J408)-COUNTIFS(Video_List!$C:$C,"&lt;=" &amp;Monitoring!I408))+1," videos")))</f>
        <v>1 video</v>
      </c>
      <c r="O408" s="29" t="s">
        <v>44</v>
      </c>
      <c r="P408" s="43" t="s">
        <v>37</v>
      </c>
      <c r="Q408" s="43" t="s">
        <v>38</v>
      </c>
      <c r="R408" s="43" t="s">
        <v>39</v>
      </c>
      <c r="S408" s="97" t="str">
        <f>+IFERROR(IF(T408="#N/C","#N/C",IF(U408=0,INDEX(Taxonomy_UniqueValues!D:D,MATCH(U408,Taxonomy_UniqueValues!F:F,0)),INDEX(Taxonomy_UniqueValues!D:D,MATCH(T408,Taxonomy_UniqueValues!E:E,0)))),"#N/C")</f>
        <v>Asilomorpha</v>
      </c>
      <c r="T408" s="43" t="s">
        <v>439</v>
      </c>
      <c r="U408" s="43" t="s">
        <v>440</v>
      </c>
      <c r="V408" s="43" t="s">
        <v>35</v>
      </c>
      <c r="W408" s="43" t="s">
        <v>35</v>
      </c>
      <c r="X408" s="30" t="s">
        <v>35</v>
      </c>
      <c r="Y408" s="69" t="str" cm="1">
        <f t="array" ref="Y408">_xlfn.LET(_xlpm.cls,P408, _xlpm.ord,IFERROR(Q408,"#N/C"), _xlpm.subord,IFERROR(R408,"#N/C"), _xlpm.infr,IFERROR(S408,"#N/C"), _xlpm.sf,IFERROR(T408,"#N/C"), _xlpm.fam,IFERROR(U408,"#N/C"), _xlpm.subfam,IF(TRIM(V408)="-","#N/C",IFERROR(V408,"#N/C")),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_xlpm.fallback,IF(IFERROR(Q408,"#N/C")="#N/C",P408,IF(IFERROR(R408,"#N/C")="#N/C",Q408,IF(IFERROR(S408,"#N/C")="#N/C",R408,IF(IFERROR(T408,"#N/C")="#N/C",S408,IF(IFERROR(U408,"#N/C")="#N/C",T408,IF(IFERROR(V408,"#N/C")="#N/C",U408,"#N/C")))))), _xlpm.finalResult,IF(OR(_xlpm.computedResult="",_xlpm.computedResult="#N/C"),_xlpm.fallback,_xlpm.computedResult), INDEX(_xlpm.finalResult,1))</f>
        <v>dance_fly</v>
      </c>
      <c r="Z408" s="116" t="str" cm="1">
        <f t="array" ref="Z408">IF(OR(Y408="Insecta",Y408="Arachnida",Y408="#N/C"),"",IFERROR(_xlfn.LET(_xlpm.fc,IFERROR(_xlfn._xlws.FILTER(ClassificationClasses[],ClassificationClasses[Classification Class]=Y408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408,ClassificationClasses[Key])),0),MATCH(Y408,INDEX(ClassificationClasses[],MATCH(TRUE,ISNUMBER(SEARCH(Y408,ClassificationClasses[Key])),0),0),0)-1)))</f>
        <v>Asilomorpha</v>
      </c>
      <c r="AA408" s="116" t="str" cm="1">
        <f t="array" ref="AA408">IFERROR(IF(OR(Z408="Insecta",Z408="Arachnida",Z408="#N/C"),"",INDEX(ClassificationClasses[[Class]:[Infraorder]],MATCH(TRUE,ISNUMBER(SEARCH(Z408,ClassificationClasses[Key])),0),MATCH(Z408,INDEX(ClassificationClasses[#Data], MATCH(TRUE,ISNUMBER(SEARCH(Z408,ClassificationClasses[Key])),0), 0), 0)-1)),"")</f>
        <v>Brachycera</v>
      </c>
      <c r="AB408" s="116" t="str" cm="1">
        <f t="array" ref="AB408">IFERROR(IF(OR(AA408="Insecta",AA408="Arachnida",AA408="#N/C"),"",INDEX(ClassificationClasses[[Class]:[Suborder]],MATCH(TRUE,ISNUMBER(SEARCH(AA408,ClassificationClasses[Key])),0),MATCH(AA408,INDEX(ClassificationClasses[#Data], MATCH(TRUE,ISNUMBER(SEARCH(AA408,ClassificationClasses[Key])),0), 0), 0)-1)),"")</f>
        <v>Diptera</v>
      </c>
      <c r="AC408" s="116" t="str" cm="1">
        <f t="array" ref="AC408">IFERROR(IF(OR(AB408="Insecta",AB408="Arachnida",AB408="#N/C"),"",INDEX(ClassificationClasses[[Class]:[Suborder]],MATCH(TRUE,ISNUMBER(SEARCH(AB408,ClassificationClasses[Key])),0),MATCH(AB408,INDEX(ClassificationClasses[#Data], MATCH(TRUE,ISNUMBER(SEARCH(AB408,ClassificationClasses[Key])),0), 0), 0)-1)),"")</f>
        <v>Insecta</v>
      </c>
      <c r="AD408" s="116" t="str" cm="1">
        <f t="array" ref="AD408">IFERROR(IF(OR(AC408="Insecta",AC408="Arachnida",AC408="#N/C"),"",INDEX(ClassificationClasses[[Class]:[Suborder]],MATCH(TRUE,ISNUMBER(SEARCH(AC408,ClassificationClasses[Key])),0),MATCH(AC408,INDEX(ClassificationClasses[#Data], MATCH(TRUE,ISNUMBER(SEARCH(AC408,ClassificationClasses[Key])),0), 0), 0)-1)),"")</f>
        <v/>
      </c>
      <c r="AE408" s="18" t="str">
        <f t="shared" si="14"/>
        <v>Insecta.Diptera.Brachycera.Asilomorpha.Empidoidea.Dolichopodidae.#N/C.#N/C.#N/C</v>
      </c>
    </row>
    <row r="409" spans="1:31" x14ac:dyDescent="0.3">
      <c r="A409" s="91">
        <v>408</v>
      </c>
      <c r="B409" s="7">
        <v>44426</v>
      </c>
      <c r="C409" s="92" t="s">
        <v>686</v>
      </c>
      <c r="D409" s="93" t="str">
        <f>HYPERLINK(VLOOKUP(C409,Video_List!$F:$J,5),"video")</f>
        <v>video</v>
      </c>
      <c r="E409" s="94" t="str">
        <f>IFERROR(IF(MATCH(C409,Video_List!$F:$F,)&gt;0,"ok",""),"error")</f>
        <v>ok</v>
      </c>
      <c r="F409" s="92" t="s">
        <v>686</v>
      </c>
      <c r="G409" s="93" t="str">
        <f>HYPERLINK(VLOOKUP(F409,Video_List!$F:$J,5),"video")</f>
        <v>video</v>
      </c>
      <c r="H409" s="94" t="str">
        <f>IFERROR(IF(MATCH(F409,Video_List!$F:$F,)&gt;0,"ok",""),"error")</f>
        <v>ok</v>
      </c>
      <c r="I409" s="17">
        <v>44426.888506944444</v>
      </c>
      <c r="J409" s="8">
        <v>44426.888564814813</v>
      </c>
      <c r="K409" s="15">
        <f t="shared" si="13"/>
        <v>5.7870369346346706E-5</v>
      </c>
      <c r="L409" s="4" t="s">
        <v>32</v>
      </c>
      <c r="M409" s="4" t="s">
        <v>33</v>
      </c>
      <c r="N409" s="96" t="str">
        <f>IF(ISBLANK(C409),"",IF(C409=F409, "1 video",CONCATENATE((+COUNTIFS(Video_List!$C:$C,"&lt;=" &amp;Monitoring!J409)-COUNTIFS(Video_List!$C:$C,"&lt;=" &amp;Monitoring!I409))+1," videos")))</f>
        <v>1 video</v>
      </c>
      <c r="O409" s="27" t="s">
        <v>32</v>
      </c>
      <c r="P409" s="43" t="s">
        <v>37</v>
      </c>
      <c r="Q409" s="43" t="s">
        <v>56</v>
      </c>
      <c r="R409" s="43" t="s">
        <v>35</v>
      </c>
      <c r="S409" s="97" t="str">
        <f>+IFERROR(IF(T409="#N/C","#N/C",IF(U409=0,INDEX(Taxonomy_UniqueValues!D:D,MATCH(U409,Taxonomy_UniqueValues!F:F,0)),INDEX(Taxonomy_UniqueValues!D:D,MATCH(T409,Taxonomy_UniqueValues!E:E,0)))),"#N/C")</f>
        <v>#N/C</v>
      </c>
      <c r="T409" s="43" t="s">
        <v>35</v>
      </c>
      <c r="U409" s="43" t="s">
        <v>35</v>
      </c>
      <c r="V409" s="43" t="s">
        <v>35</v>
      </c>
      <c r="W409" s="43" t="s">
        <v>35</v>
      </c>
      <c r="X409" s="30" t="s">
        <v>35</v>
      </c>
      <c r="Y409" s="69" t="str" cm="1">
        <f t="array" ref="Y409">_xlfn.LET(_xlpm.cls,P409, _xlpm.ord,IFERROR(Q409,"#N/C"), _xlpm.subord,IFERROR(R409,"#N/C"), _xlpm.infr,IFERROR(S409,"#N/C"), _xlpm.sf,IFERROR(T409,"#N/C"), _xlpm.fam,IFERROR(U409,"#N/C"), _xlpm.subfam,IF(TRIM(V409)="-","#N/C",IFERROR(V409,"#N/C")),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_xlpm.fallback,IF(IFERROR(Q409,"#N/C")="#N/C",P409,IF(IFERROR(R409,"#N/C")="#N/C",Q409,IF(IFERROR(S409,"#N/C")="#N/C",R409,IF(IFERROR(T409,"#N/C")="#N/C",S409,IF(IFERROR(U409,"#N/C")="#N/C",T409,IF(IFERROR(V409,"#N/C")="#N/C",U409,"#N/C")))))), _xlpm.finalResult,IF(OR(_xlpm.computedResult="",_xlpm.computedResult="#N/C"),_xlpm.fallback,_xlpm.computedResult), INDEX(_xlpm.finalResult,1))</f>
        <v>Lepidoptera</v>
      </c>
      <c r="Z409" s="116" t="str" cm="1">
        <f t="array" ref="Z409">IF(OR(Y409="Insecta",Y409="Arachnida",Y409="#N/C"),"",IFERROR(_xlfn.LET(_xlpm.fc,IFERROR(_xlfn._xlws.FILTER(ClassificationClasses[],ClassificationClasses[Classification Class]=Y409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409,ClassificationClasses[Key])),0),MATCH(Y409,INDEX(ClassificationClasses[],MATCH(TRUE,ISNUMBER(SEARCH(Y409,ClassificationClasses[Key])),0),0),0)-1)))</f>
        <v>Insecta</v>
      </c>
      <c r="AA409" s="116" t="str" cm="1">
        <f t="array" ref="AA409">IFERROR(IF(OR(Z409="Insecta",Z409="Arachnida",Z409="#N/C"),"",INDEX(ClassificationClasses[[Class]:[Infraorder]],MATCH(TRUE,ISNUMBER(SEARCH(Z409,ClassificationClasses[Key])),0),MATCH(Z409,INDEX(ClassificationClasses[#Data], MATCH(TRUE,ISNUMBER(SEARCH(Z409,ClassificationClasses[Key])),0), 0), 0)-1)),"")</f>
        <v/>
      </c>
      <c r="AB409" s="116" t="str" cm="1">
        <f t="array" ref="AB409">IFERROR(IF(OR(AA409="Insecta",AA409="Arachnida",AA409="#N/C"),"",INDEX(ClassificationClasses[[Class]:[Suborder]],MATCH(TRUE,ISNUMBER(SEARCH(AA409,ClassificationClasses[Key])),0),MATCH(AA409,INDEX(ClassificationClasses[#Data], MATCH(TRUE,ISNUMBER(SEARCH(AA409,ClassificationClasses[Key])),0), 0), 0)-1)),"")</f>
        <v/>
      </c>
      <c r="AC409" s="116" t="str" cm="1">
        <f t="array" ref="AC409">IFERROR(IF(OR(AB409="Insecta",AB409="Arachnida",AB409="#N/C"),"",INDEX(ClassificationClasses[[Class]:[Suborder]],MATCH(TRUE,ISNUMBER(SEARCH(AB409,ClassificationClasses[Key])),0),MATCH(AB409,INDEX(ClassificationClasses[#Data], MATCH(TRUE,ISNUMBER(SEARCH(AB409,ClassificationClasses[Key])),0), 0), 0)-1)),"")</f>
        <v/>
      </c>
      <c r="AD409" s="116" t="str" cm="1">
        <f t="array" ref="AD409">IFERROR(IF(OR(AC409="Insecta",AC409="Arachnida",AC409="#N/C"),"",INDEX(ClassificationClasses[[Class]:[Suborder]],MATCH(TRUE,ISNUMBER(SEARCH(AC409,ClassificationClasses[Key])),0),MATCH(AC409,INDEX(ClassificationClasses[#Data], MATCH(TRUE,ISNUMBER(SEARCH(AC409,ClassificationClasses[Key])),0), 0), 0)-1)),"")</f>
        <v/>
      </c>
      <c r="AE409" s="18" t="str">
        <f t="shared" si="14"/>
        <v>Insecta.Lepidoptera.#N/C.#N/C.#N/C.#N/C.#N/C.#N/C.#N/C</v>
      </c>
    </row>
    <row r="410" spans="1:31" x14ac:dyDescent="0.3">
      <c r="A410" s="91">
        <v>409</v>
      </c>
      <c r="B410" s="7">
        <v>44426</v>
      </c>
      <c r="C410" s="92" t="s">
        <v>687</v>
      </c>
      <c r="D410" s="93" t="str">
        <f>HYPERLINK(VLOOKUP(C410,Video_List!$F:$J,5),"video")</f>
        <v>video</v>
      </c>
      <c r="E410" s="94" t="str">
        <f>IFERROR(IF(MATCH(C410,Video_List!$F:$F,)&gt;0,"ok",""),"error")</f>
        <v>ok</v>
      </c>
      <c r="F410" s="92" t="s">
        <v>687</v>
      </c>
      <c r="G410" s="93" t="str">
        <f>HYPERLINK(VLOOKUP(F410,Video_List!$F:$J,5),"video")</f>
        <v>video</v>
      </c>
      <c r="H410" s="94" t="str">
        <f>IFERROR(IF(MATCH(F410,Video_List!$F:$F,)&gt;0,"ok",""),"error")</f>
        <v>ok</v>
      </c>
      <c r="I410" s="17">
        <v>44426.940879629627</v>
      </c>
      <c r="J410" s="8">
        <v>44426.941030092596</v>
      </c>
      <c r="K410" s="15">
        <f t="shared" si="13"/>
        <v>1.5046296903165057E-4</v>
      </c>
      <c r="L410" s="4" t="s">
        <v>32</v>
      </c>
      <c r="M410" s="4" t="s">
        <v>33</v>
      </c>
      <c r="N410" s="96" t="str">
        <f>IF(ISBLANK(C410),"",IF(C410=F410, "1 video",CONCATENATE((+COUNTIFS(Video_List!$C:$C,"&lt;=" &amp;Monitoring!J410)-COUNTIFS(Video_List!$C:$C,"&lt;=" &amp;Monitoring!I410))+1," videos")))</f>
        <v>1 video</v>
      </c>
      <c r="O410" s="27" t="s">
        <v>32</v>
      </c>
      <c r="P410" s="43" t="s">
        <v>37</v>
      </c>
      <c r="Q410" s="43" t="s">
        <v>56</v>
      </c>
      <c r="R410" s="43" t="s">
        <v>57</v>
      </c>
      <c r="S410" s="97" t="str">
        <f>+IFERROR(IF(T410="#N/C","#N/C",IF(U410=0,INDEX(Taxonomy_UniqueValues!D:D,MATCH(U410,Taxonomy_UniqueValues!F:F,0)),INDEX(Taxonomy_UniqueValues!D:D,MATCH(T410,Taxonomy_UniqueValues!E:E,0)))),"#N/C")</f>
        <v>Heterocera</v>
      </c>
      <c r="T410" s="43" t="s">
        <v>518</v>
      </c>
      <c r="U410" s="43" t="s">
        <v>519</v>
      </c>
      <c r="V410" s="43" t="s">
        <v>520</v>
      </c>
      <c r="W410" s="43" t="s">
        <v>688</v>
      </c>
      <c r="X410" s="30" t="s">
        <v>689</v>
      </c>
      <c r="Y410" s="69" t="str" cm="1">
        <f t="array" ref="Y410">_xlfn.LET(_xlpm.cls,P410, _xlpm.ord,IFERROR(Q410,"#N/C"), _xlpm.subord,IFERROR(R410,"#N/C"), _xlpm.infr,IFERROR(S410,"#N/C"), _xlpm.sf,IFERROR(T410,"#N/C"), _xlpm.fam,IFERROR(U410,"#N/C"), _xlpm.subfam,IF(TRIM(V410)="-","#N/C",IFERROR(V410,"#N/C")),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_xlpm.fallback,IF(IFERROR(Q410,"#N/C")="#N/C",P410,IF(IFERROR(R410,"#N/C")="#N/C",Q410,IF(IFERROR(S410,"#N/C")="#N/C",R410,IF(IFERROR(T410,"#N/C")="#N/C",S410,IF(IFERROR(U410,"#N/C")="#N/C",T410,IF(IFERROR(V410,"#N/C")="#N/C",U410,"#N/C")))))), _xlpm.finalResult,IF(OR(_xlpm.computedResult="",_xlpm.computedResult="#N/C"),_xlpm.fallback,_xlpm.computedResult), INDEX(_xlpm.finalResult,1))</f>
        <v>moth</v>
      </c>
      <c r="Z410" s="116" t="str" cm="1">
        <f t="array" ref="Z410">IF(OR(Y410="Insecta",Y410="Arachnida",Y410="#N/C"),"",IFERROR(_xlfn.LET(_xlpm.fc,IFERROR(_xlfn._xlws.FILTER(ClassificationClasses[],ClassificationClasses[Classification Class]=Y410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410,ClassificationClasses[Key])),0),MATCH(Y410,INDEX(ClassificationClasses[],MATCH(TRUE,ISNUMBER(SEARCH(Y410,ClassificationClasses[Key])),0),0),0)-1)))</f>
        <v>Heterocera</v>
      </c>
      <c r="AA410" s="116" t="str" cm="1">
        <f t="array" ref="AA410">IFERROR(IF(OR(Z410="Insecta",Z410="Arachnida",Z410="#N/C"),"",INDEX(ClassificationClasses[[Class]:[Infraorder]],MATCH(TRUE,ISNUMBER(SEARCH(Z410,ClassificationClasses[Key])),0),MATCH(Z410,INDEX(ClassificationClasses[#Data], MATCH(TRUE,ISNUMBER(SEARCH(Z410,ClassificationClasses[Key])),0), 0), 0)-1)),"")</f>
        <v>Glossata</v>
      </c>
      <c r="AB410" s="116" t="str" cm="1">
        <f t="array" ref="AB410">IFERROR(IF(OR(AA410="Insecta",AA410="Arachnida",AA410="#N/C"),"",INDEX(ClassificationClasses[[Class]:[Suborder]],MATCH(TRUE,ISNUMBER(SEARCH(AA410,ClassificationClasses[Key])),0),MATCH(AA410,INDEX(ClassificationClasses[#Data], MATCH(TRUE,ISNUMBER(SEARCH(AA410,ClassificationClasses[Key])),0), 0), 0)-1)),"")</f>
        <v>Lepidoptera</v>
      </c>
      <c r="AC410" s="116" t="str" cm="1">
        <f t="array" ref="AC410">IFERROR(IF(OR(AB410="Insecta",AB410="Arachnida",AB410="#N/C"),"",INDEX(ClassificationClasses[[Class]:[Suborder]],MATCH(TRUE,ISNUMBER(SEARCH(AB410,ClassificationClasses[Key])),0),MATCH(AB410,INDEX(ClassificationClasses[#Data], MATCH(TRUE,ISNUMBER(SEARCH(AB410,ClassificationClasses[Key])),0), 0), 0)-1)),"")</f>
        <v>Insecta</v>
      </c>
      <c r="AD410" s="116" t="str" cm="1">
        <f t="array" ref="AD410">IFERROR(IF(OR(AC410="Insecta",AC410="Arachnida",AC410="#N/C"),"",INDEX(ClassificationClasses[[Class]:[Suborder]],MATCH(TRUE,ISNUMBER(SEARCH(AC410,ClassificationClasses[Key])),0),MATCH(AC410,INDEX(ClassificationClasses[#Data], MATCH(TRUE,ISNUMBER(SEARCH(AC410,ClassificationClasses[Key])),0), 0), 0)-1)),"")</f>
        <v/>
      </c>
      <c r="AE410" s="18" t="str">
        <f t="shared" si="14"/>
        <v>Insecta.Lepidoptera.Glossata.Heterocera.Geometroidea.Geometridae.Larentiinae.Camptogramma.bilineata</v>
      </c>
    </row>
    <row r="411" spans="1:31" x14ac:dyDescent="0.3">
      <c r="A411" s="91">
        <v>410</v>
      </c>
      <c r="B411" s="7">
        <v>44427</v>
      </c>
      <c r="C411" s="92" t="s">
        <v>690</v>
      </c>
      <c r="D411" s="93" t="str">
        <f>HYPERLINK(VLOOKUP(C411,Video_List!$F:$J,5),"video")</f>
        <v>video</v>
      </c>
      <c r="E411" s="94" t="str">
        <f>IFERROR(IF(MATCH(C411,Video_List!$F:$F,)&gt;0,"ok",""),"error")</f>
        <v>ok</v>
      </c>
      <c r="F411" s="92" t="s">
        <v>691</v>
      </c>
      <c r="G411" s="93" t="str">
        <f>HYPERLINK(VLOOKUP(F411,Video_List!$F:$J,5),"video")</f>
        <v>video</v>
      </c>
      <c r="H411" s="94" t="str">
        <f>IFERROR(IF(MATCH(F411,Video_List!$F:$F,)&gt;0,"ok",""),"error")</f>
        <v>ok</v>
      </c>
      <c r="I411" s="17">
        <v>44427.659560185188</v>
      </c>
      <c r="J411" s="8">
        <v>44427.661689814813</v>
      </c>
      <c r="K411" s="15">
        <f t="shared" si="13"/>
        <v>2.1296296254149638E-3</v>
      </c>
      <c r="L411" s="4" t="s">
        <v>55</v>
      </c>
      <c r="M411" s="4" t="s">
        <v>55</v>
      </c>
      <c r="N411" s="96" t="str">
        <f>IF(ISBLANK(C411),"",IF(C411=F411, "1 video",CONCATENATE((+COUNTIFS(Video_List!$C:$C,"&lt;=" &amp;Monitoring!J411)-COUNTIFS(Video_List!$C:$C,"&lt;=" &amp;Monitoring!I411))+1," videos")))</f>
        <v>2 videos</v>
      </c>
      <c r="O411" s="27" t="s">
        <v>32</v>
      </c>
      <c r="P411" s="43" t="s">
        <v>37</v>
      </c>
      <c r="Q411" s="43" t="s">
        <v>38</v>
      </c>
      <c r="R411" s="43" t="s">
        <v>35</v>
      </c>
      <c r="S411" s="97" t="str">
        <f>+IFERROR(IF(T411="#N/C","#N/C",IF(U411=0,INDEX(Taxonomy_UniqueValues!D:D,MATCH(U411,Taxonomy_UniqueValues!F:F,0)),INDEX(Taxonomy_UniqueValues!D:D,MATCH(T411,Taxonomy_UniqueValues!E:E,0)))),"#N/C")</f>
        <v>#N/C</v>
      </c>
      <c r="T411" s="43" t="s">
        <v>35</v>
      </c>
      <c r="U411" s="43" t="s">
        <v>35</v>
      </c>
      <c r="V411" s="43" t="s">
        <v>35</v>
      </c>
      <c r="W411" s="43" t="s">
        <v>35</v>
      </c>
      <c r="X411" s="30" t="s">
        <v>35</v>
      </c>
      <c r="Y411" s="69" t="str" cm="1">
        <f t="array" ref="Y411">_xlfn.LET(_xlpm.cls,P411, _xlpm.ord,IFERROR(Q411,"#N/C"), _xlpm.subord,IFERROR(R411,"#N/C"), _xlpm.infr,IFERROR(S411,"#N/C"), _xlpm.sf,IFERROR(T411,"#N/C"), _xlpm.fam,IFERROR(U411,"#N/C"), _xlpm.subfam,IF(TRIM(V411)="-","#N/C",IFERROR(V411,"#N/C")),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_xlpm.fallback,IF(IFERROR(Q411,"#N/C")="#N/C",P411,IF(IFERROR(R411,"#N/C")="#N/C",Q411,IF(IFERROR(S411,"#N/C")="#N/C",R411,IF(IFERROR(T411,"#N/C")="#N/C",S411,IF(IFERROR(U411,"#N/C")="#N/C",T411,IF(IFERROR(V411,"#N/C")="#N/C",U411,"#N/C")))))), _xlpm.finalResult,IF(OR(_xlpm.computedResult="",_xlpm.computedResult="#N/C"),_xlpm.fallback,_xlpm.computedResult), INDEX(_xlpm.finalResult,1))</f>
        <v>Diptera</v>
      </c>
      <c r="Z411" s="116" t="str" cm="1">
        <f t="array" ref="Z411">IF(OR(Y411="Insecta",Y411="Arachnida",Y411="#N/C"),"",IFERROR(_xlfn.LET(_xlpm.fc,IFERROR(_xlfn._xlws.FILTER(ClassificationClasses[],ClassificationClasses[Classification Class]=Y411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411,ClassificationClasses[Key])),0),MATCH(Y411,INDEX(ClassificationClasses[],MATCH(TRUE,ISNUMBER(SEARCH(Y411,ClassificationClasses[Key])),0),0),0)-1)))</f>
        <v>Insecta</v>
      </c>
      <c r="AA411" s="116" t="str" cm="1">
        <f t="array" ref="AA411">IFERROR(IF(OR(Z411="Insecta",Z411="Arachnida",Z411="#N/C"),"",INDEX(ClassificationClasses[[Class]:[Infraorder]],MATCH(TRUE,ISNUMBER(SEARCH(Z411,ClassificationClasses[Key])),0),MATCH(Z411,INDEX(ClassificationClasses[#Data], MATCH(TRUE,ISNUMBER(SEARCH(Z411,ClassificationClasses[Key])),0), 0), 0)-1)),"")</f>
        <v/>
      </c>
      <c r="AB411" s="116" t="str" cm="1">
        <f t="array" ref="AB411">IFERROR(IF(OR(AA411="Insecta",AA411="Arachnida",AA411="#N/C"),"",INDEX(ClassificationClasses[[Class]:[Suborder]],MATCH(TRUE,ISNUMBER(SEARCH(AA411,ClassificationClasses[Key])),0),MATCH(AA411,INDEX(ClassificationClasses[#Data], MATCH(TRUE,ISNUMBER(SEARCH(AA411,ClassificationClasses[Key])),0), 0), 0)-1)),"")</f>
        <v/>
      </c>
      <c r="AC411" s="116" t="str" cm="1">
        <f t="array" ref="AC411">IFERROR(IF(OR(AB411="Insecta",AB411="Arachnida",AB411="#N/C"),"",INDEX(ClassificationClasses[[Class]:[Suborder]],MATCH(TRUE,ISNUMBER(SEARCH(AB411,ClassificationClasses[Key])),0),MATCH(AB411,INDEX(ClassificationClasses[#Data], MATCH(TRUE,ISNUMBER(SEARCH(AB411,ClassificationClasses[Key])),0), 0), 0)-1)),"")</f>
        <v/>
      </c>
      <c r="AD411" s="116" t="str" cm="1">
        <f t="array" ref="AD411">IFERROR(IF(OR(AC411="Insecta",AC411="Arachnida",AC411="#N/C"),"",INDEX(ClassificationClasses[[Class]:[Suborder]],MATCH(TRUE,ISNUMBER(SEARCH(AC411,ClassificationClasses[Key])),0),MATCH(AC411,INDEX(ClassificationClasses[#Data], MATCH(TRUE,ISNUMBER(SEARCH(AC411,ClassificationClasses[Key])),0), 0), 0)-1)),"")</f>
        <v/>
      </c>
      <c r="AE411" s="18" t="str">
        <f t="shared" si="14"/>
        <v>Insecta.Diptera.#N/C.#N/C.#N/C.#N/C.#N/C.#N/C.#N/C</v>
      </c>
    </row>
    <row r="412" spans="1:31" x14ac:dyDescent="0.3">
      <c r="A412" s="91">
        <v>411</v>
      </c>
      <c r="B412" s="7">
        <v>44427</v>
      </c>
      <c r="C412" s="92" t="s">
        <v>692</v>
      </c>
      <c r="D412" s="93" t="str">
        <f>HYPERLINK(VLOOKUP(C412,Video_List!$F:$J,5),"video")</f>
        <v>video</v>
      </c>
      <c r="E412" s="94" t="str">
        <f>IFERROR(IF(MATCH(C412,Video_List!$F:$F,)&gt;0,"ok",""),"error")</f>
        <v>ok</v>
      </c>
      <c r="F412" s="92" t="s">
        <v>692</v>
      </c>
      <c r="G412" s="93" t="str">
        <f>HYPERLINK(VLOOKUP(F412,Video_List!$F:$J,5),"video")</f>
        <v>video</v>
      </c>
      <c r="H412" s="94" t="str">
        <f>IFERROR(IF(MATCH(F412,Video_List!$F:$F,)&gt;0,"ok",""),"error")</f>
        <v>ok</v>
      </c>
      <c r="I412" s="17">
        <v>44427.819699074076</v>
      </c>
      <c r="J412" s="8">
        <v>44427.819756944446</v>
      </c>
      <c r="K412" s="15">
        <f t="shared" si="13"/>
        <v>5.7870369346346706E-5</v>
      </c>
      <c r="L412" s="95" t="s">
        <v>32</v>
      </c>
      <c r="M412" s="95" t="s">
        <v>33</v>
      </c>
      <c r="N412" s="96" t="str">
        <f>IF(ISBLANK(C412),"",IF(C412=F412, "1 video",CONCATENATE((+COUNTIFS(Video_List!$C:$C,"&lt;=" &amp;Monitoring!J412)-COUNTIFS(Video_List!$C:$C,"&lt;=" &amp;Monitoring!I412))+1," videos")))</f>
        <v>1 video</v>
      </c>
      <c r="O412" s="29" t="s">
        <v>44</v>
      </c>
      <c r="P412" s="43" t="s">
        <v>37</v>
      </c>
      <c r="Q412" s="43" t="s">
        <v>38</v>
      </c>
      <c r="R412" s="43" t="s">
        <v>185</v>
      </c>
      <c r="S412" s="97" t="str">
        <f>+IFERROR(IF(T412="#N/C","#N/C",IF(U412=0,INDEX(Taxonomy_UniqueValues!D:D,MATCH(U412,Taxonomy_UniqueValues!F:F,0)),INDEX(Taxonomy_UniqueValues!D:D,MATCH(T412,Taxonomy_UniqueValues!E:E,0)))),"#N/C")</f>
        <v>Bibionomorpha</v>
      </c>
      <c r="T412" s="43" t="s">
        <v>186</v>
      </c>
      <c r="U412" s="43" t="s">
        <v>419</v>
      </c>
      <c r="V412" s="43" t="s">
        <v>35</v>
      </c>
      <c r="W412" s="43" t="s">
        <v>35</v>
      </c>
      <c r="X412" s="30" t="s">
        <v>35</v>
      </c>
      <c r="Y412" s="69" t="str" cm="1">
        <f t="array" ref="Y412">_xlfn.LET(_xlpm.cls,P412, _xlpm.ord,IFERROR(Q412,"#N/C"), _xlpm.subord,IFERROR(R412,"#N/C"), _xlpm.infr,IFERROR(S412,"#N/C"), _xlpm.sf,IFERROR(T412,"#N/C"), _xlpm.fam,IFERROR(U412,"#N/C"), _xlpm.subfam,IF(TRIM(V412)="-","#N/C",IFERROR(V412,"#N/C")),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_xlpm.fallback,IF(IFERROR(Q412,"#N/C")="#N/C",P412,IF(IFERROR(R412,"#N/C")="#N/C",Q412,IF(IFERROR(S412,"#N/C")="#N/C",R412,IF(IFERROR(T412,"#N/C")="#N/C",S412,IF(IFERROR(U412,"#N/C")="#N/C",T412,IF(IFERROR(V412,"#N/C")="#N/C",U412,"#N/C")))))), _xlpm.finalResult,IF(OR(_xlpm.computedResult="",_xlpm.computedResult="#N/C"),_xlpm.fallback,_xlpm.computedResult), INDEX(_xlpm.finalResult,1))</f>
        <v>Sciaroidea</v>
      </c>
      <c r="Z412" s="116" t="str" cm="1">
        <f t="array" ref="Z412">IF(OR(Y412="Insecta",Y412="Arachnida",Y412="#N/C"),"",IFERROR(_xlfn.LET(_xlpm.fc,IFERROR(_xlfn._xlws.FILTER(ClassificationClasses[],ClassificationClasses[Classification Class]=Y412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412,ClassificationClasses[Key])),0),MATCH(Y412,INDEX(ClassificationClasses[],MATCH(TRUE,ISNUMBER(SEARCH(Y412,ClassificationClasses[Key])),0),0),0)-1)))</f>
        <v>Bibionomorpha</v>
      </c>
      <c r="AA412" s="116" t="str" cm="1">
        <f t="array" ref="AA412">IFERROR(IF(OR(Z412="Insecta",Z412="Arachnida",Z412="#N/C"),"",INDEX(ClassificationClasses[[Class]:[Infraorder]],MATCH(TRUE,ISNUMBER(SEARCH(Z412,ClassificationClasses[Key])),0),MATCH(Z412,INDEX(ClassificationClasses[#Data], MATCH(TRUE,ISNUMBER(SEARCH(Z412,ClassificationClasses[Key])),0), 0), 0)-1)),"")</f>
        <v>Nematocera</v>
      </c>
      <c r="AB412" s="116" t="str" cm="1">
        <f t="array" ref="AB412">IFERROR(IF(OR(AA412="Insecta",AA412="Arachnida",AA412="#N/C"),"",INDEX(ClassificationClasses[[Class]:[Suborder]],MATCH(TRUE,ISNUMBER(SEARCH(AA412,ClassificationClasses[Key])),0),MATCH(AA412,INDEX(ClassificationClasses[#Data], MATCH(TRUE,ISNUMBER(SEARCH(AA412,ClassificationClasses[Key])),0), 0), 0)-1)),"")</f>
        <v>Diptera</v>
      </c>
      <c r="AC412" s="116" t="str" cm="1">
        <f t="array" ref="AC412">IFERROR(IF(OR(AB412="Insecta",AB412="Arachnida",AB412="#N/C"),"",INDEX(ClassificationClasses[[Class]:[Suborder]],MATCH(TRUE,ISNUMBER(SEARCH(AB412,ClassificationClasses[Key])),0),MATCH(AB412,INDEX(ClassificationClasses[#Data], MATCH(TRUE,ISNUMBER(SEARCH(AB412,ClassificationClasses[Key])),0), 0), 0)-1)),"")</f>
        <v>Insecta</v>
      </c>
      <c r="AD412" s="116" t="str" cm="1">
        <f t="array" ref="AD412">IFERROR(IF(OR(AC412="Insecta",AC412="Arachnida",AC412="#N/C"),"",INDEX(ClassificationClasses[[Class]:[Suborder]],MATCH(TRUE,ISNUMBER(SEARCH(AC412,ClassificationClasses[Key])),0),MATCH(AC412,INDEX(ClassificationClasses[#Data], MATCH(TRUE,ISNUMBER(SEARCH(AC412,ClassificationClasses[Key])),0), 0), 0)-1)),"")</f>
        <v/>
      </c>
      <c r="AE412" s="18" t="str">
        <f t="shared" si="14"/>
        <v>Insecta.Diptera.Nematocera.Bibionomorpha.Sciaroidea.Mycetophilidae.#N/C.#N/C.#N/C</v>
      </c>
    </row>
    <row r="413" spans="1:31" x14ac:dyDescent="0.3">
      <c r="A413" s="91">
        <v>412</v>
      </c>
      <c r="B413" s="7">
        <v>44427</v>
      </c>
      <c r="C413" s="92" t="s">
        <v>693</v>
      </c>
      <c r="D413" s="93" t="str">
        <f>HYPERLINK(VLOOKUP(C413,Video_List!$F:$J,5),"video")</f>
        <v>video</v>
      </c>
      <c r="E413" s="94" t="str">
        <f>IFERROR(IF(MATCH(C413,Video_List!$F:$F,)&gt;0,"ok",""),"error")</f>
        <v>ok</v>
      </c>
      <c r="F413" s="92" t="s">
        <v>694</v>
      </c>
      <c r="G413" s="93" t="str">
        <f>HYPERLINK(VLOOKUP(F413,Video_List!$F:$J,5),"video")</f>
        <v>video</v>
      </c>
      <c r="H413" s="94" t="str">
        <f>IFERROR(IF(MATCH(F413,Video_List!$F:$F,)&gt;0,"ok",""),"error")</f>
        <v>ok</v>
      </c>
      <c r="I413" s="17">
        <v>44427.821250000001</v>
      </c>
      <c r="J413" s="8">
        <v>44427.821527777778</v>
      </c>
      <c r="K413" s="15">
        <f t="shared" si="13"/>
        <v>2.7777777722803876E-4</v>
      </c>
      <c r="L413" s="95" t="s">
        <v>32</v>
      </c>
      <c r="M413" s="95" t="s">
        <v>33</v>
      </c>
      <c r="N413" s="96" t="str">
        <f>IF(ISBLANK(C413),"",IF(C413=F413, "1 video",CONCATENATE((+COUNTIFS(Video_List!$C:$C,"&lt;=" &amp;Monitoring!J413)-COUNTIFS(Video_List!$C:$C,"&lt;=" &amp;Monitoring!I413))+1," videos")))</f>
        <v>2 videos</v>
      </c>
      <c r="O413" s="29" t="s">
        <v>44</v>
      </c>
      <c r="P413" s="43" t="s">
        <v>37</v>
      </c>
      <c r="Q413" s="43" t="s">
        <v>38</v>
      </c>
      <c r="R413" s="43" t="s">
        <v>39</v>
      </c>
      <c r="S413" s="97" t="str">
        <f>+IFERROR(IF(T413="#N/C","#N/C",IF(U413=0,INDEX(Taxonomy_UniqueValues!D:D,MATCH(U413,Taxonomy_UniqueValues!F:F,0)),INDEX(Taxonomy_UniqueValues!D:D,MATCH(T413,Taxonomy_UniqueValues!E:E,0)))),"#N/C")</f>
        <v>Asilomorpha</v>
      </c>
      <c r="T413" s="43" t="s">
        <v>439</v>
      </c>
      <c r="U413" s="43" t="s">
        <v>440</v>
      </c>
      <c r="V413" s="43" t="s">
        <v>35</v>
      </c>
      <c r="W413" s="43" t="s">
        <v>35</v>
      </c>
      <c r="X413" s="30" t="s">
        <v>35</v>
      </c>
      <c r="Y413" s="69" t="str" cm="1">
        <f t="array" ref="Y413">_xlfn.LET(_xlpm.cls,P413, _xlpm.ord,IFERROR(Q413,"#N/C"), _xlpm.subord,IFERROR(R413,"#N/C"), _xlpm.infr,IFERROR(S413,"#N/C"), _xlpm.sf,IFERROR(T413,"#N/C"), _xlpm.fam,IFERROR(U413,"#N/C"), _xlpm.subfam,IF(TRIM(V413)="-","#N/C",IFERROR(V413,"#N/C")),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_xlpm.fallback,IF(IFERROR(Q413,"#N/C")="#N/C",P413,IF(IFERROR(R413,"#N/C")="#N/C",Q413,IF(IFERROR(S413,"#N/C")="#N/C",R413,IF(IFERROR(T413,"#N/C")="#N/C",S413,IF(IFERROR(U413,"#N/C")="#N/C",T413,IF(IFERROR(V413,"#N/C")="#N/C",U413,"#N/C")))))), _xlpm.finalResult,IF(OR(_xlpm.computedResult="",_xlpm.computedResult="#N/C"),_xlpm.fallback,_xlpm.computedResult), INDEX(_xlpm.finalResult,1))</f>
        <v>dance_fly</v>
      </c>
      <c r="Z413" s="116" t="str" cm="1">
        <f t="array" ref="Z413">IF(OR(Y413="Insecta",Y413="Arachnida",Y413="#N/C"),"",IFERROR(_xlfn.LET(_xlpm.fc,IFERROR(_xlfn._xlws.FILTER(ClassificationClasses[],ClassificationClasses[Classification Class]=Y413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413,ClassificationClasses[Key])),0),MATCH(Y413,INDEX(ClassificationClasses[],MATCH(TRUE,ISNUMBER(SEARCH(Y413,ClassificationClasses[Key])),0),0),0)-1)))</f>
        <v>Asilomorpha</v>
      </c>
      <c r="AA413" s="116" t="str" cm="1">
        <f t="array" ref="AA413">IFERROR(IF(OR(Z413="Insecta",Z413="Arachnida",Z413="#N/C"),"",INDEX(ClassificationClasses[[Class]:[Infraorder]],MATCH(TRUE,ISNUMBER(SEARCH(Z413,ClassificationClasses[Key])),0),MATCH(Z413,INDEX(ClassificationClasses[#Data], MATCH(TRUE,ISNUMBER(SEARCH(Z413,ClassificationClasses[Key])),0), 0), 0)-1)),"")</f>
        <v>Brachycera</v>
      </c>
      <c r="AB413" s="116" t="str" cm="1">
        <f t="array" ref="AB413">IFERROR(IF(OR(AA413="Insecta",AA413="Arachnida",AA413="#N/C"),"",INDEX(ClassificationClasses[[Class]:[Suborder]],MATCH(TRUE,ISNUMBER(SEARCH(AA413,ClassificationClasses[Key])),0),MATCH(AA413,INDEX(ClassificationClasses[#Data], MATCH(TRUE,ISNUMBER(SEARCH(AA413,ClassificationClasses[Key])),0), 0), 0)-1)),"")</f>
        <v>Diptera</v>
      </c>
      <c r="AC413" s="116" t="str" cm="1">
        <f t="array" ref="AC413">IFERROR(IF(OR(AB413="Insecta",AB413="Arachnida",AB413="#N/C"),"",INDEX(ClassificationClasses[[Class]:[Suborder]],MATCH(TRUE,ISNUMBER(SEARCH(AB413,ClassificationClasses[Key])),0),MATCH(AB413,INDEX(ClassificationClasses[#Data], MATCH(TRUE,ISNUMBER(SEARCH(AB413,ClassificationClasses[Key])),0), 0), 0)-1)),"")</f>
        <v>Insecta</v>
      </c>
      <c r="AD413" s="116" t="str" cm="1">
        <f t="array" ref="AD413">IFERROR(IF(OR(AC413="Insecta",AC413="Arachnida",AC413="#N/C"),"",INDEX(ClassificationClasses[[Class]:[Suborder]],MATCH(TRUE,ISNUMBER(SEARCH(AC413,ClassificationClasses[Key])),0),MATCH(AC413,INDEX(ClassificationClasses[#Data], MATCH(TRUE,ISNUMBER(SEARCH(AC413,ClassificationClasses[Key])),0), 0), 0)-1)),"")</f>
        <v/>
      </c>
      <c r="AE413" s="18" t="str">
        <f t="shared" si="14"/>
        <v>Insecta.Diptera.Brachycera.Asilomorpha.Empidoidea.Dolichopodidae.#N/C.#N/C.#N/C</v>
      </c>
    </row>
    <row r="414" spans="1:31" x14ac:dyDescent="0.3">
      <c r="A414" s="91">
        <v>413</v>
      </c>
      <c r="B414" s="7">
        <v>44427</v>
      </c>
      <c r="C414" s="92" t="s">
        <v>695</v>
      </c>
      <c r="D414" s="93" t="str">
        <f>HYPERLINK(VLOOKUP(C414,Video_List!$F:$J,5),"video")</f>
        <v>video</v>
      </c>
      <c r="E414" s="94" t="str">
        <f>IFERROR(IF(MATCH(C414,Video_List!$F:$F,)&gt;0,"ok",""),"error")</f>
        <v>ok</v>
      </c>
      <c r="F414" s="92" t="s">
        <v>695</v>
      </c>
      <c r="G414" s="93" t="str">
        <f>HYPERLINK(VLOOKUP(F414,Video_List!$F:$J,5),"video")</f>
        <v>video</v>
      </c>
      <c r="H414" s="94" t="str">
        <f>IFERROR(IF(MATCH(F414,Video_List!$F:$F,)&gt;0,"ok",""),"error")</f>
        <v>ok</v>
      </c>
      <c r="I414" s="17">
        <v>44427.839675925927</v>
      </c>
      <c r="J414" s="8">
        <v>44427.839791666665</v>
      </c>
      <c r="K414" s="15">
        <f t="shared" si="13"/>
        <v>1.1574073869269341E-4</v>
      </c>
      <c r="L414" s="4" t="s">
        <v>32</v>
      </c>
      <c r="M414" s="4" t="s">
        <v>33</v>
      </c>
      <c r="N414" s="96" t="str">
        <f>IF(ISBLANK(C414),"",IF(C414=F414, "1 video",CONCATENATE((+COUNTIFS(Video_List!$C:$C,"&lt;=" &amp;Monitoring!J414)-COUNTIFS(Video_List!$C:$C,"&lt;=" &amp;Monitoring!I414))+1," videos")))</f>
        <v>1 video</v>
      </c>
      <c r="O414" s="27" t="s">
        <v>32</v>
      </c>
      <c r="P414" s="43" t="s">
        <v>37</v>
      </c>
      <c r="Q414" s="43" t="s">
        <v>56</v>
      </c>
      <c r="R414" s="43" t="s">
        <v>57</v>
      </c>
      <c r="S414" s="97" t="str">
        <f>+IFERROR(IF(T414="#N/C","#N/C",IF(U414=0,INDEX(Taxonomy_UniqueValues!D:D,MATCH(U414,Taxonomy_UniqueValues!F:F,0)),INDEX(Taxonomy_UniqueValues!D:D,MATCH(T414,Taxonomy_UniqueValues!E:E,0)))),"#N/C")</f>
        <v>Heterocera</v>
      </c>
      <c r="T414" s="43" t="s">
        <v>257</v>
      </c>
      <c r="U414" s="43" t="s">
        <v>35</v>
      </c>
      <c r="V414" s="43" t="s">
        <v>35</v>
      </c>
      <c r="W414" s="43" t="s">
        <v>35</v>
      </c>
      <c r="X414" s="30" t="s">
        <v>35</v>
      </c>
      <c r="Y414" s="69" t="str" cm="1">
        <f t="array" ref="Y414">_xlfn.LET(_xlpm.cls,P414, _xlpm.ord,IFERROR(Q414,"#N/C"), _xlpm.subord,IFERROR(R414,"#N/C"), _xlpm.infr,IFERROR(S414,"#N/C"), _xlpm.sf,IFERROR(T414,"#N/C"), _xlpm.fam,IFERROR(U414,"#N/C"), _xlpm.subfam,IF(TRIM(V414)="-","#N/C",IFERROR(V414,"#N/C")),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_xlpm.fallback,IF(IFERROR(Q414,"#N/C")="#N/C",P414,IF(IFERROR(R414,"#N/C")="#N/C",Q414,IF(IFERROR(S414,"#N/C")="#N/C",R414,IF(IFERROR(T414,"#N/C")="#N/C",S414,IF(IFERROR(U414,"#N/C")="#N/C",T414,IF(IFERROR(V414,"#N/C")="#N/C",U414,"#N/C")))))), _xlpm.finalResult,IF(OR(_xlpm.computedResult="",_xlpm.computedResult="#N/C"),_xlpm.fallback,_xlpm.computedResult), INDEX(_xlpm.finalResult,1))</f>
        <v>Gelechioidea</v>
      </c>
      <c r="Z414" s="116" t="str" cm="1">
        <f t="array" ref="Z414">IF(OR(Y414="Insecta",Y414="Arachnida",Y414="#N/C"),"",IFERROR(_xlfn.LET(_xlpm.fc,IFERROR(_xlfn._xlws.FILTER(ClassificationClasses[],ClassificationClasses[Classification Class]=Y414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414,ClassificationClasses[Key])),0),MATCH(Y414,INDEX(ClassificationClasses[],MATCH(TRUE,ISNUMBER(SEARCH(Y414,ClassificationClasses[Key])),0),0),0)-1)))</f>
        <v>Heterocera</v>
      </c>
      <c r="AA414" s="116" t="str" cm="1">
        <f t="array" ref="AA414">IFERROR(IF(OR(Z414="Insecta",Z414="Arachnida",Z414="#N/C"),"",INDEX(ClassificationClasses[[Class]:[Infraorder]],MATCH(TRUE,ISNUMBER(SEARCH(Z414,ClassificationClasses[Key])),0),MATCH(Z414,INDEX(ClassificationClasses[#Data], MATCH(TRUE,ISNUMBER(SEARCH(Z414,ClassificationClasses[Key])),0), 0), 0)-1)),"")</f>
        <v>Glossata</v>
      </c>
      <c r="AB414" s="116" t="str" cm="1">
        <f t="array" ref="AB414">IFERROR(IF(OR(AA414="Insecta",AA414="Arachnida",AA414="#N/C"),"",INDEX(ClassificationClasses[[Class]:[Suborder]],MATCH(TRUE,ISNUMBER(SEARCH(AA414,ClassificationClasses[Key])),0),MATCH(AA414,INDEX(ClassificationClasses[#Data], MATCH(TRUE,ISNUMBER(SEARCH(AA414,ClassificationClasses[Key])),0), 0), 0)-1)),"")</f>
        <v>Lepidoptera</v>
      </c>
      <c r="AC414" s="116" t="str" cm="1">
        <f t="array" ref="AC414">IFERROR(IF(OR(AB414="Insecta",AB414="Arachnida",AB414="#N/C"),"",INDEX(ClassificationClasses[[Class]:[Suborder]],MATCH(TRUE,ISNUMBER(SEARCH(AB414,ClassificationClasses[Key])),0),MATCH(AB414,INDEX(ClassificationClasses[#Data], MATCH(TRUE,ISNUMBER(SEARCH(AB414,ClassificationClasses[Key])),0), 0), 0)-1)),"")</f>
        <v>Insecta</v>
      </c>
      <c r="AD414" s="116" t="str" cm="1">
        <f t="array" ref="AD414">IFERROR(IF(OR(AC414="Insecta",AC414="Arachnida",AC414="#N/C"),"",INDEX(ClassificationClasses[[Class]:[Suborder]],MATCH(TRUE,ISNUMBER(SEARCH(AC414,ClassificationClasses[Key])),0),MATCH(AC414,INDEX(ClassificationClasses[#Data], MATCH(TRUE,ISNUMBER(SEARCH(AC414,ClassificationClasses[Key])),0), 0), 0)-1)),"")</f>
        <v/>
      </c>
      <c r="AE414" s="18" t="str">
        <f t="shared" si="14"/>
        <v>Insecta.Lepidoptera.Glossata.Heterocera.Gelechioidea.#N/C.#N/C.#N/C.#N/C</v>
      </c>
    </row>
    <row r="415" spans="1:31" x14ac:dyDescent="0.3">
      <c r="A415" s="91">
        <v>414</v>
      </c>
      <c r="B415" s="7">
        <v>44427</v>
      </c>
      <c r="C415" s="92" t="s">
        <v>696</v>
      </c>
      <c r="D415" s="93" t="str">
        <f>HYPERLINK(VLOOKUP(C415,Video_List!$F:$J,5),"video")</f>
        <v>video</v>
      </c>
      <c r="E415" s="94" t="str">
        <f>IFERROR(IF(MATCH(C415,Video_List!$F:$F,)&gt;0,"ok",""),"error")</f>
        <v>ok</v>
      </c>
      <c r="F415" s="92" t="s">
        <v>696</v>
      </c>
      <c r="G415" s="93" t="str">
        <f>HYPERLINK(VLOOKUP(F415,Video_List!$F:$J,5),"video")</f>
        <v>video</v>
      </c>
      <c r="H415" s="94" t="str">
        <f>IFERROR(IF(MATCH(F415,Video_List!$F:$F,)&gt;0,"ok",""),"error")</f>
        <v>ok</v>
      </c>
      <c r="I415" s="17">
        <v>44427.86378472222</v>
      </c>
      <c r="J415" s="8">
        <v>44427.872870370367</v>
      </c>
      <c r="K415" s="15">
        <f t="shared" si="13"/>
        <v>9.0856481474475004E-3</v>
      </c>
      <c r="L415" s="4" t="s">
        <v>55</v>
      </c>
      <c r="M415" s="4" t="s">
        <v>55</v>
      </c>
      <c r="N415" s="96" t="str">
        <f>IF(ISBLANK(C415),"",IF(C415=F415, "1 video",CONCATENATE((+COUNTIFS(Video_List!$C:$C,"&lt;=" &amp;Monitoring!J415)-COUNTIFS(Video_List!$C:$C,"&lt;=" &amp;Monitoring!I415))+1," videos")))</f>
        <v>1 video</v>
      </c>
      <c r="O415" s="27" t="s">
        <v>32</v>
      </c>
      <c r="P415" s="43" t="s">
        <v>37</v>
      </c>
      <c r="Q415" s="43" t="s">
        <v>38</v>
      </c>
      <c r="R415" s="43" t="s">
        <v>39</v>
      </c>
      <c r="S415" s="97" t="str">
        <f>+IFERROR(IF(T415="#N/C","#N/C",IF(U415=0,INDEX(Taxonomy_UniqueValues!D:D,MATCH(U415,Taxonomy_UniqueValues!F:F,0)),INDEX(Taxonomy_UniqueValues!D:D,MATCH(T415,Taxonomy_UniqueValues!E:E,0)))),"#N/C")</f>
        <v>Muscomorpha</v>
      </c>
      <c r="T415" s="43" t="s">
        <v>63</v>
      </c>
      <c r="U415" s="43" t="s">
        <v>64</v>
      </c>
      <c r="V415" s="43" t="s">
        <v>65</v>
      </c>
      <c r="W415" s="43" t="s">
        <v>263</v>
      </c>
      <c r="X415" s="30" t="s">
        <v>35</v>
      </c>
      <c r="Y415" s="69" t="str" cm="1">
        <f t="array" ref="Y415">_xlfn.LET(_xlpm.cls,P415, _xlpm.ord,IFERROR(Q415,"#N/C"), _xlpm.subord,IFERROR(R415,"#N/C"), _xlpm.infr,IFERROR(S415,"#N/C"), _xlpm.sf,IFERROR(T415,"#N/C"), _xlpm.fam,IFERROR(U415,"#N/C"), _xlpm.subfam,IF(TRIM(V415)="-","#N/C",IFERROR(V415,"#N/C")),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_xlpm.fallback,IF(IFERROR(Q415,"#N/C")="#N/C",P415,IF(IFERROR(R415,"#N/C")="#N/C",Q415,IF(IFERROR(S415,"#N/C")="#N/C",R415,IF(IFERROR(T415,"#N/C")="#N/C",S415,IF(IFERROR(U415,"#N/C")="#N/C",T415,IF(IFERROR(V415,"#N/C")="#N/C",U415,"#N/C")))))), _xlpm.finalResult,IF(OR(_xlpm.computedResult="",_xlpm.computedResult="#N/C"),_xlpm.fallback,_xlpm.computedResult), INDEX(_xlpm.finalResult,1))</f>
        <v>fruit_fly</v>
      </c>
      <c r="Z415" s="116" t="str" cm="1">
        <f t="array" ref="Z415">IF(OR(Y415="Insecta",Y415="Arachnida",Y415="#N/C"),"",IFERROR(_xlfn.LET(_xlpm.fc,IFERROR(_xlfn._xlws.FILTER(ClassificationClasses[],ClassificationClasses[Classification Class]=Y415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415,ClassificationClasses[Key])),0),MATCH(Y415,INDEX(ClassificationClasses[],MATCH(TRUE,ISNUMBER(SEARCH(Y415,ClassificationClasses[Key])),0),0),0)-1)))</f>
        <v>Muscomorpha</v>
      </c>
      <c r="AA415" s="116" t="str" cm="1">
        <f t="array" ref="AA415">IFERROR(IF(OR(Z415="Insecta",Z415="Arachnida",Z415="#N/C"),"",INDEX(ClassificationClasses[[Class]:[Infraorder]],MATCH(TRUE,ISNUMBER(SEARCH(Z415,ClassificationClasses[Key])),0),MATCH(Z415,INDEX(ClassificationClasses[#Data], MATCH(TRUE,ISNUMBER(SEARCH(Z415,ClassificationClasses[Key])),0), 0), 0)-1)),"")</f>
        <v>Brachycera</v>
      </c>
      <c r="AB415" s="116" t="str" cm="1">
        <f t="array" ref="AB415">IFERROR(IF(OR(AA415="Insecta",AA415="Arachnida",AA415="#N/C"),"",INDEX(ClassificationClasses[[Class]:[Suborder]],MATCH(TRUE,ISNUMBER(SEARCH(AA415,ClassificationClasses[Key])),0),MATCH(AA415,INDEX(ClassificationClasses[#Data], MATCH(TRUE,ISNUMBER(SEARCH(AA415,ClassificationClasses[Key])),0), 0), 0)-1)),"")</f>
        <v>Diptera</v>
      </c>
      <c r="AC415" s="116" t="str" cm="1">
        <f t="array" ref="AC415">IFERROR(IF(OR(AB415="Insecta",AB415="Arachnida",AB415="#N/C"),"",INDEX(ClassificationClasses[[Class]:[Suborder]],MATCH(TRUE,ISNUMBER(SEARCH(AB415,ClassificationClasses[Key])),0),MATCH(AB415,INDEX(ClassificationClasses[#Data], MATCH(TRUE,ISNUMBER(SEARCH(AB415,ClassificationClasses[Key])),0), 0), 0)-1)),"")</f>
        <v>Insecta</v>
      </c>
      <c r="AD415" s="116" t="str" cm="1">
        <f t="array" ref="AD415">IFERROR(IF(OR(AC415="Insecta",AC415="Arachnida",AC415="#N/C"),"",INDEX(ClassificationClasses[[Class]:[Suborder]],MATCH(TRUE,ISNUMBER(SEARCH(AC415,ClassificationClasses[Key])),0),MATCH(AC415,INDEX(ClassificationClasses[#Data], MATCH(TRUE,ISNUMBER(SEARCH(AC415,ClassificationClasses[Key])),0), 0), 0)-1)),"")</f>
        <v/>
      </c>
      <c r="AE415" s="18" t="str">
        <f t="shared" si="14"/>
        <v>Insecta.Diptera.Brachycera.Muscomorpha.Ephydroidea.Drosophilidae.Drosophilinae.Drosophila.#N/C</v>
      </c>
    </row>
    <row r="416" spans="1:31" x14ac:dyDescent="0.3">
      <c r="A416" s="91">
        <v>415</v>
      </c>
      <c r="B416" s="7">
        <v>44427</v>
      </c>
      <c r="C416" s="92" t="s">
        <v>697</v>
      </c>
      <c r="D416" s="93" t="str">
        <f>HYPERLINK(VLOOKUP(C416,Video_List!$F:$J,5),"video")</f>
        <v>video</v>
      </c>
      <c r="E416" s="94" t="str">
        <f>IFERROR(IF(MATCH(C416,Video_List!$F:$F,)&gt;0,"ok",""),"error")</f>
        <v>ok</v>
      </c>
      <c r="F416" s="92" t="s">
        <v>697</v>
      </c>
      <c r="G416" s="93" t="str">
        <f>HYPERLINK(VLOOKUP(F416,Video_List!$F:$J,5),"video")</f>
        <v>video</v>
      </c>
      <c r="H416" s="94" t="str">
        <f>IFERROR(IF(MATCH(F416,Video_List!$F:$F,)&gt;0,"ok",""),"error")</f>
        <v>ok</v>
      </c>
      <c r="I416" s="17">
        <v>44427.937604166669</v>
      </c>
      <c r="J416" s="8">
        <v>44427.93787037037</v>
      </c>
      <c r="K416" s="15">
        <f t="shared" si="13"/>
        <v>2.6620370044838637E-4</v>
      </c>
      <c r="L416" s="4" t="s">
        <v>32</v>
      </c>
      <c r="M416" s="4" t="s">
        <v>118</v>
      </c>
      <c r="N416" s="96" t="str">
        <f>IF(ISBLANK(C416),"",IF(C416=F416, "1 video",CONCATENATE((+COUNTIFS(Video_List!$C:$C,"&lt;=" &amp;Monitoring!J416)-COUNTIFS(Video_List!$C:$C,"&lt;=" &amp;Monitoring!I416))+1," videos")))</f>
        <v>1 video</v>
      </c>
      <c r="O416" s="27" t="s">
        <v>32</v>
      </c>
      <c r="P416" s="43" t="s">
        <v>37</v>
      </c>
      <c r="Q416" s="43" t="s">
        <v>56</v>
      </c>
      <c r="R416" s="43" t="s">
        <v>57</v>
      </c>
      <c r="S416" s="97" t="str">
        <f>+IFERROR(IF(T416="#N/C","#N/C",IF(U416=0,INDEX(Taxonomy_UniqueValues!D:D,MATCH(U416,Taxonomy_UniqueValues!F:F,0)),INDEX(Taxonomy_UniqueValues!D:D,MATCH(T416,Taxonomy_UniqueValues!E:E,0)))),"#N/C")</f>
        <v>Heterocera</v>
      </c>
      <c r="T416" s="43" t="s">
        <v>698</v>
      </c>
      <c r="U416" s="43" t="s">
        <v>699</v>
      </c>
      <c r="V416" s="43" t="s">
        <v>700</v>
      </c>
      <c r="W416" s="43" t="s">
        <v>701</v>
      </c>
      <c r="X416" s="30" t="s">
        <v>702</v>
      </c>
      <c r="Y416" s="69" t="str" cm="1">
        <f t="array" ref="Y416">_xlfn.LET(_xlpm.cls,P416, _xlpm.ord,IFERROR(Q416,"#N/C"), _xlpm.subord,IFERROR(R416,"#N/C"), _xlpm.infr,IFERROR(S416,"#N/C"), _xlpm.sf,IFERROR(T416,"#N/C"), _xlpm.fam,IFERROR(U416,"#N/C"), _xlpm.subfam,IF(TRIM(V416)="-","#N/C",IFERROR(V416,"#N/C")),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_xlpm.fallback,IF(IFERROR(Q416,"#N/C")="#N/C",P416,IF(IFERROR(R416,"#N/C")="#N/C",Q416,IF(IFERROR(S416,"#N/C")="#N/C",R416,IF(IFERROR(T416,"#N/C")="#N/C",S416,IF(IFERROR(U416,"#N/C")="#N/C",T416,IF(IFERROR(V416,"#N/C")="#N/C",U416,"#N/C")))))), _xlpm.finalResult,IF(OR(_xlpm.computedResult="",_xlpm.computedResult="#N/C"),_xlpm.fallback,_xlpm.computedResult), INDEX(_xlpm.finalResult,1))</f>
        <v>moth</v>
      </c>
      <c r="Z416" s="116" t="str" cm="1">
        <f t="array" ref="Z416">IF(OR(Y416="Insecta",Y416="Arachnida",Y416="#N/C"),"",IFERROR(_xlfn.LET(_xlpm.fc,IFERROR(_xlfn._xlws.FILTER(ClassificationClasses[],ClassificationClasses[Classification Class]=Y416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416,ClassificationClasses[Key])),0),MATCH(Y416,INDEX(ClassificationClasses[],MATCH(TRUE,ISNUMBER(SEARCH(Y416,ClassificationClasses[Key])),0),0),0)-1)))</f>
        <v>Heterocera</v>
      </c>
      <c r="AA416" s="116" t="str" cm="1">
        <f t="array" ref="AA416">IFERROR(IF(OR(Z416="Insecta",Z416="Arachnida",Z416="#N/C"),"",INDEX(ClassificationClasses[[Class]:[Infraorder]],MATCH(TRUE,ISNUMBER(SEARCH(Z416,ClassificationClasses[Key])),0),MATCH(Z416,INDEX(ClassificationClasses[#Data], MATCH(TRUE,ISNUMBER(SEARCH(Z416,ClassificationClasses[Key])),0), 0), 0)-1)),"")</f>
        <v>Glossata</v>
      </c>
      <c r="AB416" s="116" t="str" cm="1">
        <f t="array" ref="AB416">IFERROR(IF(OR(AA416="Insecta",AA416="Arachnida",AA416="#N/C"),"",INDEX(ClassificationClasses[[Class]:[Suborder]],MATCH(TRUE,ISNUMBER(SEARCH(AA416,ClassificationClasses[Key])),0),MATCH(AA416,INDEX(ClassificationClasses[#Data], MATCH(TRUE,ISNUMBER(SEARCH(AA416,ClassificationClasses[Key])),0), 0), 0)-1)),"")</f>
        <v>Lepidoptera</v>
      </c>
      <c r="AC416" s="116" t="str" cm="1">
        <f t="array" ref="AC416">IFERROR(IF(OR(AB416="Insecta",AB416="Arachnida",AB416="#N/C"),"",INDEX(ClassificationClasses[[Class]:[Suborder]],MATCH(TRUE,ISNUMBER(SEARCH(AB416,ClassificationClasses[Key])),0),MATCH(AB416,INDEX(ClassificationClasses[#Data], MATCH(TRUE,ISNUMBER(SEARCH(AB416,ClassificationClasses[Key])),0), 0), 0)-1)),"")</f>
        <v>Insecta</v>
      </c>
      <c r="AD416" s="116" t="str" cm="1">
        <f t="array" ref="AD416">IFERROR(IF(OR(AC416="Insecta",AC416="Arachnida",AC416="#N/C"),"",INDEX(ClassificationClasses[[Class]:[Suborder]],MATCH(TRUE,ISNUMBER(SEARCH(AC416,ClassificationClasses[Key])),0),MATCH(AC416,INDEX(ClassificationClasses[#Data], MATCH(TRUE,ISNUMBER(SEARCH(AC416,ClassificationClasses[Key])),0), 0), 0)-1)),"")</f>
        <v/>
      </c>
      <c r="AE416" s="18" t="str">
        <f t="shared" si="14"/>
        <v>Insecta.Lepidoptera.Glossata.Heterocera.Noctuoidea.Noctuidae.Plusiinae.Autographa.gamma</v>
      </c>
    </row>
    <row r="417" spans="1:31" x14ac:dyDescent="0.3">
      <c r="A417" s="91">
        <v>416</v>
      </c>
      <c r="B417" s="7">
        <v>44427</v>
      </c>
      <c r="C417" s="92" t="s">
        <v>703</v>
      </c>
      <c r="D417" s="93" t="str">
        <f>HYPERLINK(VLOOKUP(C417,Video_List!$F:$J,5),"video")</f>
        <v>video</v>
      </c>
      <c r="E417" s="94" t="str">
        <f>IFERROR(IF(MATCH(C417,Video_List!$F:$F,)&gt;0,"ok",""),"error")</f>
        <v>ok</v>
      </c>
      <c r="F417" s="92" t="s">
        <v>703</v>
      </c>
      <c r="G417" s="93" t="str">
        <f>HYPERLINK(VLOOKUP(F417,Video_List!$F:$J,5),"video")</f>
        <v>video</v>
      </c>
      <c r="H417" s="94" t="str">
        <f>IFERROR(IF(MATCH(F417,Video_List!$F:$F,)&gt;0,"ok",""),"error")</f>
        <v>ok</v>
      </c>
      <c r="I417" s="17">
        <v>44427.975648148145</v>
      </c>
      <c r="J417" s="8">
        <v>44427.975763888891</v>
      </c>
      <c r="K417" s="15">
        <f t="shared" si="13"/>
        <v>1.1574074596865103E-4</v>
      </c>
      <c r="L417" s="4" t="s">
        <v>44</v>
      </c>
      <c r="M417" s="4" t="s">
        <v>33</v>
      </c>
      <c r="N417" s="96" t="str">
        <f>IF(ISBLANK(C417),"",IF(C417=F417, "1 video",CONCATENATE((+COUNTIFS(Video_List!$C:$C,"&lt;=" &amp;Monitoring!J417)-COUNTIFS(Video_List!$C:$C,"&lt;=" &amp;Monitoring!I417))+1," videos")))</f>
        <v>1 video</v>
      </c>
      <c r="O417" s="27" t="s">
        <v>32</v>
      </c>
      <c r="P417" s="43" t="s">
        <v>37</v>
      </c>
      <c r="Q417" s="43" t="s">
        <v>41</v>
      </c>
      <c r="R417" s="43" t="s">
        <v>42</v>
      </c>
      <c r="S417" s="97" t="str">
        <f>+IFERROR(IF(T417="#N/C","#N/C",IF(U417=0,INDEX(Taxonomy_UniqueValues!D:D,MATCH(U417,Taxonomy_UniqueValues!F:F,0)),INDEX(Taxonomy_UniqueValues!D:D,MATCH(T417,Taxonomy_UniqueValues!E:E,0)))),"#N/C")</f>
        <v>Parasitica</v>
      </c>
      <c r="T417" s="43" t="s">
        <v>71</v>
      </c>
      <c r="U417" s="43" t="s">
        <v>704</v>
      </c>
      <c r="V417" s="43" t="s">
        <v>705</v>
      </c>
      <c r="W417" s="43" t="s">
        <v>35</v>
      </c>
      <c r="X417" s="30" t="s">
        <v>35</v>
      </c>
      <c r="Y417" s="69" t="str" cm="1">
        <f t="array" ref="Y417">_xlfn.LET(_xlpm.cls,P417, _xlpm.ord,IFERROR(Q417,"#N/C"), _xlpm.subord,IFERROR(R417,"#N/C"), _xlpm.infr,IFERROR(S417,"#N/C"), _xlpm.sf,IFERROR(T417,"#N/C"), _xlpm.fam,IFERROR(U417,"#N/C"), _xlpm.subfam,IF(TRIM(V417)="-","#N/C",IFERROR(V417,"#N/C")),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_xlpm.fallback,IF(IFERROR(Q417,"#N/C")="#N/C",P417,IF(IFERROR(R417,"#N/C")="#N/C",Q417,IF(IFERROR(S417,"#N/C")="#N/C",R417,IF(IFERROR(T417,"#N/C")="#N/C",S417,IF(IFERROR(U417,"#N/C")="#N/C",T417,IF(IFERROR(V417,"#N/C")="#N/C",U417,"#N/C")))))), _xlpm.finalResult,IF(OR(_xlpm.computedResult="",_xlpm.computedResult="#N/C"),_xlpm.fallback,_xlpm.computedResult), INDEX(_xlpm.finalResult,1))</f>
        <v>Ichneumonoidea</v>
      </c>
      <c r="Z417" s="116" t="str" cm="1">
        <f t="array" ref="Z417">IF(OR(Y417="Insecta",Y417="Arachnida",Y417="#N/C"),"",IFERROR(_xlfn.LET(_xlpm.fc,IFERROR(_xlfn._xlws.FILTER(ClassificationClasses[],ClassificationClasses[Classification Class]=Y417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417,ClassificationClasses[Key])),0),MATCH(Y417,INDEX(ClassificationClasses[],MATCH(TRUE,ISNUMBER(SEARCH(Y417,ClassificationClasses[Key])),0),0),0)-1)))</f>
        <v>Parasitica</v>
      </c>
      <c r="AA417" s="116" t="str" cm="1">
        <f t="array" ref="AA417">IFERROR(IF(OR(Z417="Insecta",Z417="Arachnida",Z417="#N/C"),"",INDEX(ClassificationClasses[[Class]:[Infraorder]],MATCH(TRUE,ISNUMBER(SEARCH(Z417,ClassificationClasses[Key])),0),MATCH(Z417,INDEX(ClassificationClasses[#Data], MATCH(TRUE,ISNUMBER(SEARCH(Z417,ClassificationClasses[Key])),0), 0), 0)-1)),"")</f>
        <v>Apocrita</v>
      </c>
      <c r="AB417" s="116" t="str" cm="1">
        <f t="array" ref="AB417">IFERROR(IF(OR(AA417="Insecta",AA417="Arachnida",AA417="#N/C"),"",INDEX(ClassificationClasses[[Class]:[Suborder]],MATCH(TRUE,ISNUMBER(SEARCH(AA417,ClassificationClasses[Key])),0),MATCH(AA417,INDEX(ClassificationClasses[#Data], MATCH(TRUE,ISNUMBER(SEARCH(AA417,ClassificationClasses[Key])),0), 0), 0)-1)),"")</f>
        <v>Hymenoptera</v>
      </c>
      <c r="AC417" s="116" t="str" cm="1">
        <f t="array" ref="AC417">IFERROR(IF(OR(AB417="Insecta",AB417="Arachnida",AB417="#N/C"),"",INDEX(ClassificationClasses[[Class]:[Suborder]],MATCH(TRUE,ISNUMBER(SEARCH(AB417,ClassificationClasses[Key])),0),MATCH(AB417,INDEX(ClassificationClasses[#Data], MATCH(TRUE,ISNUMBER(SEARCH(AB417,ClassificationClasses[Key])),0), 0), 0)-1)),"")</f>
        <v>Insecta</v>
      </c>
      <c r="AD417" s="116" t="str" cm="1">
        <f t="array" ref="AD417">IFERROR(IF(OR(AC417="Insecta",AC417="Arachnida",AC417="#N/C"),"",INDEX(ClassificationClasses[[Class]:[Suborder]],MATCH(TRUE,ISNUMBER(SEARCH(AC417,ClassificationClasses[Key])),0),MATCH(AC417,INDEX(ClassificationClasses[#Data], MATCH(TRUE,ISNUMBER(SEARCH(AC417,ClassificationClasses[Key])),0), 0), 0)-1)),"")</f>
        <v/>
      </c>
      <c r="AE417" s="18" t="str">
        <f t="shared" si="14"/>
        <v>Insecta.Hymenoptera.Apocrita.Parasitica.Ichneumonoidea.Braconidae.Macrocentrinae.#N/C.#N/C</v>
      </c>
    </row>
    <row r="418" spans="1:31" x14ac:dyDescent="0.3">
      <c r="A418" s="91">
        <v>417</v>
      </c>
      <c r="B418" s="7">
        <v>44428</v>
      </c>
      <c r="C418" s="92" t="s">
        <v>706</v>
      </c>
      <c r="D418" s="93" t="str">
        <f>HYPERLINK(VLOOKUP(C418,Video_List!$F:$J,5),"video")</f>
        <v>video</v>
      </c>
      <c r="E418" s="94" t="str">
        <f>IFERROR(IF(MATCH(C418,Video_List!$F:$F,)&gt;0,"ok",""),"error")</f>
        <v>ok</v>
      </c>
      <c r="F418" s="92" t="s">
        <v>706</v>
      </c>
      <c r="G418" s="93" t="str">
        <f>HYPERLINK(VLOOKUP(F418,Video_List!$F:$J,5),"video")</f>
        <v>video</v>
      </c>
      <c r="H418" s="94" t="str">
        <f>IFERROR(IF(MATCH(F418,Video_List!$F:$F,)&gt;0,"ok",""),"error")</f>
        <v>ok</v>
      </c>
      <c r="I418" s="17">
        <v>44428.116678240738</v>
      </c>
      <c r="J418" s="8">
        <v>44428.116712962961</v>
      </c>
      <c r="K418" s="15">
        <f t="shared" si="13"/>
        <v>3.4722223062999547E-5</v>
      </c>
      <c r="L418" s="4" t="s">
        <v>32</v>
      </c>
      <c r="M418" s="4" t="s">
        <v>33</v>
      </c>
      <c r="N418" s="96" t="str">
        <f>IF(ISBLANK(C418),"",IF(C418=F418, "1 video",CONCATENATE((+COUNTIFS(Video_List!$C:$C,"&lt;=" &amp;Monitoring!J418)-COUNTIFS(Video_List!$C:$C,"&lt;=" &amp;Monitoring!I418))+1," videos")))</f>
        <v>1 video</v>
      </c>
      <c r="O418" s="29" t="s">
        <v>44</v>
      </c>
      <c r="P418" s="43" t="s">
        <v>37</v>
      </c>
      <c r="Q418" s="43" t="s">
        <v>56</v>
      </c>
      <c r="R418" s="43" t="s">
        <v>35</v>
      </c>
      <c r="S418" s="97" t="str">
        <f>+IFERROR(IF(T418="#N/C","#N/C",IF(U418=0,INDEX(Taxonomy_UniqueValues!D:D,MATCH(U418,Taxonomy_UniqueValues!F:F,0)),INDEX(Taxonomy_UniqueValues!D:D,MATCH(T418,Taxonomy_UniqueValues!E:E,0)))),"#N/C")</f>
        <v>#N/C</v>
      </c>
      <c r="T418" s="43" t="s">
        <v>35</v>
      </c>
      <c r="U418" s="43" t="s">
        <v>35</v>
      </c>
      <c r="V418" s="43" t="s">
        <v>35</v>
      </c>
      <c r="W418" s="43" t="s">
        <v>35</v>
      </c>
      <c r="X418" s="30" t="s">
        <v>35</v>
      </c>
      <c r="Y418" s="69" t="str" cm="1">
        <f t="array" ref="Y418">_xlfn.LET(_xlpm.cls,P418, _xlpm.ord,IFERROR(Q418,"#N/C"), _xlpm.subord,IFERROR(R418,"#N/C"), _xlpm.infr,IFERROR(S418,"#N/C"), _xlpm.sf,IFERROR(T418,"#N/C"), _xlpm.fam,IFERROR(U418,"#N/C"), _xlpm.subfam,IF(TRIM(V418)="-","#N/C",IFERROR(V418,"#N/C")),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_xlpm.fallback,IF(IFERROR(Q418,"#N/C")="#N/C",P418,IF(IFERROR(R418,"#N/C")="#N/C",Q418,IF(IFERROR(S418,"#N/C")="#N/C",R418,IF(IFERROR(T418,"#N/C")="#N/C",S418,IF(IFERROR(U418,"#N/C")="#N/C",T418,IF(IFERROR(V418,"#N/C")="#N/C",U418,"#N/C")))))), _xlpm.finalResult,IF(OR(_xlpm.computedResult="",_xlpm.computedResult="#N/C"),_xlpm.fallback,_xlpm.computedResult), INDEX(_xlpm.finalResult,1))</f>
        <v>Lepidoptera</v>
      </c>
      <c r="Z418" s="116" t="str" cm="1">
        <f t="array" ref="Z418">IF(OR(Y418="Insecta",Y418="Arachnida",Y418="#N/C"),"",IFERROR(_xlfn.LET(_xlpm.fc,IFERROR(_xlfn._xlws.FILTER(ClassificationClasses[],ClassificationClasses[Classification Class]=Y418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418,ClassificationClasses[Key])),0),MATCH(Y418,INDEX(ClassificationClasses[],MATCH(TRUE,ISNUMBER(SEARCH(Y418,ClassificationClasses[Key])),0),0),0)-1)))</f>
        <v>Insecta</v>
      </c>
      <c r="AA418" s="116" t="str" cm="1">
        <f t="array" ref="AA418">IFERROR(IF(OR(Z418="Insecta",Z418="Arachnida",Z418="#N/C"),"",INDEX(ClassificationClasses[[Class]:[Infraorder]],MATCH(TRUE,ISNUMBER(SEARCH(Z418,ClassificationClasses[Key])),0),MATCH(Z418,INDEX(ClassificationClasses[#Data], MATCH(TRUE,ISNUMBER(SEARCH(Z418,ClassificationClasses[Key])),0), 0), 0)-1)),"")</f>
        <v/>
      </c>
      <c r="AB418" s="116" t="str" cm="1">
        <f t="array" ref="AB418">IFERROR(IF(OR(AA418="Insecta",AA418="Arachnida",AA418="#N/C"),"",INDEX(ClassificationClasses[[Class]:[Suborder]],MATCH(TRUE,ISNUMBER(SEARCH(AA418,ClassificationClasses[Key])),0),MATCH(AA418,INDEX(ClassificationClasses[#Data], MATCH(TRUE,ISNUMBER(SEARCH(AA418,ClassificationClasses[Key])),0), 0), 0)-1)),"")</f>
        <v/>
      </c>
      <c r="AC418" s="116" t="str" cm="1">
        <f t="array" ref="AC418">IFERROR(IF(OR(AB418="Insecta",AB418="Arachnida",AB418="#N/C"),"",INDEX(ClassificationClasses[[Class]:[Suborder]],MATCH(TRUE,ISNUMBER(SEARCH(AB418,ClassificationClasses[Key])),0),MATCH(AB418,INDEX(ClassificationClasses[#Data], MATCH(TRUE,ISNUMBER(SEARCH(AB418,ClassificationClasses[Key])),0), 0), 0)-1)),"")</f>
        <v/>
      </c>
      <c r="AD418" s="116" t="str" cm="1">
        <f t="array" ref="AD418">IFERROR(IF(OR(AC418="Insecta",AC418="Arachnida",AC418="#N/C"),"",INDEX(ClassificationClasses[[Class]:[Suborder]],MATCH(TRUE,ISNUMBER(SEARCH(AC418,ClassificationClasses[Key])),0),MATCH(AC418,INDEX(ClassificationClasses[#Data], MATCH(TRUE,ISNUMBER(SEARCH(AC418,ClassificationClasses[Key])),0), 0), 0)-1)),"")</f>
        <v/>
      </c>
      <c r="AE418" s="18" t="str">
        <f t="shared" si="14"/>
        <v>Insecta.Lepidoptera.#N/C.#N/C.#N/C.#N/C.#N/C.#N/C.#N/C</v>
      </c>
    </row>
    <row r="419" spans="1:31" x14ac:dyDescent="0.3">
      <c r="A419" s="91">
        <v>418</v>
      </c>
      <c r="B419" s="7">
        <v>44428</v>
      </c>
      <c r="C419" s="92" t="s">
        <v>707</v>
      </c>
      <c r="D419" s="93" t="str">
        <f>HYPERLINK(VLOOKUP(C419,Video_List!$F:$J,5),"video")</f>
        <v>video</v>
      </c>
      <c r="E419" s="94" t="str">
        <f>IFERROR(IF(MATCH(C419,Video_List!$F:$F,)&gt;0,"ok",""),"error")</f>
        <v>ok</v>
      </c>
      <c r="F419" s="92" t="s">
        <v>707</v>
      </c>
      <c r="G419" s="93" t="str">
        <f>HYPERLINK(VLOOKUP(F419,Video_List!$F:$J,5),"video")</f>
        <v>video</v>
      </c>
      <c r="H419" s="94" t="str">
        <f>IFERROR(IF(MATCH(F419,Video_List!$F:$F,)&gt;0,"ok",""),"error")</f>
        <v>ok</v>
      </c>
      <c r="I419" s="17">
        <v>44428.141053240739</v>
      </c>
      <c r="J419" s="8">
        <v>44428.141134259262</v>
      </c>
      <c r="K419" s="15">
        <f t="shared" si="13"/>
        <v>8.101852290565148E-5</v>
      </c>
      <c r="L419" s="4" t="s">
        <v>32</v>
      </c>
      <c r="M419" s="4" t="s">
        <v>33</v>
      </c>
      <c r="N419" s="96" t="str">
        <f>IF(ISBLANK(C419),"",IF(C419=F419, "1 video",CONCATENATE((+COUNTIFS(Video_List!$C:$C,"&lt;=" &amp;Monitoring!J419)-COUNTIFS(Video_List!$C:$C,"&lt;=" &amp;Monitoring!I419))+1," videos")))</f>
        <v>1 video</v>
      </c>
      <c r="O419" s="27" t="s">
        <v>32</v>
      </c>
      <c r="P419" s="43" t="s">
        <v>37</v>
      </c>
      <c r="Q419" s="43" t="s">
        <v>56</v>
      </c>
      <c r="R419" s="43" t="s">
        <v>57</v>
      </c>
      <c r="S419" s="97" t="str">
        <f>+IFERROR(IF(T419="#N/C","#N/C",IF(U419=0,INDEX(Taxonomy_UniqueValues!D:D,MATCH(U419,Taxonomy_UniqueValues!F:F,0)),INDEX(Taxonomy_UniqueValues!D:D,MATCH(T419,Taxonomy_UniqueValues!E:E,0)))),"#N/C")</f>
        <v>Heterocera</v>
      </c>
      <c r="T419" s="43" t="s">
        <v>698</v>
      </c>
      <c r="U419" s="43" t="s">
        <v>699</v>
      </c>
      <c r="V419" s="43" t="s">
        <v>708</v>
      </c>
      <c r="W419" s="43" t="s">
        <v>709</v>
      </c>
      <c r="X419" s="30" t="s">
        <v>710</v>
      </c>
      <c r="Y419" s="69" t="str" cm="1">
        <f t="array" ref="Y419">_xlfn.LET(_xlpm.cls,P419, _xlpm.ord,IFERROR(Q419,"#N/C"), _xlpm.subord,IFERROR(R419,"#N/C"), _xlpm.infr,IFERROR(S419,"#N/C"), _xlpm.sf,IFERROR(T419,"#N/C"), _xlpm.fam,IFERROR(U419,"#N/C"), _xlpm.subfam,IF(TRIM(V419)="-","#N/C",IFERROR(V419,"#N/C")),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_xlpm.fallback,IF(IFERROR(Q419,"#N/C")="#N/C",P419,IF(IFERROR(R419,"#N/C")="#N/C",Q419,IF(IFERROR(S419,"#N/C")="#N/C",R419,IF(IFERROR(T419,"#N/C")="#N/C",S419,IF(IFERROR(U419,"#N/C")="#N/C",T419,IF(IFERROR(V419,"#N/C")="#N/C",U419,"#N/C")))))), _xlpm.finalResult,IF(OR(_xlpm.computedResult="",_xlpm.computedResult="#N/C"),_xlpm.fallback,_xlpm.computedResult), INDEX(_xlpm.finalResult,1))</f>
        <v>moth</v>
      </c>
      <c r="Z419" s="116" t="str" cm="1">
        <f t="array" ref="Z419">IF(OR(Y419="Insecta",Y419="Arachnida",Y419="#N/C"),"",IFERROR(_xlfn.LET(_xlpm.fc,IFERROR(_xlfn._xlws.FILTER(ClassificationClasses[],ClassificationClasses[Classification Class]=Y419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419,ClassificationClasses[Key])),0),MATCH(Y419,INDEX(ClassificationClasses[],MATCH(TRUE,ISNUMBER(SEARCH(Y419,ClassificationClasses[Key])),0),0),0)-1)))</f>
        <v>Heterocera</v>
      </c>
      <c r="AA419" s="116" t="str" cm="1">
        <f t="array" ref="AA419">IFERROR(IF(OR(Z419="Insecta",Z419="Arachnida",Z419="#N/C"),"",INDEX(ClassificationClasses[[Class]:[Infraorder]],MATCH(TRUE,ISNUMBER(SEARCH(Z419,ClassificationClasses[Key])),0),MATCH(Z419,INDEX(ClassificationClasses[#Data], MATCH(TRUE,ISNUMBER(SEARCH(Z419,ClassificationClasses[Key])),0), 0), 0)-1)),"")</f>
        <v>Glossata</v>
      </c>
      <c r="AB419" s="116" t="str" cm="1">
        <f t="array" ref="AB419">IFERROR(IF(OR(AA419="Insecta",AA419="Arachnida",AA419="#N/C"),"",INDEX(ClassificationClasses[[Class]:[Suborder]],MATCH(TRUE,ISNUMBER(SEARCH(AA419,ClassificationClasses[Key])),0),MATCH(AA419,INDEX(ClassificationClasses[#Data], MATCH(TRUE,ISNUMBER(SEARCH(AA419,ClassificationClasses[Key])),0), 0), 0)-1)),"")</f>
        <v>Lepidoptera</v>
      </c>
      <c r="AC419" s="116" t="str" cm="1">
        <f t="array" ref="AC419">IFERROR(IF(OR(AB419="Insecta",AB419="Arachnida",AB419="#N/C"),"",INDEX(ClassificationClasses[[Class]:[Suborder]],MATCH(TRUE,ISNUMBER(SEARCH(AB419,ClassificationClasses[Key])),0),MATCH(AB419,INDEX(ClassificationClasses[#Data], MATCH(TRUE,ISNUMBER(SEARCH(AB419,ClassificationClasses[Key])),0), 0), 0)-1)),"")</f>
        <v>Insecta</v>
      </c>
      <c r="AD419" s="116" t="str" cm="1">
        <f t="array" ref="AD419">IFERROR(IF(OR(AC419="Insecta",AC419="Arachnida",AC419="#N/C"),"",INDEX(ClassificationClasses[[Class]:[Suborder]],MATCH(TRUE,ISNUMBER(SEARCH(AC419,ClassificationClasses[Key])),0),MATCH(AC419,INDEX(ClassificationClasses[#Data], MATCH(TRUE,ISNUMBER(SEARCH(AC419,ClassificationClasses[Key])),0), 0), 0)-1)),"")</f>
        <v/>
      </c>
      <c r="AE419" s="18" t="str">
        <f t="shared" si="14"/>
        <v>Insecta.Lepidoptera.Glossata.Heterocera.Noctuoidea.Noctuidae.Noctuinae.Xestia.xanthographa</v>
      </c>
    </row>
    <row r="420" spans="1:31" x14ac:dyDescent="0.3">
      <c r="A420" s="91">
        <v>419</v>
      </c>
      <c r="B420" s="7">
        <v>44428</v>
      </c>
      <c r="C420" s="92" t="s">
        <v>711</v>
      </c>
      <c r="D420" s="93" t="str">
        <f>HYPERLINK(VLOOKUP(C420,Video_List!$F:$J,5),"video")</f>
        <v>video</v>
      </c>
      <c r="E420" s="94" t="str">
        <f>IFERROR(IF(MATCH(C420,Video_List!$F:$F,)&gt;0,"ok",""),"error")</f>
        <v>ok</v>
      </c>
      <c r="F420" s="92" t="s">
        <v>711</v>
      </c>
      <c r="G420" s="93" t="str">
        <f>HYPERLINK(VLOOKUP(F420,Video_List!$F:$J,5),"video")</f>
        <v>video</v>
      </c>
      <c r="H420" s="94" t="str">
        <f>IFERROR(IF(MATCH(F420,Video_List!$F:$F,)&gt;0,"ok",""),"error")</f>
        <v>ok</v>
      </c>
      <c r="I420" s="17">
        <v>44428.581793981481</v>
      </c>
      <c r="J420" s="8">
        <v>44428.58185185185</v>
      </c>
      <c r="K420" s="15">
        <f t="shared" si="13"/>
        <v>5.7870369346346706E-5</v>
      </c>
      <c r="L420" s="4" t="s">
        <v>32</v>
      </c>
      <c r="M420" s="4" t="s">
        <v>33</v>
      </c>
      <c r="N420" s="96" t="str">
        <f>IF(ISBLANK(C420),"",IF(C420=F420, "1 video",CONCATENATE((+COUNTIFS(Video_List!$C:$C,"&lt;=" &amp;Monitoring!J420)-COUNTIFS(Video_List!$C:$C,"&lt;=" &amp;Monitoring!I420))+1," videos")))</f>
        <v>1 video</v>
      </c>
      <c r="O420" s="27" t="s">
        <v>32</v>
      </c>
      <c r="P420" s="43" t="s">
        <v>37</v>
      </c>
      <c r="Q420" s="43" t="s">
        <v>38</v>
      </c>
      <c r="R420" s="43" t="s">
        <v>39</v>
      </c>
      <c r="S420" s="97" t="str">
        <f>+IFERROR(IF(T420="#N/C","#N/C",IF(U420=0,INDEX(Taxonomy_UniqueValues!D:D,MATCH(U420,Taxonomy_UniqueValues!F:F,0)),INDEX(Taxonomy_UniqueValues!D:D,MATCH(T420,Taxonomy_UniqueValues!E:E,0)))),"#N/C")</f>
        <v>Muscomorpha</v>
      </c>
      <c r="T420" s="43" t="s">
        <v>335</v>
      </c>
      <c r="U420" s="43" t="s">
        <v>525</v>
      </c>
      <c r="V420" s="43" t="s">
        <v>526</v>
      </c>
      <c r="W420" s="43" t="s">
        <v>712</v>
      </c>
      <c r="X420" s="30" t="s">
        <v>35</v>
      </c>
      <c r="Y420" s="69" t="str" cm="1">
        <f t="array" ref="Y420">_xlfn.LET(_xlpm.cls,P420, _xlpm.ord,IFERROR(Q420,"#N/C"), _xlpm.subord,IFERROR(R420,"#N/C"), _xlpm.infr,IFERROR(S420,"#N/C"), _xlpm.sf,IFERROR(T420,"#N/C"), _xlpm.fam,IFERROR(U420,"#N/C"), _xlpm.subfam,IF(TRIM(V420)="-","#N/C",IFERROR(V420,"#N/C")),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_xlpm.fallback,IF(IFERROR(Q420,"#N/C")="#N/C",P420,IF(IFERROR(R420,"#N/C")="#N/C",Q420,IF(IFERROR(S420,"#N/C")="#N/C",R420,IF(IFERROR(T420,"#N/C")="#N/C",S420,IF(IFERROR(U420,"#N/C")="#N/C",T420,IF(IFERROR(V420,"#N/C")="#N/C",U420,"#N/C")))))), _xlpm.finalResult,IF(OR(_xlpm.computedResult="",_xlpm.computedResult="#N/C"),_xlpm.fallback,_xlpm.computedResult), INDEX(_xlpm.finalResult,1))</f>
        <v>flesh_fly</v>
      </c>
      <c r="Z420" s="116" t="str" cm="1">
        <f t="array" ref="Z420">IF(OR(Y420="Insecta",Y420="Arachnida",Y420="#N/C"),"",IFERROR(_xlfn.LET(_xlpm.fc,IFERROR(_xlfn._xlws.FILTER(ClassificationClasses[],ClassificationClasses[Classification Class]=Y420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420,ClassificationClasses[Key])),0),MATCH(Y420,INDEX(ClassificationClasses[],MATCH(TRUE,ISNUMBER(SEARCH(Y420,ClassificationClasses[Key])),0),0),0)-1)))</f>
        <v>Muscomorpha</v>
      </c>
      <c r="AA420" s="116" t="str" cm="1">
        <f t="array" ref="AA420">IFERROR(IF(OR(Z420="Insecta",Z420="Arachnida",Z420="#N/C"),"",INDEX(ClassificationClasses[[Class]:[Infraorder]],MATCH(TRUE,ISNUMBER(SEARCH(Z420,ClassificationClasses[Key])),0),MATCH(Z420,INDEX(ClassificationClasses[#Data], MATCH(TRUE,ISNUMBER(SEARCH(Z420,ClassificationClasses[Key])),0), 0), 0)-1)),"")</f>
        <v>Brachycera</v>
      </c>
      <c r="AB420" s="116" t="str" cm="1">
        <f t="array" ref="AB420">IFERROR(IF(OR(AA420="Insecta",AA420="Arachnida",AA420="#N/C"),"",INDEX(ClassificationClasses[[Class]:[Suborder]],MATCH(TRUE,ISNUMBER(SEARCH(AA420,ClassificationClasses[Key])),0),MATCH(AA420,INDEX(ClassificationClasses[#Data], MATCH(TRUE,ISNUMBER(SEARCH(AA420,ClassificationClasses[Key])),0), 0), 0)-1)),"")</f>
        <v>Diptera</v>
      </c>
      <c r="AC420" s="116" t="str" cm="1">
        <f t="array" ref="AC420">IFERROR(IF(OR(AB420="Insecta",AB420="Arachnida",AB420="#N/C"),"",INDEX(ClassificationClasses[[Class]:[Suborder]],MATCH(TRUE,ISNUMBER(SEARCH(AB420,ClassificationClasses[Key])),0),MATCH(AB420,INDEX(ClassificationClasses[#Data], MATCH(TRUE,ISNUMBER(SEARCH(AB420,ClassificationClasses[Key])),0), 0), 0)-1)),"")</f>
        <v>Insecta</v>
      </c>
      <c r="AD420" s="116" t="str" cm="1">
        <f t="array" ref="AD420">IFERROR(IF(OR(AC420="Insecta",AC420="Arachnida",AC420="#N/C"),"",INDEX(ClassificationClasses[[Class]:[Suborder]],MATCH(TRUE,ISNUMBER(SEARCH(AC420,ClassificationClasses[Key])),0),MATCH(AC420,INDEX(ClassificationClasses[#Data], MATCH(TRUE,ISNUMBER(SEARCH(AC420,ClassificationClasses[Key])),0), 0), 0)-1)),"")</f>
        <v/>
      </c>
      <c r="AE420" s="18" t="str">
        <f t="shared" si="14"/>
        <v>Insecta.Diptera.Brachycera.Muscomorpha.Oestroidea.Tachinidae.Phasiinae.Ectophasia.#N/C</v>
      </c>
    </row>
    <row r="421" spans="1:31" x14ac:dyDescent="0.3">
      <c r="A421" s="91">
        <v>420</v>
      </c>
      <c r="B421" s="7">
        <v>44428</v>
      </c>
      <c r="C421" s="92" t="s">
        <v>713</v>
      </c>
      <c r="D421" s="93" t="str">
        <f>HYPERLINK(VLOOKUP(C421,Video_List!$F:$J,5),"video")</f>
        <v>video</v>
      </c>
      <c r="E421" s="94" t="str">
        <f>IFERROR(IF(MATCH(C421,Video_List!$F:$F,)&gt;0,"ok",""),"error")</f>
        <v>ok</v>
      </c>
      <c r="F421" s="92" t="s">
        <v>713</v>
      </c>
      <c r="G421" s="93" t="str">
        <f>HYPERLINK(VLOOKUP(F421,Video_List!$F:$J,5),"video")</f>
        <v>video</v>
      </c>
      <c r="H421" s="94" t="str">
        <f>IFERROR(IF(MATCH(F421,Video_List!$F:$F,)&gt;0,"ok",""),"error")</f>
        <v>ok</v>
      </c>
      <c r="I421" s="17">
        <v>44428.7266087963</v>
      </c>
      <c r="J421" s="8">
        <v>44428.726782407408</v>
      </c>
      <c r="K421" s="15">
        <f t="shared" si="13"/>
        <v>1.7361110803904012E-4</v>
      </c>
      <c r="L421" s="4" t="s">
        <v>32</v>
      </c>
      <c r="M421" s="4" t="s">
        <v>33</v>
      </c>
      <c r="N421" s="96" t="str">
        <f>IF(ISBLANK(C421),"",IF(C421=F421, "1 video",CONCATENATE((+COUNTIFS(Video_List!$C:$C,"&lt;=" &amp;Monitoring!J421)-COUNTIFS(Video_List!$C:$C,"&lt;=" &amp;Monitoring!I421))+1," videos")))</f>
        <v>1 video</v>
      </c>
      <c r="O421" s="29" t="s">
        <v>44</v>
      </c>
      <c r="P421" s="43" t="s">
        <v>37</v>
      </c>
      <c r="Q421" s="43" t="s">
        <v>38</v>
      </c>
      <c r="R421" s="43" t="s">
        <v>39</v>
      </c>
      <c r="S421" s="97" t="str">
        <f>+IFERROR(IF(T421="#N/C","#N/C",IF(U421=0,INDEX(Taxonomy_UniqueValues!D:D,MATCH(U421,Taxonomy_UniqueValues!F:F,0)),INDEX(Taxonomy_UniqueValues!D:D,MATCH(T421,Taxonomy_UniqueValues!E:E,0)))),"#N/C")</f>
        <v>Asilomorpha</v>
      </c>
      <c r="T421" s="43" t="s">
        <v>439</v>
      </c>
      <c r="U421" s="43" t="s">
        <v>440</v>
      </c>
      <c r="V421" s="43" t="s">
        <v>35</v>
      </c>
      <c r="W421" s="43" t="s">
        <v>35</v>
      </c>
      <c r="X421" s="30" t="s">
        <v>35</v>
      </c>
      <c r="Y421" s="69" t="str" cm="1">
        <f t="array" ref="Y421">_xlfn.LET(_xlpm.cls,P421, _xlpm.ord,IFERROR(Q421,"#N/C"), _xlpm.subord,IFERROR(R421,"#N/C"), _xlpm.infr,IFERROR(S421,"#N/C"), _xlpm.sf,IFERROR(T421,"#N/C"), _xlpm.fam,IFERROR(U421,"#N/C"), _xlpm.subfam,IF(TRIM(V421)="-","#N/C",IFERROR(V421,"#N/C")),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_xlpm.fallback,IF(IFERROR(Q421,"#N/C")="#N/C",P421,IF(IFERROR(R421,"#N/C")="#N/C",Q421,IF(IFERROR(S421,"#N/C")="#N/C",R421,IF(IFERROR(T421,"#N/C")="#N/C",S421,IF(IFERROR(U421,"#N/C")="#N/C",T421,IF(IFERROR(V421,"#N/C")="#N/C",U421,"#N/C")))))), _xlpm.finalResult,IF(OR(_xlpm.computedResult="",_xlpm.computedResult="#N/C"),_xlpm.fallback,_xlpm.computedResult), INDEX(_xlpm.finalResult,1))</f>
        <v>dance_fly</v>
      </c>
      <c r="Z421" s="116" t="str" cm="1">
        <f t="array" ref="Z421">IF(OR(Y421="Insecta",Y421="Arachnida",Y421="#N/C"),"",IFERROR(_xlfn.LET(_xlpm.fc,IFERROR(_xlfn._xlws.FILTER(ClassificationClasses[],ClassificationClasses[Classification Class]=Y421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421,ClassificationClasses[Key])),0),MATCH(Y421,INDEX(ClassificationClasses[],MATCH(TRUE,ISNUMBER(SEARCH(Y421,ClassificationClasses[Key])),0),0),0)-1)))</f>
        <v>Asilomorpha</v>
      </c>
      <c r="AA421" s="116" t="str" cm="1">
        <f t="array" ref="AA421">IFERROR(IF(OR(Z421="Insecta",Z421="Arachnida",Z421="#N/C"),"",INDEX(ClassificationClasses[[Class]:[Infraorder]],MATCH(TRUE,ISNUMBER(SEARCH(Z421,ClassificationClasses[Key])),0),MATCH(Z421,INDEX(ClassificationClasses[#Data], MATCH(TRUE,ISNUMBER(SEARCH(Z421,ClassificationClasses[Key])),0), 0), 0)-1)),"")</f>
        <v>Brachycera</v>
      </c>
      <c r="AB421" s="116" t="str" cm="1">
        <f t="array" ref="AB421">IFERROR(IF(OR(AA421="Insecta",AA421="Arachnida",AA421="#N/C"),"",INDEX(ClassificationClasses[[Class]:[Suborder]],MATCH(TRUE,ISNUMBER(SEARCH(AA421,ClassificationClasses[Key])),0),MATCH(AA421,INDEX(ClassificationClasses[#Data], MATCH(TRUE,ISNUMBER(SEARCH(AA421,ClassificationClasses[Key])),0), 0), 0)-1)),"")</f>
        <v>Diptera</v>
      </c>
      <c r="AC421" s="116" t="str" cm="1">
        <f t="array" ref="AC421">IFERROR(IF(OR(AB421="Insecta",AB421="Arachnida",AB421="#N/C"),"",INDEX(ClassificationClasses[[Class]:[Suborder]],MATCH(TRUE,ISNUMBER(SEARCH(AB421,ClassificationClasses[Key])),0),MATCH(AB421,INDEX(ClassificationClasses[#Data], MATCH(TRUE,ISNUMBER(SEARCH(AB421,ClassificationClasses[Key])),0), 0), 0)-1)),"")</f>
        <v>Insecta</v>
      </c>
      <c r="AD421" s="116" t="str" cm="1">
        <f t="array" ref="AD421">IFERROR(IF(OR(AC421="Insecta",AC421="Arachnida",AC421="#N/C"),"",INDEX(ClassificationClasses[[Class]:[Suborder]],MATCH(TRUE,ISNUMBER(SEARCH(AC421,ClassificationClasses[Key])),0),MATCH(AC421,INDEX(ClassificationClasses[#Data], MATCH(TRUE,ISNUMBER(SEARCH(AC421,ClassificationClasses[Key])),0), 0), 0)-1)),"")</f>
        <v/>
      </c>
      <c r="AE421" s="18" t="str">
        <f t="shared" si="14"/>
        <v>Insecta.Diptera.Brachycera.Asilomorpha.Empidoidea.Dolichopodidae.#N/C.#N/C.#N/C</v>
      </c>
    </row>
    <row r="422" spans="1:31" x14ac:dyDescent="0.3">
      <c r="A422" s="91">
        <v>421</v>
      </c>
      <c r="B422" s="7">
        <v>44428</v>
      </c>
      <c r="C422" s="92" t="s">
        <v>714</v>
      </c>
      <c r="D422" s="93" t="str">
        <f>HYPERLINK(VLOOKUP(C422,Video_List!$F:$J,5),"video")</f>
        <v>video</v>
      </c>
      <c r="E422" s="94" t="str">
        <f>IFERROR(IF(MATCH(C422,Video_List!$F:$F,)&gt;0,"ok",""),"error")</f>
        <v>ok</v>
      </c>
      <c r="F422" s="92" t="s">
        <v>714</v>
      </c>
      <c r="G422" s="93" t="str">
        <f>HYPERLINK(VLOOKUP(F422,Video_List!$F:$J,5),"video")</f>
        <v>video</v>
      </c>
      <c r="H422" s="94" t="str">
        <f>IFERROR(IF(MATCH(F422,Video_List!$F:$F,)&gt;0,"ok",""),"error")</f>
        <v>ok</v>
      </c>
      <c r="I422" s="17">
        <v>44428.729849537034</v>
      </c>
      <c r="J422" s="8">
        <v>44428.729953703703</v>
      </c>
      <c r="K422" s="15">
        <f t="shared" si="13"/>
        <v>1.0416666918899864E-4</v>
      </c>
      <c r="L422" s="4" t="s">
        <v>44</v>
      </c>
      <c r="M422" s="4" t="s">
        <v>33</v>
      </c>
      <c r="N422" s="96" t="str">
        <f>IF(ISBLANK(C422),"",IF(C422=F422, "1 video",CONCATENATE((+COUNTIFS(Video_List!$C:$C,"&lt;=" &amp;Monitoring!J422)-COUNTIFS(Video_List!$C:$C,"&lt;=" &amp;Monitoring!I422))+1," videos")))</f>
        <v>1 video</v>
      </c>
      <c r="O422" s="29" t="s">
        <v>44</v>
      </c>
      <c r="P422" s="43" t="s">
        <v>37</v>
      </c>
      <c r="Q422" s="43" t="s">
        <v>38</v>
      </c>
      <c r="R422" s="43" t="s">
        <v>185</v>
      </c>
      <c r="S422" s="97" t="str">
        <f>+IFERROR(IF(T422="#N/C","#N/C",IF(U422=0,INDEX(Taxonomy_UniqueValues!D:D,MATCH(U422,Taxonomy_UniqueValues!F:F,0)),INDEX(Taxonomy_UniqueValues!D:D,MATCH(T422,Taxonomy_UniqueValues!E:E,0)))),"#N/C")</f>
        <v>Bibionomorpha</v>
      </c>
      <c r="T422" s="43" t="s">
        <v>186</v>
      </c>
      <c r="U422" s="43" t="s">
        <v>419</v>
      </c>
      <c r="V422" s="43" t="s">
        <v>35</v>
      </c>
      <c r="W422" s="43" t="s">
        <v>35</v>
      </c>
      <c r="X422" s="30" t="s">
        <v>35</v>
      </c>
      <c r="Y422" s="69" t="str" cm="1">
        <f t="array" ref="Y422">_xlfn.LET(_xlpm.cls,P422, _xlpm.ord,IFERROR(Q422,"#N/C"), _xlpm.subord,IFERROR(R422,"#N/C"), _xlpm.infr,IFERROR(S422,"#N/C"), _xlpm.sf,IFERROR(T422,"#N/C"), _xlpm.fam,IFERROR(U422,"#N/C"), _xlpm.subfam,IF(TRIM(V422)="-","#N/C",IFERROR(V422,"#N/C")),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_xlpm.fallback,IF(IFERROR(Q422,"#N/C")="#N/C",P422,IF(IFERROR(R422,"#N/C")="#N/C",Q422,IF(IFERROR(S422,"#N/C")="#N/C",R422,IF(IFERROR(T422,"#N/C")="#N/C",S422,IF(IFERROR(U422,"#N/C")="#N/C",T422,IF(IFERROR(V422,"#N/C")="#N/C",U422,"#N/C")))))), _xlpm.finalResult,IF(OR(_xlpm.computedResult="",_xlpm.computedResult="#N/C"),_xlpm.fallback,_xlpm.computedResult), INDEX(_xlpm.finalResult,1))</f>
        <v>Sciaroidea</v>
      </c>
      <c r="Z422" s="116" t="str" cm="1">
        <f t="array" ref="Z422">IF(OR(Y422="Insecta",Y422="Arachnida",Y422="#N/C"),"",IFERROR(_xlfn.LET(_xlpm.fc,IFERROR(_xlfn._xlws.FILTER(ClassificationClasses[],ClassificationClasses[Classification Class]=Y422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422,ClassificationClasses[Key])),0),MATCH(Y422,INDEX(ClassificationClasses[],MATCH(TRUE,ISNUMBER(SEARCH(Y422,ClassificationClasses[Key])),0),0),0)-1)))</f>
        <v>Bibionomorpha</v>
      </c>
      <c r="AA422" s="116" t="str" cm="1">
        <f t="array" ref="AA422">IFERROR(IF(OR(Z422="Insecta",Z422="Arachnida",Z422="#N/C"),"",INDEX(ClassificationClasses[[Class]:[Infraorder]],MATCH(TRUE,ISNUMBER(SEARCH(Z422,ClassificationClasses[Key])),0),MATCH(Z422,INDEX(ClassificationClasses[#Data], MATCH(TRUE,ISNUMBER(SEARCH(Z422,ClassificationClasses[Key])),0), 0), 0)-1)),"")</f>
        <v>Nematocera</v>
      </c>
      <c r="AB422" s="116" t="str" cm="1">
        <f t="array" ref="AB422">IFERROR(IF(OR(AA422="Insecta",AA422="Arachnida",AA422="#N/C"),"",INDEX(ClassificationClasses[[Class]:[Suborder]],MATCH(TRUE,ISNUMBER(SEARCH(AA422,ClassificationClasses[Key])),0),MATCH(AA422,INDEX(ClassificationClasses[#Data], MATCH(TRUE,ISNUMBER(SEARCH(AA422,ClassificationClasses[Key])),0), 0), 0)-1)),"")</f>
        <v>Diptera</v>
      </c>
      <c r="AC422" s="116" t="str" cm="1">
        <f t="array" ref="AC422">IFERROR(IF(OR(AB422="Insecta",AB422="Arachnida",AB422="#N/C"),"",INDEX(ClassificationClasses[[Class]:[Suborder]],MATCH(TRUE,ISNUMBER(SEARCH(AB422,ClassificationClasses[Key])),0),MATCH(AB422,INDEX(ClassificationClasses[#Data], MATCH(TRUE,ISNUMBER(SEARCH(AB422,ClassificationClasses[Key])),0), 0), 0)-1)),"")</f>
        <v>Insecta</v>
      </c>
      <c r="AD422" s="116" t="str" cm="1">
        <f t="array" ref="AD422">IFERROR(IF(OR(AC422="Insecta",AC422="Arachnida",AC422="#N/C"),"",INDEX(ClassificationClasses[[Class]:[Suborder]],MATCH(TRUE,ISNUMBER(SEARCH(AC422,ClassificationClasses[Key])),0),MATCH(AC422,INDEX(ClassificationClasses[#Data], MATCH(TRUE,ISNUMBER(SEARCH(AC422,ClassificationClasses[Key])),0), 0), 0)-1)),"")</f>
        <v/>
      </c>
      <c r="AE422" s="18" t="str">
        <f t="shared" si="14"/>
        <v>Insecta.Diptera.Nematocera.Bibionomorpha.Sciaroidea.Mycetophilidae.#N/C.#N/C.#N/C</v>
      </c>
    </row>
    <row r="423" spans="1:31" x14ac:dyDescent="0.3">
      <c r="A423" s="91">
        <v>422</v>
      </c>
      <c r="B423" s="7">
        <v>44428</v>
      </c>
      <c r="C423" s="92" t="s">
        <v>715</v>
      </c>
      <c r="D423" s="93" t="str">
        <f>HYPERLINK(VLOOKUP(C423,Video_List!$F:$J,5),"video")</f>
        <v>video</v>
      </c>
      <c r="E423" s="94" t="str">
        <f>IFERROR(IF(MATCH(C423,Video_List!$F:$F,)&gt;0,"ok",""),"error")</f>
        <v>ok</v>
      </c>
      <c r="F423" s="92" t="s">
        <v>715</v>
      </c>
      <c r="G423" s="93" t="str">
        <f>HYPERLINK(VLOOKUP(F423,Video_List!$F:$J,5),"video")</f>
        <v>video</v>
      </c>
      <c r="H423" s="94" t="str">
        <f>IFERROR(IF(MATCH(F423,Video_List!$F:$F,)&gt;0,"ok",""),"error")</f>
        <v>ok</v>
      </c>
      <c r="I423" s="17">
        <v>44428.732118055559</v>
      </c>
      <c r="J423" s="8">
        <v>44428.732314814813</v>
      </c>
      <c r="K423" s="15">
        <f t="shared" si="13"/>
        <v>1.9675925432238728E-4</v>
      </c>
      <c r="L423" s="4" t="s">
        <v>32</v>
      </c>
      <c r="M423" s="4" t="s">
        <v>33</v>
      </c>
      <c r="N423" s="96" t="str">
        <f>IF(ISBLANK(C423),"",IF(C423=F423, "1 video",CONCATENATE((+COUNTIFS(Video_List!$C:$C,"&lt;=" &amp;Monitoring!J423)-COUNTIFS(Video_List!$C:$C,"&lt;=" &amp;Monitoring!I423))+1," videos")))</f>
        <v>1 video</v>
      </c>
      <c r="O423" s="27" t="s">
        <v>32</v>
      </c>
      <c r="P423" s="43" t="s">
        <v>37</v>
      </c>
      <c r="Q423" s="43" t="s">
        <v>38</v>
      </c>
      <c r="R423" s="43" t="s">
        <v>39</v>
      </c>
      <c r="S423" s="97" t="str">
        <f>+IFERROR(IF(T423="#N/C","#N/C",IF(U423=0,INDEX(Taxonomy_UniqueValues!D:D,MATCH(U423,Taxonomy_UniqueValues!F:F,0)),INDEX(Taxonomy_UniqueValues!D:D,MATCH(T423,Taxonomy_UniqueValues!E:E,0)))),"#N/C")</f>
        <v>Muscomorpha</v>
      </c>
      <c r="T423" s="43" t="s">
        <v>175</v>
      </c>
      <c r="U423" s="43" t="s">
        <v>495</v>
      </c>
      <c r="V423" s="43" t="s">
        <v>667</v>
      </c>
      <c r="W423" s="43" t="s">
        <v>668</v>
      </c>
      <c r="X423" s="30" t="s">
        <v>35</v>
      </c>
      <c r="Y423" s="69" t="str" cm="1">
        <f t="array" ref="Y423">_xlfn.LET(_xlpm.cls,P423, _xlpm.ord,IFERROR(Q423,"#N/C"), _xlpm.subord,IFERROR(R423,"#N/C"), _xlpm.infr,IFERROR(S423,"#N/C"), _xlpm.sf,IFERROR(T423,"#N/C"), _xlpm.fam,IFERROR(U423,"#N/C"), _xlpm.subfam,IF(TRIM(V423)="-","#N/C",IFERROR(V423,"#N/C")),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_xlpm.fallback,IF(IFERROR(Q423,"#N/C")="#N/C",P423,IF(IFERROR(R423,"#N/C")="#N/C",Q423,IF(IFERROR(S423,"#N/C")="#N/C",R423,IF(IFERROR(T423,"#N/C")="#N/C",S423,IF(IFERROR(U423,"#N/C")="#N/C",T423,IF(IFERROR(V423,"#N/C")="#N/C",U423,"#N/C")))))), _xlpm.finalResult,IF(OR(_xlpm.computedResult="",_xlpm.computedResult="#N/C"),_xlpm.fallback,_xlpm.computedResult), INDEX(_xlpm.finalResult,1))</f>
        <v>fly</v>
      </c>
      <c r="Z423" s="116" t="str" cm="1">
        <f t="array" ref="Z423">IF(OR(Y423="Insecta",Y423="Arachnida",Y423="#N/C"),"",IFERROR(_xlfn.LET(_xlpm.fc,IFERROR(_xlfn._xlws.FILTER(ClassificationClasses[],ClassificationClasses[Classification Class]=Y423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423,ClassificationClasses[Key])),0),MATCH(Y423,INDEX(ClassificationClasses[],MATCH(TRUE,ISNUMBER(SEARCH(Y423,ClassificationClasses[Key])),0),0),0)-1)))</f>
        <v>Muscomorpha</v>
      </c>
      <c r="AA423" s="116" t="str" cm="1">
        <f t="array" ref="AA423">IFERROR(IF(OR(Z423="Insecta",Z423="Arachnida",Z423="#N/C"),"",INDEX(ClassificationClasses[[Class]:[Infraorder]],MATCH(TRUE,ISNUMBER(SEARCH(Z423,ClassificationClasses[Key])),0),MATCH(Z423,INDEX(ClassificationClasses[#Data], MATCH(TRUE,ISNUMBER(SEARCH(Z423,ClassificationClasses[Key])),0), 0), 0)-1)),"")</f>
        <v>Brachycera</v>
      </c>
      <c r="AB423" s="116" t="str" cm="1">
        <f t="array" ref="AB423">IFERROR(IF(OR(AA423="Insecta",AA423="Arachnida",AA423="#N/C"),"",INDEX(ClassificationClasses[[Class]:[Suborder]],MATCH(TRUE,ISNUMBER(SEARCH(AA423,ClassificationClasses[Key])),0),MATCH(AA423,INDEX(ClassificationClasses[#Data], MATCH(TRUE,ISNUMBER(SEARCH(AA423,ClassificationClasses[Key])),0), 0), 0)-1)),"")</f>
        <v>Diptera</v>
      </c>
      <c r="AC423" s="116" t="str" cm="1">
        <f t="array" ref="AC423">IFERROR(IF(OR(AB423="Insecta",AB423="Arachnida",AB423="#N/C"),"",INDEX(ClassificationClasses[[Class]:[Suborder]],MATCH(TRUE,ISNUMBER(SEARCH(AB423,ClassificationClasses[Key])),0),MATCH(AB423,INDEX(ClassificationClasses[#Data], MATCH(TRUE,ISNUMBER(SEARCH(AB423,ClassificationClasses[Key])),0), 0), 0)-1)),"")</f>
        <v>Insecta</v>
      </c>
      <c r="AD423" s="116" t="str" cm="1">
        <f t="array" ref="AD423">IFERROR(IF(OR(AC423="Insecta",AC423="Arachnida",AC423="#N/C"),"",INDEX(ClassificationClasses[[Class]:[Suborder]],MATCH(TRUE,ISNUMBER(SEARCH(AC423,ClassificationClasses[Key])),0),MATCH(AC423,INDEX(ClassificationClasses[#Data], MATCH(TRUE,ISNUMBER(SEARCH(AC423,ClassificationClasses[Key])),0), 0), 0)-1)),"")</f>
        <v/>
      </c>
      <c r="AE423" s="18" t="str">
        <f t="shared" si="14"/>
        <v>Insecta.Diptera.Brachycera.Muscomorpha.Muscoidea.Muscidae.Coenosiinae.Coenosia.#N/C</v>
      </c>
    </row>
    <row r="424" spans="1:31" x14ac:dyDescent="0.3">
      <c r="A424" s="91">
        <v>423</v>
      </c>
      <c r="B424" s="7">
        <v>44428</v>
      </c>
      <c r="C424" s="92" t="s">
        <v>716</v>
      </c>
      <c r="D424" s="93" t="str">
        <f>HYPERLINK(VLOOKUP(C424,Video_List!$F:$J,5),"video")</f>
        <v>video</v>
      </c>
      <c r="E424" s="94" t="str">
        <f>IFERROR(IF(MATCH(C424,Video_List!$F:$F,)&gt;0,"ok",""),"error")</f>
        <v>ok</v>
      </c>
      <c r="F424" s="92" t="s">
        <v>716</v>
      </c>
      <c r="G424" s="93" t="str">
        <f>HYPERLINK(VLOOKUP(F424,Video_List!$F:$J,5),"video")</f>
        <v>video</v>
      </c>
      <c r="H424" s="94" t="str">
        <f>IFERROR(IF(MATCH(F424,Video_List!$F:$F,)&gt;0,"ok",""),"error")</f>
        <v>ok</v>
      </c>
      <c r="I424" s="17">
        <v>44428.762499999997</v>
      </c>
      <c r="J424" s="8">
        <v>44428.762708333335</v>
      </c>
      <c r="K424" s="15">
        <f t="shared" si="13"/>
        <v>2.0833333837799728E-4</v>
      </c>
      <c r="L424" s="4" t="s">
        <v>32</v>
      </c>
      <c r="M424" s="4" t="s">
        <v>33</v>
      </c>
      <c r="N424" s="96" t="str">
        <f>IF(ISBLANK(C424),"",IF(C424=F424, "1 video",CONCATENATE((+COUNTIFS(Video_List!$C:$C,"&lt;=" &amp;Monitoring!J424)-COUNTIFS(Video_List!$C:$C,"&lt;=" &amp;Monitoring!I424))+1," videos")))</f>
        <v>1 video</v>
      </c>
      <c r="O424" s="27" t="s">
        <v>32</v>
      </c>
      <c r="P424" s="43" t="s">
        <v>37</v>
      </c>
      <c r="Q424" s="43" t="s">
        <v>38</v>
      </c>
      <c r="R424" s="43" t="s">
        <v>39</v>
      </c>
      <c r="S424" s="97" t="str">
        <f>+IFERROR(IF(T424="#N/C","#N/C",IF(U424=0,INDEX(Taxonomy_UniqueValues!D:D,MATCH(U424,Taxonomy_UniqueValues!F:F,0)),INDEX(Taxonomy_UniqueValues!D:D,MATCH(T424,Taxonomy_UniqueValues!E:E,0)))),"#N/C")</f>
        <v>#N/C</v>
      </c>
      <c r="T424" s="43" t="s">
        <v>35</v>
      </c>
      <c r="U424" s="43" t="s">
        <v>35</v>
      </c>
      <c r="V424" s="43" t="s">
        <v>35</v>
      </c>
      <c r="W424" s="43" t="s">
        <v>35</v>
      </c>
      <c r="X424" s="30" t="s">
        <v>35</v>
      </c>
      <c r="Y424" s="69" t="str" cm="1">
        <f t="array" ref="Y424">_xlfn.LET(_xlpm.cls,P424, _xlpm.ord,IFERROR(Q424,"#N/C"), _xlpm.subord,IFERROR(R424,"#N/C"), _xlpm.infr,IFERROR(S424,"#N/C"), _xlpm.sf,IFERROR(T424,"#N/C"), _xlpm.fam,IFERROR(U424,"#N/C"), _xlpm.subfam,IF(TRIM(V424)="-","#N/C",IFERROR(V424,"#N/C")),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_xlpm.fallback,IF(IFERROR(Q424,"#N/C")="#N/C",P424,IF(IFERROR(R424,"#N/C")="#N/C",Q424,IF(IFERROR(S424,"#N/C")="#N/C",R424,IF(IFERROR(T424,"#N/C")="#N/C",S424,IF(IFERROR(U424,"#N/C")="#N/C",T424,IF(IFERROR(V424,"#N/C")="#N/C",U424,"#N/C")))))), _xlpm.finalResult,IF(OR(_xlpm.computedResult="",_xlpm.computedResult="#N/C"),_xlpm.fallback,_xlpm.computedResult), INDEX(_xlpm.finalResult,1))</f>
        <v>Brachycera</v>
      </c>
      <c r="Z424" s="116" t="str" cm="1">
        <f t="array" ref="Z424">IF(OR(Y424="Insecta",Y424="Arachnida",Y424="#N/C"),"",IFERROR(_xlfn.LET(_xlpm.fc,IFERROR(_xlfn._xlws.FILTER(ClassificationClasses[],ClassificationClasses[Classification Class]=Y424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424,ClassificationClasses[Key])),0),MATCH(Y424,INDEX(ClassificationClasses[],MATCH(TRUE,ISNUMBER(SEARCH(Y424,ClassificationClasses[Key])),0),0),0)-1)))</f>
        <v>Diptera</v>
      </c>
      <c r="AA424" s="116" t="str" cm="1">
        <f t="array" ref="AA424">IFERROR(IF(OR(Z424="Insecta",Z424="Arachnida",Z424="#N/C"),"",INDEX(ClassificationClasses[[Class]:[Infraorder]],MATCH(TRUE,ISNUMBER(SEARCH(Z424,ClassificationClasses[Key])),0),MATCH(Z424,INDEX(ClassificationClasses[#Data], MATCH(TRUE,ISNUMBER(SEARCH(Z424,ClassificationClasses[Key])),0), 0), 0)-1)),"")</f>
        <v>Insecta</v>
      </c>
      <c r="AB424" s="116" t="str" cm="1">
        <f t="array" ref="AB424">IFERROR(IF(OR(AA424="Insecta",AA424="Arachnida",AA424="#N/C"),"",INDEX(ClassificationClasses[[Class]:[Suborder]],MATCH(TRUE,ISNUMBER(SEARCH(AA424,ClassificationClasses[Key])),0),MATCH(AA424,INDEX(ClassificationClasses[#Data], MATCH(TRUE,ISNUMBER(SEARCH(AA424,ClassificationClasses[Key])),0), 0), 0)-1)),"")</f>
        <v/>
      </c>
      <c r="AC424" s="116" t="str" cm="1">
        <f t="array" ref="AC424">IFERROR(IF(OR(AB424="Insecta",AB424="Arachnida",AB424="#N/C"),"",INDEX(ClassificationClasses[[Class]:[Suborder]],MATCH(TRUE,ISNUMBER(SEARCH(AB424,ClassificationClasses[Key])),0),MATCH(AB424,INDEX(ClassificationClasses[#Data], MATCH(TRUE,ISNUMBER(SEARCH(AB424,ClassificationClasses[Key])),0), 0), 0)-1)),"")</f>
        <v/>
      </c>
      <c r="AD424" s="116" t="str" cm="1">
        <f t="array" ref="AD424">IFERROR(IF(OR(AC424="Insecta",AC424="Arachnida",AC424="#N/C"),"",INDEX(ClassificationClasses[[Class]:[Suborder]],MATCH(TRUE,ISNUMBER(SEARCH(AC424,ClassificationClasses[Key])),0),MATCH(AC424,INDEX(ClassificationClasses[#Data], MATCH(TRUE,ISNUMBER(SEARCH(AC424,ClassificationClasses[Key])),0), 0), 0)-1)),"")</f>
        <v/>
      </c>
      <c r="AE424" s="18" t="str">
        <f t="shared" si="14"/>
        <v>Insecta.Diptera.Brachycera.#N/C.#N/C.#N/C.#N/C.#N/C.#N/C</v>
      </c>
    </row>
    <row r="425" spans="1:31" x14ac:dyDescent="0.3">
      <c r="A425" s="91">
        <v>424</v>
      </c>
      <c r="B425" s="7">
        <v>44428</v>
      </c>
      <c r="C425" s="92" t="s">
        <v>717</v>
      </c>
      <c r="D425" s="93" t="str">
        <f>HYPERLINK(VLOOKUP(C425,Video_List!$F:$J,5),"video")</f>
        <v>video</v>
      </c>
      <c r="E425" s="94" t="str">
        <f>IFERROR(IF(MATCH(C425,Video_List!$F:$F,)&gt;0,"ok",""),"error")</f>
        <v>ok</v>
      </c>
      <c r="F425" s="92" t="s">
        <v>717</v>
      </c>
      <c r="G425" s="93" t="str">
        <f>HYPERLINK(VLOOKUP(F425,Video_List!$F:$J,5),"video")</f>
        <v>video</v>
      </c>
      <c r="H425" s="94" t="str">
        <f>IFERROR(IF(MATCH(F425,Video_List!$F:$F,)&gt;0,"ok",""),"error")</f>
        <v>ok</v>
      </c>
      <c r="I425" s="17">
        <v>44428.798078703701</v>
      </c>
      <c r="J425" s="8">
        <v>44428.798379629632</v>
      </c>
      <c r="K425" s="15">
        <f t="shared" si="13"/>
        <v>3.0092593078734353E-4</v>
      </c>
      <c r="L425" s="4" t="s">
        <v>32</v>
      </c>
      <c r="M425" s="4" t="s">
        <v>33</v>
      </c>
      <c r="N425" s="96" t="str">
        <f>IF(ISBLANK(C425),"",IF(C425=F425, "1 video",CONCATENATE((+COUNTIFS(Video_List!$C:$C,"&lt;=" &amp;Monitoring!J425)-COUNTIFS(Video_List!$C:$C,"&lt;=" &amp;Monitoring!I425))+1," videos")))</f>
        <v>1 video</v>
      </c>
      <c r="O425" s="27" t="s">
        <v>32</v>
      </c>
      <c r="P425" s="43" t="s">
        <v>37</v>
      </c>
      <c r="Q425" s="43" t="s">
        <v>38</v>
      </c>
      <c r="R425" s="43" t="s">
        <v>39</v>
      </c>
      <c r="S425" s="97" t="str">
        <f>+IFERROR(IF(T425="#N/C","#N/C",IF(U425=0,INDEX(Taxonomy_UniqueValues!D:D,MATCH(U425,Taxonomy_UniqueValues!F:F,0)),INDEX(Taxonomy_UniqueValues!D:D,MATCH(T425,Taxonomy_UniqueValues!E:E,0)))),"#N/C")</f>
        <v>#N/C</v>
      </c>
      <c r="T425" s="43" t="s">
        <v>35</v>
      </c>
      <c r="U425" s="43" t="s">
        <v>35</v>
      </c>
      <c r="V425" s="43" t="s">
        <v>35</v>
      </c>
      <c r="W425" s="43" t="s">
        <v>35</v>
      </c>
      <c r="X425" s="30" t="s">
        <v>35</v>
      </c>
      <c r="Y425" s="69" t="str" cm="1">
        <f t="array" ref="Y425">_xlfn.LET(_xlpm.cls,P425, _xlpm.ord,IFERROR(Q425,"#N/C"), _xlpm.subord,IFERROR(R425,"#N/C"), _xlpm.infr,IFERROR(S425,"#N/C"), _xlpm.sf,IFERROR(T425,"#N/C"), _xlpm.fam,IFERROR(U425,"#N/C"), _xlpm.subfam,IF(TRIM(V425)="-","#N/C",IFERROR(V425,"#N/C")),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_xlpm.fallback,IF(IFERROR(Q425,"#N/C")="#N/C",P425,IF(IFERROR(R425,"#N/C")="#N/C",Q425,IF(IFERROR(S425,"#N/C")="#N/C",R425,IF(IFERROR(T425,"#N/C")="#N/C",S425,IF(IFERROR(U425,"#N/C")="#N/C",T425,IF(IFERROR(V425,"#N/C")="#N/C",U425,"#N/C")))))), _xlpm.finalResult,IF(OR(_xlpm.computedResult="",_xlpm.computedResult="#N/C"),_xlpm.fallback,_xlpm.computedResult), INDEX(_xlpm.finalResult,1))</f>
        <v>Brachycera</v>
      </c>
      <c r="Z425" s="116" t="str" cm="1">
        <f t="array" ref="Z425">IF(OR(Y425="Insecta",Y425="Arachnida",Y425="#N/C"),"",IFERROR(_xlfn.LET(_xlpm.fc,IFERROR(_xlfn._xlws.FILTER(ClassificationClasses[],ClassificationClasses[Classification Class]=Y425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425,ClassificationClasses[Key])),0),MATCH(Y425,INDEX(ClassificationClasses[],MATCH(TRUE,ISNUMBER(SEARCH(Y425,ClassificationClasses[Key])),0),0),0)-1)))</f>
        <v>Diptera</v>
      </c>
      <c r="AA425" s="116" t="str" cm="1">
        <f t="array" ref="AA425">IFERROR(IF(OR(Z425="Insecta",Z425="Arachnida",Z425="#N/C"),"",INDEX(ClassificationClasses[[Class]:[Infraorder]],MATCH(TRUE,ISNUMBER(SEARCH(Z425,ClassificationClasses[Key])),0),MATCH(Z425,INDEX(ClassificationClasses[#Data], MATCH(TRUE,ISNUMBER(SEARCH(Z425,ClassificationClasses[Key])),0), 0), 0)-1)),"")</f>
        <v>Insecta</v>
      </c>
      <c r="AB425" s="116" t="str" cm="1">
        <f t="array" ref="AB425">IFERROR(IF(OR(AA425="Insecta",AA425="Arachnida",AA425="#N/C"),"",INDEX(ClassificationClasses[[Class]:[Suborder]],MATCH(TRUE,ISNUMBER(SEARCH(AA425,ClassificationClasses[Key])),0),MATCH(AA425,INDEX(ClassificationClasses[#Data], MATCH(TRUE,ISNUMBER(SEARCH(AA425,ClassificationClasses[Key])),0), 0), 0)-1)),"")</f>
        <v/>
      </c>
      <c r="AC425" s="116" t="str" cm="1">
        <f t="array" ref="AC425">IFERROR(IF(OR(AB425="Insecta",AB425="Arachnida",AB425="#N/C"),"",INDEX(ClassificationClasses[[Class]:[Suborder]],MATCH(TRUE,ISNUMBER(SEARCH(AB425,ClassificationClasses[Key])),0),MATCH(AB425,INDEX(ClassificationClasses[#Data], MATCH(TRUE,ISNUMBER(SEARCH(AB425,ClassificationClasses[Key])),0), 0), 0)-1)),"")</f>
        <v/>
      </c>
      <c r="AD425" s="116" t="str" cm="1">
        <f t="array" ref="AD425">IFERROR(IF(OR(AC425="Insecta",AC425="Arachnida",AC425="#N/C"),"",INDEX(ClassificationClasses[[Class]:[Suborder]],MATCH(TRUE,ISNUMBER(SEARCH(AC425,ClassificationClasses[Key])),0),MATCH(AC425,INDEX(ClassificationClasses[#Data], MATCH(TRUE,ISNUMBER(SEARCH(AC425,ClassificationClasses[Key])),0), 0), 0)-1)),"")</f>
        <v/>
      </c>
      <c r="AE425" s="18" t="str">
        <f t="shared" si="14"/>
        <v>Insecta.Diptera.Brachycera.#N/C.#N/C.#N/C.#N/C.#N/C.#N/C</v>
      </c>
    </row>
    <row r="426" spans="1:31" x14ac:dyDescent="0.3">
      <c r="A426" s="91">
        <v>425</v>
      </c>
      <c r="B426" s="7">
        <v>44428</v>
      </c>
      <c r="C426" s="92" t="s">
        <v>718</v>
      </c>
      <c r="D426" s="93" t="str">
        <f>HYPERLINK(VLOOKUP(C426,Video_List!$F:$J,5),"video")</f>
        <v>video</v>
      </c>
      <c r="E426" s="94" t="str">
        <f>IFERROR(IF(MATCH(C426,Video_List!$F:$F,)&gt;0,"ok",""),"error")</f>
        <v>ok</v>
      </c>
      <c r="F426" s="92" t="s">
        <v>718</v>
      </c>
      <c r="G426" s="93" t="str">
        <f>HYPERLINK(VLOOKUP(F426,Video_List!$F:$J,5),"video")</f>
        <v>video</v>
      </c>
      <c r="H426" s="94" t="str">
        <f>IFERROR(IF(MATCH(F426,Video_List!$F:$F,)&gt;0,"ok",""),"error")</f>
        <v>ok</v>
      </c>
      <c r="I426" s="17">
        <v>44428.805833333332</v>
      </c>
      <c r="J426" s="8">
        <v>44428.805983796294</v>
      </c>
      <c r="K426" s="15">
        <f t="shared" si="13"/>
        <v>1.5046296175569296E-4</v>
      </c>
      <c r="L426" s="4" t="s">
        <v>32</v>
      </c>
      <c r="M426" s="4" t="s">
        <v>33</v>
      </c>
      <c r="N426" s="96" t="str">
        <f>IF(ISBLANK(C426),"",IF(C426=F426, "1 video",CONCATENATE((+COUNTIFS(Video_List!$C:$C,"&lt;=" &amp;Monitoring!J426)-COUNTIFS(Video_List!$C:$C,"&lt;=" &amp;Monitoring!I426))+1," videos")))</f>
        <v>1 video</v>
      </c>
      <c r="O426" s="29" t="s">
        <v>44</v>
      </c>
      <c r="P426" s="43" t="s">
        <v>37</v>
      </c>
      <c r="Q426" s="43" t="s">
        <v>38</v>
      </c>
      <c r="R426" s="43" t="s">
        <v>39</v>
      </c>
      <c r="S426" s="97" t="str">
        <f>+IFERROR(IF(T426="#N/C","#N/C",IF(U426=0,INDEX(Taxonomy_UniqueValues!D:D,MATCH(U426,Taxonomy_UniqueValues!F:F,0)),INDEX(Taxonomy_UniqueValues!D:D,MATCH(T426,Taxonomy_UniqueValues!E:E,0)))),"#N/C")</f>
        <v>Asilomorpha</v>
      </c>
      <c r="T426" s="43" t="s">
        <v>439</v>
      </c>
      <c r="U426" s="43" t="s">
        <v>440</v>
      </c>
      <c r="V426" s="43" t="s">
        <v>35</v>
      </c>
      <c r="W426" s="43" t="s">
        <v>35</v>
      </c>
      <c r="X426" s="30" t="s">
        <v>35</v>
      </c>
      <c r="Y426" s="69" t="str" cm="1">
        <f t="array" ref="Y426">_xlfn.LET(_xlpm.cls,P426, _xlpm.ord,IFERROR(Q426,"#N/C"), _xlpm.subord,IFERROR(R426,"#N/C"), _xlpm.infr,IFERROR(S426,"#N/C"), _xlpm.sf,IFERROR(T426,"#N/C"), _xlpm.fam,IFERROR(U426,"#N/C"), _xlpm.subfam,IF(TRIM(V426)="-","#N/C",IFERROR(V426,"#N/C")),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_xlpm.fallback,IF(IFERROR(Q426,"#N/C")="#N/C",P426,IF(IFERROR(R426,"#N/C")="#N/C",Q426,IF(IFERROR(S426,"#N/C")="#N/C",R426,IF(IFERROR(T426,"#N/C")="#N/C",S426,IF(IFERROR(U426,"#N/C")="#N/C",T426,IF(IFERROR(V426,"#N/C")="#N/C",U426,"#N/C")))))), _xlpm.finalResult,IF(OR(_xlpm.computedResult="",_xlpm.computedResult="#N/C"),_xlpm.fallback,_xlpm.computedResult), INDEX(_xlpm.finalResult,1))</f>
        <v>dance_fly</v>
      </c>
      <c r="Z426" s="116" t="str" cm="1">
        <f t="array" ref="Z426">IF(OR(Y426="Insecta",Y426="Arachnida",Y426="#N/C"),"",IFERROR(_xlfn.LET(_xlpm.fc,IFERROR(_xlfn._xlws.FILTER(ClassificationClasses[],ClassificationClasses[Classification Class]=Y426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426,ClassificationClasses[Key])),0),MATCH(Y426,INDEX(ClassificationClasses[],MATCH(TRUE,ISNUMBER(SEARCH(Y426,ClassificationClasses[Key])),0),0),0)-1)))</f>
        <v>Asilomorpha</v>
      </c>
      <c r="AA426" s="116" t="str" cm="1">
        <f t="array" ref="AA426">IFERROR(IF(OR(Z426="Insecta",Z426="Arachnida",Z426="#N/C"),"",INDEX(ClassificationClasses[[Class]:[Infraorder]],MATCH(TRUE,ISNUMBER(SEARCH(Z426,ClassificationClasses[Key])),0),MATCH(Z426,INDEX(ClassificationClasses[#Data], MATCH(TRUE,ISNUMBER(SEARCH(Z426,ClassificationClasses[Key])),0), 0), 0)-1)),"")</f>
        <v>Brachycera</v>
      </c>
      <c r="AB426" s="116" t="str" cm="1">
        <f t="array" ref="AB426">IFERROR(IF(OR(AA426="Insecta",AA426="Arachnida",AA426="#N/C"),"",INDEX(ClassificationClasses[[Class]:[Suborder]],MATCH(TRUE,ISNUMBER(SEARCH(AA426,ClassificationClasses[Key])),0),MATCH(AA426,INDEX(ClassificationClasses[#Data], MATCH(TRUE,ISNUMBER(SEARCH(AA426,ClassificationClasses[Key])),0), 0), 0)-1)),"")</f>
        <v>Diptera</v>
      </c>
      <c r="AC426" s="116" t="str" cm="1">
        <f t="array" ref="AC426">IFERROR(IF(OR(AB426="Insecta",AB426="Arachnida",AB426="#N/C"),"",INDEX(ClassificationClasses[[Class]:[Suborder]],MATCH(TRUE,ISNUMBER(SEARCH(AB426,ClassificationClasses[Key])),0),MATCH(AB426,INDEX(ClassificationClasses[#Data], MATCH(TRUE,ISNUMBER(SEARCH(AB426,ClassificationClasses[Key])),0), 0), 0)-1)),"")</f>
        <v>Insecta</v>
      </c>
      <c r="AD426" s="116" t="str" cm="1">
        <f t="array" ref="AD426">IFERROR(IF(OR(AC426="Insecta",AC426="Arachnida",AC426="#N/C"),"",INDEX(ClassificationClasses[[Class]:[Suborder]],MATCH(TRUE,ISNUMBER(SEARCH(AC426,ClassificationClasses[Key])),0),MATCH(AC426,INDEX(ClassificationClasses[#Data], MATCH(TRUE,ISNUMBER(SEARCH(AC426,ClassificationClasses[Key])),0), 0), 0)-1)),"")</f>
        <v/>
      </c>
      <c r="AE426" s="18" t="str">
        <f t="shared" si="14"/>
        <v>Insecta.Diptera.Brachycera.Asilomorpha.Empidoidea.Dolichopodidae.#N/C.#N/C.#N/C</v>
      </c>
    </row>
    <row r="427" spans="1:31" x14ac:dyDescent="0.3">
      <c r="A427" s="91">
        <v>426</v>
      </c>
      <c r="B427" s="7">
        <v>44428</v>
      </c>
      <c r="C427" s="92" t="s">
        <v>719</v>
      </c>
      <c r="D427" s="93" t="str">
        <f>HYPERLINK(VLOOKUP(C427,Video_List!$F:$J,5),"video")</f>
        <v>video</v>
      </c>
      <c r="E427" s="94" t="str">
        <f>IFERROR(IF(MATCH(C427,Video_List!$F:$F,)&gt;0,"ok",""),"error")</f>
        <v>ok</v>
      </c>
      <c r="F427" s="92" t="s">
        <v>719</v>
      </c>
      <c r="G427" s="93" t="str">
        <f>HYPERLINK(VLOOKUP(F427,Video_List!$F:$J,5),"video")</f>
        <v>video</v>
      </c>
      <c r="H427" s="94" t="str">
        <f>IFERROR(IF(MATCH(F427,Video_List!$F:$F,)&gt;0,"ok",""),"error")</f>
        <v>ok</v>
      </c>
      <c r="I427" s="17">
        <v>44428.82576388889</v>
      </c>
      <c r="J427" s="8">
        <v>44428.826921296299</v>
      </c>
      <c r="K427" s="15">
        <f t="shared" si="13"/>
        <v>1.157407408754807E-3</v>
      </c>
      <c r="L427" s="4" t="s">
        <v>55</v>
      </c>
      <c r="M427" s="4" t="s">
        <v>55</v>
      </c>
      <c r="N427" s="96" t="str">
        <f>IF(ISBLANK(C427),"",IF(C427=F427, "1 video",CONCATENATE((+COUNTIFS(Video_List!$C:$C,"&lt;=" &amp;Monitoring!J427)-COUNTIFS(Video_List!$C:$C,"&lt;=" &amp;Monitoring!I427))+1," videos")))</f>
        <v>1 video</v>
      </c>
      <c r="O427" s="29" t="s">
        <v>44</v>
      </c>
      <c r="P427" s="43" t="s">
        <v>37</v>
      </c>
      <c r="Q427" s="43" t="s">
        <v>38</v>
      </c>
      <c r="R427" s="43" t="s">
        <v>39</v>
      </c>
      <c r="S427" s="97" t="str">
        <f>+IFERROR(IF(T427="#N/C","#N/C",IF(U427=0,INDEX(Taxonomy_UniqueValues!D:D,MATCH(U427,Taxonomy_UniqueValues!F:F,0)),INDEX(Taxonomy_UniqueValues!D:D,MATCH(T427,Taxonomy_UniqueValues!E:E,0)))),"#N/C")</f>
        <v>Muscomorpha</v>
      </c>
      <c r="T427" s="43" t="s">
        <v>63</v>
      </c>
      <c r="U427" s="43" t="s">
        <v>64</v>
      </c>
      <c r="V427" s="43" t="s">
        <v>65</v>
      </c>
      <c r="W427" s="43" t="s">
        <v>263</v>
      </c>
      <c r="X427" s="30" t="s">
        <v>35</v>
      </c>
      <c r="Y427" s="69" t="str" cm="1">
        <f t="array" ref="Y427">_xlfn.LET(_xlpm.cls,P427, _xlpm.ord,IFERROR(Q427,"#N/C"), _xlpm.subord,IFERROR(R427,"#N/C"), _xlpm.infr,IFERROR(S427,"#N/C"), _xlpm.sf,IFERROR(T427,"#N/C"), _xlpm.fam,IFERROR(U427,"#N/C"), _xlpm.subfam,IF(TRIM(V427)="-","#N/C",IFERROR(V427,"#N/C")),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_xlpm.fallback,IF(IFERROR(Q427,"#N/C")="#N/C",P427,IF(IFERROR(R427,"#N/C")="#N/C",Q427,IF(IFERROR(S427,"#N/C")="#N/C",R427,IF(IFERROR(T427,"#N/C")="#N/C",S427,IF(IFERROR(U427,"#N/C")="#N/C",T427,IF(IFERROR(V427,"#N/C")="#N/C",U427,"#N/C")))))), _xlpm.finalResult,IF(OR(_xlpm.computedResult="",_xlpm.computedResult="#N/C"),_xlpm.fallback,_xlpm.computedResult), INDEX(_xlpm.finalResult,1))</f>
        <v>fruit_fly</v>
      </c>
      <c r="Z427" s="116" t="str" cm="1">
        <f t="array" ref="Z427">IF(OR(Y427="Insecta",Y427="Arachnida",Y427="#N/C"),"",IFERROR(_xlfn.LET(_xlpm.fc,IFERROR(_xlfn._xlws.FILTER(ClassificationClasses[],ClassificationClasses[Classification Class]=Y427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427,ClassificationClasses[Key])),0),MATCH(Y427,INDEX(ClassificationClasses[],MATCH(TRUE,ISNUMBER(SEARCH(Y427,ClassificationClasses[Key])),0),0),0)-1)))</f>
        <v>Muscomorpha</v>
      </c>
      <c r="AA427" s="116" t="str" cm="1">
        <f t="array" ref="AA427">IFERROR(IF(OR(Z427="Insecta",Z427="Arachnida",Z427="#N/C"),"",INDEX(ClassificationClasses[[Class]:[Infraorder]],MATCH(TRUE,ISNUMBER(SEARCH(Z427,ClassificationClasses[Key])),0),MATCH(Z427,INDEX(ClassificationClasses[#Data], MATCH(TRUE,ISNUMBER(SEARCH(Z427,ClassificationClasses[Key])),0), 0), 0)-1)),"")</f>
        <v>Brachycera</v>
      </c>
      <c r="AB427" s="116" t="str" cm="1">
        <f t="array" ref="AB427">IFERROR(IF(OR(AA427="Insecta",AA427="Arachnida",AA427="#N/C"),"",INDEX(ClassificationClasses[[Class]:[Suborder]],MATCH(TRUE,ISNUMBER(SEARCH(AA427,ClassificationClasses[Key])),0),MATCH(AA427,INDEX(ClassificationClasses[#Data], MATCH(TRUE,ISNUMBER(SEARCH(AA427,ClassificationClasses[Key])),0), 0), 0)-1)),"")</f>
        <v>Diptera</v>
      </c>
      <c r="AC427" s="116" t="str" cm="1">
        <f t="array" ref="AC427">IFERROR(IF(OR(AB427="Insecta",AB427="Arachnida",AB427="#N/C"),"",INDEX(ClassificationClasses[[Class]:[Suborder]],MATCH(TRUE,ISNUMBER(SEARCH(AB427,ClassificationClasses[Key])),0),MATCH(AB427,INDEX(ClassificationClasses[#Data], MATCH(TRUE,ISNUMBER(SEARCH(AB427,ClassificationClasses[Key])),0), 0), 0)-1)),"")</f>
        <v>Insecta</v>
      </c>
      <c r="AD427" s="116" t="str" cm="1">
        <f t="array" ref="AD427">IFERROR(IF(OR(AC427="Insecta",AC427="Arachnida",AC427="#N/C"),"",INDEX(ClassificationClasses[[Class]:[Suborder]],MATCH(TRUE,ISNUMBER(SEARCH(AC427,ClassificationClasses[Key])),0),MATCH(AC427,INDEX(ClassificationClasses[#Data], MATCH(TRUE,ISNUMBER(SEARCH(AC427,ClassificationClasses[Key])),0), 0), 0)-1)),"")</f>
        <v/>
      </c>
      <c r="AE427" s="18" t="str">
        <f t="shared" si="14"/>
        <v>Insecta.Diptera.Brachycera.Muscomorpha.Ephydroidea.Drosophilidae.Drosophilinae.Drosophila.#N/C</v>
      </c>
    </row>
    <row r="428" spans="1:31" x14ac:dyDescent="0.3">
      <c r="A428" s="91">
        <v>427</v>
      </c>
      <c r="B428" s="7">
        <v>44428</v>
      </c>
      <c r="C428" s="92" t="s">
        <v>720</v>
      </c>
      <c r="D428" s="93" t="str">
        <f>HYPERLINK(VLOOKUP(C428,Video_List!$F:$J,5),"video")</f>
        <v>video</v>
      </c>
      <c r="E428" s="94" t="str">
        <f>IFERROR(IF(MATCH(C428,Video_List!$F:$F,)&gt;0,"ok",""),"error")</f>
        <v>ok</v>
      </c>
      <c r="F428" s="92" t="s">
        <v>720</v>
      </c>
      <c r="G428" s="93" t="str">
        <f>HYPERLINK(VLOOKUP(F428,Video_List!$F:$J,5),"video")</f>
        <v>video</v>
      </c>
      <c r="H428" s="94" t="str">
        <f>IFERROR(IF(MATCH(F428,Video_List!$F:$F,)&gt;0,"ok",""),"error")</f>
        <v>ok</v>
      </c>
      <c r="I428" s="17">
        <v>44428.847928240742</v>
      </c>
      <c r="J428" s="8">
        <v>44428.848182870373</v>
      </c>
      <c r="K428" s="15">
        <f t="shared" si="13"/>
        <v>2.546296309446916E-4</v>
      </c>
      <c r="L428" s="4" t="s">
        <v>32</v>
      </c>
      <c r="M428" s="4" t="s">
        <v>33</v>
      </c>
      <c r="N428" s="96" t="str">
        <f>IF(ISBLANK(C428),"",IF(C428=F428, "1 video",CONCATENATE((+COUNTIFS(Video_List!$C:$C,"&lt;=" &amp;Monitoring!J428)-COUNTIFS(Video_List!$C:$C,"&lt;=" &amp;Monitoring!I428))+1," videos")))</f>
        <v>1 video</v>
      </c>
      <c r="O428" s="27" t="s">
        <v>32</v>
      </c>
      <c r="P428" s="43" t="s">
        <v>37</v>
      </c>
      <c r="Q428" s="43" t="s">
        <v>56</v>
      </c>
      <c r="R428" s="43" t="s">
        <v>57</v>
      </c>
      <c r="S428" s="97" t="str">
        <f>+IFERROR(IF(T428="#N/C","#N/C",IF(U428=0,INDEX(Taxonomy_UniqueValues!D:D,MATCH(U428,Taxonomy_UniqueValues!F:F,0)),INDEX(Taxonomy_UniqueValues!D:D,MATCH(T428,Taxonomy_UniqueValues!E:E,0)))),"#N/C")</f>
        <v>Heterocera</v>
      </c>
      <c r="T428" s="43" t="s">
        <v>257</v>
      </c>
      <c r="U428" s="43" t="s">
        <v>35</v>
      </c>
      <c r="V428" s="43" t="s">
        <v>35</v>
      </c>
      <c r="W428" s="43" t="s">
        <v>35</v>
      </c>
      <c r="X428" s="30" t="s">
        <v>35</v>
      </c>
      <c r="Y428" s="69" t="str" cm="1">
        <f t="array" ref="Y428">_xlfn.LET(_xlpm.cls,P428, _xlpm.ord,IFERROR(Q428,"#N/C"), _xlpm.subord,IFERROR(R428,"#N/C"), _xlpm.infr,IFERROR(S428,"#N/C"), _xlpm.sf,IFERROR(T428,"#N/C"), _xlpm.fam,IFERROR(U428,"#N/C"), _xlpm.subfam,IF(TRIM(V428)="-","#N/C",IFERROR(V428,"#N/C")),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_xlpm.fallback,IF(IFERROR(Q428,"#N/C")="#N/C",P428,IF(IFERROR(R428,"#N/C")="#N/C",Q428,IF(IFERROR(S428,"#N/C")="#N/C",R428,IF(IFERROR(T428,"#N/C")="#N/C",S428,IF(IFERROR(U428,"#N/C")="#N/C",T428,IF(IFERROR(V428,"#N/C")="#N/C",U428,"#N/C")))))), _xlpm.finalResult,IF(OR(_xlpm.computedResult="",_xlpm.computedResult="#N/C"),_xlpm.fallback,_xlpm.computedResult), INDEX(_xlpm.finalResult,1))</f>
        <v>Gelechioidea</v>
      </c>
      <c r="Z428" s="116" t="str" cm="1">
        <f t="array" ref="Z428">IF(OR(Y428="Insecta",Y428="Arachnida",Y428="#N/C"),"",IFERROR(_xlfn.LET(_xlpm.fc,IFERROR(_xlfn._xlws.FILTER(ClassificationClasses[],ClassificationClasses[Classification Class]=Y428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428,ClassificationClasses[Key])),0),MATCH(Y428,INDEX(ClassificationClasses[],MATCH(TRUE,ISNUMBER(SEARCH(Y428,ClassificationClasses[Key])),0),0),0)-1)))</f>
        <v>Heterocera</v>
      </c>
      <c r="AA428" s="116" t="str" cm="1">
        <f t="array" ref="AA428">IFERROR(IF(OR(Z428="Insecta",Z428="Arachnida",Z428="#N/C"),"",INDEX(ClassificationClasses[[Class]:[Infraorder]],MATCH(TRUE,ISNUMBER(SEARCH(Z428,ClassificationClasses[Key])),0),MATCH(Z428,INDEX(ClassificationClasses[#Data], MATCH(TRUE,ISNUMBER(SEARCH(Z428,ClassificationClasses[Key])),0), 0), 0)-1)),"")</f>
        <v>Glossata</v>
      </c>
      <c r="AB428" s="116" t="str" cm="1">
        <f t="array" ref="AB428">IFERROR(IF(OR(AA428="Insecta",AA428="Arachnida",AA428="#N/C"),"",INDEX(ClassificationClasses[[Class]:[Suborder]],MATCH(TRUE,ISNUMBER(SEARCH(AA428,ClassificationClasses[Key])),0),MATCH(AA428,INDEX(ClassificationClasses[#Data], MATCH(TRUE,ISNUMBER(SEARCH(AA428,ClassificationClasses[Key])),0), 0), 0)-1)),"")</f>
        <v>Lepidoptera</v>
      </c>
      <c r="AC428" s="116" t="str" cm="1">
        <f t="array" ref="AC428">IFERROR(IF(OR(AB428="Insecta",AB428="Arachnida",AB428="#N/C"),"",INDEX(ClassificationClasses[[Class]:[Suborder]],MATCH(TRUE,ISNUMBER(SEARCH(AB428,ClassificationClasses[Key])),0),MATCH(AB428,INDEX(ClassificationClasses[#Data], MATCH(TRUE,ISNUMBER(SEARCH(AB428,ClassificationClasses[Key])),0), 0), 0)-1)),"")</f>
        <v>Insecta</v>
      </c>
      <c r="AD428" s="116" t="str" cm="1">
        <f t="array" ref="AD428">IFERROR(IF(OR(AC428="Insecta",AC428="Arachnida",AC428="#N/C"),"",INDEX(ClassificationClasses[[Class]:[Suborder]],MATCH(TRUE,ISNUMBER(SEARCH(AC428,ClassificationClasses[Key])),0),MATCH(AC428,INDEX(ClassificationClasses[#Data], MATCH(TRUE,ISNUMBER(SEARCH(AC428,ClassificationClasses[Key])),0), 0), 0)-1)),"")</f>
        <v/>
      </c>
      <c r="AE428" s="18" t="str">
        <f t="shared" si="14"/>
        <v>Insecta.Lepidoptera.Glossata.Heterocera.Gelechioidea.#N/C.#N/C.#N/C.#N/C</v>
      </c>
    </row>
    <row r="429" spans="1:31" x14ac:dyDescent="0.3">
      <c r="A429" s="91">
        <v>428</v>
      </c>
      <c r="B429" s="7">
        <v>44428</v>
      </c>
      <c r="C429" s="92" t="s">
        <v>721</v>
      </c>
      <c r="D429" s="93" t="str">
        <f>HYPERLINK(VLOOKUP(C429,Video_List!$F:$J,5),"video")</f>
        <v>video</v>
      </c>
      <c r="E429" s="94" t="str">
        <f>IFERROR(IF(MATCH(C429,Video_List!$F:$F,)&gt;0,"ok",""),"error")</f>
        <v>ok</v>
      </c>
      <c r="F429" s="92" t="s">
        <v>721</v>
      </c>
      <c r="G429" s="93" t="str">
        <f>HYPERLINK(VLOOKUP(F429,Video_List!$F:$J,5),"video")</f>
        <v>video</v>
      </c>
      <c r="H429" s="94" t="str">
        <f>IFERROR(IF(MATCH(F429,Video_List!$F:$F,)&gt;0,"ok",""),"error")</f>
        <v>ok</v>
      </c>
      <c r="I429" s="17">
        <v>44428.849166666667</v>
      </c>
      <c r="J429" s="8">
        <v>44428.849270833336</v>
      </c>
      <c r="K429" s="15">
        <f t="shared" si="13"/>
        <v>1.0416666918899864E-4</v>
      </c>
      <c r="L429" s="4" t="s">
        <v>32</v>
      </c>
      <c r="M429" s="4" t="s">
        <v>33</v>
      </c>
      <c r="N429" s="96" t="str">
        <f>IF(ISBLANK(C429),"",IF(C429=F429, "1 video",CONCATENATE((+COUNTIFS(Video_List!$C:$C,"&lt;=" &amp;Monitoring!J429)-COUNTIFS(Video_List!$C:$C,"&lt;=" &amp;Monitoring!I429))+1," videos")))</f>
        <v>1 video</v>
      </c>
      <c r="O429" s="29" t="s">
        <v>44</v>
      </c>
      <c r="P429" s="43" t="s">
        <v>37</v>
      </c>
      <c r="Q429" s="43" t="s">
        <v>38</v>
      </c>
      <c r="R429" s="43" t="s">
        <v>39</v>
      </c>
      <c r="S429" s="97" t="str">
        <f>+IFERROR(IF(T429="#N/C","#N/C",IF(U429=0,INDEX(Taxonomy_UniqueValues!D:D,MATCH(U429,Taxonomy_UniqueValues!F:F,0)),INDEX(Taxonomy_UniqueValues!D:D,MATCH(T429,Taxonomy_UniqueValues!E:E,0)))),"#N/C")</f>
        <v>Muscomorpha</v>
      </c>
      <c r="T429" s="43" t="s">
        <v>46</v>
      </c>
      <c r="U429" s="43" t="s">
        <v>478</v>
      </c>
      <c r="V429" s="43" t="s">
        <v>35</v>
      </c>
      <c r="W429" s="43" t="s">
        <v>35</v>
      </c>
      <c r="X429" s="30" t="s">
        <v>35</v>
      </c>
      <c r="Y429" s="69" t="str" cm="1">
        <f t="array" ref="Y429">_xlfn.LET(_xlpm.cls,P429, _xlpm.ord,IFERROR(Q429,"#N/C"), _xlpm.subord,IFERROR(R429,"#N/C"), _xlpm.infr,IFERROR(S429,"#N/C"), _xlpm.sf,IFERROR(T429,"#N/C"), _xlpm.fam,IFERROR(U429,"#N/C"), _xlpm.subfam,IF(TRIM(V429)="-","#N/C",IFERROR(V429,"#N/C")),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_xlpm.fallback,IF(IFERROR(Q429,"#N/C")="#N/C",P429,IF(IFERROR(R429,"#N/C")="#N/C",Q429,IF(IFERROR(S429,"#N/C")="#N/C",R429,IF(IFERROR(T429,"#N/C")="#N/C",S429,IF(IFERROR(U429,"#N/C")="#N/C",T429,IF(IFERROR(V429,"#N/C")="#N/C",U429,"#N/C")))))), _xlpm.finalResult,IF(OR(_xlpm.computedResult="",_xlpm.computedResult="#N/C"),_xlpm.fallback,_xlpm.computedResult), INDEX(_xlpm.finalResult,1))</f>
        <v>hoverfly</v>
      </c>
      <c r="Z429" s="116" t="str" cm="1">
        <f t="array" ref="Z429">IF(OR(Y429="Insecta",Y429="Arachnida",Y429="#N/C"),"",IFERROR(_xlfn.LET(_xlpm.fc,IFERROR(_xlfn._xlws.FILTER(ClassificationClasses[],ClassificationClasses[Classification Class]=Y429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429,ClassificationClasses[Key])),0),MATCH(Y429,INDEX(ClassificationClasses[],MATCH(TRUE,ISNUMBER(SEARCH(Y429,ClassificationClasses[Key])),0),0),0)-1)))</f>
        <v>Muscomorpha</v>
      </c>
      <c r="AA429" s="116" t="str" cm="1">
        <f t="array" ref="AA429">IFERROR(IF(OR(Z429="Insecta",Z429="Arachnida",Z429="#N/C"),"",INDEX(ClassificationClasses[[Class]:[Infraorder]],MATCH(TRUE,ISNUMBER(SEARCH(Z429,ClassificationClasses[Key])),0),MATCH(Z429,INDEX(ClassificationClasses[#Data], MATCH(TRUE,ISNUMBER(SEARCH(Z429,ClassificationClasses[Key])),0), 0), 0)-1)),"")</f>
        <v>Brachycera</v>
      </c>
      <c r="AB429" s="116" t="str" cm="1">
        <f t="array" ref="AB429">IFERROR(IF(OR(AA429="Insecta",AA429="Arachnida",AA429="#N/C"),"",INDEX(ClassificationClasses[[Class]:[Suborder]],MATCH(TRUE,ISNUMBER(SEARCH(AA429,ClassificationClasses[Key])),0),MATCH(AA429,INDEX(ClassificationClasses[#Data], MATCH(TRUE,ISNUMBER(SEARCH(AA429,ClassificationClasses[Key])),0), 0), 0)-1)),"")</f>
        <v>Diptera</v>
      </c>
      <c r="AC429" s="116" t="str" cm="1">
        <f t="array" ref="AC429">IFERROR(IF(OR(AB429="Insecta",AB429="Arachnida",AB429="#N/C"),"",INDEX(ClassificationClasses[[Class]:[Suborder]],MATCH(TRUE,ISNUMBER(SEARCH(AB429,ClassificationClasses[Key])),0),MATCH(AB429,INDEX(ClassificationClasses[#Data], MATCH(TRUE,ISNUMBER(SEARCH(AB429,ClassificationClasses[Key])),0), 0), 0)-1)),"")</f>
        <v>Insecta</v>
      </c>
      <c r="AD429" s="116" t="str" cm="1">
        <f t="array" ref="AD429">IFERROR(IF(OR(AC429="Insecta",AC429="Arachnida",AC429="#N/C"),"",INDEX(ClassificationClasses[[Class]:[Suborder]],MATCH(TRUE,ISNUMBER(SEARCH(AC429,ClassificationClasses[Key])),0),MATCH(AC429,INDEX(ClassificationClasses[#Data], MATCH(TRUE,ISNUMBER(SEARCH(AC429,ClassificationClasses[Key])),0), 0), 0)-1)),"")</f>
        <v/>
      </c>
      <c r="AE429" s="18" t="str">
        <f t="shared" si="14"/>
        <v>Insecta.Diptera.Brachycera.Muscomorpha.Syrphoidea.Pipunculidae.#N/C.#N/C.#N/C</v>
      </c>
    </row>
    <row r="430" spans="1:31" x14ac:dyDescent="0.3">
      <c r="A430" s="91">
        <v>429</v>
      </c>
      <c r="B430" s="7">
        <v>44428</v>
      </c>
      <c r="C430" s="92" t="s">
        <v>722</v>
      </c>
      <c r="D430" s="93" t="str">
        <f>HYPERLINK(VLOOKUP(C430,Video_List!$F:$J,5),"video")</f>
        <v>video</v>
      </c>
      <c r="E430" s="94" t="str">
        <f>IFERROR(IF(MATCH(C430,Video_List!$F:$F,)&gt;0,"ok",""),"error")</f>
        <v>ok</v>
      </c>
      <c r="F430" s="92" t="s">
        <v>722</v>
      </c>
      <c r="G430" s="93" t="str">
        <f>HYPERLINK(VLOOKUP(F430,Video_List!$F:$J,5),"video")</f>
        <v>video</v>
      </c>
      <c r="H430" s="94" t="str">
        <f>IFERROR(IF(MATCH(F430,Video_List!$F:$F,)&gt;0,"ok",""),"error")</f>
        <v>ok</v>
      </c>
      <c r="I430" s="17">
        <v>44428.853356481479</v>
      </c>
      <c r="J430" s="8">
        <v>44428.853761574072</v>
      </c>
      <c r="K430" s="15">
        <f t="shared" si="13"/>
        <v>4.0509259270038456E-4</v>
      </c>
      <c r="L430" s="4" t="s">
        <v>32</v>
      </c>
      <c r="M430" s="4" t="s">
        <v>33</v>
      </c>
      <c r="N430" s="96" t="str">
        <f>IF(ISBLANK(C430),"",IF(C430=F430, "1 video",CONCATENATE((+COUNTIFS(Video_List!$C:$C,"&lt;=" &amp;Monitoring!J430)-COUNTIFS(Video_List!$C:$C,"&lt;=" &amp;Monitoring!I430))+1," videos")))</f>
        <v>1 video</v>
      </c>
      <c r="O430" s="27" t="s">
        <v>32</v>
      </c>
      <c r="P430" s="43" t="s">
        <v>37</v>
      </c>
      <c r="Q430" s="43" t="s">
        <v>38</v>
      </c>
      <c r="R430" s="43" t="s">
        <v>39</v>
      </c>
      <c r="S430" s="97" t="str">
        <f>+IFERROR(IF(T430="#N/C","#N/C",IF(U430=0,INDEX(Taxonomy_UniqueValues!D:D,MATCH(U430,Taxonomy_UniqueValues!F:F,0)),INDEX(Taxonomy_UniqueValues!D:D,MATCH(T430,Taxonomy_UniqueValues!E:E,0)))),"#N/C")</f>
        <v>#N/C</v>
      </c>
      <c r="T430" s="43" t="s">
        <v>35</v>
      </c>
      <c r="U430" s="43" t="s">
        <v>35</v>
      </c>
      <c r="V430" s="43" t="s">
        <v>35</v>
      </c>
      <c r="W430" s="43" t="s">
        <v>35</v>
      </c>
      <c r="X430" s="30" t="s">
        <v>35</v>
      </c>
      <c r="Y430" s="69" t="str" cm="1">
        <f t="array" ref="Y430">_xlfn.LET(_xlpm.cls,P430, _xlpm.ord,IFERROR(Q430,"#N/C"), _xlpm.subord,IFERROR(R430,"#N/C"), _xlpm.infr,IFERROR(S430,"#N/C"), _xlpm.sf,IFERROR(T430,"#N/C"), _xlpm.fam,IFERROR(U430,"#N/C"), _xlpm.subfam,IF(TRIM(V430)="-","#N/C",IFERROR(V430,"#N/C")),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_xlpm.fallback,IF(IFERROR(Q430,"#N/C")="#N/C",P430,IF(IFERROR(R430,"#N/C")="#N/C",Q430,IF(IFERROR(S430,"#N/C")="#N/C",R430,IF(IFERROR(T430,"#N/C")="#N/C",S430,IF(IFERROR(U430,"#N/C")="#N/C",T430,IF(IFERROR(V430,"#N/C")="#N/C",U430,"#N/C")))))), _xlpm.finalResult,IF(OR(_xlpm.computedResult="",_xlpm.computedResult="#N/C"),_xlpm.fallback,_xlpm.computedResult), INDEX(_xlpm.finalResult,1))</f>
        <v>Brachycera</v>
      </c>
      <c r="Z430" s="116" t="str" cm="1">
        <f t="array" ref="Z430">IF(OR(Y430="Insecta",Y430="Arachnida",Y430="#N/C"),"",IFERROR(_xlfn.LET(_xlpm.fc,IFERROR(_xlfn._xlws.FILTER(ClassificationClasses[],ClassificationClasses[Classification Class]=Y430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430,ClassificationClasses[Key])),0),MATCH(Y430,INDEX(ClassificationClasses[],MATCH(TRUE,ISNUMBER(SEARCH(Y430,ClassificationClasses[Key])),0),0),0)-1)))</f>
        <v>Diptera</v>
      </c>
      <c r="AA430" s="116" t="str" cm="1">
        <f t="array" ref="AA430">IFERROR(IF(OR(Z430="Insecta",Z430="Arachnida",Z430="#N/C"),"",INDEX(ClassificationClasses[[Class]:[Infraorder]],MATCH(TRUE,ISNUMBER(SEARCH(Z430,ClassificationClasses[Key])),0),MATCH(Z430,INDEX(ClassificationClasses[#Data], MATCH(TRUE,ISNUMBER(SEARCH(Z430,ClassificationClasses[Key])),0), 0), 0)-1)),"")</f>
        <v>Insecta</v>
      </c>
      <c r="AB430" s="116" t="str" cm="1">
        <f t="array" ref="AB430">IFERROR(IF(OR(AA430="Insecta",AA430="Arachnida",AA430="#N/C"),"",INDEX(ClassificationClasses[[Class]:[Suborder]],MATCH(TRUE,ISNUMBER(SEARCH(AA430,ClassificationClasses[Key])),0),MATCH(AA430,INDEX(ClassificationClasses[#Data], MATCH(TRUE,ISNUMBER(SEARCH(AA430,ClassificationClasses[Key])),0), 0), 0)-1)),"")</f>
        <v/>
      </c>
      <c r="AC430" s="116" t="str" cm="1">
        <f t="array" ref="AC430">IFERROR(IF(OR(AB430="Insecta",AB430="Arachnida",AB430="#N/C"),"",INDEX(ClassificationClasses[[Class]:[Suborder]],MATCH(TRUE,ISNUMBER(SEARCH(AB430,ClassificationClasses[Key])),0),MATCH(AB430,INDEX(ClassificationClasses[#Data], MATCH(TRUE,ISNUMBER(SEARCH(AB430,ClassificationClasses[Key])),0), 0), 0)-1)),"")</f>
        <v/>
      </c>
      <c r="AD430" s="116" t="str" cm="1">
        <f t="array" ref="AD430">IFERROR(IF(OR(AC430="Insecta",AC430="Arachnida",AC430="#N/C"),"",INDEX(ClassificationClasses[[Class]:[Suborder]],MATCH(TRUE,ISNUMBER(SEARCH(AC430,ClassificationClasses[Key])),0),MATCH(AC430,INDEX(ClassificationClasses[#Data], MATCH(TRUE,ISNUMBER(SEARCH(AC430,ClassificationClasses[Key])),0), 0), 0)-1)),"")</f>
        <v/>
      </c>
      <c r="AE430" s="18" t="str">
        <f t="shared" si="14"/>
        <v>Insecta.Diptera.Brachycera.#N/C.#N/C.#N/C.#N/C.#N/C.#N/C</v>
      </c>
    </row>
    <row r="431" spans="1:31" x14ac:dyDescent="0.3">
      <c r="A431" s="91">
        <v>430</v>
      </c>
      <c r="B431" s="7">
        <v>44428</v>
      </c>
      <c r="C431" s="92" t="s">
        <v>723</v>
      </c>
      <c r="D431" s="93" t="str">
        <f>HYPERLINK(VLOOKUP(C431,Video_List!$F:$J,5),"video")</f>
        <v>video</v>
      </c>
      <c r="E431" s="94" t="str">
        <f>IFERROR(IF(MATCH(C431,Video_List!$F:$F,)&gt;0,"ok",""),"error")</f>
        <v>ok</v>
      </c>
      <c r="F431" s="92" t="s">
        <v>723</v>
      </c>
      <c r="G431" s="93" t="str">
        <f>HYPERLINK(VLOOKUP(F431,Video_List!$F:$J,5),"video")</f>
        <v>video</v>
      </c>
      <c r="H431" s="94" t="str">
        <f>IFERROR(IF(MATCH(F431,Video_List!$F:$F,)&gt;0,"ok",""),"error")</f>
        <v>ok</v>
      </c>
      <c r="I431" s="17">
        <v>44428.853946759256</v>
      </c>
      <c r="J431" s="8">
        <v>44428.855821759258</v>
      </c>
      <c r="K431" s="15">
        <f t="shared" si="13"/>
        <v>1.8750000017462298E-3</v>
      </c>
      <c r="L431" s="4" t="s">
        <v>55</v>
      </c>
      <c r="M431" s="4" t="s">
        <v>55</v>
      </c>
      <c r="N431" s="96" t="str">
        <f>IF(ISBLANK(C431),"",IF(C431=F431, "1 video",CONCATENATE((+COUNTIFS(Video_List!$C:$C,"&lt;=" &amp;Monitoring!J431)-COUNTIFS(Video_List!$C:$C,"&lt;=" &amp;Monitoring!I431))+1," videos")))</f>
        <v>1 video</v>
      </c>
      <c r="O431" s="27" t="s">
        <v>32</v>
      </c>
      <c r="P431" s="43" t="s">
        <v>37</v>
      </c>
      <c r="Q431" s="43" t="s">
        <v>38</v>
      </c>
      <c r="R431" s="43" t="s">
        <v>39</v>
      </c>
      <c r="S431" s="97" t="str">
        <f>+IFERROR(IF(T431="#N/C","#N/C",IF(U431=0,INDEX(Taxonomy_UniqueValues!D:D,MATCH(U431,Taxonomy_UniqueValues!F:F,0)),INDEX(Taxonomy_UniqueValues!D:D,MATCH(T431,Taxonomy_UniqueValues!E:E,0)))),"#N/C")</f>
        <v>#N/C</v>
      </c>
      <c r="T431" s="43" t="s">
        <v>35</v>
      </c>
      <c r="U431" s="43" t="s">
        <v>35</v>
      </c>
      <c r="V431" s="43" t="s">
        <v>35</v>
      </c>
      <c r="W431" s="43" t="s">
        <v>35</v>
      </c>
      <c r="X431" s="30" t="s">
        <v>35</v>
      </c>
      <c r="Y431" s="69" t="str" cm="1">
        <f t="array" ref="Y431">_xlfn.LET(_xlpm.cls,P431, _xlpm.ord,IFERROR(Q431,"#N/C"), _xlpm.subord,IFERROR(R431,"#N/C"), _xlpm.infr,IFERROR(S431,"#N/C"), _xlpm.sf,IFERROR(T431,"#N/C"), _xlpm.fam,IFERROR(U431,"#N/C"), _xlpm.subfam,IF(TRIM(V431)="-","#N/C",IFERROR(V431,"#N/C")),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_xlpm.fallback,IF(IFERROR(Q431,"#N/C")="#N/C",P431,IF(IFERROR(R431,"#N/C")="#N/C",Q431,IF(IFERROR(S431,"#N/C")="#N/C",R431,IF(IFERROR(T431,"#N/C")="#N/C",S431,IF(IFERROR(U431,"#N/C")="#N/C",T431,IF(IFERROR(V431,"#N/C")="#N/C",U431,"#N/C")))))), _xlpm.finalResult,IF(OR(_xlpm.computedResult="",_xlpm.computedResult="#N/C"),_xlpm.fallback,_xlpm.computedResult), INDEX(_xlpm.finalResult,1))</f>
        <v>Brachycera</v>
      </c>
      <c r="Z431" s="116" t="str" cm="1">
        <f t="array" ref="Z431">IF(OR(Y431="Insecta",Y431="Arachnida",Y431="#N/C"),"",IFERROR(_xlfn.LET(_xlpm.fc,IFERROR(_xlfn._xlws.FILTER(ClassificationClasses[],ClassificationClasses[Classification Class]=Y431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431,ClassificationClasses[Key])),0),MATCH(Y431,INDEX(ClassificationClasses[],MATCH(TRUE,ISNUMBER(SEARCH(Y431,ClassificationClasses[Key])),0),0),0)-1)))</f>
        <v>Diptera</v>
      </c>
      <c r="AA431" s="116" t="str" cm="1">
        <f t="array" ref="AA431">IFERROR(IF(OR(Z431="Insecta",Z431="Arachnida",Z431="#N/C"),"",INDEX(ClassificationClasses[[Class]:[Infraorder]],MATCH(TRUE,ISNUMBER(SEARCH(Z431,ClassificationClasses[Key])),0),MATCH(Z431,INDEX(ClassificationClasses[#Data], MATCH(TRUE,ISNUMBER(SEARCH(Z431,ClassificationClasses[Key])),0), 0), 0)-1)),"")</f>
        <v>Insecta</v>
      </c>
      <c r="AB431" s="116" t="str" cm="1">
        <f t="array" ref="AB431">IFERROR(IF(OR(AA431="Insecta",AA431="Arachnida",AA431="#N/C"),"",INDEX(ClassificationClasses[[Class]:[Suborder]],MATCH(TRUE,ISNUMBER(SEARCH(AA431,ClassificationClasses[Key])),0),MATCH(AA431,INDEX(ClassificationClasses[#Data], MATCH(TRUE,ISNUMBER(SEARCH(AA431,ClassificationClasses[Key])),0), 0), 0)-1)),"")</f>
        <v/>
      </c>
      <c r="AC431" s="116" t="str" cm="1">
        <f t="array" ref="AC431">IFERROR(IF(OR(AB431="Insecta",AB431="Arachnida",AB431="#N/C"),"",INDEX(ClassificationClasses[[Class]:[Suborder]],MATCH(TRUE,ISNUMBER(SEARCH(AB431,ClassificationClasses[Key])),0),MATCH(AB431,INDEX(ClassificationClasses[#Data], MATCH(TRUE,ISNUMBER(SEARCH(AB431,ClassificationClasses[Key])),0), 0), 0)-1)),"")</f>
        <v/>
      </c>
      <c r="AD431" s="116" t="str" cm="1">
        <f t="array" ref="AD431">IFERROR(IF(OR(AC431="Insecta",AC431="Arachnida",AC431="#N/C"),"",INDEX(ClassificationClasses[[Class]:[Suborder]],MATCH(TRUE,ISNUMBER(SEARCH(AC431,ClassificationClasses[Key])),0),MATCH(AC431,INDEX(ClassificationClasses[#Data], MATCH(TRUE,ISNUMBER(SEARCH(AC431,ClassificationClasses[Key])),0), 0), 0)-1)),"")</f>
        <v/>
      </c>
      <c r="AE431" s="18" t="str">
        <f t="shared" si="14"/>
        <v>Insecta.Diptera.Brachycera.#N/C.#N/C.#N/C.#N/C.#N/C.#N/C</v>
      </c>
    </row>
    <row r="432" spans="1:31" ht="15" thickBot="1" x14ac:dyDescent="0.35">
      <c r="A432" s="103">
        <v>431</v>
      </c>
      <c r="B432" s="104">
        <v>44428</v>
      </c>
      <c r="C432" s="105" t="s">
        <v>723</v>
      </c>
      <c r="D432" s="106" t="str">
        <f>HYPERLINK(VLOOKUP(C432,Video_List!$F:$J,5),"video")</f>
        <v>video</v>
      </c>
      <c r="E432" s="107" t="str">
        <f>IFERROR(IF(MATCH(C432,Video_List!$F:$F,)&gt;0,"ok",""),"error")</f>
        <v>ok</v>
      </c>
      <c r="F432" s="105" t="s">
        <v>723</v>
      </c>
      <c r="G432" s="106" t="str">
        <f>HYPERLINK(VLOOKUP(F432,Video_List!$F:$J,5),"video")</f>
        <v>video</v>
      </c>
      <c r="H432" s="107" t="str">
        <f>IFERROR(IF(MATCH(F432,Video_List!$F:$F,)&gt;0,"ok",""),"error")</f>
        <v>ok</v>
      </c>
      <c r="I432" s="108">
        <v>44428.854328703703</v>
      </c>
      <c r="J432" s="109">
        <v>44428.855821759258</v>
      </c>
      <c r="K432" s="110">
        <f t="shared" si="13"/>
        <v>1.4930555553291924E-3</v>
      </c>
      <c r="L432" s="111" t="s">
        <v>44</v>
      </c>
      <c r="M432" s="111" t="s">
        <v>118</v>
      </c>
      <c r="N432" s="112" t="str">
        <f>IF(ISBLANK(C432),"",IF(C432=F432, "1 video",CONCATENATE((+COUNTIFS(Video_List!$C:$C,"&lt;=" &amp;Monitoring!J432)-COUNTIFS(Video_List!$C:$C,"&lt;=" &amp;Monitoring!I432))+1," videos")))</f>
        <v>1 video</v>
      </c>
      <c r="O432" s="31" t="s">
        <v>44</v>
      </c>
      <c r="P432" s="32" t="s">
        <v>37</v>
      </c>
      <c r="Q432" s="32" t="s">
        <v>123</v>
      </c>
      <c r="R432" s="32" t="s">
        <v>287</v>
      </c>
      <c r="S432" s="113" t="str">
        <f>+IFERROR(IF(T432="#N/C","#N/C",IF(U432=0,INDEX(Taxonomy_UniqueValues!D:D,MATCH(U432,Taxonomy_UniqueValues!F:F,0)),INDEX(Taxonomy_UniqueValues!D:D,MATCH(T432,Taxonomy_UniqueValues!E:E,0)))),"#N/C")</f>
        <v>Tettigoniidea</v>
      </c>
      <c r="T432" s="32" t="s">
        <v>288</v>
      </c>
      <c r="U432" s="32" t="s">
        <v>289</v>
      </c>
      <c r="V432" s="32" t="s">
        <v>487</v>
      </c>
      <c r="W432" s="32" t="s">
        <v>488</v>
      </c>
      <c r="X432" s="33" t="s">
        <v>35</v>
      </c>
      <c r="Y432" s="114" t="str" cm="1">
        <f t="array" ref="Y432">_xlfn.LET(_xlpm.cls,P432, _xlpm.ord,IFERROR(Q432,"#N/C"), _xlpm.subord,IFERROR(R432,"#N/C"), _xlpm.infr,IFERROR(S432,"#N/C"), _xlpm.sf,IFERROR(T432,"#N/C"), _xlpm.fam,IFERROR(U432,"#N/C"), _xlpm.subfam,IF(TRIM(V432)="-","#N/C",IFERROR(V432,"#N/C")),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_xlpm.fallback,IF(IFERROR(Q432,"#N/C")="#N/C",P432,IF(IFERROR(R432,"#N/C")="#N/C",Q432,IF(IFERROR(S432,"#N/C")="#N/C",R432,IF(IFERROR(T432,"#N/C")="#N/C",S432,IF(IFERROR(U432,"#N/C")="#N/C",T432,IF(IFERROR(V432,"#N/C")="#N/C",U432,"#N/C")))))), _xlpm.finalResult,IF(OR(_xlpm.computedResult="",_xlpm.computedResult="#N/C"),_xlpm.fallback,_xlpm.computedResult), INDEX(_xlpm.finalResult,1))</f>
        <v>grasshopper</v>
      </c>
      <c r="Z432" s="116" t="str" cm="1">
        <f t="array" ref="Z432">IF(OR(Y432="Insecta",Y432="Arachnida",Y432="#N/C"),"",IFERROR(_xlfn.LET(_xlpm.fc,IFERROR(_xlfn._xlws.FILTER(ClassificationClasses[],ClassificationClasses[Classification Class]=Y432,""),""),_xlpm.colClass,INDEX(_xlpm.fc,0,MATCH("Class",ClassificationClasses[#Headers],0)),_xlpm.colOrder,INDEX(_xlpm.fc,0,MATCH("Order",ClassificationClasses[#Headers],0)),_xlpm.colSuborder,INDEX(_xlpm.fc,0,MATCH("Suborder",ClassificationClasses[#Headers],0)),_xlpm.colInfra,INDEX(_xlpm.fc,0,MATCH("Infraorder",ClassificationClasses[#Headers],0)),_xlpm.uClass,_xlfn.UNIQUE(_xlpm.colClass),_xlpm.uOrder,_xlfn.UNIQUE(_xlpm.colOrder),_xlpm.uSuborder,_xlfn.UNIQUE(_xlpm.colSuborder),_xlpm.uInfra,_xlfn.UNIQUE(_xlpm.colInfra),_xlpm.resultado,IF(AND(COUNTA(_xlpm.uInfra)=1,INDEX(_xlpm.uInfra,1)&lt;&gt;"",INDEX(_xlpm.uInfra,1)&lt;&gt;0),INDEX(_xlpm.uInfra,1),IF(AND(COUNTA(_xlpm.uSuborder)=1,INDEX(_xlpm.uSuborder,1)&lt;&gt;"",INDEX(_xlpm.uSuborder,1)&lt;&gt;0),INDEX(_xlpm.uSuborder,1),IF(AND(COUNTA(_xlpm.uOrder)=1,INDEX(_xlpm.uOrder,1)&lt;&gt;"",INDEX(_xlpm.uOrder,1)&lt;&gt;0),INDEX(_xlpm.uOrder,1),IF(AND(COUNTA(_xlpm.uClass)=1,INDEX(_xlpm.uClass,1)&lt;&gt;"",INDEX(_xlpm.uClass,1)&lt;&gt;0),INDEX(_xlpm.uClass,1),"Ambiguous")))),_xlpm.resultado),INDEX(ClassificationClasses[[Class]:[Superfamily]],MATCH(TRUE,ISNUMBER(SEARCH(Y432,ClassificationClasses[Key])),0),MATCH(Y432,INDEX(ClassificationClasses[],MATCH(TRUE,ISNUMBER(SEARCH(Y432,ClassificationClasses[Key])),0),0),0)-1)))</f>
        <v>Orthoptera</v>
      </c>
      <c r="AA432" s="117" t="str" cm="1">
        <f t="array" ref="AA432">IFERROR(IF(OR(Z432="Insecta",Z432="Arachnida",Z432="#N/C"),"",INDEX(ClassificationClasses[[Class]:[Infraorder]],MATCH(TRUE,ISNUMBER(SEARCH(Z432,ClassificationClasses[Key])),0),MATCH(Z432,INDEX(ClassificationClasses[#Data], MATCH(TRUE,ISNUMBER(SEARCH(Z432,ClassificationClasses[Key])),0), 0), 0)-1)),"")</f>
        <v>Insecta</v>
      </c>
      <c r="AB432" s="117" t="str" cm="1">
        <f t="array" ref="AB432">IFERROR(IF(OR(AA432="Insecta",AA432="Arachnida",AA432="#N/C"),"",INDEX(ClassificationClasses[[Class]:[Suborder]],MATCH(TRUE,ISNUMBER(SEARCH(AA432,ClassificationClasses[Key])),0),MATCH(AA432,INDEX(ClassificationClasses[#Data], MATCH(TRUE,ISNUMBER(SEARCH(AA432,ClassificationClasses[Key])),0), 0), 0)-1)),"")</f>
        <v/>
      </c>
      <c r="AC432" s="117" t="str" cm="1">
        <f t="array" ref="AC432">IFERROR(IF(OR(AB432="Insecta",AB432="Arachnida",AB432="#N/C"),"",INDEX(ClassificationClasses[[Class]:[Suborder]],MATCH(TRUE,ISNUMBER(SEARCH(AB432,ClassificationClasses[Key])),0),MATCH(AB432,INDEX(ClassificationClasses[#Data], MATCH(TRUE,ISNUMBER(SEARCH(AB432,ClassificationClasses[Key])),0), 0), 0)-1)),"")</f>
        <v/>
      </c>
      <c r="AD432" s="117" t="str" cm="1">
        <f t="array" ref="AD432">IFERROR(IF(OR(AC432="Insecta",AC432="Arachnida",AC432="#N/C"),"",INDEX(ClassificationClasses[[Class]:[Suborder]],MATCH(TRUE,ISNUMBER(SEARCH(AC432,ClassificationClasses[Key])),0),MATCH(AC432,INDEX(ClassificationClasses[#Data], MATCH(TRUE,ISNUMBER(SEARCH(AC432,ClassificationClasses[Key])),0), 0), 0)-1)),"")</f>
        <v/>
      </c>
      <c r="AE432" s="18" t="str">
        <f t="shared" si="14"/>
        <v>Insecta.Orthoptera.Ensifera.Tettigoniidea.Tettigonioidea.Tettigoniidae.Conocephalinae.Conocephalus.#N/C</v>
      </c>
    </row>
    <row r="433" spans="16:30" x14ac:dyDescent="0.3"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</row>
    <row r="434" spans="16:30" x14ac:dyDescent="0.3"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</row>
    <row r="435" spans="16:30" x14ac:dyDescent="0.3"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</row>
    <row r="436" spans="16:30" x14ac:dyDescent="0.3"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</row>
    <row r="437" spans="16:30" x14ac:dyDescent="0.3"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</row>
    <row r="438" spans="16:30" x14ac:dyDescent="0.3"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</row>
    <row r="439" spans="16:30" x14ac:dyDescent="0.3"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</row>
    <row r="440" spans="16:30" x14ac:dyDescent="0.3"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</row>
    <row r="441" spans="16:30" x14ac:dyDescent="0.3"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</row>
    <row r="442" spans="16:30" x14ac:dyDescent="0.3"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</row>
    <row r="443" spans="16:30" x14ac:dyDescent="0.3"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</row>
    <row r="444" spans="16:30" x14ac:dyDescent="0.3"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 spans="16:30" x14ac:dyDescent="0.3"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 spans="16:30" x14ac:dyDescent="0.3"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</row>
    <row r="447" spans="16:30" x14ac:dyDescent="0.3"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</row>
    <row r="448" spans="16:30" x14ac:dyDescent="0.3"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</row>
    <row r="449" spans="16:30" x14ac:dyDescent="0.3"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</row>
    <row r="450" spans="16:30" x14ac:dyDescent="0.3"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</row>
    <row r="451" spans="16:30" x14ac:dyDescent="0.3"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 spans="16:30" x14ac:dyDescent="0.3"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</row>
    <row r="453" spans="16:30" x14ac:dyDescent="0.3"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</row>
    <row r="454" spans="16:30" x14ac:dyDescent="0.3"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</row>
    <row r="455" spans="16:30" x14ac:dyDescent="0.3"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</row>
    <row r="456" spans="16:30" x14ac:dyDescent="0.3"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</row>
    <row r="457" spans="16:30" x14ac:dyDescent="0.3"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</row>
    <row r="458" spans="16:30" x14ac:dyDescent="0.3"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</row>
    <row r="459" spans="16:30" x14ac:dyDescent="0.3"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 spans="16:30" x14ac:dyDescent="0.3"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</row>
    <row r="461" spans="16:30" x14ac:dyDescent="0.3"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</row>
    <row r="462" spans="16:30" x14ac:dyDescent="0.3"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</row>
    <row r="463" spans="16:30" x14ac:dyDescent="0.3"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</row>
    <row r="464" spans="16:30" x14ac:dyDescent="0.3"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</row>
    <row r="465" spans="16:30" x14ac:dyDescent="0.3"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</row>
    <row r="466" spans="16:30" x14ac:dyDescent="0.3"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</row>
    <row r="467" spans="16:30" x14ac:dyDescent="0.3"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</row>
    <row r="468" spans="16:30" x14ac:dyDescent="0.3"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</row>
    <row r="469" spans="16:30" x14ac:dyDescent="0.3"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</row>
    <row r="470" spans="16:30" x14ac:dyDescent="0.3"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</row>
    <row r="471" spans="16:30" x14ac:dyDescent="0.3"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</row>
    <row r="472" spans="16:30" x14ac:dyDescent="0.3"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</row>
    <row r="473" spans="16:30" x14ac:dyDescent="0.3"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</row>
    <row r="474" spans="16:30" x14ac:dyDescent="0.3"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</row>
    <row r="475" spans="16:30" x14ac:dyDescent="0.3"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</row>
    <row r="476" spans="16:30" x14ac:dyDescent="0.3"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</row>
    <row r="477" spans="16:30" x14ac:dyDescent="0.3"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</row>
    <row r="478" spans="16:30" x14ac:dyDescent="0.3"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 spans="16:30" x14ac:dyDescent="0.3"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</row>
    <row r="480" spans="16:30" x14ac:dyDescent="0.3"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</row>
    <row r="481" spans="16:30" x14ac:dyDescent="0.3"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</row>
    <row r="482" spans="16:30" x14ac:dyDescent="0.3"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</row>
    <row r="483" spans="16:30" x14ac:dyDescent="0.3"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</row>
    <row r="484" spans="16:30" x14ac:dyDescent="0.3"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</row>
    <row r="485" spans="16:30" x14ac:dyDescent="0.3"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</row>
    <row r="486" spans="16:30" x14ac:dyDescent="0.3"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</row>
    <row r="487" spans="16:30" x14ac:dyDescent="0.3"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</row>
    <row r="488" spans="16:30" x14ac:dyDescent="0.3"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</row>
    <row r="489" spans="16:30" x14ac:dyDescent="0.3"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</row>
    <row r="490" spans="16:30" x14ac:dyDescent="0.3"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</row>
    <row r="491" spans="16:30" x14ac:dyDescent="0.3"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</row>
    <row r="492" spans="16:30" x14ac:dyDescent="0.3"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</row>
    <row r="493" spans="16:30" x14ac:dyDescent="0.3"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</row>
    <row r="494" spans="16:30" x14ac:dyDescent="0.3"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</row>
    <row r="495" spans="16:30" x14ac:dyDescent="0.3"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</row>
    <row r="496" spans="16:30" x14ac:dyDescent="0.3"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</row>
    <row r="497" spans="16:30" x14ac:dyDescent="0.3"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</row>
    <row r="498" spans="16:30" x14ac:dyDescent="0.3"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</row>
    <row r="499" spans="16:30" x14ac:dyDescent="0.3"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 spans="16:30" x14ac:dyDescent="0.3"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</row>
    <row r="501" spans="16:30" x14ac:dyDescent="0.3"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</row>
    <row r="502" spans="16:30" x14ac:dyDescent="0.3"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 spans="16:30" x14ac:dyDescent="0.3"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 spans="16:30" x14ac:dyDescent="0.3"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</row>
    <row r="505" spans="16:30" x14ac:dyDescent="0.3"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</row>
    <row r="506" spans="16:30" x14ac:dyDescent="0.3"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</row>
    <row r="507" spans="16:30" x14ac:dyDescent="0.3"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</row>
    <row r="508" spans="16:30" x14ac:dyDescent="0.3"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</row>
    <row r="509" spans="16:30" x14ac:dyDescent="0.3"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</row>
    <row r="510" spans="16:30" x14ac:dyDescent="0.3"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</row>
    <row r="511" spans="16:30" x14ac:dyDescent="0.3"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</row>
    <row r="512" spans="16:30" x14ac:dyDescent="0.3"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</row>
    <row r="513" spans="16:30" x14ac:dyDescent="0.3"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</row>
    <row r="514" spans="16:30" x14ac:dyDescent="0.3"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</row>
    <row r="515" spans="16:30" x14ac:dyDescent="0.3"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</row>
    <row r="516" spans="16:30" x14ac:dyDescent="0.3"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</row>
    <row r="517" spans="16:30" x14ac:dyDescent="0.3"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</row>
    <row r="518" spans="16:30" x14ac:dyDescent="0.3"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</row>
    <row r="519" spans="16:30" x14ac:dyDescent="0.3"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</row>
    <row r="520" spans="16:30" x14ac:dyDescent="0.3"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</row>
    <row r="521" spans="16:30" x14ac:dyDescent="0.3"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</row>
    <row r="522" spans="16:30" x14ac:dyDescent="0.3"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</row>
    <row r="523" spans="16:30" x14ac:dyDescent="0.3"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</row>
    <row r="524" spans="16:30" x14ac:dyDescent="0.3"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</row>
    <row r="525" spans="16:30" x14ac:dyDescent="0.3"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</row>
    <row r="526" spans="16:30" x14ac:dyDescent="0.3"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</row>
    <row r="527" spans="16:30" x14ac:dyDescent="0.3"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</row>
    <row r="528" spans="16:30" x14ac:dyDescent="0.3"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</row>
    <row r="529" spans="16:30" x14ac:dyDescent="0.3"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</row>
    <row r="530" spans="16:30" x14ac:dyDescent="0.3"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</row>
    <row r="531" spans="16:30" x14ac:dyDescent="0.3"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</row>
    <row r="532" spans="16:30" x14ac:dyDescent="0.3"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</row>
    <row r="533" spans="16:30" x14ac:dyDescent="0.3"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</row>
    <row r="534" spans="16:30" x14ac:dyDescent="0.3"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</row>
    <row r="535" spans="16:30" x14ac:dyDescent="0.3"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</row>
    <row r="536" spans="16:30" x14ac:dyDescent="0.3"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</row>
    <row r="537" spans="16:30" x14ac:dyDescent="0.3"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</row>
    <row r="538" spans="16:30" x14ac:dyDescent="0.3"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</row>
    <row r="539" spans="16:30" x14ac:dyDescent="0.3"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</row>
    <row r="540" spans="16:30" x14ac:dyDescent="0.3"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</row>
    <row r="541" spans="16:30" x14ac:dyDescent="0.3"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</row>
    <row r="542" spans="16:30" x14ac:dyDescent="0.3"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</row>
    <row r="543" spans="16:30" x14ac:dyDescent="0.3"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</row>
    <row r="544" spans="16:30" x14ac:dyDescent="0.3"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</row>
    <row r="545" spans="16:30" x14ac:dyDescent="0.3"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</row>
    <row r="546" spans="16:30" x14ac:dyDescent="0.3"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</row>
    <row r="547" spans="16:30" x14ac:dyDescent="0.3"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</row>
    <row r="548" spans="16:30" x14ac:dyDescent="0.3"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</row>
    <row r="549" spans="16:30" x14ac:dyDescent="0.3"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</row>
    <row r="550" spans="16:30" x14ac:dyDescent="0.3"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</row>
    <row r="551" spans="16:30" x14ac:dyDescent="0.3"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</row>
    <row r="552" spans="16:30" x14ac:dyDescent="0.3"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</row>
    <row r="553" spans="16:30" x14ac:dyDescent="0.3"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</row>
    <row r="554" spans="16:30" x14ac:dyDescent="0.3"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</row>
    <row r="555" spans="16:30" x14ac:dyDescent="0.3"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</row>
    <row r="556" spans="16:30" x14ac:dyDescent="0.3"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</row>
    <row r="557" spans="16:30" x14ac:dyDescent="0.3"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</row>
    <row r="558" spans="16:30" x14ac:dyDescent="0.3"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</row>
    <row r="559" spans="16:30" x14ac:dyDescent="0.3"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</row>
    <row r="560" spans="16:30" x14ac:dyDescent="0.3"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</row>
    <row r="561" spans="16:30" x14ac:dyDescent="0.3"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</row>
    <row r="562" spans="16:30" x14ac:dyDescent="0.3"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</row>
    <row r="563" spans="16:30" x14ac:dyDescent="0.3"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</row>
    <row r="564" spans="16:30" x14ac:dyDescent="0.3"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</row>
    <row r="565" spans="16:30" x14ac:dyDescent="0.3"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</row>
    <row r="566" spans="16:30" x14ac:dyDescent="0.3"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</row>
    <row r="567" spans="16:30" x14ac:dyDescent="0.3"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</row>
    <row r="568" spans="16:30" x14ac:dyDescent="0.3"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</row>
    <row r="569" spans="16:30" x14ac:dyDescent="0.3"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</row>
    <row r="570" spans="16:30" x14ac:dyDescent="0.3"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</row>
    <row r="571" spans="16:30" x14ac:dyDescent="0.3"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</row>
    <row r="572" spans="16:30" x14ac:dyDescent="0.3"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</row>
    <row r="573" spans="16:30" x14ac:dyDescent="0.3"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</row>
    <row r="574" spans="16:30" x14ac:dyDescent="0.3"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</row>
    <row r="575" spans="16:30" x14ac:dyDescent="0.3"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</row>
    <row r="576" spans="16:30" x14ac:dyDescent="0.3"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</row>
    <row r="577" spans="16:30" x14ac:dyDescent="0.3"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</row>
    <row r="578" spans="16:30" x14ac:dyDescent="0.3"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</row>
    <row r="579" spans="16:30" x14ac:dyDescent="0.3"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</row>
    <row r="580" spans="16:30" x14ac:dyDescent="0.3"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</row>
    <row r="581" spans="16:30" x14ac:dyDescent="0.3"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</row>
    <row r="582" spans="16:30" x14ac:dyDescent="0.3"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</row>
    <row r="583" spans="16:30" x14ac:dyDescent="0.3"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</row>
    <row r="584" spans="16:30" x14ac:dyDescent="0.3"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</row>
    <row r="585" spans="16:30" x14ac:dyDescent="0.3"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</row>
    <row r="586" spans="16:30" x14ac:dyDescent="0.3"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</row>
    <row r="587" spans="16:30" x14ac:dyDescent="0.3"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</row>
    <row r="588" spans="16:30" x14ac:dyDescent="0.3"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</row>
    <row r="589" spans="16:30" x14ac:dyDescent="0.3"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</row>
    <row r="590" spans="16:30" x14ac:dyDescent="0.3"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</row>
    <row r="591" spans="16:30" x14ac:dyDescent="0.3"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</row>
    <row r="592" spans="16:30" x14ac:dyDescent="0.3"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</row>
    <row r="593" spans="16:30" x14ac:dyDescent="0.3"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</row>
    <row r="594" spans="16:30" x14ac:dyDescent="0.3"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</row>
    <row r="595" spans="16:30" x14ac:dyDescent="0.3"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</row>
    <row r="596" spans="16:30" x14ac:dyDescent="0.3"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</row>
    <row r="597" spans="16:30" x14ac:dyDescent="0.3"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</row>
    <row r="598" spans="16:30" x14ac:dyDescent="0.3"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</row>
    <row r="599" spans="16:30" x14ac:dyDescent="0.3"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</row>
    <row r="600" spans="16:30" x14ac:dyDescent="0.3"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</row>
    <row r="601" spans="16:30" x14ac:dyDescent="0.3"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</row>
    <row r="602" spans="16:30" x14ac:dyDescent="0.3"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</row>
    <row r="603" spans="16:30" x14ac:dyDescent="0.3"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</row>
    <row r="604" spans="16:30" x14ac:dyDescent="0.3"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</row>
    <row r="605" spans="16:30" x14ac:dyDescent="0.3"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</row>
    <row r="606" spans="16:30" x14ac:dyDescent="0.3"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</row>
    <row r="607" spans="16:30" x14ac:dyDescent="0.3"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</row>
    <row r="608" spans="16:30" x14ac:dyDescent="0.3"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</row>
    <row r="609" spans="16:30" x14ac:dyDescent="0.3"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</row>
    <row r="610" spans="16:30" x14ac:dyDescent="0.3"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</row>
    <row r="611" spans="16:30" x14ac:dyDescent="0.3"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</row>
    <row r="612" spans="16:30" x14ac:dyDescent="0.3"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</row>
    <row r="613" spans="16:30" x14ac:dyDescent="0.3"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</row>
    <row r="614" spans="16:30" x14ac:dyDescent="0.3"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</row>
    <row r="615" spans="16:30" x14ac:dyDescent="0.3"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</row>
    <row r="616" spans="16:30" x14ac:dyDescent="0.3"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</row>
    <row r="617" spans="16:30" x14ac:dyDescent="0.3"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</row>
    <row r="618" spans="16:30" x14ac:dyDescent="0.3"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</row>
    <row r="619" spans="16:30" x14ac:dyDescent="0.3"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</row>
    <row r="620" spans="16:30" x14ac:dyDescent="0.3"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</row>
    <row r="621" spans="16:30" x14ac:dyDescent="0.3"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</row>
    <row r="622" spans="16:30" x14ac:dyDescent="0.3"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</row>
    <row r="623" spans="16:30" x14ac:dyDescent="0.3"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</row>
    <row r="624" spans="16:30" x14ac:dyDescent="0.3"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</row>
    <row r="625" spans="16:30" x14ac:dyDescent="0.3"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</row>
    <row r="626" spans="16:30" x14ac:dyDescent="0.3"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</row>
    <row r="627" spans="16:30" x14ac:dyDescent="0.3"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</row>
    <row r="628" spans="16:30" x14ac:dyDescent="0.3"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</row>
    <row r="629" spans="16:30" x14ac:dyDescent="0.3"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</row>
    <row r="630" spans="16:30" x14ac:dyDescent="0.3"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</row>
    <row r="631" spans="16:30" x14ac:dyDescent="0.3"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</row>
    <row r="632" spans="16:30" x14ac:dyDescent="0.3"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</row>
    <row r="633" spans="16:30" x14ac:dyDescent="0.3"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</row>
    <row r="634" spans="16:30" x14ac:dyDescent="0.3"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</row>
    <row r="635" spans="16:30" x14ac:dyDescent="0.3"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</row>
    <row r="636" spans="16:30" x14ac:dyDescent="0.3"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</row>
    <row r="637" spans="16:30" x14ac:dyDescent="0.3"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</row>
    <row r="638" spans="16:30" x14ac:dyDescent="0.3"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</row>
    <row r="639" spans="16:30" x14ac:dyDescent="0.3"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</row>
    <row r="640" spans="16:30" x14ac:dyDescent="0.3"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</row>
    <row r="641" spans="16:30" x14ac:dyDescent="0.3"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</row>
    <row r="642" spans="16:30" x14ac:dyDescent="0.3"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</row>
    <row r="643" spans="16:30" x14ac:dyDescent="0.3"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</row>
    <row r="644" spans="16:30" x14ac:dyDescent="0.3"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</row>
    <row r="645" spans="16:30" x14ac:dyDescent="0.3"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</row>
    <row r="646" spans="16:30" x14ac:dyDescent="0.3"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</row>
    <row r="647" spans="16:30" x14ac:dyDescent="0.3"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</row>
    <row r="648" spans="16:30" x14ac:dyDescent="0.3"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</row>
    <row r="649" spans="16:30" x14ac:dyDescent="0.3"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</row>
    <row r="650" spans="16:30" x14ac:dyDescent="0.3"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</row>
    <row r="651" spans="16:30" x14ac:dyDescent="0.3"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</row>
    <row r="652" spans="16:30" x14ac:dyDescent="0.3"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</row>
    <row r="653" spans="16:30" x14ac:dyDescent="0.3"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</row>
    <row r="654" spans="16:30" x14ac:dyDescent="0.3"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</row>
    <row r="655" spans="16:30" x14ac:dyDescent="0.3"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</row>
    <row r="656" spans="16:30" x14ac:dyDescent="0.3"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</row>
    <row r="657" spans="16:30" x14ac:dyDescent="0.3"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</row>
    <row r="658" spans="16:30" x14ac:dyDescent="0.3"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</row>
    <row r="659" spans="16:30" x14ac:dyDescent="0.3"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</row>
    <row r="660" spans="16:30" x14ac:dyDescent="0.3"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</row>
    <row r="661" spans="16:30" x14ac:dyDescent="0.3"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</row>
    <row r="662" spans="16:30" x14ac:dyDescent="0.3"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</row>
    <row r="663" spans="16:30" x14ac:dyDescent="0.3"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</row>
    <row r="664" spans="16:30" x14ac:dyDescent="0.3"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</row>
    <row r="665" spans="16:30" x14ac:dyDescent="0.3"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</row>
    <row r="666" spans="16:30" x14ac:dyDescent="0.3"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</row>
    <row r="667" spans="16:30" x14ac:dyDescent="0.3"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</row>
    <row r="668" spans="16:30" x14ac:dyDescent="0.3"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</row>
    <row r="669" spans="16:30" x14ac:dyDescent="0.3"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</row>
    <row r="670" spans="16:30" x14ac:dyDescent="0.3"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</row>
    <row r="671" spans="16:30" x14ac:dyDescent="0.3"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</row>
    <row r="672" spans="16:30" x14ac:dyDescent="0.3"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</row>
    <row r="673" spans="16:30" x14ac:dyDescent="0.3"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</row>
    <row r="674" spans="16:30" x14ac:dyDescent="0.3"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</row>
    <row r="675" spans="16:30" x14ac:dyDescent="0.3"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</row>
    <row r="676" spans="16:30" x14ac:dyDescent="0.3"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</row>
    <row r="677" spans="16:30" x14ac:dyDescent="0.3"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</row>
    <row r="678" spans="16:30" x14ac:dyDescent="0.3"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</row>
    <row r="679" spans="16:30" x14ac:dyDescent="0.3"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</row>
    <row r="680" spans="16:30" x14ac:dyDescent="0.3"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</row>
    <row r="681" spans="16:30" x14ac:dyDescent="0.3"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</row>
    <row r="682" spans="16:30" x14ac:dyDescent="0.3"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</row>
    <row r="683" spans="16:30" x14ac:dyDescent="0.3"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</row>
    <row r="684" spans="16:30" x14ac:dyDescent="0.3"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</row>
    <row r="685" spans="16:30" x14ac:dyDescent="0.3"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</row>
    <row r="686" spans="16:30" x14ac:dyDescent="0.3"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</row>
    <row r="687" spans="16:30" x14ac:dyDescent="0.3"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</row>
    <row r="688" spans="16:30" x14ac:dyDescent="0.3"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</row>
    <row r="689" spans="16:30" x14ac:dyDescent="0.3"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</row>
    <row r="690" spans="16:30" x14ac:dyDescent="0.3"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</row>
    <row r="691" spans="16:30" x14ac:dyDescent="0.3"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</row>
    <row r="692" spans="16:30" x14ac:dyDescent="0.3"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</row>
    <row r="693" spans="16:30" x14ac:dyDescent="0.3"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</row>
    <row r="694" spans="16:30" x14ac:dyDescent="0.3"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</row>
    <row r="695" spans="16:30" x14ac:dyDescent="0.3"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</row>
    <row r="696" spans="16:30" x14ac:dyDescent="0.3"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</row>
    <row r="697" spans="16:30" x14ac:dyDescent="0.3"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</row>
    <row r="698" spans="16:30" x14ac:dyDescent="0.3"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</row>
    <row r="699" spans="16:30" x14ac:dyDescent="0.3"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</row>
    <row r="700" spans="16:30" x14ac:dyDescent="0.3"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</row>
    <row r="701" spans="16:30" x14ac:dyDescent="0.3"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</row>
    <row r="702" spans="16:30" x14ac:dyDescent="0.3"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</row>
    <row r="703" spans="16:30" x14ac:dyDescent="0.3"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</row>
    <row r="704" spans="16:30" x14ac:dyDescent="0.3"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</row>
    <row r="705" spans="16:30" x14ac:dyDescent="0.3"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</row>
    <row r="706" spans="16:30" x14ac:dyDescent="0.3"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</row>
    <row r="707" spans="16:30" x14ac:dyDescent="0.3"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</row>
    <row r="708" spans="16:30" x14ac:dyDescent="0.3"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</row>
    <row r="709" spans="16:30" x14ac:dyDescent="0.3"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</row>
    <row r="710" spans="16:30" x14ac:dyDescent="0.3"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</row>
    <row r="711" spans="16:30" x14ac:dyDescent="0.3"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</row>
    <row r="712" spans="16:30" x14ac:dyDescent="0.3"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</row>
    <row r="713" spans="16:30" x14ac:dyDescent="0.3"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</row>
    <row r="714" spans="16:30" x14ac:dyDescent="0.3"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</row>
    <row r="715" spans="16:30" x14ac:dyDescent="0.3"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</row>
    <row r="716" spans="16:30" x14ac:dyDescent="0.3"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</row>
    <row r="717" spans="16:30" x14ac:dyDescent="0.3"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</row>
    <row r="718" spans="16:30" x14ac:dyDescent="0.3"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</row>
    <row r="719" spans="16:30" x14ac:dyDescent="0.3"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</row>
    <row r="720" spans="16:30" x14ac:dyDescent="0.3"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</row>
    <row r="721" spans="16:30" x14ac:dyDescent="0.3"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</row>
    <row r="722" spans="16:30" x14ac:dyDescent="0.3"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</row>
    <row r="723" spans="16:30" x14ac:dyDescent="0.3"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</row>
    <row r="724" spans="16:30" x14ac:dyDescent="0.3"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</row>
    <row r="725" spans="16:30" x14ac:dyDescent="0.3"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</row>
    <row r="726" spans="16:30" x14ac:dyDescent="0.3"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</row>
    <row r="727" spans="16:30" x14ac:dyDescent="0.3"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</row>
    <row r="728" spans="16:30" x14ac:dyDescent="0.3"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</row>
    <row r="729" spans="16:30" x14ac:dyDescent="0.3"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</row>
    <row r="730" spans="16:30" x14ac:dyDescent="0.3"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</row>
    <row r="731" spans="16:30" x14ac:dyDescent="0.3"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</row>
    <row r="732" spans="16:30" x14ac:dyDescent="0.3"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</row>
    <row r="733" spans="16:30" x14ac:dyDescent="0.3"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</row>
    <row r="734" spans="16:30" x14ac:dyDescent="0.3"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</row>
    <row r="735" spans="16:30" x14ac:dyDescent="0.3"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</row>
    <row r="736" spans="16:30" x14ac:dyDescent="0.3"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</row>
    <row r="737" spans="16:30" x14ac:dyDescent="0.3"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</row>
    <row r="738" spans="16:30" x14ac:dyDescent="0.3"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</row>
    <row r="739" spans="16:30" x14ac:dyDescent="0.3"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</row>
    <row r="740" spans="16:30" x14ac:dyDescent="0.3"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</row>
    <row r="741" spans="16:30" x14ac:dyDescent="0.3"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</row>
    <row r="742" spans="16:30" x14ac:dyDescent="0.3"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</row>
    <row r="743" spans="16:30" x14ac:dyDescent="0.3"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</row>
    <row r="744" spans="16:30" x14ac:dyDescent="0.3"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</row>
    <row r="745" spans="16:30" x14ac:dyDescent="0.3"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</row>
    <row r="746" spans="16:30" x14ac:dyDescent="0.3"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</row>
    <row r="747" spans="16:30" x14ac:dyDescent="0.3"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</row>
    <row r="748" spans="16:30" x14ac:dyDescent="0.3"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</row>
    <row r="749" spans="16:30" x14ac:dyDescent="0.3"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</row>
    <row r="750" spans="16:30" x14ac:dyDescent="0.3"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</row>
    <row r="751" spans="16:30" x14ac:dyDescent="0.3"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</row>
    <row r="752" spans="16:30" x14ac:dyDescent="0.3"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</row>
    <row r="753" spans="16:30" x14ac:dyDescent="0.3"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</row>
    <row r="754" spans="16:30" x14ac:dyDescent="0.3"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</row>
    <row r="755" spans="16:30" x14ac:dyDescent="0.3"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</row>
    <row r="756" spans="16:30" x14ac:dyDescent="0.3"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</row>
    <row r="757" spans="16:30" x14ac:dyDescent="0.3"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</row>
    <row r="758" spans="16:30" x14ac:dyDescent="0.3"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</row>
    <row r="759" spans="16:30" x14ac:dyDescent="0.3"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</row>
    <row r="760" spans="16:30" x14ac:dyDescent="0.3"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</row>
    <row r="761" spans="16:30" x14ac:dyDescent="0.3"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</row>
    <row r="762" spans="16:30" x14ac:dyDescent="0.3"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</row>
    <row r="763" spans="16:30" x14ac:dyDescent="0.3"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1"/>
      <c r="AA763" s="21"/>
      <c r="AB763" s="21"/>
      <c r="AC763" s="21"/>
      <c r="AD763" s="21"/>
    </row>
    <row r="764" spans="16:30" x14ac:dyDescent="0.3"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</row>
    <row r="765" spans="16:30" x14ac:dyDescent="0.3"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</row>
    <row r="766" spans="16:30" x14ac:dyDescent="0.3"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</row>
    <row r="767" spans="16:30" x14ac:dyDescent="0.3"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</row>
    <row r="768" spans="16:30" x14ac:dyDescent="0.3"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</row>
    <row r="769" spans="16:30" x14ac:dyDescent="0.3"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</row>
    <row r="770" spans="16:30" x14ac:dyDescent="0.3"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</row>
    <row r="771" spans="16:30" x14ac:dyDescent="0.3"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</row>
    <row r="772" spans="16:30" x14ac:dyDescent="0.3"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</row>
    <row r="773" spans="16:30" x14ac:dyDescent="0.3"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</row>
    <row r="774" spans="16:30" x14ac:dyDescent="0.3"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</row>
    <row r="775" spans="16:30" x14ac:dyDescent="0.3"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</row>
    <row r="776" spans="16:30" x14ac:dyDescent="0.3"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</row>
    <row r="777" spans="16:30" x14ac:dyDescent="0.3"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</row>
    <row r="778" spans="16:30" x14ac:dyDescent="0.3"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</row>
    <row r="779" spans="16:30" x14ac:dyDescent="0.3"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</row>
    <row r="780" spans="16:30" x14ac:dyDescent="0.3"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</row>
    <row r="781" spans="16:30" x14ac:dyDescent="0.3"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</row>
    <row r="782" spans="16:30" x14ac:dyDescent="0.3"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</row>
    <row r="783" spans="16:30" x14ac:dyDescent="0.3"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</row>
    <row r="784" spans="16:30" x14ac:dyDescent="0.3"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</row>
    <row r="785" spans="16:30" x14ac:dyDescent="0.3"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</row>
    <row r="786" spans="16:30" x14ac:dyDescent="0.3"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</row>
    <row r="787" spans="16:30" x14ac:dyDescent="0.3"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</row>
    <row r="788" spans="16:30" x14ac:dyDescent="0.3"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</row>
    <row r="789" spans="16:30" x14ac:dyDescent="0.3"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</row>
    <row r="790" spans="16:30" x14ac:dyDescent="0.3"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</row>
    <row r="791" spans="16:30" x14ac:dyDescent="0.3"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</row>
    <row r="792" spans="16:30" x14ac:dyDescent="0.3"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1"/>
      <c r="AA792" s="21"/>
      <c r="AB792" s="21"/>
      <c r="AC792" s="21"/>
      <c r="AD792" s="21"/>
    </row>
    <row r="793" spans="16:30" x14ac:dyDescent="0.3"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</row>
    <row r="794" spans="16:30" x14ac:dyDescent="0.3"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</row>
    <row r="795" spans="16:30" x14ac:dyDescent="0.3"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</row>
    <row r="796" spans="16:30" x14ac:dyDescent="0.3"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</row>
    <row r="797" spans="16:30" x14ac:dyDescent="0.3"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</row>
    <row r="798" spans="16:30" x14ac:dyDescent="0.3"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</row>
    <row r="799" spans="16:30" x14ac:dyDescent="0.3"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</row>
    <row r="800" spans="16:30" x14ac:dyDescent="0.3"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</row>
    <row r="801" spans="16:30" x14ac:dyDescent="0.3"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</row>
    <row r="802" spans="16:30" x14ac:dyDescent="0.3"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</row>
    <row r="803" spans="16:30" x14ac:dyDescent="0.3"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</row>
    <row r="804" spans="16:30" x14ac:dyDescent="0.3"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</row>
    <row r="805" spans="16:30" x14ac:dyDescent="0.3"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</row>
    <row r="806" spans="16:30" x14ac:dyDescent="0.3"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</row>
    <row r="807" spans="16:30" x14ac:dyDescent="0.3"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</row>
    <row r="808" spans="16:30" x14ac:dyDescent="0.3"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</row>
    <row r="809" spans="16:30" x14ac:dyDescent="0.3"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</row>
    <row r="810" spans="16:30" x14ac:dyDescent="0.3"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</row>
    <row r="811" spans="16:30" x14ac:dyDescent="0.3"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</row>
    <row r="812" spans="16:30" x14ac:dyDescent="0.3"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</row>
    <row r="813" spans="16:30" x14ac:dyDescent="0.3"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</row>
    <row r="814" spans="16:30" x14ac:dyDescent="0.3"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 spans="16:30" x14ac:dyDescent="0.3"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 spans="16:30" x14ac:dyDescent="0.3"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 spans="16:30" x14ac:dyDescent="0.3"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 spans="16:30" x14ac:dyDescent="0.3"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 spans="16:30" x14ac:dyDescent="0.3"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 spans="16:30" x14ac:dyDescent="0.3"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 spans="16:30" x14ac:dyDescent="0.3"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 spans="16:30" x14ac:dyDescent="0.3"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 spans="16:30" x14ac:dyDescent="0.3"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 spans="16:30" x14ac:dyDescent="0.3"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 spans="16:30" x14ac:dyDescent="0.3"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 spans="16:30" x14ac:dyDescent="0.3"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 spans="16:30" x14ac:dyDescent="0.3"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 spans="16:30" x14ac:dyDescent="0.3"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 spans="16:30" x14ac:dyDescent="0.3"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 spans="16:30" x14ac:dyDescent="0.3"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 spans="16:30" x14ac:dyDescent="0.3"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 spans="16:30" x14ac:dyDescent="0.3"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 spans="16:30" x14ac:dyDescent="0.3"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 spans="16:30" x14ac:dyDescent="0.3"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 spans="16:30" x14ac:dyDescent="0.3"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 spans="16:30" x14ac:dyDescent="0.3"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 spans="16:30" x14ac:dyDescent="0.3"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 spans="16:30" x14ac:dyDescent="0.3"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 spans="16:30" x14ac:dyDescent="0.3"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 spans="16:30" x14ac:dyDescent="0.3"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 spans="16:30" x14ac:dyDescent="0.3"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 spans="16:30" x14ac:dyDescent="0.3"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 spans="16:30" x14ac:dyDescent="0.3"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 spans="16:30" x14ac:dyDescent="0.3"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 spans="16:30" x14ac:dyDescent="0.3"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  <row r="846" spans="16:30" x14ac:dyDescent="0.3"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</row>
    <row r="847" spans="16:30" x14ac:dyDescent="0.3"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</row>
    <row r="848" spans="16:30" x14ac:dyDescent="0.3"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</row>
    <row r="849" spans="16:30" x14ac:dyDescent="0.3"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</row>
    <row r="850" spans="16:30" x14ac:dyDescent="0.3"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</row>
    <row r="851" spans="16:30" x14ac:dyDescent="0.3"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</row>
    <row r="852" spans="16:30" x14ac:dyDescent="0.3"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</row>
    <row r="853" spans="16:30" x14ac:dyDescent="0.3"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</row>
    <row r="854" spans="16:30" x14ac:dyDescent="0.3"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</row>
    <row r="855" spans="16:30" x14ac:dyDescent="0.3"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</row>
    <row r="856" spans="16:30" x14ac:dyDescent="0.3"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</row>
    <row r="857" spans="16:30" x14ac:dyDescent="0.3"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</row>
    <row r="858" spans="16:30" x14ac:dyDescent="0.3"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</row>
    <row r="859" spans="16:30" x14ac:dyDescent="0.3"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</row>
    <row r="860" spans="16:30" x14ac:dyDescent="0.3"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</row>
    <row r="861" spans="16:30" x14ac:dyDescent="0.3"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</row>
    <row r="862" spans="16:30" x14ac:dyDescent="0.3"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</row>
    <row r="863" spans="16:30" x14ac:dyDescent="0.3"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</row>
    <row r="864" spans="16:30" x14ac:dyDescent="0.3"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</row>
    <row r="865" spans="16:30" x14ac:dyDescent="0.3"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</row>
    <row r="866" spans="16:30" x14ac:dyDescent="0.3"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</row>
    <row r="867" spans="16:30" x14ac:dyDescent="0.3"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</row>
    <row r="868" spans="16:30" x14ac:dyDescent="0.3"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</row>
    <row r="869" spans="16:30" x14ac:dyDescent="0.3"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</row>
    <row r="870" spans="16:30" x14ac:dyDescent="0.3"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</row>
    <row r="871" spans="16:30" x14ac:dyDescent="0.3"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</row>
    <row r="872" spans="16:30" x14ac:dyDescent="0.3"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</row>
    <row r="873" spans="16:30" x14ac:dyDescent="0.3"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</row>
    <row r="874" spans="16:30" x14ac:dyDescent="0.3"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</row>
    <row r="875" spans="16:30" x14ac:dyDescent="0.3"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</row>
    <row r="876" spans="16:30" x14ac:dyDescent="0.3"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</row>
    <row r="877" spans="16:30" x14ac:dyDescent="0.3"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</row>
    <row r="878" spans="16:30" x14ac:dyDescent="0.3"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</row>
    <row r="879" spans="16:30" x14ac:dyDescent="0.3"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</row>
    <row r="880" spans="16:30" x14ac:dyDescent="0.3"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</row>
    <row r="881" spans="16:30" x14ac:dyDescent="0.3"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</row>
    <row r="882" spans="16:30" x14ac:dyDescent="0.3"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</row>
    <row r="883" spans="16:30" x14ac:dyDescent="0.3"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</row>
    <row r="884" spans="16:30" x14ac:dyDescent="0.3"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</row>
    <row r="885" spans="16:30" x14ac:dyDescent="0.3"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</row>
    <row r="886" spans="16:30" x14ac:dyDescent="0.3"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</row>
    <row r="887" spans="16:30" x14ac:dyDescent="0.3"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</row>
    <row r="888" spans="16:30" x14ac:dyDescent="0.3"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</row>
    <row r="889" spans="16:30" x14ac:dyDescent="0.3"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</row>
    <row r="890" spans="16:30" x14ac:dyDescent="0.3"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</row>
    <row r="891" spans="16:30" x14ac:dyDescent="0.3"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</row>
    <row r="892" spans="16:30" x14ac:dyDescent="0.3"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</row>
    <row r="893" spans="16:30" x14ac:dyDescent="0.3"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</row>
    <row r="894" spans="16:30" x14ac:dyDescent="0.3"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</row>
    <row r="895" spans="16:30" x14ac:dyDescent="0.3"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</row>
    <row r="896" spans="16:30" x14ac:dyDescent="0.3"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</row>
    <row r="897" spans="16:30" x14ac:dyDescent="0.3"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</row>
    <row r="898" spans="16:30" x14ac:dyDescent="0.3"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</row>
    <row r="899" spans="16:30" x14ac:dyDescent="0.3"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</row>
    <row r="900" spans="16:30" x14ac:dyDescent="0.3"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</row>
    <row r="901" spans="16:30" x14ac:dyDescent="0.3"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</row>
    <row r="902" spans="16:30" x14ac:dyDescent="0.3"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</row>
    <row r="903" spans="16:30" x14ac:dyDescent="0.3"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</row>
    <row r="904" spans="16:30" x14ac:dyDescent="0.3"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</row>
    <row r="905" spans="16:30" x14ac:dyDescent="0.3"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</row>
    <row r="906" spans="16:30" x14ac:dyDescent="0.3"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</row>
    <row r="907" spans="16:30" x14ac:dyDescent="0.3"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</row>
    <row r="908" spans="16:30" x14ac:dyDescent="0.3"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</row>
    <row r="909" spans="16:30" x14ac:dyDescent="0.3"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</row>
    <row r="910" spans="16:30" x14ac:dyDescent="0.3"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</row>
    <row r="911" spans="16:30" x14ac:dyDescent="0.3"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</row>
    <row r="912" spans="16:30" x14ac:dyDescent="0.3"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</row>
    <row r="913" spans="16:30" x14ac:dyDescent="0.3"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</row>
    <row r="914" spans="16:30" x14ac:dyDescent="0.3"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</row>
    <row r="915" spans="16:30" x14ac:dyDescent="0.3"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</row>
    <row r="916" spans="16:30" x14ac:dyDescent="0.3"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</row>
    <row r="917" spans="16:30" x14ac:dyDescent="0.3"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</row>
    <row r="918" spans="16:30" x14ac:dyDescent="0.3"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</row>
    <row r="919" spans="16:30" x14ac:dyDescent="0.3"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</row>
    <row r="920" spans="16:30" x14ac:dyDescent="0.3"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</row>
    <row r="921" spans="16:30" x14ac:dyDescent="0.3"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</row>
    <row r="922" spans="16:30" x14ac:dyDescent="0.3"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</row>
    <row r="923" spans="16:30" x14ac:dyDescent="0.3"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</row>
    <row r="924" spans="16:30" x14ac:dyDescent="0.3"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</row>
    <row r="925" spans="16:30" x14ac:dyDescent="0.3"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</row>
    <row r="926" spans="16:30" x14ac:dyDescent="0.3"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</row>
    <row r="927" spans="16:30" x14ac:dyDescent="0.3"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</row>
    <row r="928" spans="16:30" x14ac:dyDescent="0.3"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</row>
    <row r="929" spans="16:30" x14ac:dyDescent="0.3"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</row>
    <row r="930" spans="16:30" x14ac:dyDescent="0.3"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</row>
    <row r="931" spans="16:30" x14ac:dyDescent="0.3"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</row>
    <row r="932" spans="16:30" x14ac:dyDescent="0.3"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</row>
    <row r="933" spans="16:30" x14ac:dyDescent="0.3"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</row>
    <row r="934" spans="16:30" x14ac:dyDescent="0.3"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</row>
    <row r="935" spans="16:30" x14ac:dyDescent="0.3"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</row>
    <row r="936" spans="16:30" x14ac:dyDescent="0.3"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</row>
    <row r="937" spans="16:30" x14ac:dyDescent="0.3"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</row>
    <row r="938" spans="16:30" x14ac:dyDescent="0.3"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</row>
    <row r="939" spans="16:30" x14ac:dyDescent="0.3"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</row>
    <row r="940" spans="16:30" x14ac:dyDescent="0.3"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</row>
    <row r="941" spans="16:30" x14ac:dyDescent="0.3"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</row>
    <row r="942" spans="16:30" x14ac:dyDescent="0.3"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</row>
    <row r="943" spans="16:30" x14ac:dyDescent="0.3"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</row>
    <row r="944" spans="16:30" x14ac:dyDescent="0.3"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</row>
    <row r="945" spans="16:30" x14ac:dyDescent="0.3"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</row>
    <row r="946" spans="16:30" x14ac:dyDescent="0.3"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</row>
    <row r="947" spans="16:30" x14ac:dyDescent="0.3"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</row>
    <row r="948" spans="16:30" x14ac:dyDescent="0.3"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</row>
    <row r="949" spans="16:30" x14ac:dyDescent="0.3"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</row>
    <row r="950" spans="16:30" x14ac:dyDescent="0.3"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</row>
    <row r="951" spans="16:30" x14ac:dyDescent="0.3"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</row>
    <row r="952" spans="16:30" x14ac:dyDescent="0.3"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</row>
    <row r="953" spans="16:30" x14ac:dyDescent="0.3"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</row>
    <row r="954" spans="16:30" x14ac:dyDescent="0.3"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</row>
    <row r="955" spans="16:30" x14ac:dyDescent="0.3"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</row>
    <row r="956" spans="16:30" x14ac:dyDescent="0.3"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</row>
    <row r="957" spans="16:30" x14ac:dyDescent="0.3"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</row>
    <row r="958" spans="16:30" x14ac:dyDescent="0.3"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</row>
    <row r="959" spans="16:30" x14ac:dyDescent="0.3"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</row>
    <row r="960" spans="16:30" x14ac:dyDescent="0.3"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</row>
    <row r="961" spans="16:30" x14ac:dyDescent="0.3"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</row>
    <row r="962" spans="16:30" x14ac:dyDescent="0.3"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</row>
    <row r="963" spans="16:30" x14ac:dyDescent="0.3"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</row>
    <row r="964" spans="16:30" x14ac:dyDescent="0.3"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</row>
    <row r="965" spans="16:30" x14ac:dyDescent="0.3"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</row>
    <row r="966" spans="16:30" x14ac:dyDescent="0.3"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</row>
    <row r="967" spans="16:30" x14ac:dyDescent="0.3"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</row>
    <row r="968" spans="16:30" x14ac:dyDescent="0.3"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</row>
    <row r="969" spans="16:30" x14ac:dyDescent="0.3"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</row>
    <row r="970" spans="16:30" x14ac:dyDescent="0.3"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</row>
    <row r="971" spans="16:30" x14ac:dyDescent="0.3"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</row>
    <row r="972" spans="16:30" x14ac:dyDescent="0.3"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</row>
    <row r="973" spans="16:30" x14ac:dyDescent="0.3"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</row>
    <row r="974" spans="16:30" x14ac:dyDescent="0.3"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</row>
    <row r="975" spans="16:30" x14ac:dyDescent="0.3"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</row>
    <row r="976" spans="16:30" x14ac:dyDescent="0.3"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</row>
    <row r="977" spans="16:30" x14ac:dyDescent="0.3"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</row>
    <row r="978" spans="16:30" x14ac:dyDescent="0.3"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</row>
    <row r="979" spans="16:30" x14ac:dyDescent="0.3"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</row>
    <row r="980" spans="16:30" x14ac:dyDescent="0.3"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</row>
    <row r="981" spans="16:30" x14ac:dyDescent="0.3"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</row>
    <row r="982" spans="16:30" x14ac:dyDescent="0.3"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</row>
    <row r="983" spans="16:30" x14ac:dyDescent="0.3"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</row>
    <row r="984" spans="16:30" x14ac:dyDescent="0.3"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</row>
    <row r="985" spans="16:30" x14ac:dyDescent="0.3"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</row>
    <row r="986" spans="16:30" x14ac:dyDescent="0.3"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</row>
    <row r="987" spans="16:30" x14ac:dyDescent="0.3"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</row>
    <row r="988" spans="16:30" x14ac:dyDescent="0.3"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</row>
    <row r="989" spans="16:30" x14ac:dyDescent="0.3"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</row>
    <row r="990" spans="16:30" x14ac:dyDescent="0.3"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</row>
    <row r="991" spans="16:30" x14ac:dyDescent="0.3"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</row>
    <row r="992" spans="16:30" x14ac:dyDescent="0.3"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</row>
    <row r="993" spans="16:30" x14ac:dyDescent="0.3"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</row>
    <row r="994" spans="16:30" x14ac:dyDescent="0.3"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</row>
    <row r="995" spans="16:30" x14ac:dyDescent="0.3"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</row>
    <row r="996" spans="16:30" x14ac:dyDescent="0.3"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</row>
    <row r="997" spans="16:30" x14ac:dyDescent="0.3"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</row>
    <row r="998" spans="16:30" x14ac:dyDescent="0.3"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</row>
    <row r="999" spans="16:30" x14ac:dyDescent="0.3"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</row>
    <row r="1000" spans="16:30" x14ac:dyDescent="0.3"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</row>
    <row r="1001" spans="16:30" x14ac:dyDescent="0.3"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</row>
    <row r="1002" spans="16:30" x14ac:dyDescent="0.3"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</row>
    <row r="1003" spans="16:30" x14ac:dyDescent="0.3"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</row>
    <row r="1004" spans="16:30" x14ac:dyDescent="0.3"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</row>
    <row r="1005" spans="16:30" x14ac:dyDescent="0.3"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</row>
    <row r="1006" spans="16:30" x14ac:dyDescent="0.3"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</row>
    <row r="1007" spans="16:30" x14ac:dyDescent="0.3"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</row>
    <row r="1008" spans="16:30" x14ac:dyDescent="0.3"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</row>
    <row r="1009" spans="16:30" x14ac:dyDescent="0.3"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</row>
    <row r="1010" spans="16:30" x14ac:dyDescent="0.3"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</row>
    <row r="1011" spans="16:30" x14ac:dyDescent="0.3"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</row>
    <row r="1012" spans="16:30" x14ac:dyDescent="0.3"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</row>
    <row r="1013" spans="16:30" x14ac:dyDescent="0.3"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</row>
    <row r="1014" spans="16:30" x14ac:dyDescent="0.3"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</row>
    <row r="1015" spans="16:30" x14ac:dyDescent="0.3"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</row>
    <row r="1016" spans="16:30" x14ac:dyDescent="0.3"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</row>
    <row r="1017" spans="16:30" x14ac:dyDescent="0.3"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</row>
    <row r="1018" spans="16:30" x14ac:dyDescent="0.3"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</row>
    <row r="1019" spans="16:30" x14ac:dyDescent="0.3"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</row>
    <row r="1020" spans="16:30" x14ac:dyDescent="0.3">
      <c r="P1020" s="21"/>
      <c r="Q1020" s="21"/>
      <c r="R1020" s="21"/>
      <c r="S1020" s="21"/>
      <c r="T1020" s="21"/>
      <c r="U1020" s="21"/>
      <c r="V1020" s="21"/>
      <c r="W1020" s="21"/>
      <c r="X1020" s="21"/>
      <c r="Y1020" s="21"/>
      <c r="Z1020" s="21"/>
      <c r="AA1020" s="21"/>
      <c r="AB1020" s="21"/>
      <c r="AC1020" s="21"/>
      <c r="AD1020" s="21"/>
    </row>
    <row r="1021" spans="16:30" x14ac:dyDescent="0.3">
      <c r="P1021" s="21"/>
      <c r="Q1021" s="21"/>
      <c r="R1021" s="21"/>
      <c r="S1021" s="21"/>
      <c r="T1021" s="21"/>
      <c r="U1021" s="21"/>
      <c r="V1021" s="21"/>
      <c r="W1021" s="21"/>
      <c r="X1021" s="21"/>
      <c r="Y1021" s="21"/>
      <c r="Z1021" s="21"/>
      <c r="AA1021" s="21"/>
      <c r="AB1021" s="21"/>
      <c r="AC1021" s="21"/>
      <c r="AD1021" s="21"/>
    </row>
    <row r="1022" spans="16:30" x14ac:dyDescent="0.3">
      <c r="P1022" s="21"/>
      <c r="Q1022" s="21"/>
      <c r="R1022" s="21"/>
      <c r="S1022" s="21"/>
      <c r="T1022" s="21"/>
      <c r="U1022" s="21"/>
      <c r="V1022" s="21"/>
      <c r="W1022" s="21"/>
      <c r="X1022" s="21"/>
      <c r="Y1022" s="21"/>
      <c r="Z1022" s="21"/>
      <c r="AA1022" s="21"/>
      <c r="AB1022" s="21"/>
      <c r="AC1022" s="21"/>
      <c r="AD1022" s="21"/>
    </row>
    <row r="1023" spans="16:30" x14ac:dyDescent="0.3">
      <c r="P1023" s="21"/>
      <c r="Q1023" s="21"/>
      <c r="R1023" s="21"/>
      <c r="S1023" s="21"/>
      <c r="T1023" s="21"/>
      <c r="U1023" s="21"/>
      <c r="V1023" s="21"/>
      <c r="W1023" s="21"/>
      <c r="X1023" s="21"/>
      <c r="Y1023" s="21"/>
      <c r="Z1023" s="21"/>
      <c r="AA1023" s="21"/>
      <c r="AB1023" s="21"/>
      <c r="AC1023" s="21"/>
      <c r="AD1023" s="21"/>
    </row>
    <row r="1024" spans="16:30" x14ac:dyDescent="0.3">
      <c r="P1024" s="21"/>
      <c r="Q1024" s="21"/>
      <c r="R1024" s="21"/>
      <c r="S1024" s="21"/>
      <c r="T1024" s="21"/>
      <c r="U1024" s="21"/>
      <c r="V1024" s="21"/>
      <c r="W1024" s="21"/>
      <c r="X1024" s="21"/>
      <c r="Y1024" s="21"/>
      <c r="Z1024" s="21"/>
      <c r="AA1024" s="21"/>
      <c r="AB1024" s="21"/>
      <c r="AC1024" s="21"/>
      <c r="AD1024" s="21"/>
    </row>
    <row r="1025" spans="16:30" x14ac:dyDescent="0.3">
      <c r="P1025" s="21"/>
      <c r="Q1025" s="21"/>
      <c r="R1025" s="21"/>
      <c r="S1025" s="21"/>
      <c r="T1025" s="21"/>
      <c r="U1025" s="21"/>
      <c r="V1025" s="21"/>
      <c r="W1025" s="21"/>
      <c r="X1025" s="21"/>
      <c r="Y1025" s="21"/>
      <c r="Z1025" s="21"/>
      <c r="AA1025" s="21"/>
      <c r="AB1025" s="21"/>
      <c r="AC1025" s="21"/>
      <c r="AD1025" s="21"/>
    </row>
    <row r="1026" spans="16:30" x14ac:dyDescent="0.3">
      <c r="P1026" s="21"/>
      <c r="Q1026" s="21"/>
      <c r="R1026" s="21"/>
      <c r="S1026" s="21"/>
      <c r="T1026" s="21"/>
      <c r="U1026" s="21"/>
      <c r="V1026" s="21"/>
      <c r="W1026" s="21"/>
      <c r="X1026" s="21"/>
      <c r="Y1026" s="21"/>
      <c r="Z1026" s="21"/>
      <c r="AA1026" s="21"/>
      <c r="AB1026" s="21"/>
      <c r="AC1026" s="21"/>
      <c r="AD1026" s="21"/>
    </row>
    <row r="1027" spans="16:30" x14ac:dyDescent="0.3">
      <c r="P1027" s="21"/>
      <c r="Q1027" s="21"/>
      <c r="R1027" s="21"/>
      <c r="S1027" s="21"/>
      <c r="T1027" s="21"/>
      <c r="U1027" s="21"/>
      <c r="V1027" s="21"/>
      <c r="W1027" s="21"/>
      <c r="X1027" s="21"/>
      <c r="Y1027" s="21"/>
      <c r="Z1027" s="21"/>
      <c r="AA1027" s="21"/>
      <c r="AB1027" s="21"/>
      <c r="AC1027" s="21"/>
      <c r="AD1027" s="21"/>
    </row>
    <row r="1028" spans="16:30" x14ac:dyDescent="0.3">
      <c r="P1028" s="21"/>
      <c r="Q1028" s="21"/>
      <c r="R1028" s="21"/>
      <c r="S1028" s="21"/>
      <c r="T1028" s="21"/>
      <c r="U1028" s="21"/>
      <c r="V1028" s="21"/>
      <c r="W1028" s="21"/>
      <c r="X1028" s="21"/>
      <c r="Y1028" s="21"/>
      <c r="Z1028" s="21"/>
      <c r="AA1028" s="21"/>
      <c r="AB1028" s="21"/>
      <c r="AC1028" s="21"/>
      <c r="AD1028" s="21"/>
    </row>
    <row r="1029" spans="16:30" x14ac:dyDescent="0.3">
      <c r="P1029" s="21"/>
      <c r="Q1029" s="21"/>
      <c r="R1029" s="21"/>
      <c r="S1029" s="21"/>
      <c r="T1029" s="21"/>
      <c r="U1029" s="21"/>
      <c r="V1029" s="21"/>
      <c r="W1029" s="21"/>
      <c r="X1029" s="21"/>
      <c r="Y1029" s="21"/>
      <c r="Z1029" s="21"/>
      <c r="AA1029" s="21"/>
      <c r="AB1029" s="21"/>
      <c r="AC1029" s="21"/>
      <c r="AD1029" s="21"/>
    </row>
    <row r="1030" spans="16:30" x14ac:dyDescent="0.3">
      <c r="P1030" s="21"/>
      <c r="Q1030" s="21"/>
      <c r="R1030" s="21"/>
      <c r="S1030" s="21"/>
      <c r="T1030" s="21"/>
      <c r="U1030" s="21"/>
      <c r="V1030" s="21"/>
      <c r="W1030" s="21"/>
      <c r="X1030" s="21"/>
      <c r="Y1030" s="21"/>
      <c r="Z1030" s="21"/>
      <c r="AA1030" s="21"/>
      <c r="AB1030" s="21"/>
      <c r="AC1030" s="21"/>
      <c r="AD1030" s="21"/>
    </row>
    <row r="1031" spans="16:30" x14ac:dyDescent="0.3">
      <c r="P1031" s="21"/>
      <c r="Q1031" s="21"/>
      <c r="R1031" s="21"/>
      <c r="S1031" s="21"/>
      <c r="T1031" s="21"/>
      <c r="U1031" s="21"/>
      <c r="V1031" s="21"/>
      <c r="W1031" s="21"/>
      <c r="X1031" s="21"/>
      <c r="Y1031" s="21"/>
      <c r="Z1031" s="21"/>
      <c r="AA1031" s="21"/>
      <c r="AB1031" s="21"/>
      <c r="AC1031" s="21"/>
      <c r="AD1031" s="21"/>
    </row>
    <row r="1032" spans="16:30" x14ac:dyDescent="0.3">
      <c r="P1032" s="21"/>
      <c r="Q1032" s="21"/>
      <c r="R1032" s="21"/>
      <c r="S1032" s="21"/>
      <c r="T1032" s="21"/>
      <c r="U1032" s="21"/>
      <c r="V1032" s="21"/>
      <c r="W1032" s="21"/>
      <c r="X1032" s="21"/>
      <c r="Y1032" s="21"/>
      <c r="Z1032" s="21"/>
      <c r="AA1032" s="21"/>
      <c r="AB1032" s="21"/>
      <c r="AC1032" s="21"/>
      <c r="AD1032" s="21"/>
    </row>
    <row r="1033" spans="16:30" x14ac:dyDescent="0.3">
      <c r="P1033" s="21"/>
      <c r="Q1033" s="21"/>
      <c r="R1033" s="21"/>
      <c r="S1033" s="21"/>
      <c r="T1033" s="21"/>
      <c r="U1033" s="21"/>
      <c r="V1033" s="21"/>
      <c r="W1033" s="21"/>
      <c r="X1033" s="21"/>
      <c r="Y1033" s="21"/>
      <c r="Z1033" s="21"/>
      <c r="AA1033" s="21"/>
      <c r="AB1033" s="21"/>
      <c r="AC1033" s="21"/>
      <c r="AD1033" s="21"/>
    </row>
    <row r="1034" spans="16:30" x14ac:dyDescent="0.3">
      <c r="P1034" s="21"/>
      <c r="Q1034" s="21"/>
      <c r="R1034" s="21"/>
      <c r="S1034" s="21"/>
      <c r="T1034" s="21"/>
      <c r="U1034" s="21"/>
      <c r="V1034" s="21"/>
      <c r="W1034" s="21"/>
      <c r="X1034" s="21"/>
      <c r="Y1034" s="21"/>
      <c r="Z1034" s="21"/>
      <c r="AA1034" s="21"/>
      <c r="AB1034" s="21"/>
      <c r="AC1034" s="21"/>
      <c r="AD1034" s="21"/>
    </row>
    <row r="1035" spans="16:30" x14ac:dyDescent="0.3">
      <c r="P1035" s="21"/>
      <c r="Q1035" s="21"/>
      <c r="R1035" s="21"/>
      <c r="S1035" s="21"/>
      <c r="T1035" s="21"/>
      <c r="U1035" s="21"/>
      <c r="V1035" s="21"/>
      <c r="W1035" s="21"/>
      <c r="X1035" s="21"/>
      <c r="Y1035" s="21"/>
      <c r="Z1035" s="21"/>
      <c r="AA1035" s="21"/>
      <c r="AB1035" s="21"/>
      <c r="AC1035" s="21"/>
      <c r="AD1035" s="21"/>
    </row>
    <row r="1036" spans="16:30" x14ac:dyDescent="0.3">
      <c r="P1036" s="21"/>
      <c r="Q1036" s="21"/>
      <c r="R1036" s="21"/>
      <c r="S1036" s="21"/>
      <c r="T1036" s="21"/>
      <c r="U1036" s="21"/>
      <c r="V1036" s="21"/>
      <c r="W1036" s="21"/>
      <c r="X1036" s="21"/>
      <c r="Y1036" s="21"/>
      <c r="Z1036" s="21"/>
      <c r="AA1036" s="21"/>
      <c r="AB1036" s="21"/>
      <c r="AC1036" s="21"/>
      <c r="AD1036" s="21"/>
    </row>
    <row r="1037" spans="16:30" x14ac:dyDescent="0.3">
      <c r="P1037" s="21"/>
      <c r="Q1037" s="21"/>
      <c r="R1037" s="21"/>
      <c r="S1037" s="21"/>
      <c r="T1037" s="21"/>
      <c r="U1037" s="21"/>
      <c r="V1037" s="21"/>
      <c r="W1037" s="21"/>
      <c r="X1037" s="21"/>
      <c r="Y1037" s="21"/>
      <c r="Z1037" s="21"/>
      <c r="AA1037" s="21"/>
      <c r="AB1037" s="21"/>
      <c r="AC1037" s="21"/>
      <c r="AD1037" s="21"/>
    </row>
    <row r="1038" spans="16:30" x14ac:dyDescent="0.3">
      <c r="P1038" s="21"/>
      <c r="Q1038" s="21"/>
      <c r="R1038" s="21"/>
      <c r="S1038" s="21"/>
      <c r="T1038" s="21"/>
      <c r="U1038" s="21"/>
      <c r="V1038" s="21"/>
      <c r="W1038" s="21"/>
      <c r="X1038" s="21"/>
      <c r="Y1038" s="21"/>
      <c r="Z1038" s="21"/>
      <c r="AA1038" s="21"/>
      <c r="AB1038" s="21"/>
      <c r="AC1038" s="21"/>
      <c r="AD1038" s="21"/>
    </row>
    <row r="1039" spans="16:30" x14ac:dyDescent="0.3">
      <c r="P1039" s="21"/>
      <c r="Q1039" s="21"/>
      <c r="R1039" s="21"/>
      <c r="S1039" s="21"/>
      <c r="T1039" s="21"/>
      <c r="U1039" s="21"/>
      <c r="V1039" s="21"/>
      <c r="W1039" s="21"/>
      <c r="X1039" s="21"/>
      <c r="Y1039" s="21"/>
      <c r="Z1039" s="21"/>
      <c r="AA1039" s="21"/>
      <c r="AB1039" s="21"/>
      <c r="AC1039" s="21"/>
      <c r="AD1039" s="21"/>
    </row>
    <row r="1040" spans="16:30" x14ac:dyDescent="0.3">
      <c r="P1040" s="21"/>
      <c r="Q1040" s="21"/>
      <c r="R1040" s="21"/>
      <c r="S1040" s="21"/>
      <c r="T1040" s="21"/>
      <c r="U1040" s="21"/>
      <c r="V1040" s="21"/>
      <c r="W1040" s="21"/>
      <c r="X1040" s="21"/>
      <c r="Y1040" s="21"/>
      <c r="Z1040" s="21"/>
      <c r="AA1040" s="21"/>
      <c r="AB1040" s="21"/>
      <c r="AC1040" s="21"/>
      <c r="AD1040" s="21"/>
    </row>
    <row r="1041" spans="16:30" x14ac:dyDescent="0.3">
      <c r="P1041" s="21"/>
      <c r="Q1041" s="21"/>
      <c r="R1041" s="21"/>
      <c r="S1041" s="21"/>
      <c r="T1041" s="21"/>
      <c r="U1041" s="21"/>
      <c r="V1041" s="21"/>
      <c r="W1041" s="21"/>
      <c r="X1041" s="21"/>
      <c r="Y1041" s="21"/>
      <c r="Z1041" s="21"/>
      <c r="AA1041" s="21"/>
      <c r="AB1041" s="21"/>
      <c r="AC1041" s="21"/>
      <c r="AD1041" s="21"/>
    </row>
    <row r="1042" spans="16:30" x14ac:dyDescent="0.3">
      <c r="P1042" s="21"/>
      <c r="Q1042" s="21"/>
      <c r="R1042" s="21"/>
      <c r="S1042" s="21"/>
      <c r="T1042" s="21"/>
      <c r="U1042" s="21"/>
      <c r="V1042" s="21"/>
      <c r="W1042" s="21"/>
      <c r="X1042" s="21"/>
      <c r="Y1042" s="21"/>
      <c r="Z1042" s="21"/>
      <c r="AA1042" s="21"/>
      <c r="AB1042" s="21"/>
      <c r="AC1042" s="21"/>
      <c r="AD1042" s="21"/>
    </row>
    <row r="1043" spans="16:30" x14ac:dyDescent="0.3">
      <c r="P1043" s="21"/>
      <c r="Q1043" s="21"/>
      <c r="R1043" s="21"/>
      <c r="S1043" s="21"/>
      <c r="T1043" s="21"/>
      <c r="U1043" s="21"/>
      <c r="V1043" s="21"/>
      <c r="W1043" s="21"/>
      <c r="X1043" s="21"/>
      <c r="Y1043" s="21"/>
      <c r="Z1043" s="21"/>
      <c r="AA1043" s="21"/>
      <c r="AB1043" s="21"/>
      <c r="AC1043" s="21"/>
      <c r="AD1043" s="21"/>
    </row>
    <row r="1044" spans="16:30" x14ac:dyDescent="0.3">
      <c r="P1044" s="21"/>
      <c r="Q1044" s="21"/>
      <c r="R1044" s="21"/>
      <c r="S1044" s="21"/>
      <c r="T1044" s="21"/>
      <c r="U1044" s="21"/>
      <c r="V1044" s="21"/>
      <c r="W1044" s="21"/>
      <c r="X1044" s="21"/>
      <c r="Y1044" s="21"/>
      <c r="Z1044" s="21"/>
      <c r="AA1044" s="21"/>
      <c r="AB1044" s="21"/>
      <c r="AC1044" s="21"/>
      <c r="AD1044" s="21"/>
    </row>
    <row r="1045" spans="16:30" x14ac:dyDescent="0.3">
      <c r="P1045" s="21"/>
      <c r="Q1045" s="21"/>
      <c r="R1045" s="21"/>
      <c r="S1045" s="21"/>
      <c r="T1045" s="21"/>
      <c r="U1045" s="21"/>
      <c r="V1045" s="21"/>
      <c r="W1045" s="21"/>
      <c r="X1045" s="21"/>
      <c r="Y1045" s="21"/>
      <c r="Z1045" s="21"/>
      <c r="AA1045" s="21"/>
      <c r="AB1045" s="21"/>
      <c r="AC1045" s="21"/>
      <c r="AD1045" s="21"/>
    </row>
    <row r="1046" spans="16:30" x14ac:dyDescent="0.3">
      <c r="P1046" s="21"/>
      <c r="Q1046" s="21"/>
      <c r="R1046" s="21"/>
      <c r="S1046" s="21"/>
      <c r="T1046" s="21"/>
      <c r="U1046" s="21"/>
      <c r="V1046" s="21"/>
      <c r="W1046" s="21"/>
      <c r="X1046" s="21"/>
      <c r="Y1046" s="21"/>
      <c r="Z1046" s="21"/>
      <c r="AA1046" s="21"/>
      <c r="AB1046" s="21"/>
      <c r="AC1046" s="21"/>
      <c r="AD1046" s="21"/>
    </row>
    <row r="1047" spans="16:30" x14ac:dyDescent="0.3">
      <c r="P1047" s="21"/>
      <c r="Q1047" s="21"/>
      <c r="R1047" s="21"/>
      <c r="S1047" s="21"/>
      <c r="T1047" s="21"/>
      <c r="U1047" s="21"/>
      <c r="V1047" s="21"/>
      <c r="W1047" s="21"/>
      <c r="X1047" s="21"/>
      <c r="Y1047" s="21"/>
      <c r="Z1047" s="21"/>
      <c r="AA1047" s="21"/>
      <c r="AB1047" s="21"/>
      <c r="AC1047" s="21"/>
      <c r="AD1047" s="21"/>
    </row>
    <row r="1048" spans="16:30" x14ac:dyDescent="0.3">
      <c r="P1048" s="21"/>
      <c r="Q1048" s="21"/>
      <c r="R1048" s="21"/>
      <c r="S1048" s="21"/>
      <c r="T1048" s="21"/>
      <c r="U1048" s="21"/>
      <c r="V1048" s="21"/>
      <c r="W1048" s="21"/>
      <c r="X1048" s="21"/>
      <c r="Y1048" s="21"/>
      <c r="Z1048" s="21"/>
      <c r="AA1048" s="21"/>
      <c r="AB1048" s="21"/>
      <c r="AC1048" s="21"/>
      <c r="AD1048" s="21"/>
    </row>
    <row r="1049" spans="16:30" x14ac:dyDescent="0.3">
      <c r="P1049" s="21"/>
      <c r="Q1049" s="21"/>
      <c r="R1049" s="21"/>
      <c r="S1049" s="21"/>
      <c r="T1049" s="21"/>
      <c r="U1049" s="21"/>
      <c r="V1049" s="21"/>
      <c r="W1049" s="21"/>
      <c r="X1049" s="21"/>
      <c r="Y1049" s="21"/>
      <c r="Z1049" s="21"/>
      <c r="AA1049" s="21"/>
      <c r="AB1049" s="21"/>
      <c r="AC1049" s="21"/>
      <c r="AD1049" s="21"/>
    </row>
    <row r="1050" spans="16:30" x14ac:dyDescent="0.3">
      <c r="P1050" s="21"/>
      <c r="Q1050" s="21"/>
      <c r="R1050" s="21"/>
      <c r="S1050" s="21"/>
      <c r="T1050" s="21"/>
      <c r="U1050" s="21"/>
      <c r="V1050" s="21"/>
      <c r="W1050" s="21"/>
      <c r="X1050" s="21"/>
      <c r="Y1050" s="21"/>
      <c r="Z1050" s="21"/>
      <c r="AA1050" s="21"/>
      <c r="AB1050" s="21"/>
      <c r="AC1050" s="21"/>
      <c r="AD1050" s="21"/>
    </row>
    <row r="1051" spans="16:30" x14ac:dyDescent="0.3">
      <c r="P1051" s="21"/>
      <c r="Q1051" s="21"/>
      <c r="R1051" s="21"/>
      <c r="S1051" s="21"/>
      <c r="T1051" s="21"/>
      <c r="U1051" s="21"/>
      <c r="V1051" s="21"/>
      <c r="W1051" s="21"/>
      <c r="X1051" s="21"/>
      <c r="Y1051" s="21"/>
      <c r="Z1051" s="21"/>
      <c r="AA1051" s="21"/>
      <c r="AB1051" s="21"/>
      <c r="AC1051" s="21"/>
      <c r="AD1051" s="21"/>
    </row>
    <row r="1052" spans="16:30" x14ac:dyDescent="0.3">
      <c r="P1052" s="21"/>
      <c r="Q1052" s="21"/>
      <c r="R1052" s="21"/>
      <c r="S1052" s="21"/>
      <c r="T1052" s="21"/>
      <c r="U1052" s="21"/>
      <c r="V1052" s="21"/>
      <c r="W1052" s="21"/>
      <c r="X1052" s="21"/>
      <c r="Y1052" s="21"/>
      <c r="Z1052" s="21"/>
      <c r="AA1052" s="21"/>
      <c r="AB1052" s="21"/>
      <c r="AC1052" s="21"/>
      <c r="AD1052" s="21"/>
    </row>
    <row r="1053" spans="16:30" x14ac:dyDescent="0.3">
      <c r="P1053" s="21"/>
      <c r="Q1053" s="21"/>
      <c r="R1053" s="21"/>
      <c r="S1053" s="21"/>
      <c r="T1053" s="21"/>
      <c r="U1053" s="21"/>
      <c r="V1053" s="21"/>
      <c r="W1053" s="21"/>
      <c r="X1053" s="21"/>
      <c r="Y1053" s="21"/>
      <c r="Z1053" s="21"/>
      <c r="AA1053" s="21"/>
      <c r="AB1053" s="21"/>
      <c r="AC1053" s="21"/>
      <c r="AD1053" s="21"/>
    </row>
    <row r="1054" spans="16:30" x14ac:dyDescent="0.3">
      <c r="P1054" s="21"/>
      <c r="Q1054" s="21"/>
      <c r="R1054" s="21"/>
      <c r="S1054" s="21"/>
      <c r="T1054" s="21"/>
      <c r="U1054" s="21"/>
      <c r="V1054" s="21"/>
      <c r="W1054" s="21"/>
      <c r="X1054" s="21"/>
      <c r="Y1054" s="21"/>
      <c r="Z1054" s="21"/>
      <c r="AA1054" s="21"/>
      <c r="AB1054" s="21"/>
      <c r="AC1054" s="21"/>
      <c r="AD1054" s="21"/>
    </row>
    <row r="1055" spans="16:30" x14ac:dyDescent="0.3">
      <c r="P1055" s="21"/>
      <c r="Q1055" s="21"/>
      <c r="R1055" s="21"/>
      <c r="S1055" s="21"/>
      <c r="T1055" s="21"/>
      <c r="U1055" s="21"/>
      <c r="V1055" s="21"/>
      <c r="W1055" s="21"/>
      <c r="X1055" s="21"/>
      <c r="Y1055" s="21"/>
      <c r="Z1055" s="21"/>
      <c r="AA1055" s="21"/>
      <c r="AB1055" s="21"/>
      <c r="AC1055" s="21"/>
      <c r="AD1055" s="21"/>
    </row>
    <row r="1056" spans="16:30" x14ac:dyDescent="0.3">
      <c r="P1056" s="21"/>
      <c r="Q1056" s="21"/>
      <c r="R1056" s="21"/>
      <c r="S1056" s="21"/>
      <c r="T1056" s="21"/>
      <c r="U1056" s="21"/>
      <c r="V1056" s="21"/>
      <c r="W1056" s="21"/>
      <c r="X1056" s="21"/>
      <c r="Y1056" s="21"/>
      <c r="Z1056" s="21"/>
      <c r="AA1056" s="21"/>
      <c r="AB1056" s="21"/>
      <c r="AC1056" s="21"/>
      <c r="AD1056" s="21"/>
    </row>
    <row r="1057" spans="16:30" x14ac:dyDescent="0.3">
      <c r="P1057" s="21"/>
      <c r="Q1057" s="21"/>
      <c r="R1057" s="21"/>
      <c r="S1057" s="21"/>
      <c r="T1057" s="21"/>
      <c r="U1057" s="21"/>
      <c r="V1057" s="21"/>
      <c r="W1057" s="21"/>
      <c r="X1057" s="21"/>
      <c r="Y1057" s="21"/>
      <c r="Z1057" s="21"/>
      <c r="AA1057" s="21"/>
      <c r="AB1057" s="21"/>
      <c r="AC1057" s="21"/>
      <c r="AD1057" s="21"/>
    </row>
    <row r="1058" spans="16:30" x14ac:dyDescent="0.3">
      <c r="P1058" s="21"/>
      <c r="Q1058" s="21"/>
      <c r="R1058" s="21"/>
      <c r="S1058" s="21"/>
      <c r="T1058" s="21"/>
      <c r="U1058" s="21"/>
      <c r="V1058" s="21"/>
      <c r="W1058" s="21"/>
      <c r="X1058" s="21"/>
      <c r="Y1058" s="21"/>
      <c r="Z1058" s="21"/>
      <c r="AA1058" s="21"/>
      <c r="AB1058" s="21"/>
      <c r="AC1058" s="21"/>
      <c r="AD1058" s="21"/>
    </row>
    <row r="1059" spans="16:30" x14ac:dyDescent="0.3">
      <c r="P1059" s="21"/>
      <c r="Q1059" s="21"/>
      <c r="R1059" s="21"/>
      <c r="S1059" s="21"/>
      <c r="T1059" s="21"/>
      <c r="U1059" s="21"/>
      <c r="V1059" s="21"/>
      <c r="W1059" s="21"/>
      <c r="X1059" s="21"/>
      <c r="Y1059" s="21"/>
      <c r="Z1059" s="21"/>
      <c r="AA1059" s="21"/>
      <c r="AB1059" s="21"/>
      <c r="AC1059" s="21"/>
      <c r="AD1059" s="21"/>
    </row>
    <row r="1060" spans="16:30" x14ac:dyDescent="0.3">
      <c r="P1060" s="21"/>
      <c r="Q1060" s="21"/>
      <c r="R1060" s="21"/>
      <c r="S1060" s="21"/>
      <c r="T1060" s="21"/>
      <c r="U1060" s="21"/>
      <c r="V1060" s="21"/>
      <c r="W1060" s="21"/>
      <c r="X1060" s="21"/>
      <c r="Y1060" s="21"/>
      <c r="Z1060" s="21"/>
      <c r="AA1060" s="21"/>
      <c r="AB1060" s="21"/>
      <c r="AC1060" s="21"/>
      <c r="AD1060" s="21"/>
    </row>
    <row r="1061" spans="16:30" x14ac:dyDescent="0.3">
      <c r="P1061" s="21"/>
      <c r="Q1061" s="21"/>
      <c r="R1061" s="21"/>
      <c r="S1061" s="21"/>
      <c r="T1061" s="21"/>
      <c r="U1061" s="21"/>
      <c r="V1061" s="21"/>
      <c r="W1061" s="21"/>
      <c r="X1061" s="21"/>
      <c r="Y1061" s="21"/>
      <c r="Z1061" s="21"/>
      <c r="AA1061" s="21"/>
      <c r="AB1061" s="21"/>
      <c r="AC1061" s="21"/>
      <c r="AD1061" s="21"/>
    </row>
    <row r="1062" spans="16:30" x14ac:dyDescent="0.3">
      <c r="P1062" s="21"/>
      <c r="Q1062" s="21"/>
      <c r="R1062" s="21"/>
      <c r="S1062" s="21"/>
      <c r="T1062" s="21"/>
      <c r="U1062" s="21"/>
      <c r="V1062" s="21"/>
      <c r="W1062" s="21"/>
      <c r="X1062" s="21"/>
      <c r="Y1062" s="21"/>
      <c r="Z1062" s="21"/>
      <c r="AA1062" s="21"/>
      <c r="AB1062" s="21"/>
      <c r="AC1062" s="21"/>
      <c r="AD1062" s="21"/>
    </row>
    <row r="1063" spans="16:30" x14ac:dyDescent="0.3">
      <c r="P1063" s="21"/>
      <c r="Q1063" s="21"/>
      <c r="R1063" s="21"/>
      <c r="S1063" s="21"/>
      <c r="T1063" s="21"/>
      <c r="U1063" s="21"/>
      <c r="V1063" s="21"/>
      <c r="W1063" s="21"/>
      <c r="X1063" s="21"/>
      <c r="Y1063" s="21"/>
      <c r="Z1063" s="21"/>
      <c r="AA1063" s="21"/>
      <c r="AB1063" s="21"/>
      <c r="AC1063" s="21"/>
      <c r="AD1063" s="21"/>
    </row>
    <row r="1064" spans="16:30" x14ac:dyDescent="0.3">
      <c r="P1064" s="21"/>
      <c r="Q1064" s="21"/>
      <c r="R1064" s="21"/>
      <c r="S1064" s="21"/>
      <c r="T1064" s="21"/>
      <c r="U1064" s="21"/>
      <c r="V1064" s="21"/>
      <c r="W1064" s="21"/>
      <c r="X1064" s="21"/>
      <c r="Y1064" s="21"/>
      <c r="Z1064" s="21"/>
      <c r="AA1064" s="21"/>
      <c r="AB1064" s="21"/>
      <c r="AC1064" s="21"/>
      <c r="AD1064" s="21"/>
    </row>
    <row r="1065" spans="16:30" x14ac:dyDescent="0.3">
      <c r="P1065" s="21"/>
      <c r="Q1065" s="21"/>
      <c r="R1065" s="21"/>
      <c r="S1065" s="21"/>
      <c r="T1065" s="21"/>
      <c r="U1065" s="21"/>
      <c r="V1065" s="21"/>
      <c r="W1065" s="21"/>
      <c r="X1065" s="21"/>
      <c r="Y1065" s="21"/>
      <c r="Z1065" s="21"/>
      <c r="AA1065" s="21"/>
      <c r="AB1065" s="21"/>
      <c r="AC1065" s="21"/>
      <c r="AD1065" s="21"/>
    </row>
    <row r="1066" spans="16:30" x14ac:dyDescent="0.3">
      <c r="P1066" s="21"/>
      <c r="Q1066" s="21"/>
      <c r="R1066" s="21"/>
      <c r="S1066" s="21"/>
      <c r="T1066" s="21"/>
      <c r="U1066" s="21"/>
      <c r="V1066" s="21"/>
      <c r="W1066" s="21"/>
      <c r="X1066" s="21"/>
      <c r="Y1066" s="21"/>
      <c r="Z1066" s="21"/>
      <c r="AA1066" s="21"/>
      <c r="AB1066" s="21"/>
      <c r="AC1066" s="21"/>
      <c r="AD1066" s="21"/>
    </row>
    <row r="1067" spans="16:30" x14ac:dyDescent="0.3">
      <c r="P1067" s="21"/>
      <c r="Q1067" s="21"/>
      <c r="R1067" s="21"/>
      <c r="S1067" s="21"/>
      <c r="T1067" s="21"/>
      <c r="U1067" s="21"/>
      <c r="V1067" s="21"/>
      <c r="W1067" s="21"/>
      <c r="X1067" s="21"/>
      <c r="Y1067" s="21"/>
      <c r="Z1067" s="21"/>
      <c r="AA1067" s="21"/>
      <c r="AB1067" s="21"/>
      <c r="AC1067" s="21"/>
      <c r="AD1067" s="21"/>
    </row>
    <row r="1068" spans="16:30" x14ac:dyDescent="0.3">
      <c r="P1068" s="21"/>
      <c r="Q1068" s="21"/>
      <c r="R1068" s="21"/>
      <c r="S1068" s="21"/>
      <c r="T1068" s="21"/>
      <c r="U1068" s="21"/>
      <c r="V1068" s="21"/>
      <c r="W1068" s="21"/>
      <c r="X1068" s="21"/>
      <c r="Y1068" s="21"/>
      <c r="Z1068" s="21"/>
      <c r="AA1068" s="21"/>
      <c r="AB1068" s="21"/>
      <c r="AC1068" s="21"/>
      <c r="AD1068" s="21"/>
    </row>
    <row r="1069" spans="16:30" x14ac:dyDescent="0.3">
      <c r="P1069" s="21"/>
      <c r="Q1069" s="21"/>
      <c r="R1069" s="21"/>
      <c r="S1069" s="21"/>
      <c r="T1069" s="21"/>
      <c r="U1069" s="21"/>
      <c r="V1069" s="21"/>
      <c r="W1069" s="21"/>
      <c r="X1069" s="21"/>
      <c r="Y1069" s="21"/>
      <c r="Z1069" s="21"/>
      <c r="AA1069" s="21"/>
      <c r="AB1069" s="21"/>
      <c r="AC1069" s="21"/>
      <c r="AD1069" s="21"/>
    </row>
    <row r="1070" spans="16:30" x14ac:dyDescent="0.3">
      <c r="P1070" s="21"/>
      <c r="Q1070" s="21"/>
      <c r="R1070" s="21"/>
      <c r="S1070" s="21"/>
      <c r="T1070" s="21"/>
      <c r="U1070" s="21"/>
      <c r="V1070" s="21"/>
      <c r="W1070" s="21"/>
      <c r="X1070" s="21"/>
      <c r="Y1070" s="21"/>
      <c r="Z1070" s="21"/>
      <c r="AA1070" s="21"/>
      <c r="AB1070" s="21"/>
      <c r="AC1070" s="21"/>
      <c r="AD1070" s="21"/>
    </row>
    <row r="1071" spans="16:30" x14ac:dyDescent="0.3">
      <c r="P1071" s="21"/>
      <c r="Q1071" s="21"/>
      <c r="R1071" s="21"/>
      <c r="S1071" s="21"/>
      <c r="T1071" s="21"/>
      <c r="U1071" s="21"/>
      <c r="V1071" s="21"/>
      <c r="W1071" s="21"/>
      <c r="X1071" s="21"/>
      <c r="Y1071" s="21"/>
      <c r="Z1071" s="21"/>
      <c r="AA1071" s="21"/>
      <c r="AB1071" s="21"/>
      <c r="AC1071" s="21"/>
      <c r="AD1071" s="21"/>
    </row>
    <row r="1072" spans="16:30" x14ac:dyDescent="0.3">
      <c r="P1072" s="21"/>
      <c r="Q1072" s="21"/>
      <c r="R1072" s="21"/>
      <c r="S1072" s="21"/>
      <c r="T1072" s="21"/>
      <c r="U1072" s="21"/>
      <c r="V1072" s="21"/>
      <c r="W1072" s="21"/>
      <c r="X1072" s="21"/>
      <c r="Y1072" s="21"/>
      <c r="Z1072" s="21"/>
      <c r="AA1072" s="21"/>
      <c r="AB1072" s="21"/>
      <c r="AC1072" s="21"/>
      <c r="AD1072" s="21"/>
    </row>
    <row r="1073" spans="16:30" x14ac:dyDescent="0.3">
      <c r="P1073" s="21"/>
      <c r="Q1073" s="21"/>
      <c r="R1073" s="21"/>
      <c r="S1073" s="21"/>
      <c r="T1073" s="21"/>
      <c r="U1073" s="21"/>
      <c r="V1073" s="21"/>
      <c r="W1073" s="21"/>
      <c r="X1073" s="21"/>
      <c r="Y1073" s="21"/>
      <c r="Z1073" s="21"/>
      <c r="AA1073" s="21"/>
      <c r="AB1073" s="21"/>
      <c r="AC1073" s="21"/>
      <c r="AD1073" s="21"/>
    </row>
    <row r="1074" spans="16:30" x14ac:dyDescent="0.3">
      <c r="P1074" s="21"/>
      <c r="Q1074" s="21"/>
      <c r="R1074" s="21"/>
      <c r="S1074" s="21"/>
      <c r="T1074" s="21"/>
      <c r="U1074" s="21"/>
      <c r="V1074" s="21"/>
      <c r="W1074" s="21"/>
      <c r="X1074" s="21"/>
      <c r="Y1074" s="21"/>
      <c r="Z1074" s="21"/>
      <c r="AA1074" s="21"/>
      <c r="AB1074" s="21"/>
      <c r="AC1074" s="21"/>
      <c r="AD1074" s="21"/>
    </row>
    <row r="1075" spans="16:30" x14ac:dyDescent="0.3">
      <c r="P1075" s="21"/>
      <c r="Q1075" s="21"/>
      <c r="R1075" s="21"/>
      <c r="S1075" s="21"/>
      <c r="T1075" s="21"/>
      <c r="U1075" s="21"/>
      <c r="V1075" s="21"/>
      <c r="W1075" s="21"/>
      <c r="X1075" s="21"/>
      <c r="Y1075" s="21"/>
      <c r="Z1075" s="21"/>
      <c r="AA1075" s="21"/>
      <c r="AB1075" s="21"/>
      <c r="AC1075" s="21"/>
      <c r="AD1075" s="21"/>
    </row>
    <row r="1076" spans="16:30" x14ac:dyDescent="0.3">
      <c r="P1076" s="21"/>
      <c r="Q1076" s="21"/>
      <c r="R1076" s="21"/>
      <c r="S1076" s="21"/>
      <c r="T1076" s="21"/>
      <c r="U1076" s="21"/>
      <c r="V1076" s="21"/>
      <c r="W1076" s="21"/>
      <c r="X1076" s="21"/>
      <c r="Y1076" s="21"/>
      <c r="Z1076" s="21"/>
      <c r="AA1076" s="21"/>
      <c r="AB1076" s="21"/>
      <c r="AC1076" s="21"/>
      <c r="AD1076" s="21"/>
    </row>
    <row r="1077" spans="16:30" x14ac:dyDescent="0.3">
      <c r="P1077" s="21"/>
      <c r="Q1077" s="21"/>
      <c r="R1077" s="21"/>
      <c r="S1077" s="21"/>
      <c r="T1077" s="21"/>
      <c r="U1077" s="21"/>
      <c r="V1077" s="21"/>
      <c r="W1077" s="21"/>
      <c r="X1077" s="21"/>
      <c r="Y1077" s="21"/>
      <c r="Z1077" s="21"/>
      <c r="AA1077" s="21"/>
      <c r="AB1077" s="21"/>
      <c r="AC1077" s="21"/>
      <c r="AD1077" s="21"/>
    </row>
    <row r="1078" spans="16:30" x14ac:dyDescent="0.3">
      <c r="P1078" s="21"/>
      <c r="Q1078" s="21"/>
      <c r="R1078" s="21"/>
      <c r="S1078" s="21"/>
      <c r="T1078" s="21"/>
      <c r="U1078" s="21"/>
      <c r="V1078" s="21"/>
      <c r="W1078" s="21"/>
      <c r="X1078" s="21"/>
      <c r="Y1078" s="21"/>
      <c r="Z1078" s="21"/>
      <c r="AA1078" s="21"/>
      <c r="AB1078" s="21"/>
      <c r="AC1078" s="21"/>
      <c r="AD1078" s="21"/>
    </row>
    <row r="1079" spans="16:30" x14ac:dyDescent="0.3">
      <c r="P1079" s="21"/>
      <c r="Q1079" s="21"/>
      <c r="R1079" s="21"/>
      <c r="S1079" s="21"/>
      <c r="T1079" s="21"/>
      <c r="U1079" s="21"/>
      <c r="V1079" s="21"/>
      <c r="W1079" s="21"/>
      <c r="X1079" s="21"/>
      <c r="Y1079" s="21"/>
      <c r="Z1079" s="21"/>
      <c r="AA1079" s="21"/>
      <c r="AB1079" s="21"/>
      <c r="AC1079" s="21"/>
      <c r="AD1079" s="21"/>
    </row>
    <row r="1080" spans="16:30" x14ac:dyDescent="0.3">
      <c r="P1080" s="21"/>
      <c r="Q1080" s="21"/>
      <c r="R1080" s="21"/>
      <c r="S1080" s="21"/>
      <c r="T1080" s="21"/>
      <c r="U1080" s="21"/>
      <c r="V1080" s="21"/>
      <c r="W1080" s="21"/>
      <c r="X1080" s="21"/>
      <c r="Y1080" s="21"/>
      <c r="Z1080" s="21"/>
      <c r="AA1080" s="21"/>
      <c r="AB1080" s="21"/>
      <c r="AC1080" s="21"/>
      <c r="AD1080" s="21"/>
    </row>
    <row r="1081" spans="16:30" x14ac:dyDescent="0.3">
      <c r="P1081" s="21"/>
      <c r="Q1081" s="21"/>
      <c r="R1081" s="21"/>
      <c r="S1081" s="21"/>
      <c r="T1081" s="21"/>
      <c r="U1081" s="21"/>
      <c r="V1081" s="21"/>
      <c r="W1081" s="21"/>
      <c r="X1081" s="21"/>
      <c r="Y1081" s="21"/>
      <c r="Z1081" s="21"/>
      <c r="AA1081" s="21"/>
      <c r="AB1081" s="21"/>
      <c r="AC1081" s="21"/>
      <c r="AD1081" s="21"/>
    </row>
    <row r="1082" spans="16:30" x14ac:dyDescent="0.3">
      <c r="P1082" s="21"/>
      <c r="Q1082" s="21"/>
      <c r="R1082" s="21"/>
      <c r="S1082" s="21"/>
      <c r="T1082" s="21"/>
      <c r="U1082" s="21"/>
      <c r="V1082" s="21"/>
      <c r="W1082" s="21"/>
      <c r="X1082" s="21"/>
      <c r="Y1082" s="21"/>
      <c r="Z1082" s="21"/>
      <c r="AA1082" s="21"/>
      <c r="AB1082" s="21"/>
      <c r="AC1082" s="21"/>
      <c r="AD1082" s="21"/>
    </row>
    <row r="1083" spans="16:30" x14ac:dyDescent="0.3">
      <c r="P1083" s="21"/>
      <c r="Q1083" s="21"/>
      <c r="R1083" s="21"/>
      <c r="S1083" s="21"/>
      <c r="T1083" s="21"/>
      <c r="U1083" s="21"/>
      <c r="V1083" s="21"/>
      <c r="W1083" s="21"/>
      <c r="X1083" s="21"/>
      <c r="Y1083" s="21"/>
      <c r="Z1083" s="21"/>
      <c r="AA1083" s="21"/>
      <c r="AB1083" s="21"/>
      <c r="AC1083" s="21"/>
      <c r="AD1083" s="21"/>
    </row>
    <row r="1084" spans="16:30" x14ac:dyDescent="0.3">
      <c r="P1084" s="21"/>
      <c r="Q1084" s="21"/>
      <c r="R1084" s="21"/>
      <c r="S1084" s="21"/>
      <c r="T1084" s="21"/>
      <c r="U1084" s="21"/>
      <c r="V1084" s="21"/>
      <c r="W1084" s="21"/>
      <c r="X1084" s="21"/>
      <c r="Y1084" s="21"/>
      <c r="Z1084" s="21"/>
      <c r="AA1084" s="21"/>
      <c r="AB1084" s="21"/>
      <c r="AC1084" s="21"/>
      <c r="AD1084" s="21"/>
    </row>
    <row r="1085" spans="16:30" x14ac:dyDescent="0.3">
      <c r="P1085" s="21"/>
      <c r="Q1085" s="21"/>
      <c r="R1085" s="21"/>
      <c r="S1085" s="21"/>
      <c r="T1085" s="21"/>
      <c r="U1085" s="21"/>
      <c r="V1085" s="21"/>
      <c r="W1085" s="21"/>
      <c r="X1085" s="21"/>
      <c r="Y1085" s="21"/>
      <c r="Z1085" s="21"/>
      <c r="AA1085" s="21"/>
      <c r="AB1085" s="21"/>
      <c r="AC1085" s="21"/>
      <c r="AD1085" s="21"/>
    </row>
    <row r="1086" spans="16:30" x14ac:dyDescent="0.3">
      <c r="P1086" s="24"/>
      <c r="Q1086" s="24"/>
      <c r="R1086" s="24"/>
      <c r="S1086" s="24"/>
      <c r="T1086" s="24"/>
      <c r="U1086" s="24"/>
      <c r="V1086" s="24"/>
      <c r="W1086" s="24"/>
      <c r="X1086" s="24"/>
      <c r="Y1086" s="24"/>
      <c r="Z1086" s="21"/>
      <c r="AA1086" s="21"/>
      <c r="AB1086" s="21"/>
      <c r="AC1086" s="21"/>
      <c r="AD1086" s="21"/>
    </row>
    <row r="1087" spans="16:30" x14ac:dyDescent="0.3">
      <c r="P1087" s="24"/>
      <c r="Q1087" s="24"/>
      <c r="R1087" s="24"/>
      <c r="S1087" s="24"/>
      <c r="T1087" s="24"/>
      <c r="U1087" s="24"/>
      <c r="V1087" s="24"/>
      <c r="W1087" s="24"/>
      <c r="X1087" s="24"/>
      <c r="Y1087" s="24"/>
      <c r="Z1087" s="21"/>
      <c r="AA1087" s="21"/>
      <c r="AB1087" s="21"/>
      <c r="AC1087" s="21"/>
      <c r="AD1087" s="21"/>
    </row>
    <row r="1088" spans="16:30" x14ac:dyDescent="0.3">
      <c r="P1088" s="24"/>
      <c r="Q1088" s="24"/>
      <c r="R1088" s="24"/>
      <c r="S1088" s="24"/>
      <c r="T1088" s="24"/>
      <c r="U1088" s="24"/>
      <c r="V1088" s="24"/>
      <c r="W1088" s="24"/>
      <c r="X1088" s="24"/>
      <c r="Y1088" s="24"/>
      <c r="Z1088" s="21"/>
      <c r="AA1088" s="21"/>
      <c r="AB1088" s="21"/>
      <c r="AC1088" s="21"/>
      <c r="AD1088" s="21"/>
    </row>
    <row r="1089" spans="16:30" x14ac:dyDescent="0.3">
      <c r="P1089" s="24"/>
      <c r="Q1089" s="24"/>
      <c r="R1089" s="24"/>
      <c r="S1089" s="24"/>
      <c r="T1089" s="24"/>
      <c r="U1089" s="24"/>
      <c r="V1089" s="24"/>
      <c r="W1089" s="24"/>
      <c r="X1089" s="24"/>
      <c r="Y1089" s="24"/>
      <c r="Z1089" s="21"/>
      <c r="AA1089" s="21"/>
      <c r="AB1089" s="21"/>
      <c r="AC1089" s="21"/>
      <c r="AD1089" s="21"/>
    </row>
    <row r="1090" spans="16:30" x14ac:dyDescent="0.3">
      <c r="P1090" s="24"/>
      <c r="Q1090" s="24"/>
      <c r="R1090" s="24"/>
      <c r="S1090" s="24"/>
      <c r="T1090" s="24"/>
      <c r="U1090" s="24"/>
      <c r="V1090" s="24"/>
      <c r="W1090" s="24"/>
      <c r="X1090" s="24"/>
      <c r="Y1090" s="24"/>
      <c r="Z1090" s="21"/>
      <c r="AA1090" s="21"/>
      <c r="AB1090" s="21"/>
      <c r="AC1090" s="21"/>
      <c r="AD1090" s="21"/>
    </row>
    <row r="1091" spans="16:30" x14ac:dyDescent="0.3">
      <c r="P1091" s="24"/>
      <c r="Q1091" s="24"/>
      <c r="R1091" s="24"/>
      <c r="S1091" s="24"/>
      <c r="T1091" s="24"/>
      <c r="U1091" s="24"/>
      <c r="V1091" s="24"/>
      <c r="W1091" s="24"/>
      <c r="X1091" s="24"/>
      <c r="Y1091" s="24"/>
      <c r="Z1091" s="21"/>
      <c r="AA1091" s="21"/>
      <c r="AB1091" s="21"/>
      <c r="AC1091" s="21"/>
      <c r="AD1091" s="21"/>
    </row>
    <row r="1092" spans="16:30" x14ac:dyDescent="0.3">
      <c r="P1092" s="24"/>
      <c r="Q1092" s="24"/>
      <c r="R1092" s="24"/>
      <c r="S1092" s="24"/>
      <c r="T1092" s="24"/>
      <c r="U1092" s="24"/>
      <c r="V1092" s="24"/>
      <c r="W1092" s="24"/>
      <c r="X1092" s="24"/>
      <c r="Y1092" s="24"/>
      <c r="Z1092" s="21"/>
      <c r="AA1092" s="21"/>
      <c r="AB1092" s="21"/>
      <c r="AC1092" s="21"/>
      <c r="AD1092" s="21"/>
    </row>
    <row r="1093" spans="16:30" x14ac:dyDescent="0.3">
      <c r="P1093" s="24"/>
      <c r="Q1093" s="24"/>
      <c r="R1093" s="24"/>
      <c r="S1093" s="24"/>
      <c r="T1093" s="24"/>
      <c r="U1093" s="24"/>
      <c r="V1093" s="24"/>
      <c r="W1093" s="24"/>
      <c r="X1093" s="24"/>
      <c r="Y1093" s="24"/>
      <c r="Z1093" s="21"/>
      <c r="AA1093" s="21"/>
      <c r="AB1093" s="21"/>
      <c r="AC1093" s="21"/>
      <c r="AD1093" s="21"/>
    </row>
    <row r="1094" spans="16:30" x14ac:dyDescent="0.3">
      <c r="P1094" s="24"/>
      <c r="Q1094" s="24"/>
      <c r="R1094" s="24"/>
      <c r="S1094" s="24"/>
      <c r="T1094" s="24"/>
      <c r="U1094" s="24"/>
      <c r="V1094" s="24"/>
      <c r="W1094" s="24"/>
      <c r="X1094" s="24"/>
      <c r="Y1094" s="24"/>
      <c r="Z1094" s="21"/>
      <c r="AA1094" s="21"/>
      <c r="AB1094" s="21"/>
      <c r="AC1094" s="21"/>
      <c r="AD1094" s="21"/>
    </row>
    <row r="1095" spans="16:30" x14ac:dyDescent="0.3">
      <c r="P1095" s="24"/>
      <c r="Q1095" s="24"/>
      <c r="R1095" s="24"/>
      <c r="S1095" s="24"/>
      <c r="T1095" s="24"/>
      <c r="U1095" s="24"/>
      <c r="V1095" s="24"/>
      <c r="W1095" s="24"/>
      <c r="X1095" s="24"/>
      <c r="Y1095" s="24"/>
      <c r="Z1095" s="21"/>
      <c r="AA1095" s="21"/>
      <c r="AB1095" s="21"/>
      <c r="AC1095" s="21"/>
      <c r="AD1095" s="21"/>
    </row>
    <row r="1096" spans="16:30" x14ac:dyDescent="0.3">
      <c r="P1096" s="24"/>
      <c r="Q1096" s="24"/>
      <c r="R1096" s="24"/>
      <c r="S1096" s="24"/>
      <c r="T1096" s="24"/>
      <c r="U1096" s="24"/>
      <c r="V1096" s="24"/>
      <c r="W1096" s="24"/>
      <c r="X1096" s="24"/>
      <c r="Y1096" s="24"/>
      <c r="Z1096" s="21"/>
      <c r="AA1096" s="21"/>
      <c r="AB1096" s="21"/>
      <c r="AC1096" s="21"/>
      <c r="AD1096" s="21"/>
    </row>
    <row r="1097" spans="16:30" x14ac:dyDescent="0.3">
      <c r="P1097" s="24"/>
      <c r="Q1097" s="24"/>
      <c r="R1097" s="24"/>
      <c r="S1097" s="24"/>
      <c r="T1097" s="24"/>
      <c r="U1097" s="24"/>
      <c r="V1097" s="24"/>
      <c r="W1097" s="24"/>
      <c r="X1097" s="24"/>
      <c r="Y1097" s="24"/>
      <c r="Z1097" s="21"/>
      <c r="AA1097" s="21"/>
      <c r="AB1097" s="21"/>
      <c r="AC1097" s="21"/>
      <c r="AD1097" s="21"/>
    </row>
    <row r="1098" spans="16:30" x14ac:dyDescent="0.3">
      <c r="P1098" s="24"/>
      <c r="Q1098" s="24"/>
      <c r="R1098" s="24"/>
      <c r="S1098" s="24"/>
      <c r="T1098" s="24"/>
      <c r="U1098" s="24"/>
      <c r="V1098" s="24"/>
      <c r="W1098" s="24"/>
      <c r="X1098" s="24"/>
      <c r="Y1098" s="24"/>
      <c r="Z1098" s="21"/>
      <c r="AA1098" s="21"/>
      <c r="AB1098" s="21"/>
      <c r="AC1098" s="21"/>
      <c r="AD1098" s="21"/>
    </row>
    <row r="1099" spans="16:30" x14ac:dyDescent="0.3">
      <c r="P1099" s="24"/>
      <c r="Q1099" s="24"/>
      <c r="R1099" s="24"/>
      <c r="S1099" s="24"/>
      <c r="T1099" s="24"/>
      <c r="U1099" s="24"/>
      <c r="V1099" s="24"/>
      <c r="W1099" s="24"/>
      <c r="X1099" s="24"/>
      <c r="Y1099" s="24"/>
      <c r="Z1099" s="21"/>
      <c r="AA1099" s="21"/>
      <c r="AB1099" s="21"/>
      <c r="AC1099" s="21"/>
      <c r="AD1099" s="21"/>
    </row>
    <row r="1100" spans="16:30" x14ac:dyDescent="0.3">
      <c r="P1100" s="24"/>
      <c r="Q1100" s="24"/>
      <c r="R1100" s="24"/>
      <c r="S1100" s="24"/>
      <c r="T1100" s="24"/>
      <c r="U1100" s="24"/>
      <c r="V1100" s="24"/>
      <c r="W1100" s="24"/>
      <c r="X1100" s="24"/>
      <c r="Y1100" s="24"/>
      <c r="Z1100" s="21"/>
      <c r="AA1100" s="21"/>
      <c r="AB1100" s="21"/>
      <c r="AC1100" s="21"/>
      <c r="AD1100" s="21"/>
    </row>
    <row r="1101" spans="16:30" x14ac:dyDescent="0.3">
      <c r="P1101" s="24"/>
      <c r="Q1101" s="24"/>
      <c r="R1101" s="24"/>
      <c r="S1101" s="24"/>
      <c r="T1101" s="24"/>
      <c r="U1101" s="24"/>
      <c r="V1101" s="24"/>
      <c r="W1101" s="24"/>
      <c r="X1101" s="24"/>
      <c r="Y1101" s="24"/>
      <c r="Z1101" s="21"/>
      <c r="AA1101" s="21"/>
      <c r="AB1101" s="21"/>
      <c r="AC1101" s="21"/>
      <c r="AD1101" s="21"/>
    </row>
    <row r="1102" spans="16:30" x14ac:dyDescent="0.3">
      <c r="P1102" s="24"/>
      <c r="Q1102" s="24"/>
      <c r="R1102" s="24"/>
      <c r="S1102" s="24"/>
      <c r="T1102" s="24"/>
      <c r="U1102" s="24"/>
      <c r="V1102" s="24"/>
      <c r="W1102" s="24"/>
      <c r="X1102" s="24"/>
      <c r="Y1102" s="24"/>
      <c r="Z1102" s="21"/>
      <c r="AA1102" s="21"/>
      <c r="AB1102" s="21"/>
      <c r="AC1102" s="21"/>
      <c r="AD1102" s="21"/>
    </row>
    <row r="1103" spans="16:30" x14ac:dyDescent="0.3">
      <c r="P1103" s="24"/>
      <c r="Q1103" s="24"/>
      <c r="R1103" s="24"/>
      <c r="S1103" s="24"/>
      <c r="T1103" s="24"/>
      <c r="U1103" s="24"/>
      <c r="V1103" s="24"/>
      <c r="W1103" s="24"/>
      <c r="X1103" s="24"/>
      <c r="Y1103" s="24"/>
      <c r="Z1103" s="21"/>
      <c r="AA1103" s="21"/>
      <c r="AB1103" s="21"/>
      <c r="AC1103" s="21"/>
      <c r="AD1103" s="21"/>
    </row>
    <row r="1104" spans="16:30" x14ac:dyDescent="0.3">
      <c r="P1104" s="24"/>
      <c r="Q1104" s="24"/>
      <c r="R1104" s="24"/>
      <c r="S1104" s="24"/>
      <c r="T1104" s="24"/>
      <c r="U1104" s="24"/>
      <c r="V1104" s="24"/>
      <c r="W1104" s="24"/>
      <c r="X1104" s="24"/>
      <c r="Y1104" s="24"/>
      <c r="Z1104" s="21"/>
      <c r="AA1104" s="21"/>
      <c r="AB1104" s="21"/>
      <c r="AC1104" s="21"/>
      <c r="AD1104" s="21"/>
    </row>
    <row r="1105" spans="16:30" x14ac:dyDescent="0.3">
      <c r="P1105" s="24"/>
      <c r="Q1105" s="24"/>
      <c r="R1105" s="24"/>
      <c r="S1105" s="24"/>
      <c r="T1105" s="24"/>
      <c r="U1105" s="24"/>
      <c r="V1105" s="24"/>
      <c r="W1105" s="24"/>
      <c r="X1105" s="24"/>
      <c r="Y1105" s="24"/>
      <c r="Z1105" s="21"/>
      <c r="AA1105" s="21"/>
      <c r="AB1105" s="21"/>
      <c r="AC1105" s="21"/>
      <c r="AD1105" s="21"/>
    </row>
    <row r="1106" spans="16:30" x14ac:dyDescent="0.3">
      <c r="P1106" s="24"/>
      <c r="Q1106" s="24"/>
      <c r="R1106" s="24"/>
      <c r="S1106" s="24"/>
      <c r="T1106" s="24"/>
      <c r="U1106" s="24"/>
      <c r="V1106" s="24"/>
      <c r="W1106" s="24"/>
      <c r="X1106" s="24"/>
      <c r="Y1106" s="24"/>
      <c r="Z1106" s="21"/>
      <c r="AA1106" s="21"/>
      <c r="AB1106" s="21"/>
      <c r="AC1106" s="21"/>
      <c r="AD1106" s="21"/>
    </row>
    <row r="1107" spans="16:30" x14ac:dyDescent="0.3">
      <c r="P1107" s="24"/>
      <c r="Q1107" s="24"/>
      <c r="R1107" s="24"/>
      <c r="S1107" s="24"/>
      <c r="T1107" s="24"/>
      <c r="U1107" s="24"/>
      <c r="V1107" s="24"/>
      <c r="W1107" s="24"/>
      <c r="X1107" s="24"/>
      <c r="Y1107" s="24"/>
      <c r="Z1107" s="21"/>
      <c r="AA1107" s="21"/>
      <c r="AB1107" s="21"/>
      <c r="AC1107" s="21"/>
      <c r="AD1107" s="21"/>
    </row>
    <row r="1108" spans="16:30" x14ac:dyDescent="0.3">
      <c r="P1108" s="24"/>
      <c r="Q1108" s="24"/>
      <c r="R1108" s="24"/>
      <c r="S1108" s="24"/>
      <c r="T1108" s="24"/>
      <c r="U1108" s="24"/>
      <c r="V1108" s="24"/>
      <c r="W1108" s="24"/>
      <c r="X1108" s="24"/>
      <c r="Y1108" s="24"/>
      <c r="Z1108" s="21"/>
      <c r="AA1108" s="21"/>
      <c r="AB1108" s="21"/>
      <c r="AC1108" s="21"/>
      <c r="AD1108" s="21"/>
    </row>
    <row r="1109" spans="16:30" x14ac:dyDescent="0.3">
      <c r="P1109" s="24"/>
      <c r="Q1109" s="24"/>
      <c r="R1109" s="24"/>
      <c r="S1109" s="24"/>
      <c r="T1109" s="24"/>
      <c r="U1109" s="24"/>
      <c r="V1109" s="24"/>
      <c r="W1109" s="24"/>
      <c r="X1109" s="24"/>
      <c r="Y1109" s="24"/>
      <c r="Z1109" s="21"/>
      <c r="AA1109" s="21"/>
      <c r="AB1109" s="21"/>
      <c r="AC1109" s="21"/>
      <c r="AD1109" s="21"/>
    </row>
    <row r="1110" spans="16:30" x14ac:dyDescent="0.3">
      <c r="P1110" s="24"/>
      <c r="Q1110" s="24"/>
      <c r="R1110" s="24"/>
      <c r="S1110" s="24"/>
      <c r="T1110" s="24"/>
      <c r="U1110" s="24"/>
      <c r="V1110" s="24"/>
      <c r="W1110" s="24"/>
      <c r="X1110" s="24"/>
      <c r="Y1110" s="24"/>
      <c r="Z1110" s="21"/>
      <c r="AA1110" s="21"/>
      <c r="AB1110" s="21"/>
      <c r="AC1110" s="21"/>
      <c r="AD1110" s="21"/>
    </row>
    <row r="1111" spans="16:30" x14ac:dyDescent="0.3">
      <c r="P1111" s="24"/>
      <c r="Q1111" s="24"/>
      <c r="R1111" s="24"/>
      <c r="S1111" s="24"/>
      <c r="T1111" s="24"/>
      <c r="U1111" s="24"/>
      <c r="V1111" s="24"/>
      <c r="W1111" s="24"/>
      <c r="X1111" s="24"/>
      <c r="Y1111" s="24"/>
      <c r="Z1111" s="21"/>
      <c r="AA1111" s="21"/>
      <c r="AB1111" s="21"/>
      <c r="AC1111" s="21"/>
      <c r="AD1111" s="21"/>
    </row>
    <row r="1112" spans="16:30" x14ac:dyDescent="0.3">
      <c r="P1112" s="24"/>
      <c r="Q1112" s="24"/>
      <c r="R1112" s="24"/>
      <c r="S1112" s="24"/>
      <c r="T1112" s="24"/>
      <c r="U1112" s="24"/>
      <c r="V1112" s="24"/>
      <c r="W1112" s="24"/>
      <c r="X1112" s="24"/>
      <c r="Y1112" s="24"/>
      <c r="Z1112" s="21"/>
      <c r="AA1112" s="21"/>
      <c r="AB1112" s="21"/>
      <c r="AC1112" s="21"/>
      <c r="AD1112" s="21"/>
    </row>
    <row r="1113" spans="16:30" x14ac:dyDescent="0.3">
      <c r="P1113" s="24"/>
      <c r="Q1113" s="24"/>
      <c r="R1113" s="24"/>
      <c r="S1113" s="24"/>
      <c r="T1113" s="24"/>
      <c r="U1113" s="24"/>
      <c r="V1113" s="24"/>
      <c r="W1113" s="24"/>
      <c r="X1113" s="24"/>
      <c r="Y1113" s="24"/>
      <c r="Z1113" s="21"/>
      <c r="AA1113" s="21"/>
      <c r="AB1113" s="21"/>
      <c r="AC1113" s="21"/>
      <c r="AD1113" s="21"/>
    </row>
    <row r="1114" spans="16:30" x14ac:dyDescent="0.3">
      <c r="P1114" s="24"/>
      <c r="Q1114" s="24"/>
      <c r="R1114" s="24"/>
      <c r="S1114" s="24"/>
      <c r="T1114" s="24"/>
      <c r="U1114" s="24"/>
      <c r="V1114" s="24"/>
      <c r="W1114" s="24"/>
      <c r="X1114" s="24"/>
      <c r="Y1114" s="24"/>
      <c r="Z1114" s="21"/>
      <c r="AA1114" s="21"/>
      <c r="AB1114" s="21"/>
      <c r="AC1114" s="21"/>
      <c r="AD1114" s="21"/>
    </row>
    <row r="1115" spans="16:30" x14ac:dyDescent="0.3">
      <c r="P1115" s="24"/>
      <c r="Q1115" s="24"/>
      <c r="R1115" s="24"/>
      <c r="S1115" s="24"/>
      <c r="T1115" s="24"/>
      <c r="U1115" s="24"/>
      <c r="V1115" s="24"/>
      <c r="W1115" s="24"/>
      <c r="X1115" s="24"/>
      <c r="Y1115" s="24"/>
      <c r="Z1115" s="21"/>
      <c r="AA1115" s="21"/>
      <c r="AB1115" s="21"/>
      <c r="AC1115" s="21"/>
      <c r="AD1115" s="21"/>
    </row>
    <row r="1116" spans="16:30" x14ac:dyDescent="0.3">
      <c r="P1116" s="24"/>
      <c r="Q1116" s="24"/>
      <c r="R1116" s="24"/>
      <c r="S1116" s="24"/>
      <c r="T1116" s="24"/>
      <c r="U1116" s="24"/>
      <c r="V1116" s="24"/>
      <c r="W1116" s="24"/>
      <c r="X1116" s="24"/>
      <c r="Y1116" s="24"/>
      <c r="Z1116" s="21"/>
      <c r="AA1116" s="21"/>
      <c r="AB1116" s="21"/>
      <c r="AC1116" s="21"/>
      <c r="AD1116" s="21"/>
    </row>
    <row r="1117" spans="16:30" x14ac:dyDescent="0.3">
      <c r="P1117" s="24"/>
      <c r="Q1117" s="24"/>
      <c r="R1117" s="24"/>
      <c r="S1117" s="24"/>
      <c r="T1117" s="24"/>
      <c r="U1117" s="24"/>
      <c r="V1117" s="24"/>
      <c r="W1117" s="24"/>
      <c r="X1117" s="24"/>
      <c r="Y1117" s="24"/>
      <c r="Z1117" s="21"/>
      <c r="AA1117" s="21"/>
      <c r="AB1117" s="21"/>
      <c r="AC1117" s="21"/>
      <c r="AD1117" s="21"/>
    </row>
    <row r="1118" spans="16:30" x14ac:dyDescent="0.3">
      <c r="P1118" s="24"/>
      <c r="Q1118" s="24"/>
      <c r="R1118" s="24"/>
      <c r="S1118" s="24"/>
      <c r="T1118" s="24"/>
      <c r="U1118" s="24"/>
      <c r="V1118" s="24"/>
      <c r="W1118" s="24"/>
      <c r="X1118" s="24"/>
      <c r="Y1118" s="24"/>
      <c r="Z1118" s="21"/>
      <c r="AA1118" s="21"/>
      <c r="AB1118" s="21"/>
      <c r="AC1118" s="21"/>
      <c r="AD1118" s="21"/>
    </row>
    <row r="1119" spans="16:30" x14ac:dyDescent="0.3">
      <c r="P1119" s="24"/>
      <c r="Q1119" s="24"/>
      <c r="R1119" s="24"/>
      <c r="S1119" s="24"/>
      <c r="T1119" s="24"/>
      <c r="U1119" s="24"/>
      <c r="V1119" s="24"/>
      <c r="W1119" s="24"/>
      <c r="X1119" s="24"/>
      <c r="Y1119" s="24"/>
      <c r="Z1119" s="21"/>
      <c r="AA1119" s="21"/>
      <c r="AB1119" s="21"/>
      <c r="AC1119" s="21"/>
      <c r="AD1119" s="21"/>
    </row>
    <row r="1120" spans="16:30" x14ac:dyDescent="0.3">
      <c r="P1120" s="24"/>
      <c r="Q1120" s="24"/>
      <c r="R1120" s="24"/>
      <c r="S1120" s="24"/>
      <c r="T1120" s="24"/>
      <c r="U1120" s="24"/>
      <c r="V1120" s="24"/>
      <c r="W1120" s="24"/>
      <c r="X1120" s="24"/>
      <c r="Y1120" s="24"/>
      <c r="Z1120" s="21"/>
      <c r="AA1120" s="21"/>
      <c r="AB1120" s="21"/>
      <c r="AC1120" s="21"/>
      <c r="AD1120" s="21"/>
    </row>
    <row r="1121" spans="16:30" x14ac:dyDescent="0.3">
      <c r="P1121" s="24"/>
      <c r="Q1121" s="24"/>
      <c r="R1121" s="24"/>
      <c r="S1121" s="24"/>
      <c r="T1121" s="24"/>
      <c r="U1121" s="24"/>
      <c r="V1121" s="24"/>
      <c r="W1121" s="24"/>
      <c r="X1121" s="24"/>
      <c r="Y1121" s="24"/>
      <c r="Z1121" s="21"/>
      <c r="AA1121" s="21"/>
      <c r="AB1121" s="21"/>
      <c r="AC1121" s="21"/>
      <c r="AD1121" s="21"/>
    </row>
    <row r="1122" spans="16:30" x14ac:dyDescent="0.3">
      <c r="P1122" s="24"/>
      <c r="Q1122" s="24"/>
      <c r="R1122" s="24"/>
      <c r="S1122" s="24"/>
      <c r="T1122" s="24"/>
      <c r="U1122" s="24"/>
      <c r="V1122" s="24"/>
      <c r="W1122" s="24"/>
      <c r="X1122" s="24"/>
      <c r="Y1122" s="24"/>
      <c r="Z1122" s="21"/>
      <c r="AA1122" s="21"/>
      <c r="AB1122" s="21"/>
      <c r="AC1122" s="21"/>
      <c r="AD1122" s="21"/>
    </row>
    <row r="1123" spans="16:30" x14ac:dyDescent="0.3">
      <c r="P1123" s="24"/>
      <c r="Q1123" s="24"/>
      <c r="R1123" s="24"/>
      <c r="S1123" s="24"/>
      <c r="T1123" s="24"/>
      <c r="U1123" s="24"/>
      <c r="V1123" s="24"/>
      <c r="W1123" s="24"/>
      <c r="X1123" s="24"/>
      <c r="Y1123" s="24"/>
      <c r="Z1123" s="21"/>
      <c r="AA1123" s="21"/>
      <c r="AB1123" s="21"/>
      <c r="AC1123" s="21"/>
      <c r="AD1123" s="21"/>
    </row>
    <row r="1124" spans="16:30" x14ac:dyDescent="0.3">
      <c r="P1124" s="24"/>
      <c r="Q1124" s="24"/>
      <c r="R1124" s="24"/>
      <c r="S1124" s="24"/>
      <c r="T1124" s="24"/>
      <c r="U1124" s="24"/>
      <c r="V1124" s="24"/>
      <c r="W1124" s="24"/>
      <c r="X1124" s="24"/>
      <c r="Y1124" s="24"/>
      <c r="Z1124" s="21"/>
      <c r="AA1124" s="21"/>
      <c r="AB1124" s="21"/>
      <c r="AC1124" s="21"/>
      <c r="AD1124" s="21"/>
    </row>
    <row r="1125" spans="16:30" x14ac:dyDescent="0.3">
      <c r="P1125" s="24"/>
      <c r="Q1125" s="24"/>
      <c r="R1125" s="24"/>
      <c r="S1125" s="24"/>
      <c r="T1125" s="24"/>
      <c r="U1125" s="24"/>
      <c r="V1125" s="24"/>
      <c r="W1125" s="24"/>
      <c r="X1125" s="24"/>
      <c r="Y1125" s="24"/>
      <c r="Z1125" s="21"/>
      <c r="AA1125" s="21"/>
      <c r="AB1125" s="21"/>
      <c r="AC1125" s="21"/>
      <c r="AD1125" s="21"/>
    </row>
    <row r="1126" spans="16:30" x14ac:dyDescent="0.3">
      <c r="P1126" s="24"/>
      <c r="Q1126" s="24"/>
      <c r="R1126" s="24"/>
      <c r="S1126" s="24"/>
      <c r="T1126" s="24"/>
      <c r="U1126" s="24"/>
      <c r="V1126" s="24"/>
      <c r="W1126" s="24"/>
      <c r="X1126" s="24"/>
      <c r="Y1126" s="24"/>
      <c r="Z1126" s="21"/>
      <c r="AA1126" s="21"/>
      <c r="AB1126" s="21"/>
      <c r="AC1126" s="21"/>
      <c r="AD1126" s="21"/>
    </row>
    <row r="1127" spans="16:30" x14ac:dyDescent="0.3">
      <c r="P1127" s="24"/>
      <c r="Q1127" s="24"/>
      <c r="R1127" s="24"/>
      <c r="S1127" s="24"/>
      <c r="T1127" s="24"/>
      <c r="U1127" s="24"/>
      <c r="V1127" s="24"/>
      <c r="W1127" s="24"/>
      <c r="X1127" s="24"/>
      <c r="Y1127" s="24"/>
      <c r="Z1127" s="21"/>
      <c r="AA1127" s="21"/>
      <c r="AB1127" s="21"/>
      <c r="AC1127" s="21"/>
      <c r="AD1127" s="21"/>
    </row>
    <row r="1128" spans="16:30" x14ac:dyDescent="0.3">
      <c r="P1128" s="24"/>
      <c r="Q1128" s="24"/>
      <c r="R1128" s="24"/>
      <c r="S1128" s="24"/>
      <c r="T1128" s="24"/>
      <c r="U1128" s="24"/>
      <c r="V1128" s="24"/>
      <c r="W1128" s="24"/>
      <c r="X1128" s="24"/>
      <c r="Y1128" s="24"/>
      <c r="Z1128" s="21"/>
      <c r="AA1128" s="21"/>
      <c r="AB1128" s="21"/>
      <c r="AC1128" s="21"/>
      <c r="AD1128" s="21"/>
    </row>
    <row r="1129" spans="16:30" x14ac:dyDescent="0.3">
      <c r="P1129" s="24"/>
      <c r="Q1129" s="24"/>
      <c r="R1129" s="24"/>
      <c r="S1129" s="24"/>
      <c r="T1129" s="24"/>
      <c r="U1129" s="24"/>
      <c r="V1129" s="24"/>
      <c r="W1129" s="24"/>
      <c r="X1129" s="24"/>
      <c r="Y1129" s="24"/>
      <c r="Z1129" s="21"/>
      <c r="AA1129" s="21"/>
      <c r="AB1129" s="21"/>
      <c r="AC1129" s="21"/>
      <c r="AD1129" s="21"/>
    </row>
    <row r="1130" spans="16:30" x14ac:dyDescent="0.3">
      <c r="P1130" s="24"/>
      <c r="Q1130" s="24"/>
      <c r="R1130" s="24"/>
      <c r="S1130" s="24"/>
      <c r="T1130" s="24"/>
      <c r="U1130" s="24"/>
      <c r="V1130" s="24"/>
      <c r="W1130" s="24"/>
      <c r="X1130" s="24"/>
      <c r="Y1130" s="24"/>
      <c r="Z1130" s="21"/>
      <c r="AA1130" s="21"/>
      <c r="AB1130" s="21"/>
      <c r="AC1130" s="21"/>
      <c r="AD1130" s="21"/>
    </row>
    <row r="1131" spans="16:30" x14ac:dyDescent="0.3">
      <c r="P1131" s="24"/>
      <c r="Q1131" s="24"/>
      <c r="R1131" s="24"/>
      <c r="S1131" s="24"/>
      <c r="T1131" s="24"/>
      <c r="U1131" s="24"/>
      <c r="V1131" s="24"/>
      <c r="W1131" s="24"/>
      <c r="X1131" s="24"/>
      <c r="Y1131" s="24"/>
      <c r="Z1131" s="21"/>
      <c r="AA1131" s="21"/>
      <c r="AB1131" s="21"/>
      <c r="AC1131" s="21"/>
      <c r="AD1131" s="21"/>
    </row>
    <row r="1132" spans="16:30" x14ac:dyDescent="0.3">
      <c r="P1132" s="24"/>
      <c r="Q1132" s="24"/>
      <c r="R1132" s="24"/>
      <c r="S1132" s="24"/>
      <c r="T1132" s="24"/>
      <c r="U1132" s="24"/>
      <c r="V1132" s="24"/>
      <c r="W1132" s="24"/>
      <c r="X1132" s="24"/>
      <c r="Y1132" s="24"/>
      <c r="Z1132" s="21"/>
      <c r="AA1132" s="21"/>
      <c r="AB1132" s="21"/>
      <c r="AC1132" s="21"/>
      <c r="AD1132" s="21"/>
    </row>
    <row r="1133" spans="16:30" x14ac:dyDescent="0.3">
      <c r="P1133" s="24"/>
      <c r="Q1133" s="24"/>
      <c r="R1133" s="24"/>
      <c r="S1133" s="24"/>
      <c r="T1133" s="24"/>
      <c r="U1133" s="24"/>
      <c r="V1133" s="24"/>
      <c r="W1133" s="24"/>
      <c r="X1133" s="24"/>
      <c r="Y1133" s="24"/>
      <c r="Z1133" s="21"/>
      <c r="AA1133" s="21"/>
      <c r="AB1133" s="21"/>
      <c r="AC1133" s="21"/>
      <c r="AD1133" s="21"/>
    </row>
    <row r="1134" spans="16:30" x14ac:dyDescent="0.3">
      <c r="P1134" s="24"/>
      <c r="Q1134" s="24"/>
      <c r="R1134" s="24"/>
      <c r="S1134" s="24"/>
      <c r="T1134" s="24"/>
      <c r="U1134" s="24"/>
      <c r="V1134" s="24"/>
      <c r="W1134" s="24"/>
      <c r="X1134" s="24"/>
      <c r="Y1134" s="24"/>
      <c r="Z1134" s="21"/>
      <c r="AA1134" s="21"/>
      <c r="AB1134" s="21"/>
      <c r="AC1134" s="21"/>
      <c r="AD1134" s="21"/>
    </row>
    <row r="1135" spans="16:30" x14ac:dyDescent="0.3">
      <c r="P1135" s="24"/>
      <c r="Q1135" s="24"/>
      <c r="R1135" s="24"/>
      <c r="S1135" s="24"/>
      <c r="T1135" s="24"/>
      <c r="U1135" s="24"/>
      <c r="V1135" s="24"/>
      <c r="W1135" s="24"/>
      <c r="X1135" s="24"/>
      <c r="Y1135" s="24"/>
      <c r="Z1135" s="21"/>
      <c r="AA1135" s="21"/>
      <c r="AB1135" s="21"/>
      <c r="AC1135" s="21"/>
      <c r="AD1135" s="21"/>
    </row>
    <row r="1136" spans="16:30" x14ac:dyDescent="0.3">
      <c r="P1136" s="24"/>
      <c r="Q1136" s="24"/>
      <c r="R1136" s="24"/>
      <c r="S1136" s="24"/>
      <c r="T1136" s="24"/>
      <c r="U1136" s="24"/>
      <c r="V1136" s="24"/>
      <c r="W1136" s="24"/>
      <c r="X1136" s="24"/>
      <c r="Y1136" s="24"/>
      <c r="Z1136" s="21"/>
      <c r="AA1136" s="21"/>
      <c r="AB1136" s="21"/>
      <c r="AC1136" s="21"/>
      <c r="AD1136" s="21"/>
    </row>
    <row r="1137" spans="16:30" x14ac:dyDescent="0.3">
      <c r="P1137" s="24"/>
      <c r="Q1137" s="24"/>
      <c r="R1137" s="24"/>
      <c r="S1137" s="24"/>
      <c r="T1137" s="24"/>
      <c r="U1137" s="24"/>
      <c r="V1137" s="24"/>
      <c r="W1137" s="24"/>
      <c r="X1137" s="24"/>
      <c r="Y1137" s="24"/>
      <c r="Z1137" s="21"/>
      <c r="AA1137" s="21"/>
      <c r="AB1137" s="21"/>
      <c r="AC1137" s="21"/>
      <c r="AD1137" s="21"/>
    </row>
    <row r="1138" spans="16:30" x14ac:dyDescent="0.3">
      <c r="P1138" s="24"/>
      <c r="Q1138" s="24"/>
      <c r="R1138" s="24"/>
      <c r="S1138" s="24"/>
      <c r="T1138" s="24"/>
      <c r="U1138" s="24"/>
      <c r="V1138" s="24"/>
      <c r="W1138" s="24"/>
      <c r="X1138" s="24"/>
      <c r="Y1138" s="24"/>
      <c r="Z1138" s="21"/>
      <c r="AA1138" s="21"/>
      <c r="AB1138" s="21"/>
      <c r="AC1138" s="21"/>
      <c r="AD1138" s="21"/>
    </row>
    <row r="1139" spans="16:30" x14ac:dyDescent="0.3">
      <c r="P1139" s="24"/>
      <c r="Q1139" s="24"/>
      <c r="R1139" s="24"/>
      <c r="S1139" s="24"/>
      <c r="T1139" s="24"/>
      <c r="U1139" s="24"/>
      <c r="V1139" s="24"/>
      <c r="W1139" s="24"/>
      <c r="X1139" s="24"/>
      <c r="Y1139" s="24"/>
      <c r="Z1139" s="21"/>
      <c r="AA1139" s="21"/>
      <c r="AB1139" s="21"/>
      <c r="AC1139" s="21"/>
      <c r="AD1139" s="21"/>
    </row>
    <row r="1140" spans="16:30" x14ac:dyDescent="0.3">
      <c r="P1140" s="24"/>
      <c r="Q1140" s="24"/>
      <c r="R1140" s="24"/>
      <c r="S1140" s="24"/>
      <c r="T1140" s="24"/>
      <c r="U1140" s="24"/>
      <c r="V1140" s="24"/>
      <c r="W1140" s="24"/>
      <c r="X1140" s="24"/>
      <c r="Y1140" s="24"/>
      <c r="Z1140" s="21"/>
      <c r="AA1140" s="21"/>
      <c r="AB1140" s="21"/>
      <c r="AC1140" s="21"/>
      <c r="AD1140" s="21"/>
    </row>
    <row r="1141" spans="16:30" x14ac:dyDescent="0.3">
      <c r="P1141" s="24"/>
      <c r="Q1141" s="24"/>
      <c r="R1141" s="24"/>
      <c r="S1141" s="24"/>
      <c r="T1141" s="24"/>
      <c r="U1141" s="24"/>
      <c r="V1141" s="24"/>
      <c r="W1141" s="24"/>
      <c r="X1141" s="24"/>
      <c r="Y1141" s="24"/>
      <c r="Z1141" s="21"/>
      <c r="AA1141" s="21"/>
      <c r="AB1141" s="21"/>
      <c r="AC1141" s="21"/>
      <c r="AD1141" s="21"/>
    </row>
    <row r="1142" spans="16:30" x14ac:dyDescent="0.3">
      <c r="P1142" s="24"/>
      <c r="Q1142" s="24"/>
      <c r="R1142" s="24"/>
      <c r="S1142" s="24"/>
      <c r="T1142" s="24"/>
      <c r="U1142" s="24"/>
      <c r="V1142" s="24"/>
      <c r="W1142" s="24"/>
      <c r="X1142" s="24"/>
      <c r="Y1142" s="24"/>
      <c r="Z1142" s="21"/>
      <c r="AA1142" s="21"/>
      <c r="AB1142" s="21"/>
      <c r="AC1142" s="21"/>
      <c r="AD1142" s="21"/>
    </row>
    <row r="1143" spans="16:30" x14ac:dyDescent="0.3">
      <c r="P1143" s="24"/>
      <c r="Q1143" s="24"/>
      <c r="R1143" s="24"/>
      <c r="S1143" s="24"/>
      <c r="T1143" s="24"/>
      <c r="U1143" s="24"/>
      <c r="V1143" s="24"/>
      <c r="W1143" s="24"/>
      <c r="X1143" s="24"/>
      <c r="Y1143" s="24"/>
      <c r="Z1143" s="21"/>
      <c r="AA1143" s="21"/>
      <c r="AB1143" s="21"/>
      <c r="AC1143" s="21"/>
      <c r="AD1143" s="21"/>
    </row>
    <row r="1144" spans="16:30" x14ac:dyDescent="0.3">
      <c r="P1144" s="24"/>
      <c r="Q1144" s="24"/>
      <c r="R1144" s="24"/>
      <c r="S1144" s="24"/>
      <c r="T1144" s="24"/>
      <c r="U1144" s="24"/>
      <c r="V1144" s="24"/>
      <c r="W1144" s="24"/>
      <c r="X1144" s="24"/>
      <c r="Y1144" s="24"/>
      <c r="Z1144" s="21"/>
      <c r="AA1144" s="21"/>
      <c r="AB1144" s="21"/>
      <c r="AC1144" s="21"/>
      <c r="AD1144" s="21"/>
    </row>
    <row r="1145" spans="16:30" x14ac:dyDescent="0.3">
      <c r="P1145" s="24"/>
      <c r="Q1145" s="24"/>
      <c r="R1145" s="24"/>
      <c r="S1145" s="24"/>
      <c r="T1145" s="24"/>
      <c r="U1145" s="24"/>
      <c r="V1145" s="24"/>
      <c r="W1145" s="24"/>
      <c r="X1145" s="24"/>
      <c r="Y1145" s="24"/>
      <c r="Z1145" s="21"/>
      <c r="AA1145" s="21"/>
      <c r="AB1145" s="21"/>
      <c r="AC1145" s="21"/>
      <c r="AD1145" s="21"/>
    </row>
    <row r="1146" spans="16:30" x14ac:dyDescent="0.3">
      <c r="P1146" s="24"/>
      <c r="Q1146" s="24"/>
      <c r="R1146" s="24"/>
      <c r="S1146" s="24"/>
      <c r="T1146" s="24"/>
      <c r="U1146" s="24"/>
      <c r="V1146" s="24"/>
      <c r="W1146" s="24"/>
      <c r="X1146" s="24"/>
      <c r="Y1146" s="24"/>
      <c r="Z1146" s="21"/>
      <c r="AA1146" s="21"/>
      <c r="AB1146" s="21"/>
      <c r="AC1146" s="21"/>
      <c r="AD1146" s="21"/>
    </row>
    <row r="1147" spans="16:30" x14ac:dyDescent="0.3">
      <c r="P1147" s="24"/>
      <c r="Q1147" s="24"/>
      <c r="R1147" s="24"/>
      <c r="S1147" s="24"/>
      <c r="T1147" s="24"/>
      <c r="U1147" s="24"/>
      <c r="V1147" s="24"/>
      <c r="W1147" s="24"/>
      <c r="X1147" s="24"/>
      <c r="Y1147" s="24"/>
      <c r="Z1147" s="21"/>
      <c r="AA1147" s="21"/>
      <c r="AB1147" s="21"/>
      <c r="AC1147" s="21"/>
      <c r="AD1147" s="21"/>
    </row>
    <row r="1148" spans="16:30" x14ac:dyDescent="0.3">
      <c r="P1148" s="24"/>
      <c r="Q1148" s="24"/>
      <c r="R1148" s="24"/>
      <c r="S1148" s="24"/>
      <c r="T1148" s="24"/>
      <c r="U1148" s="24"/>
      <c r="V1148" s="24"/>
      <c r="W1148" s="24"/>
      <c r="X1148" s="24"/>
      <c r="Y1148" s="24"/>
      <c r="Z1148" s="21"/>
      <c r="AA1148" s="21"/>
      <c r="AB1148" s="21"/>
      <c r="AC1148" s="21"/>
      <c r="AD1148" s="21"/>
    </row>
    <row r="1149" spans="16:30" x14ac:dyDescent="0.3">
      <c r="P1149" s="21"/>
      <c r="Q1149" s="21"/>
      <c r="R1149" s="21"/>
      <c r="S1149" s="21"/>
      <c r="T1149" s="21"/>
      <c r="U1149" s="21"/>
      <c r="V1149" s="21"/>
      <c r="W1149" s="21"/>
      <c r="X1149" s="21"/>
      <c r="Y1149" s="21"/>
      <c r="Z1149" s="21"/>
      <c r="AA1149" s="21"/>
      <c r="AB1149" s="21"/>
      <c r="AC1149" s="21"/>
      <c r="AD1149" s="21"/>
    </row>
    <row r="1150" spans="16:30" x14ac:dyDescent="0.3">
      <c r="P1150" s="21"/>
      <c r="Q1150" s="21"/>
      <c r="R1150" s="21"/>
      <c r="S1150" s="21"/>
      <c r="T1150" s="21"/>
      <c r="U1150" s="21"/>
      <c r="V1150" s="21"/>
      <c r="W1150" s="21"/>
      <c r="X1150" s="21"/>
      <c r="Y1150" s="21"/>
      <c r="Z1150" s="21"/>
      <c r="AA1150" s="21"/>
      <c r="AB1150" s="21"/>
      <c r="AC1150" s="21"/>
      <c r="AD1150" s="21"/>
    </row>
    <row r="1151" spans="16:30" x14ac:dyDescent="0.3">
      <c r="P1151" s="21"/>
      <c r="Q1151" s="21"/>
      <c r="R1151" s="21"/>
      <c r="S1151" s="21"/>
      <c r="T1151" s="21"/>
      <c r="U1151" s="21"/>
      <c r="V1151" s="21"/>
      <c r="W1151" s="21"/>
      <c r="X1151" s="21"/>
      <c r="Y1151" s="21"/>
      <c r="Z1151" s="21"/>
      <c r="AA1151" s="21"/>
      <c r="AB1151" s="21"/>
      <c r="AC1151" s="21"/>
      <c r="AD1151" s="21"/>
    </row>
    <row r="1152" spans="16:30" x14ac:dyDescent="0.3">
      <c r="P1152" s="21"/>
      <c r="Q1152" s="21"/>
      <c r="R1152" s="21"/>
      <c r="S1152" s="21"/>
      <c r="T1152" s="21"/>
      <c r="U1152" s="21"/>
      <c r="V1152" s="21"/>
      <c r="W1152" s="21"/>
      <c r="X1152" s="21"/>
      <c r="Y1152" s="21"/>
      <c r="Z1152" s="21"/>
      <c r="AA1152" s="21"/>
      <c r="AB1152" s="21"/>
      <c r="AC1152" s="21"/>
      <c r="AD1152" s="21"/>
    </row>
    <row r="1153" spans="16:30" x14ac:dyDescent="0.3">
      <c r="P1153" s="21"/>
      <c r="Q1153" s="21"/>
      <c r="R1153" s="21"/>
      <c r="S1153" s="21"/>
      <c r="T1153" s="21"/>
      <c r="U1153" s="21"/>
      <c r="V1153" s="21"/>
      <c r="W1153" s="21"/>
      <c r="X1153" s="21"/>
      <c r="Y1153" s="21"/>
      <c r="Z1153" s="21"/>
      <c r="AA1153" s="21"/>
      <c r="AB1153" s="21"/>
      <c r="AC1153" s="21"/>
      <c r="AD1153" s="21"/>
    </row>
    <row r="1154" spans="16:30" x14ac:dyDescent="0.3">
      <c r="P1154" s="21"/>
      <c r="Q1154" s="21"/>
      <c r="R1154" s="21"/>
      <c r="S1154" s="21"/>
      <c r="T1154" s="21"/>
      <c r="U1154" s="21"/>
      <c r="V1154" s="21"/>
      <c r="W1154" s="21"/>
      <c r="X1154" s="21"/>
      <c r="Y1154" s="21"/>
      <c r="Z1154" s="21"/>
      <c r="AA1154" s="21"/>
      <c r="AB1154" s="21"/>
      <c r="AC1154" s="21"/>
      <c r="AD1154" s="21"/>
    </row>
    <row r="1155" spans="16:30" x14ac:dyDescent="0.3">
      <c r="P1155" s="21"/>
      <c r="Q1155" s="21"/>
      <c r="R1155" s="21"/>
      <c r="S1155" s="21"/>
      <c r="T1155" s="21"/>
      <c r="U1155" s="21"/>
      <c r="V1155" s="21"/>
      <c r="W1155" s="21"/>
      <c r="X1155" s="21"/>
      <c r="Y1155" s="21"/>
      <c r="Z1155" s="21"/>
      <c r="AA1155" s="21"/>
      <c r="AB1155" s="21"/>
      <c r="AC1155" s="21"/>
      <c r="AD1155" s="21"/>
    </row>
    <row r="1156" spans="16:30" x14ac:dyDescent="0.3">
      <c r="P1156" s="21"/>
      <c r="Q1156" s="21"/>
      <c r="R1156" s="21"/>
      <c r="S1156" s="21"/>
      <c r="T1156" s="21"/>
      <c r="U1156" s="21"/>
      <c r="V1156" s="21"/>
      <c r="W1156" s="21"/>
      <c r="X1156" s="21"/>
      <c r="Y1156" s="21"/>
      <c r="Z1156" s="21"/>
      <c r="AA1156" s="21"/>
      <c r="AB1156" s="21"/>
      <c r="AC1156" s="21"/>
      <c r="AD1156" s="21"/>
    </row>
    <row r="1157" spans="16:30" x14ac:dyDescent="0.3">
      <c r="P1157" s="21"/>
      <c r="Q1157" s="21"/>
      <c r="R1157" s="21"/>
      <c r="S1157" s="21"/>
      <c r="T1157" s="21"/>
      <c r="U1157" s="21"/>
      <c r="V1157" s="21"/>
      <c r="W1157" s="21"/>
      <c r="X1157" s="21"/>
      <c r="Y1157" s="21"/>
      <c r="Z1157" s="21"/>
      <c r="AA1157" s="21"/>
      <c r="AB1157" s="21"/>
      <c r="AC1157" s="21"/>
      <c r="AD1157" s="21"/>
    </row>
    <row r="1158" spans="16:30" x14ac:dyDescent="0.3">
      <c r="P1158" s="21"/>
      <c r="Q1158" s="21"/>
      <c r="R1158" s="21"/>
      <c r="S1158" s="21"/>
      <c r="T1158" s="21"/>
      <c r="U1158" s="21"/>
      <c r="V1158" s="21"/>
      <c r="W1158" s="21"/>
      <c r="X1158" s="21"/>
      <c r="Y1158" s="21"/>
      <c r="Z1158" s="21"/>
      <c r="AA1158" s="21"/>
      <c r="AB1158" s="21"/>
      <c r="AC1158" s="21"/>
      <c r="AD1158" s="21"/>
    </row>
    <row r="1159" spans="16:30" x14ac:dyDescent="0.3">
      <c r="P1159" s="21"/>
      <c r="Q1159" s="21"/>
      <c r="R1159" s="21"/>
      <c r="S1159" s="21"/>
      <c r="T1159" s="21"/>
      <c r="U1159" s="21"/>
      <c r="V1159" s="21"/>
      <c r="W1159" s="21"/>
      <c r="X1159" s="21"/>
      <c r="Y1159" s="21"/>
      <c r="Z1159" s="21"/>
      <c r="AA1159" s="21"/>
      <c r="AB1159" s="21"/>
      <c r="AC1159" s="21"/>
      <c r="AD1159" s="21"/>
    </row>
    <row r="1160" spans="16:30" x14ac:dyDescent="0.3">
      <c r="P1160" s="21"/>
      <c r="Q1160" s="21"/>
      <c r="R1160" s="21"/>
      <c r="S1160" s="21"/>
      <c r="T1160" s="21"/>
      <c r="U1160" s="21"/>
      <c r="V1160" s="21"/>
      <c r="W1160" s="21"/>
      <c r="X1160" s="21"/>
      <c r="Y1160" s="21"/>
      <c r="Z1160" s="21"/>
      <c r="AA1160" s="21"/>
      <c r="AB1160" s="21"/>
      <c r="AC1160" s="21"/>
      <c r="AD1160" s="21"/>
    </row>
    <row r="1161" spans="16:30" x14ac:dyDescent="0.3">
      <c r="P1161" s="21"/>
      <c r="Q1161" s="21"/>
      <c r="R1161" s="21"/>
      <c r="S1161" s="21"/>
      <c r="T1161" s="21"/>
      <c r="U1161" s="21"/>
      <c r="V1161" s="21"/>
      <c r="W1161" s="21"/>
      <c r="X1161" s="21"/>
      <c r="Y1161" s="21"/>
      <c r="Z1161" s="21"/>
      <c r="AA1161" s="21"/>
      <c r="AB1161" s="21"/>
      <c r="AC1161" s="21"/>
      <c r="AD1161" s="21"/>
    </row>
    <row r="1162" spans="16:30" x14ac:dyDescent="0.3">
      <c r="P1162" s="21"/>
      <c r="Q1162" s="21"/>
      <c r="R1162" s="21"/>
      <c r="S1162" s="21"/>
      <c r="T1162" s="21"/>
      <c r="U1162" s="21"/>
      <c r="V1162" s="21"/>
      <c r="W1162" s="21"/>
      <c r="X1162" s="21"/>
      <c r="Y1162" s="21"/>
      <c r="Z1162" s="21"/>
      <c r="AA1162" s="21"/>
      <c r="AB1162" s="21"/>
      <c r="AC1162" s="21"/>
      <c r="AD1162" s="21"/>
    </row>
    <row r="1163" spans="16:30" x14ac:dyDescent="0.3">
      <c r="P1163" s="21"/>
      <c r="Q1163" s="21"/>
      <c r="R1163" s="21"/>
      <c r="S1163" s="21"/>
      <c r="T1163" s="21"/>
      <c r="U1163" s="21"/>
      <c r="V1163" s="21"/>
      <c r="W1163" s="21"/>
      <c r="X1163" s="21"/>
      <c r="Y1163" s="21"/>
      <c r="Z1163" s="21"/>
      <c r="AA1163" s="21"/>
      <c r="AB1163" s="21"/>
      <c r="AC1163" s="21"/>
      <c r="AD1163" s="21"/>
    </row>
    <row r="1164" spans="16:30" x14ac:dyDescent="0.3">
      <c r="P1164" s="21"/>
      <c r="Q1164" s="21"/>
      <c r="R1164" s="21"/>
      <c r="S1164" s="21"/>
      <c r="T1164" s="21"/>
      <c r="U1164" s="21"/>
      <c r="V1164" s="21"/>
      <c r="W1164" s="21"/>
      <c r="X1164" s="21"/>
      <c r="Y1164" s="21"/>
      <c r="Z1164" s="21"/>
      <c r="AA1164" s="21"/>
      <c r="AB1164" s="21"/>
      <c r="AC1164" s="21"/>
      <c r="AD1164" s="21"/>
    </row>
    <row r="1165" spans="16:30" x14ac:dyDescent="0.3">
      <c r="P1165" s="21"/>
      <c r="Q1165" s="21"/>
      <c r="R1165" s="21"/>
      <c r="S1165" s="21"/>
      <c r="T1165" s="21"/>
      <c r="U1165" s="21"/>
      <c r="V1165" s="21"/>
      <c r="W1165" s="21"/>
      <c r="X1165" s="21"/>
      <c r="Y1165" s="21"/>
      <c r="Z1165" s="21"/>
      <c r="AA1165" s="21"/>
      <c r="AB1165" s="21"/>
      <c r="AC1165" s="21"/>
      <c r="AD1165" s="21"/>
    </row>
    <row r="1166" spans="16:30" x14ac:dyDescent="0.3">
      <c r="P1166" s="21"/>
      <c r="Q1166" s="21"/>
      <c r="R1166" s="21"/>
      <c r="S1166" s="21"/>
      <c r="T1166" s="21"/>
      <c r="U1166" s="21"/>
      <c r="V1166" s="21"/>
      <c r="W1166" s="21"/>
      <c r="X1166" s="21"/>
      <c r="Y1166" s="21"/>
      <c r="Z1166" s="21"/>
      <c r="AA1166" s="21"/>
      <c r="AB1166" s="21"/>
      <c r="AC1166" s="21"/>
      <c r="AD1166" s="21"/>
    </row>
    <row r="1167" spans="16:30" x14ac:dyDescent="0.3">
      <c r="P1167" s="21"/>
      <c r="Q1167" s="21"/>
      <c r="R1167" s="21"/>
      <c r="S1167" s="21"/>
      <c r="T1167" s="21"/>
      <c r="U1167" s="21"/>
      <c r="V1167" s="21"/>
      <c r="W1167" s="21"/>
      <c r="X1167" s="21"/>
      <c r="Y1167" s="21"/>
      <c r="Z1167" s="21"/>
      <c r="AA1167" s="21"/>
      <c r="AB1167" s="21"/>
      <c r="AC1167" s="21"/>
      <c r="AD1167" s="21"/>
    </row>
    <row r="1168" spans="16:30" x14ac:dyDescent="0.3">
      <c r="P1168" s="21"/>
      <c r="Q1168" s="21"/>
      <c r="R1168" s="21"/>
      <c r="S1168" s="21"/>
      <c r="T1168" s="21"/>
      <c r="U1168" s="21"/>
      <c r="V1168" s="21"/>
      <c r="W1168" s="21"/>
      <c r="X1168" s="21"/>
      <c r="Y1168" s="21"/>
      <c r="Z1168" s="21"/>
      <c r="AA1168" s="21"/>
      <c r="AB1168" s="21"/>
      <c r="AC1168" s="21"/>
      <c r="AD1168" s="21"/>
    </row>
    <row r="1169" spans="16:30" x14ac:dyDescent="0.3">
      <c r="P1169" s="21"/>
      <c r="Q1169" s="21"/>
      <c r="R1169" s="21"/>
      <c r="S1169" s="21"/>
      <c r="T1169" s="21"/>
      <c r="U1169" s="21"/>
      <c r="V1169" s="21"/>
      <c r="W1169" s="21"/>
      <c r="X1169" s="21"/>
      <c r="Y1169" s="21"/>
      <c r="Z1169" s="21"/>
      <c r="AA1169" s="21"/>
      <c r="AB1169" s="21"/>
      <c r="AC1169" s="21"/>
      <c r="AD1169" s="21"/>
    </row>
    <row r="1170" spans="16:30" x14ac:dyDescent="0.3">
      <c r="P1170" s="21"/>
      <c r="Q1170" s="21"/>
      <c r="R1170" s="21"/>
      <c r="S1170" s="21"/>
      <c r="T1170" s="21"/>
      <c r="U1170" s="21"/>
      <c r="V1170" s="21"/>
      <c r="W1170" s="21"/>
      <c r="X1170" s="21"/>
      <c r="Y1170" s="21"/>
      <c r="Z1170" s="21"/>
      <c r="AA1170" s="21"/>
      <c r="AB1170" s="21"/>
      <c r="AC1170" s="21"/>
      <c r="AD1170" s="21"/>
    </row>
    <row r="1171" spans="16:30" x14ac:dyDescent="0.3">
      <c r="P1171" s="21"/>
      <c r="Q1171" s="21"/>
      <c r="R1171" s="21"/>
      <c r="S1171" s="21"/>
      <c r="T1171" s="21"/>
      <c r="U1171" s="21"/>
      <c r="V1171" s="21"/>
      <c r="W1171" s="21"/>
      <c r="X1171" s="21"/>
      <c r="Y1171" s="21"/>
      <c r="Z1171" s="21"/>
      <c r="AA1171" s="21"/>
      <c r="AB1171" s="21"/>
      <c r="AC1171" s="21"/>
      <c r="AD1171" s="21"/>
    </row>
    <row r="1172" spans="16:30" x14ac:dyDescent="0.3">
      <c r="P1172" s="21"/>
      <c r="Q1172" s="21"/>
      <c r="R1172" s="21"/>
      <c r="S1172" s="21"/>
      <c r="T1172" s="21"/>
      <c r="U1172" s="21"/>
      <c r="V1172" s="21"/>
      <c r="W1172" s="21"/>
      <c r="X1172" s="21"/>
      <c r="Y1172" s="21"/>
      <c r="Z1172" s="21"/>
      <c r="AA1172" s="21"/>
      <c r="AB1172" s="21"/>
      <c r="AC1172" s="21"/>
      <c r="AD1172" s="21"/>
    </row>
    <row r="1173" spans="16:30" x14ac:dyDescent="0.3">
      <c r="P1173" s="21"/>
      <c r="Q1173" s="21"/>
      <c r="R1173" s="21"/>
      <c r="S1173" s="21"/>
      <c r="T1173" s="21"/>
      <c r="U1173" s="21"/>
      <c r="V1173" s="21"/>
      <c r="W1173" s="21"/>
      <c r="X1173" s="21"/>
      <c r="Y1173" s="21"/>
      <c r="Z1173" s="21"/>
      <c r="AA1173" s="21"/>
      <c r="AB1173" s="21"/>
      <c r="AC1173" s="21"/>
      <c r="AD1173" s="21"/>
    </row>
    <row r="1174" spans="16:30" x14ac:dyDescent="0.3">
      <c r="P1174" s="21"/>
      <c r="Q1174" s="21"/>
      <c r="R1174" s="21"/>
      <c r="S1174" s="21"/>
      <c r="T1174" s="21"/>
      <c r="U1174" s="21"/>
      <c r="V1174" s="21"/>
      <c r="W1174" s="21"/>
      <c r="X1174" s="21"/>
      <c r="Y1174" s="21"/>
      <c r="Z1174" s="21"/>
      <c r="AA1174" s="21"/>
      <c r="AB1174" s="21"/>
      <c r="AC1174" s="21"/>
      <c r="AD1174" s="21"/>
    </row>
    <row r="1175" spans="16:30" x14ac:dyDescent="0.3">
      <c r="P1175" s="21"/>
      <c r="Q1175" s="21"/>
      <c r="R1175" s="21"/>
      <c r="S1175" s="21"/>
      <c r="T1175" s="21"/>
      <c r="U1175" s="21"/>
      <c r="V1175" s="21"/>
      <c r="W1175" s="21"/>
      <c r="X1175" s="21"/>
      <c r="Y1175" s="21"/>
      <c r="Z1175" s="21"/>
      <c r="AA1175" s="21"/>
      <c r="AB1175" s="21"/>
      <c r="AC1175" s="21"/>
      <c r="AD1175" s="21"/>
    </row>
    <row r="1176" spans="16:30" x14ac:dyDescent="0.3">
      <c r="P1176" s="21"/>
      <c r="Q1176" s="21"/>
      <c r="R1176" s="21"/>
      <c r="S1176" s="21"/>
      <c r="T1176" s="21"/>
      <c r="U1176" s="21"/>
      <c r="V1176" s="21"/>
      <c r="W1176" s="21"/>
      <c r="X1176" s="21"/>
      <c r="Y1176" s="21"/>
      <c r="Z1176" s="21"/>
      <c r="AA1176" s="21"/>
      <c r="AB1176" s="21"/>
      <c r="AC1176" s="21"/>
      <c r="AD1176" s="21"/>
    </row>
    <row r="1177" spans="16:30" x14ac:dyDescent="0.3">
      <c r="P1177" s="21"/>
      <c r="Q1177" s="21"/>
      <c r="R1177" s="21"/>
      <c r="S1177" s="21"/>
      <c r="T1177" s="21"/>
      <c r="U1177" s="21"/>
      <c r="V1177" s="21"/>
      <c r="W1177" s="21"/>
      <c r="X1177" s="21"/>
      <c r="Y1177" s="21"/>
      <c r="Z1177" s="21"/>
      <c r="AA1177" s="21"/>
      <c r="AB1177" s="21"/>
      <c r="AC1177" s="21"/>
      <c r="AD1177" s="21"/>
    </row>
    <row r="1178" spans="16:30" x14ac:dyDescent="0.3">
      <c r="P1178" s="21"/>
      <c r="Q1178" s="21"/>
      <c r="R1178" s="21"/>
      <c r="S1178" s="21"/>
      <c r="T1178" s="21"/>
      <c r="U1178" s="21"/>
      <c r="V1178" s="21"/>
      <c r="W1178" s="21"/>
      <c r="X1178" s="21"/>
      <c r="Y1178" s="21"/>
      <c r="Z1178" s="21"/>
      <c r="AA1178" s="21"/>
      <c r="AB1178" s="21"/>
      <c r="AC1178" s="21"/>
      <c r="AD1178" s="21"/>
    </row>
    <row r="1179" spans="16:30" x14ac:dyDescent="0.3">
      <c r="P1179" s="21"/>
      <c r="Q1179" s="21"/>
      <c r="R1179" s="21"/>
      <c r="S1179" s="21"/>
      <c r="T1179" s="21"/>
      <c r="U1179" s="21"/>
      <c r="V1179" s="21"/>
      <c r="W1179" s="21"/>
      <c r="X1179" s="21"/>
      <c r="Y1179" s="21"/>
      <c r="Z1179" s="21"/>
      <c r="AA1179" s="21"/>
      <c r="AB1179" s="21"/>
      <c r="AC1179" s="21"/>
      <c r="AD1179" s="21"/>
    </row>
    <row r="1180" spans="16:30" x14ac:dyDescent="0.3">
      <c r="P1180" s="21"/>
      <c r="Q1180" s="21"/>
      <c r="R1180" s="21"/>
      <c r="S1180" s="21"/>
      <c r="T1180" s="21"/>
      <c r="U1180" s="21"/>
      <c r="V1180" s="21"/>
      <c r="W1180" s="21"/>
      <c r="X1180" s="21"/>
      <c r="Y1180" s="21"/>
      <c r="Z1180" s="21"/>
      <c r="AA1180" s="21"/>
      <c r="AB1180" s="21"/>
      <c r="AC1180" s="21"/>
      <c r="AD1180" s="21"/>
    </row>
    <row r="1181" spans="16:30" x14ac:dyDescent="0.3">
      <c r="P1181" s="21"/>
      <c r="Q1181" s="21"/>
      <c r="R1181" s="21"/>
      <c r="S1181" s="21"/>
      <c r="T1181" s="21"/>
      <c r="U1181" s="21"/>
      <c r="V1181" s="21"/>
      <c r="W1181" s="21"/>
      <c r="X1181" s="21"/>
      <c r="Y1181" s="21"/>
      <c r="Z1181" s="21"/>
      <c r="AA1181" s="21"/>
      <c r="AB1181" s="21"/>
      <c r="AC1181" s="21"/>
      <c r="AD1181" s="21"/>
    </row>
    <row r="1182" spans="16:30" x14ac:dyDescent="0.3">
      <c r="P1182" s="21"/>
      <c r="Q1182" s="21"/>
      <c r="R1182" s="21"/>
      <c r="S1182" s="21"/>
      <c r="T1182" s="21"/>
      <c r="U1182" s="21"/>
      <c r="V1182" s="21"/>
      <c r="W1182" s="21"/>
      <c r="X1182" s="21"/>
      <c r="Y1182" s="21"/>
      <c r="Z1182" s="21"/>
      <c r="AA1182" s="21"/>
      <c r="AB1182" s="21"/>
      <c r="AC1182" s="21"/>
      <c r="AD1182" s="21"/>
    </row>
    <row r="1183" spans="16:30" x14ac:dyDescent="0.3">
      <c r="P1183" s="21"/>
      <c r="Q1183" s="21"/>
      <c r="R1183" s="21"/>
      <c r="S1183" s="21"/>
      <c r="T1183" s="21"/>
      <c r="U1183" s="21"/>
      <c r="V1183" s="21"/>
      <c r="W1183" s="21"/>
      <c r="X1183" s="21"/>
      <c r="Y1183" s="21"/>
      <c r="Z1183" s="21"/>
      <c r="AA1183" s="21"/>
      <c r="AB1183" s="21"/>
      <c r="AC1183" s="21"/>
      <c r="AD1183" s="21"/>
    </row>
    <row r="1184" spans="16:30" x14ac:dyDescent="0.3">
      <c r="P1184" s="21"/>
      <c r="Q1184" s="21"/>
      <c r="R1184" s="21"/>
      <c r="S1184" s="21"/>
      <c r="T1184" s="21"/>
      <c r="U1184" s="21"/>
      <c r="V1184" s="21"/>
      <c r="W1184" s="21"/>
      <c r="X1184" s="21"/>
      <c r="Y1184" s="21"/>
      <c r="Z1184" s="21"/>
      <c r="AA1184" s="21"/>
      <c r="AB1184" s="21"/>
      <c r="AC1184" s="21"/>
      <c r="AD1184" s="21"/>
    </row>
    <row r="1185" spans="16:30" x14ac:dyDescent="0.3">
      <c r="P1185" s="21"/>
      <c r="Q1185" s="21"/>
      <c r="R1185" s="21"/>
      <c r="S1185" s="21"/>
      <c r="T1185" s="21"/>
      <c r="U1185" s="21"/>
      <c r="V1185" s="21"/>
      <c r="W1185" s="21"/>
      <c r="X1185" s="21"/>
      <c r="Y1185" s="21"/>
      <c r="Z1185" s="21"/>
      <c r="AA1185" s="21"/>
      <c r="AB1185" s="21"/>
      <c r="AC1185" s="21"/>
      <c r="AD1185" s="21"/>
    </row>
    <row r="1186" spans="16:30" x14ac:dyDescent="0.3">
      <c r="P1186" s="21"/>
      <c r="Q1186" s="21"/>
      <c r="R1186" s="21"/>
      <c r="S1186" s="21"/>
      <c r="T1186" s="21"/>
      <c r="U1186" s="21"/>
      <c r="V1186" s="21"/>
      <c r="W1186" s="21"/>
      <c r="X1186" s="21"/>
      <c r="Y1186" s="21"/>
      <c r="Z1186" s="21"/>
      <c r="AA1186" s="21"/>
      <c r="AB1186" s="21"/>
      <c r="AC1186" s="21"/>
      <c r="AD1186" s="21"/>
    </row>
    <row r="1187" spans="16:30" x14ac:dyDescent="0.3">
      <c r="P1187" s="21"/>
      <c r="Q1187" s="21"/>
      <c r="R1187" s="21"/>
      <c r="S1187" s="21"/>
      <c r="T1187" s="21"/>
      <c r="U1187" s="21"/>
      <c r="V1187" s="21"/>
      <c r="W1187" s="21"/>
      <c r="X1187" s="21"/>
      <c r="Y1187" s="21"/>
      <c r="Z1187" s="21"/>
      <c r="AA1187" s="21"/>
      <c r="AB1187" s="21"/>
      <c r="AC1187" s="21"/>
      <c r="AD1187" s="21"/>
    </row>
    <row r="1188" spans="16:30" x14ac:dyDescent="0.3">
      <c r="P1188" s="21"/>
      <c r="Q1188" s="21"/>
      <c r="R1188" s="21"/>
      <c r="S1188" s="21"/>
      <c r="T1188" s="21"/>
      <c r="U1188" s="21"/>
      <c r="V1188" s="21"/>
      <c r="W1188" s="21"/>
      <c r="X1188" s="21"/>
      <c r="Y1188" s="21"/>
      <c r="Z1188" s="21"/>
      <c r="AA1188" s="21"/>
      <c r="AB1188" s="21"/>
      <c r="AC1188" s="21"/>
      <c r="AD1188" s="21"/>
    </row>
    <row r="1189" spans="16:30" x14ac:dyDescent="0.3">
      <c r="P1189" s="21"/>
      <c r="Q1189" s="21"/>
      <c r="R1189" s="21"/>
      <c r="S1189" s="21"/>
      <c r="T1189" s="21"/>
      <c r="U1189" s="21"/>
      <c r="V1189" s="21"/>
      <c r="W1189" s="21"/>
      <c r="X1189" s="21"/>
      <c r="Y1189" s="21"/>
      <c r="Z1189" s="21"/>
      <c r="AA1189" s="21"/>
      <c r="AB1189" s="21"/>
      <c r="AC1189" s="21"/>
      <c r="AD1189" s="21"/>
    </row>
    <row r="1190" spans="16:30" x14ac:dyDescent="0.3">
      <c r="P1190" s="21"/>
      <c r="Q1190" s="21"/>
      <c r="R1190" s="21"/>
      <c r="S1190" s="21"/>
      <c r="T1190" s="21"/>
      <c r="U1190" s="21"/>
      <c r="V1190" s="21"/>
      <c r="W1190" s="21"/>
      <c r="X1190" s="21"/>
      <c r="Y1190" s="21"/>
      <c r="Z1190" s="21"/>
      <c r="AA1190" s="21"/>
      <c r="AB1190" s="21"/>
      <c r="AC1190" s="21"/>
      <c r="AD1190" s="21"/>
    </row>
    <row r="1191" spans="16:30" x14ac:dyDescent="0.3">
      <c r="P1191" s="21"/>
      <c r="Q1191" s="21"/>
      <c r="R1191" s="21"/>
      <c r="S1191" s="21"/>
      <c r="T1191" s="21"/>
      <c r="U1191" s="21"/>
      <c r="V1191" s="21"/>
      <c r="W1191" s="21"/>
      <c r="X1191" s="21"/>
      <c r="Y1191" s="21"/>
      <c r="Z1191" s="21"/>
      <c r="AA1191" s="21"/>
      <c r="AB1191" s="21"/>
      <c r="AC1191" s="21"/>
      <c r="AD1191" s="21"/>
    </row>
    <row r="1192" spans="16:30" x14ac:dyDescent="0.3">
      <c r="P1192" s="21"/>
      <c r="Q1192" s="21"/>
      <c r="R1192" s="21"/>
      <c r="S1192" s="21"/>
      <c r="T1192" s="21"/>
      <c r="U1192" s="21"/>
      <c r="V1192" s="21"/>
      <c r="W1192" s="21"/>
      <c r="X1192" s="21"/>
      <c r="Y1192" s="21"/>
      <c r="Z1192" s="21"/>
      <c r="AA1192" s="21"/>
      <c r="AB1192" s="21"/>
      <c r="AC1192" s="21"/>
      <c r="AD1192" s="21"/>
    </row>
    <row r="1193" spans="16:30" x14ac:dyDescent="0.3">
      <c r="P1193" s="21"/>
      <c r="Q1193" s="21"/>
      <c r="R1193" s="21"/>
      <c r="S1193" s="21"/>
      <c r="T1193" s="21"/>
      <c r="U1193" s="21"/>
      <c r="V1193" s="21"/>
      <c r="W1193" s="21"/>
      <c r="X1193" s="21"/>
      <c r="Y1193" s="21"/>
      <c r="Z1193" s="21"/>
      <c r="AA1193" s="21"/>
      <c r="AB1193" s="21"/>
      <c r="AC1193" s="21"/>
      <c r="AD1193" s="21"/>
    </row>
    <row r="1194" spans="16:30" x14ac:dyDescent="0.3">
      <c r="P1194" s="21"/>
      <c r="Q1194" s="21"/>
      <c r="R1194" s="21"/>
      <c r="S1194" s="21"/>
      <c r="T1194" s="21"/>
      <c r="U1194" s="21"/>
      <c r="V1194" s="21"/>
      <c r="W1194" s="21"/>
      <c r="X1194" s="21"/>
      <c r="Y1194" s="21"/>
      <c r="Z1194" s="21"/>
      <c r="AA1194" s="21"/>
      <c r="AB1194" s="21"/>
      <c r="AC1194" s="21"/>
      <c r="AD1194" s="21"/>
    </row>
    <row r="1195" spans="16:30" x14ac:dyDescent="0.3">
      <c r="P1195" s="21"/>
      <c r="Q1195" s="21"/>
      <c r="R1195" s="21"/>
      <c r="S1195" s="21"/>
      <c r="T1195" s="21"/>
      <c r="U1195" s="21"/>
      <c r="V1195" s="21"/>
      <c r="W1195" s="21"/>
      <c r="X1195" s="21"/>
      <c r="Y1195" s="21"/>
      <c r="Z1195" s="21"/>
      <c r="AA1195" s="21"/>
      <c r="AB1195" s="21"/>
      <c r="AC1195" s="21"/>
      <c r="AD1195" s="21"/>
    </row>
    <row r="1196" spans="16:30" x14ac:dyDescent="0.3">
      <c r="P1196" s="21"/>
      <c r="Q1196" s="21"/>
      <c r="R1196" s="21"/>
      <c r="S1196" s="21"/>
      <c r="T1196" s="21"/>
      <c r="U1196" s="21"/>
      <c r="V1196" s="21"/>
      <c r="W1196" s="21"/>
      <c r="X1196" s="21"/>
      <c r="Y1196" s="21"/>
      <c r="Z1196" s="21"/>
      <c r="AA1196" s="21"/>
      <c r="AB1196" s="21"/>
      <c r="AC1196" s="21"/>
      <c r="AD1196" s="21"/>
    </row>
    <row r="1197" spans="16:30" x14ac:dyDescent="0.3">
      <c r="P1197" s="21"/>
      <c r="Q1197" s="21"/>
      <c r="R1197" s="21"/>
      <c r="S1197" s="21"/>
      <c r="T1197" s="21"/>
      <c r="U1197" s="21"/>
      <c r="V1197" s="21"/>
      <c r="W1197" s="21"/>
      <c r="X1197" s="21"/>
      <c r="Y1197" s="21"/>
      <c r="Z1197" s="21"/>
      <c r="AA1197" s="21"/>
      <c r="AB1197" s="21"/>
      <c r="AC1197" s="21"/>
      <c r="AD1197" s="21"/>
    </row>
    <row r="1198" spans="16:30" x14ac:dyDescent="0.3">
      <c r="P1198" s="21"/>
      <c r="Q1198" s="21"/>
      <c r="R1198" s="21"/>
      <c r="S1198" s="21"/>
      <c r="T1198" s="21"/>
      <c r="U1198" s="21"/>
      <c r="V1198" s="21"/>
      <c r="W1198" s="21"/>
      <c r="X1198" s="21"/>
      <c r="Y1198" s="21"/>
      <c r="Z1198" s="21"/>
      <c r="AA1198" s="21"/>
      <c r="AB1198" s="21"/>
      <c r="AC1198" s="21"/>
      <c r="AD1198" s="21"/>
    </row>
    <row r="1199" spans="16:30" x14ac:dyDescent="0.3">
      <c r="P1199" s="21"/>
      <c r="Q1199" s="21"/>
      <c r="R1199" s="21"/>
      <c r="S1199" s="21"/>
      <c r="T1199" s="21"/>
      <c r="U1199" s="21"/>
      <c r="V1199" s="21"/>
      <c r="W1199" s="21"/>
      <c r="X1199" s="21"/>
      <c r="Y1199" s="21"/>
      <c r="Z1199" s="21"/>
      <c r="AA1199" s="21"/>
      <c r="AB1199" s="21"/>
      <c r="AC1199" s="21"/>
      <c r="AD1199" s="21"/>
    </row>
    <row r="1200" spans="16:30" x14ac:dyDescent="0.3">
      <c r="P1200" s="21"/>
      <c r="Q1200" s="21"/>
      <c r="R1200" s="21"/>
      <c r="S1200" s="21"/>
      <c r="T1200" s="21"/>
      <c r="U1200" s="21"/>
      <c r="V1200" s="21"/>
      <c r="W1200" s="21"/>
      <c r="X1200" s="21"/>
      <c r="Y1200" s="21"/>
      <c r="Z1200" s="21"/>
      <c r="AA1200" s="21"/>
      <c r="AB1200" s="21"/>
      <c r="AC1200" s="21"/>
      <c r="AD1200" s="21"/>
    </row>
    <row r="1201" spans="16:30" x14ac:dyDescent="0.3">
      <c r="P1201" s="21"/>
      <c r="Q1201" s="21"/>
      <c r="R1201" s="21"/>
      <c r="S1201" s="21"/>
      <c r="T1201" s="21"/>
      <c r="U1201" s="21"/>
      <c r="V1201" s="21"/>
      <c r="W1201" s="21"/>
      <c r="X1201" s="21"/>
      <c r="Y1201" s="21"/>
      <c r="Z1201" s="21"/>
      <c r="AA1201" s="21"/>
      <c r="AB1201" s="21"/>
      <c r="AC1201" s="21"/>
      <c r="AD1201" s="21"/>
    </row>
    <row r="1202" spans="16:30" x14ac:dyDescent="0.3">
      <c r="P1202" s="21"/>
      <c r="Q1202" s="21"/>
      <c r="R1202" s="21"/>
      <c r="S1202" s="21"/>
      <c r="T1202" s="21"/>
      <c r="U1202" s="21"/>
      <c r="V1202" s="21"/>
      <c r="W1202" s="21"/>
      <c r="X1202" s="21"/>
      <c r="Y1202" s="21"/>
      <c r="Z1202" s="21"/>
      <c r="AA1202" s="21"/>
      <c r="AB1202" s="21"/>
      <c r="AC1202" s="21"/>
      <c r="AD1202" s="21"/>
    </row>
    <row r="1203" spans="16:30" x14ac:dyDescent="0.3">
      <c r="P1203" s="21"/>
      <c r="Q1203" s="21"/>
      <c r="R1203" s="21"/>
      <c r="S1203" s="21"/>
      <c r="T1203" s="21"/>
      <c r="U1203" s="21"/>
      <c r="V1203" s="21"/>
      <c r="W1203" s="21"/>
      <c r="X1203" s="21"/>
      <c r="Y1203" s="21"/>
      <c r="Z1203" s="21"/>
      <c r="AA1203" s="21"/>
      <c r="AB1203" s="21"/>
      <c r="AC1203" s="21"/>
      <c r="AD1203" s="21"/>
    </row>
    <row r="1204" spans="16:30" x14ac:dyDescent="0.3">
      <c r="P1204" s="21"/>
      <c r="Q1204" s="21"/>
      <c r="R1204" s="21"/>
      <c r="S1204" s="21"/>
      <c r="T1204" s="21"/>
      <c r="U1204" s="21"/>
      <c r="V1204" s="21"/>
      <c r="W1204" s="21"/>
      <c r="X1204" s="21"/>
      <c r="Y1204" s="21"/>
      <c r="Z1204" s="21"/>
      <c r="AA1204" s="21"/>
      <c r="AB1204" s="21"/>
      <c r="AC1204" s="21"/>
      <c r="AD1204" s="21"/>
    </row>
    <row r="1205" spans="16:30" x14ac:dyDescent="0.3">
      <c r="P1205" s="21"/>
      <c r="Q1205" s="21"/>
      <c r="R1205" s="21"/>
      <c r="S1205" s="21"/>
      <c r="T1205" s="21"/>
      <c r="U1205" s="21"/>
      <c r="V1205" s="21"/>
      <c r="W1205" s="21"/>
      <c r="X1205" s="21"/>
      <c r="Y1205" s="21"/>
      <c r="Z1205" s="21"/>
      <c r="AA1205" s="21"/>
      <c r="AB1205" s="21"/>
      <c r="AC1205" s="21"/>
      <c r="AD1205" s="21"/>
    </row>
    <row r="1206" spans="16:30" x14ac:dyDescent="0.3">
      <c r="P1206" s="21"/>
      <c r="Q1206" s="21"/>
      <c r="R1206" s="21"/>
      <c r="S1206" s="21"/>
      <c r="T1206" s="21"/>
      <c r="U1206" s="21"/>
      <c r="V1206" s="21"/>
      <c r="W1206" s="21"/>
      <c r="X1206" s="21"/>
      <c r="Y1206" s="21"/>
      <c r="Z1206" s="21"/>
      <c r="AA1206" s="21"/>
      <c r="AB1206" s="21"/>
      <c r="AC1206" s="21"/>
      <c r="AD1206" s="21"/>
    </row>
    <row r="1207" spans="16:30" x14ac:dyDescent="0.3">
      <c r="P1207" s="21"/>
      <c r="Q1207" s="21"/>
      <c r="R1207" s="21"/>
      <c r="S1207" s="21"/>
      <c r="T1207" s="21"/>
      <c r="U1207" s="21"/>
      <c r="V1207" s="21"/>
      <c r="W1207" s="21"/>
      <c r="X1207" s="21"/>
      <c r="Y1207" s="21"/>
      <c r="Z1207" s="21"/>
      <c r="AA1207" s="21"/>
      <c r="AB1207" s="21"/>
      <c r="AC1207" s="21"/>
      <c r="AD1207" s="21"/>
    </row>
    <row r="1208" spans="16:30" x14ac:dyDescent="0.3">
      <c r="P1208" s="21"/>
      <c r="Q1208" s="21"/>
      <c r="R1208" s="21"/>
      <c r="S1208" s="21"/>
      <c r="T1208" s="21"/>
      <c r="U1208" s="21"/>
      <c r="V1208" s="21"/>
      <c r="W1208" s="21"/>
      <c r="X1208" s="21"/>
      <c r="Y1208" s="21"/>
      <c r="Z1208" s="21"/>
      <c r="AA1208" s="21"/>
      <c r="AB1208" s="21"/>
      <c r="AC1208" s="21"/>
      <c r="AD1208" s="21"/>
    </row>
    <row r="1209" spans="16:30" x14ac:dyDescent="0.3">
      <c r="P1209" s="21"/>
      <c r="Q1209" s="21"/>
      <c r="R1209" s="21"/>
      <c r="S1209" s="21"/>
      <c r="T1209" s="21"/>
      <c r="U1209" s="21"/>
      <c r="V1209" s="21"/>
      <c r="W1209" s="21"/>
      <c r="X1209" s="21"/>
      <c r="Y1209" s="21"/>
      <c r="Z1209" s="21"/>
      <c r="AA1209" s="21"/>
      <c r="AB1209" s="21"/>
      <c r="AC1209" s="21"/>
      <c r="AD1209" s="21"/>
    </row>
    <row r="1210" spans="16:30" x14ac:dyDescent="0.3">
      <c r="P1210" s="21"/>
      <c r="Q1210" s="21"/>
      <c r="R1210" s="21"/>
      <c r="S1210" s="21"/>
      <c r="T1210" s="21"/>
      <c r="U1210" s="21"/>
      <c r="V1210" s="21"/>
      <c r="W1210" s="21"/>
      <c r="X1210" s="21"/>
      <c r="Y1210" s="21"/>
    </row>
    <row r="1211" spans="16:30" x14ac:dyDescent="0.3">
      <c r="P1211" s="21"/>
      <c r="Q1211" s="21"/>
      <c r="R1211" s="21"/>
      <c r="S1211" s="21"/>
      <c r="T1211" s="21"/>
      <c r="U1211" s="21"/>
      <c r="V1211" s="21"/>
      <c r="W1211" s="21"/>
      <c r="X1211" s="21"/>
      <c r="Y1211" s="21"/>
    </row>
  </sheetData>
  <autoFilter ref="A1:AE432" xr:uid="{00000000-0001-0000-0200-000000000000}"/>
  <sortState xmlns:xlrd2="http://schemas.microsoft.com/office/spreadsheetml/2017/richdata2" ref="A2:T421">
    <sortCondition ref="B2:B421"/>
    <sortCondition ref="I2:I421"/>
  </sortState>
  <conditionalFormatting sqref="E2:E432">
    <cfRule type="cellIs" dxfId="21" priority="8" operator="equal">
      <formula>"ok"</formula>
    </cfRule>
    <cfRule type="cellIs" dxfId="20" priority="9" operator="equal">
      <formula>"error"</formula>
    </cfRule>
  </conditionalFormatting>
  <conditionalFormatting sqref="H2:H432">
    <cfRule type="cellIs" dxfId="19" priority="4" operator="equal">
      <formula>"ok"</formula>
    </cfRule>
    <cfRule type="cellIs" dxfId="18" priority="5" operator="equal">
      <formula>"error"</formula>
    </cfRule>
  </conditionalFormatting>
  <conditionalFormatting sqref="O2:O1048576">
    <cfRule type="cellIs" dxfId="17" priority="12" operator="equal">
      <formula>"no"</formula>
    </cfRule>
    <cfRule type="cellIs" dxfId="16" priority="13" operator="equal">
      <formula>"yes"</formula>
    </cfRule>
  </conditionalFormatting>
  <conditionalFormatting sqref="P304:R305 T304:X305 V306:X307 P308:R316 T308:X316 V317:X317 P318:R322 T318:X322 V323:X323 P324:R327 T324:X327 U328:X328 P329:R334 T329:X334 U335:X335 P336:R336 T336:X336 U337:X337 V338:X338 U339:X339 P340:R344 T340:X344 W345:X345 P346:R346 T346:X346 U347:X348 P349:R432 T349:X432 P433:Y533 AE433:AE533">
    <cfRule type="cellIs" dxfId="15" priority="15" operator="equal">
      <formula>"#N/C"</formula>
    </cfRule>
  </conditionalFormatting>
  <conditionalFormatting sqref="P2:V2 S3:S74 S76:S141 S143:S166 S168:S243 S245:S256 S258:S273 S275:S283 S285:S298 S300:S305 S308:S316 S318:S322 S324:S327 S329:S334 S336 S340:S344 S346 S349:S432">
    <cfRule type="cellIs" dxfId="14" priority="3" operator="equal">
      <formula>"#N/C"</formula>
    </cfRule>
  </conditionalFormatting>
  <conditionalFormatting sqref="P534:Y1211 AE534:AE1211">
    <cfRule type="cellIs" dxfId="13" priority="14" operator="equal">
      <formula>"#N/C"</formula>
    </cfRule>
  </conditionalFormatting>
  <conditionalFormatting sqref="W2:X2 AE2:AE432 P3:R74 T3:X74 P75:X75 P76:R141 T76:X141 P142:X142 P143:R166 T143:X166 P167:X167 P168:R243 T168:X243 P244:X244 P245:R256 T245:X256 P257:X257 P258:R273 T258:X273 P274:X274 P275:R283 T275:X283 P284:X284 P285:R298 T285:X298 P299:X299 P300:R303 T300:X303 P306:U307 P317:U317 P323:U323 P328:T328 P335:T335 P337:T339 U338 P345:V345 P347:T348">
    <cfRule type="cellIs" dxfId="12" priority="16" operator="equal">
      <formula>"#N/C"</formula>
    </cfRule>
  </conditionalFormatting>
  <conditionalFormatting sqref="Z433:AD1209">
    <cfRule type="cellIs" dxfId="11" priority="1" operator="equal">
      <formula>"#N/C"</formula>
    </cfRule>
  </conditionalFormatting>
  <pageMargins left="0.23622047244094491" right="0.23622047244094491" top="0.74803149606299213" bottom="0.74803149606299213" header="0.31496062992125984" footer="0.31496062992125984"/>
  <pageSetup paperSize="9" scale="5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1CEFF-A0C1-4EF1-B13C-49CC28004AD7}">
  <dimension ref="A1:AML197"/>
  <sheetViews>
    <sheetView zoomScale="75" zoomScaleNormal="75" workbookViewId="0">
      <pane ySplit="1" topLeftCell="A182" activePane="bottomLeft" state="frozen"/>
      <selection pane="bottomLeft" activeCell="J2" sqref="J2"/>
    </sheetView>
  </sheetViews>
  <sheetFormatPr baseColWidth="10" defaultColWidth="10.88671875" defaultRowHeight="14.4" x14ac:dyDescent="0.3"/>
  <cols>
    <col min="1" max="1" width="10.5546875" style="48" customWidth="1"/>
    <col min="2" max="2" width="12.6640625" style="48" customWidth="1"/>
    <col min="3" max="3" width="17.33203125" style="48" customWidth="1"/>
    <col min="4" max="5" width="15.109375" style="48" customWidth="1"/>
    <col min="6" max="6" width="16.88671875" style="48" customWidth="1"/>
    <col min="7" max="7" width="16.44140625" style="48" customWidth="1"/>
    <col min="8" max="8" width="16.88671875" style="50" customWidth="1"/>
    <col min="9" max="10" width="19.88671875" style="50" customWidth="1"/>
    <col min="11" max="11" width="97.33203125" style="47" customWidth="1"/>
    <col min="12" max="12" width="10.88671875" style="46"/>
    <col min="13" max="1026" width="10.88671875" style="47"/>
  </cols>
  <sheetData>
    <row r="1" spans="1:12" x14ac:dyDescent="0.3">
      <c r="A1" s="44" t="s">
        <v>14</v>
      </c>
      <c r="B1" s="44" t="s">
        <v>15</v>
      </c>
      <c r="C1" s="44" t="s">
        <v>16</v>
      </c>
      <c r="D1" s="44" t="s">
        <v>17</v>
      </c>
      <c r="E1" s="44" t="s">
        <v>18</v>
      </c>
      <c r="F1" s="44" t="s">
        <v>19</v>
      </c>
      <c r="G1" s="44" t="s">
        <v>20</v>
      </c>
      <c r="H1" s="45" t="s">
        <v>21</v>
      </c>
      <c r="I1" s="45" t="s">
        <v>22</v>
      </c>
      <c r="J1" s="45"/>
      <c r="K1" s="45" t="s">
        <v>29</v>
      </c>
    </row>
    <row r="2" spans="1:12" x14ac:dyDescent="0.3">
      <c r="A2" s="48" t="s">
        <v>35</v>
      </c>
      <c r="B2" s="48" t="s">
        <v>35</v>
      </c>
      <c r="C2" s="48" t="s">
        <v>35</v>
      </c>
      <c r="D2" s="49" t="str">
        <f>+IFERROR(IF(E2="#N/C","#N/C",INDEX([1]ClassificationClasses!D:D,MATCH(E2,[1]ClassificationClasses!E:E,0))),"ERROR")</f>
        <v>#N/C</v>
      </c>
      <c r="E2" s="48" t="s">
        <v>35</v>
      </c>
      <c r="F2" s="48" t="s">
        <v>35</v>
      </c>
      <c r="G2" s="48" t="s">
        <v>35</v>
      </c>
      <c r="H2" s="50" t="s">
        <v>35</v>
      </c>
      <c r="I2" s="50" t="s">
        <v>35</v>
      </c>
      <c r="J2" s="69" t="str" cm="1">
        <f t="array" ref="J2">_xlfn.LET(_xlpm.cls,A2, _xlpm.ord,IFERROR(B2,"#N/C"), _xlpm.subord,IFERROR(C2,"#N/C"), _xlpm.infr,IFERROR(D2,"#N/C"), _xlpm.sf,IFERROR(E2,"#N/C"), _xlpm.fam,IFERROR(F2,"#N/C"), _xlpm.subfam,IF(TRIM(G2)="-","#N/C",IFERROR(G2,"#N/C")),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_xlpm.fallback,IF(IFERROR(B2,"#N/C")="#N/C",A2,IF(IFERROR(C2,"#N/C")="#N/C",B2,IF(IFERROR(D2,"#N/C")="#N/C",C2,IF(IFERROR(E2,"#N/C")="#N/C",D2,IF(IFERROR(F2,"#N/C")="#N/C",E2,IF(IFERROR(G2,"#N/C")="#N/C",F2,"#N/C")))))), _xlpm.finalResult,IF(OR(_xlpm.computedResult="",_xlpm.computedResult="#N/C"),_xlpm.fallback,_xlpm.computedResult), INDEX(_xlpm.finalResult,1))</f>
        <v>#N/C</v>
      </c>
      <c r="K2" s="47" t="str">
        <f>+CONCATENATE(A2,".",B2,".",C2,".",D2,".",E2,".",F2,".",G2,".",H2,".",I2)</f>
        <v>#N/C.#N/C.#N/C.#N/C.#N/C.#N/C.#N/C.#N/C.#N/C</v>
      </c>
      <c r="L2" s="46">
        <f>+COUNTIF([1]Monitoring!AN:AN,K2)</f>
        <v>79</v>
      </c>
    </row>
    <row r="3" spans="1:12" x14ac:dyDescent="0.3">
      <c r="A3" s="48" t="s">
        <v>724</v>
      </c>
      <c r="B3" s="48" t="s">
        <v>725</v>
      </c>
      <c r="C3" s="48" t="s">
        <v>726</v>
      </c>
      <c r="D3" s="49" t="str">
        <f>+IFERROR(IF(E3="#N/C","#N/C",INDEX([1]ClassificationClasses!D:D,MATCH(E3,[1]ClassificationClasses!E:E,0))),"ERROR")</f>
        <v>Araneomorphae</v>
      </c>
      <c r="E3" s="48" t="s">
        <v>727</v>
      </c>
      <c r="F3" s="48" t="s">
        <v>35</v>
      </c>
      <c r="G3" s="48" t="s">
        <v>35</v>
      </c>
      <c r="H3" s="50" t="s">
        <v>35</v>
      </c>
      <c r="I3" s="50" t="s">
        <v>35</v>
      </c>
      <c r="J3" s="69" t="str" cm="1">
        <f t="array" ref="J3">_xlfn.LET(_xlpm.cls,A3, _xlpm.ord,IFERROR(B3,"#N/C"), _xlpm.subord,IFERROR(C3,"#N/C"), _xlpm.infr,IFERROR(D3,"#N/C"), _xlpm.sf,IFERROR(E3,"#N/C"), _xlpm.fam,IFERROR(F3,"#N/C"), _xlpm.subfam,IF(TRIM(G3)="-","#N/C",IFERROR(G3,"#N/C")),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_xlpm.fallback,IF(IFERROR(B3,"#N/C")="#N/C",A3,IF(IFERROR(C3,"#N/C")="#N/C",B3,IF(IFERROR(D3,"#N/C")="#N/C",C3,IF(IFERROR(E3,"#N/C")="#N/C",D3,IF(IFERROR(F3,"#N/C")="#N/C",E3,IF(IFERROR(G3,"#N/C")="#N/C",F3,"#N/C")))))), _xlpm.finalResult,IF(OR(_xlpm.computedResult="",_xlpm.computedResult="#N/C"),_xlpm.fallback,_xlpm.computedResult), INDEX(_xlpm.finalResult,1))</f>
        <v>Araneoidea</v>
      </c>
      <c r="K3" s="47" t="str">
        <f t="shared" ref="K3:K66" si="0">+CONCATENATE(A3,".",B3,".",C3,".",D3,".",E3,".",F3,".",G3,".",H3,".",I3)</f>
        <v>Arachnida.Araneae.Arneomorphae.Araneomorphae.Araneoidea.#N/C.#N/C.#N/C.#N/C</v>
      </c>
      <c r="L3" s="46">
        <f>+COUNTIF([1]Monitoring!AN:AN,K3)</f>
        <v>3</v>
      </c>
    </row>
    <row r="4" spans="1:12" x14ac:dyDescent="0.3">
      <c r="A4" s="48" t="s">
        <v>724</v>
      </c>
      <c r="B4" s="48" t="s">
        <v>725</v>
      </c>
      <c r="C4" s="48" t="s">
        <v>726</v>
      </c>
      <c r="D4" s="49" t="str">
        <f>+IFERROR(IF(E4="#N/C","#N/C",INDEX([1]ClassificationClasses!D:D,MATCH(E4,[1]ClassificationClasses!E:E,0))),"ERROR")</f>
        <v>Araneomorphae</v>
      </c>
      <c r="E4" s="48" t="s">
        <v>727</v>
      </c>
      <c r="F4" s="48" t="s">
        <v>728</v>
      </c>
      <c r="G4" s="48" t="s">
        <v>729</v>
      </c>
      <c r="H4" s="50" t="s">
        <v>35</v>
      </c>
      <c r="I4" s="50" t="s">
        <v>35</v>
      </c>
      <c r="J4" s="69" t="str" cm="1">
        <f t="array" ref="J4">_xlfn.LET(_xlpm.cls,A4, _xlpm.ord,IFERROR(B4,"#N/C"), _xlpm.subord,IFERROR(C4,"#N/C"), _xlpm.infr,IFERROR(D4,"#N/C"), _xlpm.sf,IFERROR(E4,"#N/C"), _xlpm.fam,IFERROR(F4,"#N/C"), _xlpm.subfam,IF(TRIM(G4)="-","#N/C",IFERROR(G4,"#N/C")),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_xlpm.fallback,IF(IFERROR(B4,"#N/C")="#N/C",A4,IF(IFERROR(C4,"#N/C")="#N/C",B4,IF(IFERROR(D4,"#N/C")="#N/C",C4,IF(IFERROR(E4,"#N/C")="#N/C",D4,IF(IFERROR(F4,"#N/C")="#N/C",E4,IF(IFERROR(G4,"#N/C")="#N/C",F4,"#N/C")))))), _xlpm.finalResult,IF(OR(_xlpm.computedResult="",_xlpm.computedResult="#N/C"),_xlpm.fallback,_xlpm.computedResult), INDEX(_xlpm.finalResult,1))</f>
        <v>spider</v>
      </c>
      <c r="K4" s="47" t="str">
        <f t="shared" si="0"/>
        <v>Arachnida.Araneae.Arneomorphae.Araneomorphae.Araneoidea.Araneidae.Araneinae.#N/C.#N/C</v>
      </c>
      <c r="L4" s="46">
        <f>+COUNTIF([1]Monitoring!AN:AN,K4)</f>
        <v>2</v>
      </c>
    </row>
    <row r="5" spans="1:12" x14ac:dyDescent="0.3">
      <c r="A5" s="48" t="s">
        <v>724</v>
      </c>
      <c r="B5" s="48" t="s">
        <v>725</v>
      </c>
      <c r="C5" s="48" t="s">
        <v>726</v>
      </c>
      <c r="D5" s="49" t="str">
        <f>+IFERROR(IF(E5="#N/C","#N/C",INDEX([1]ClassificationClasses!D:D,MATCH(E5,[1]ClassificationClasses!E:E,0))),"ERROR")</f>
        <v>Araneomorphae</v>
      </c>
      <c r="E5" s="48" t="s">
        <v>727</v>
      </c>
      <c r="F5" s="48" t="s">
        <v>728</v>
      </c>
      <c r="G5" s="48" t="s">
        <v>729</v>
      </c>
      <c r="H5" s="50" t="s">
        <v>730</v>
      </c>
      <c r="I5" s="50" t="s">
        <v>35</v>
      </c>
      <c r="J5" s="69" t="str" cm="1">
        <f t="array" ref="J5">_xlfn.LET(_xlpm.cls,A5, _xlpm.ord,IFERROR(B5,"#N/C"), _xlpm.subord,IFERROR(C5,"#N/C"), _xlpm.infr,IFERROR(D5,"#N/C"), _xlpm.sf,IFERROR(E5,"#N/C"), _xlpm.fam,IFERROR(F5,"#N/C"), _xlpm.subfam,IF(TRIM(G5)="-","#N/C",IFERROR(G5,"#N/C")),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_xlpm.fallback,IF(IFERROR(B5,"#N/C")="#N/C",A5,IF(IFERROR(C5,"#N/C")="#N/C",B5,IF(IFERROR(D5,"#N/C")="#N/C",C5,IF(IFERROR(E5,"#N/C")="#N/C",D5,IF(IFERROR(F5,"#N/C")="#N/C",E5,IF(IFERROR(G5,"#N/C")="#N/C",F5,"#N/C")))))), _xlpm.finalResult,IF(OR(_xlpm.computedResult="",_xlpm.computedResult="#N/C"),_xlpm.fallback,_xlpm.computedResult), INDEX(_xlpm.finalResult,1))</f>
        <v>spider</v>
      </c>
      <c r="K5" s="47" t="str">
        <f t="shared" si="0"/>
        <v>Arachnida.Araneae.Arneomorphae.Araneomorphae.Araneoidea.Araneidae.Araneinae.Araneus.#N/C</v>
      </c>
      <c r="L5" s="46">
        <f>+COUNTIF([1]Monitoring!AN:AN,K5)</f>
        <v>1</v>
      </c>
    </row>
    <row r="6" spans="1:12" x14ac:dyDescent="0.3">
      <c r="A6" s="48" t="s">
        <v>724</v>
      </c>
      <c r="B6" s="48" t="s">
        <v>725</v>
      </c>
      <c r="C6" s="48" t="s">
        <v>726</v>
      </c>
      <c r="D6" s="49" t="str">
        <f>+IFERROR(IF(E6="#N/C","#N/C",INDEX([1]ClassificationClasses!D:D,MATCH(E6,[1]ClassificationClasses!E:E,0))),"ERROR")</f>
        <v>Araneomorphae</v>
      </c>
      <c r="E6" s="48" t="s">
        <v>731</v>
      </c>
      <c r="F6" s="48" t="s">
        <v>732</v>
      </c>
      <c r="G6" s="48" t="s">
        <v>733</v>
      </c>
      <c r="H6" s="50" t="s">
        <v>734</v>
      </c>
      <c r="I6" s="50" t="s">
        <v>35</v>
      </c>
      <c r="J6" s="69" t="str" cm="1">
        <f t="array" ref="J6">_xlfn.LET(_xlpm.cls,A6, _xlpm.ord,IFERROR(B6,"#N/C"), _xlpm.subord,IFERROR(C6,"#N/C"), _xlpm.infr,IFERROR(D6,"#N/C"), _xlpm.sf,IFERROR(E6,"#N/C"), _xlpm.fam,IFERROR(F6,"#N/C"), _xlpm.subfam,IF(TRIM(G6)="-","#N/C",IFERROR(G6,"#N/C")),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_xlpm.fallback,IF(IFERROR(B6,"#N/C")="#N/C",A6,IF(IFERROR(C6,"#N/C")="#N/C",B6,IF(IFERROR(D6,"#N/C")="#N/C",C6,IF(IFERROR(E6,"#N/C")="#N/C",D6,IF(IFERROR(F6,"#N/C")="#N/C",E6,IF(IFERROR(G6,"#N/C")="#N/C",F6,"#N/C")))))), _xlpm.finalResult,IF(OR(_xlpm.computedResult="",_xlpm.computedResult="#N/C"),_xlpm.fallback,_xlpm.computedResult), INDEX(_xlpm.finalResult,1))</f>
        <v>spider</v>
      </c>
      <c r="K6" s="47" t="str">
        <f t="shared" si="0"/>
        <v>Arachnida.Araneae.Arneomorphae.Araneomorphae.Dictynoidea.Anyphaenidae.Anyphaeninae.Anyphaena.#N/C</v>
      </c>
      <c r="L6" s="46">
        <f>+COUNTIF([1]Monitoring!AN:AN,K6)</f>
        <v>1</v>
      </c>
    </row>
    <row r="7" spans="1:12" x14ac:dyDescent="0.3">
      <c r="A7" s="48" t="s">
        <v>37</v>
      </c>
      <c r="B7" s="48" t="s">
        <v>35</v>
      </c>
      <c r="C7" s="48" t="s">
        <v>35</v>
      </c>
      <c r="D7" s="49" t="str">
        <f>+IFERROR(IF(E7="#N/C","#N/C",INDEX([1]ClassificationClasses!D:D,MATCH(E7,[1]ClassificationClasses!E:E,0))),"ERROR")</f>
        <v>#N/C</v>
      </c>
      <c r="E7" s="48" t="s">
        <v>35</v>
      </c>
      <c r="F7" s="48" t="s">
        <v>35</v>
      </c>
      <c r="G7" s="48" t="s">
        <v>35</v>
      </c>
      <c r="H7" s="48" t="s">
        <v>35</v>
      </c>
      <c r="I7" s="48" t="s">
        <v>35</v>
      </c>
      <c r="J7" s="69" t="str" cm="1">
        <f t="array" ref="J7">_xlfn.LET(_xlpm.cls,A7, _xlpm.ord,IFERROR(B7,"#N/C"), _xlpm.subord,IFERROR(C7,"#N/C"), _xlpm.infr,IFERROR(D7,"#N/C"), _xlpm.sf,IFERROR(E7,"#N/C"), _xlpm.fam,IFERROR(F7,"#N/C"), _xlpm.subfam,IF(TRIM(G7)="-","#N/C",IFERROR(G7,"#N/C")),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_xlpm.fallback,IF(IFERROR(B7,"#N/C")="#N/C",A7,IF(IFERROR(C7,"#N/C")="#N/C",B7,IF(IFERROR(D7,"#N/C")="#N/C",C7,IF(IFERROR(E7,"#N/C")="#N/C",D7,IF(IFERROR(F7,"#N/C")="#N/C",E7,IF(IFERROR(G7,"#N/C")="#N/C",F7,"#N/C")))))), _xlpm.finalResult,IF(OR(_xlpm.computedResult="",_xlpm.computedResult="#N/C"),_xlpm.fallback,_xlpm.computedResult), INDEX(_xlpm.finalResult,1))</f>
        <v>Insecta</v>
      </c>
      <c r="K7" s="47" t="str">
        <f t="shared" si="0"/>
        <v>Insecta.#N/C.#N/C.#N/C.#N/C.#N/C.#N/C.#N/C.#N/C</v>
      </c>
      <c r="L7" s="46">
        <f>+COUNTIF([1]Monitoring!AN:AN,K7)</f>
        <v>26</v>
      </c>
    </row>
    <row r="8" spans="1:12" x14ac:dyDescent="0.3">
      <c r="A8" s="48" t="s">
        <v>37</v>
      </c>
      <c r="B8" s="48" t="s">
        <v>76</v>
      </c>
      <c r="C8" s="48" t="s">
        <v>77</v>
      </c>
      <c r="D8" s="49" t="str">
        <f>+IFERROR(IF(E8="#N/C","#N/C",INDEX([1]ClassificationClasses!D:D,MATCH(E8,[1]ClassificationClasses!E:E,0))),"ERROR")</f>
        <v>Cucujiformia</v>
      </c>
      <c r="E8" s="48" t="s">
        <v>421</v>
      </c>
      <c r="F8" s="48" t="s">
        <v>422</v>
      </c>
      <c r="G8" s="48" t="s">
        <v>735</v>
      </c>
      <c r="H8" s="50" t="s">
        <v>35</v>
      </c>
      <c r="I8" s="50" t="s">
        <v>35</v>
      </c>
      <c r="J8" s="69" t="str" cm="1">
        <f t="array" ref="J8">_xlfn.LET(_xlpm.cls,A8, _xlpm.ord,IFERROR(B8,"#N/C"), _xlpm.subord,IFERROR(C8,"#N/C"), _xlpm.infr,IFERROR(D8,"#N/C"), _xlpm.sf,IFERROR(E8,"#N/C"), _xlpm.fam,IFERROR(F8,"#N/C"), _xlpm.subfam,IF(TRIM(G8)="-","#N/C",IFERROR(G8,"#N/C")),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_xlpm.fallback,IF(IFERROR(B8,"#N/C")="#N/C",A8,IF(IFERROR(C8,"#N/C")="#N/C",B8,IF(IFERROR(D8,"#N/C")="#N/C",C8,IF(IFERROR(E8,"#N/C")="#N/C",D8,IF(IFERROR(F8,"#N/C")="#N/C",E8,IF(IFERROR(G8,"#N/C")="#N/C",F8,"#N/C")))))), _xlpm.finalResult,IF(OR(_xlpm.computedResult="",_xlpm.computedResult="#N/C"),_xlpm.fallback,_xlpm.computedResult), INDEX(_xlpm.finalResult,1))</f>
        <v>leaf_beetle</v>
      </c>
      <c r="K8" s="47" t="str">
        <f t="shared" si="0"/>
        <v>Insecta.Coleoptera.Polyphaga.Cucujiformia.Chrysomeloidea.Chrysomelidae.Alticinae.#N/C.#N/C</v>
      </c>
      <c r="L8" s="46">
        <f>+COUNTIF([1]Monitoring!AN:AN,K8)</f>
        <v>1</v>
      </c>
    </row>
    <row r="9" spans="1:12" x14ac:dyDescent="0.3">
      <c r="A9" s="49" t="s">
        <v>37</v>
      </c>
      <c r="B9" s="49" t="s">
        <v>76</v>
      </c>
      <c r="C9" s="49" t="s">
        <v>77</v>
      </c>
      <c r="D9" s="49" t="str">
        <f>+IFERROR(IF(E9="#N/C","#N/C",INDEX([1]ClassificationClasses!D:D,MATCH(E9,[1]ClassificationClasses!E:E,0))),"ERROR")</f>
        <v>Cucujiformia</v>
      </c>
      <c r="E9" s="49" t="s">
        <v>421</v>
      </c>
      <c r="F9" s="49" t="s">
        <v>422</v>
      </c>
      <c r="G9" s="49" t="s">
        <v>423</v>
      </c>
      <c r="H9" s="51" t="s">
        <v>35</v>
      </c>
      <c r="I9" s="51" t="s">
        <v>35</v>
      </c>
      <c r="J9" s="69" t="str" cm="1">
        <f t="array" ref="J9">_xlfn.LET(_xlpm.cls,A9, _xlpm.ord,IFERROR(B9,"#N/C"), _xlpm.subord,IFERROR(C9,"#N/C"), _xlpm.infr,IFERROR(D9,"#N/C"), _xlpm.sf,IFERROR(E9,"#N/C"), _xlpm.fam,IFERROR(F9,"#N/C"), _xlpm.subfam,IF(TRIM(G9)="-","#N/C",IFERROR(G9,"#N/C")),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_xlpm.fallback,IF(IFERROR(B9,"#N/C")="#N/C",A9,IF(IFERROR(C9,"#N/C")="#N/C",B9,IF(IFERROR(D9,"#N/C")="#N/C",C9,IF(IFERROR(E9,"#N/C")="#N/C",D9,IF(IFERROR(F9,"#N/C")="#N/C",E9,IF(IFERROR(G9,"#N/C")="#N/C",F9,"#N/C")))))), _xlpm.finalResult,IF(OR(_xlpm.computedResult="",_xlpm.computedResult="#N/C"),_xlpm.fallback,_xlpm.computedResult), INDEX(_xlpm.finalResult,1))</f>
        <v>leaf_beetle</v>
      </c>
      <c r="K9" s="47" t="str">
        <f t="shared" si="0"/>
        <v>Insecta.Coleoptera.Polyphaga.Cucujiformia.Chrysomeloidea.Chrysomelidae.Chrysomelinae.#N/C.#N/C</v>
      </c>
      <c r="L9" s="46">
        <f>+COUNTIF([1]Monitoring!AN:AN,K9)</f>
        <v>0</v>
      </c>
    </row>
    <row r="10" spans="1:12" x14ac:dyDescent="0.3">
      <c r="A10" s="48" t="s">
        <v>37</v>
      </c>
      <c r="B10" s="48" t="s">
        <v>76</v>
      </c>
      <c r="C10" s="48" t="s">
        <v>77</v>
      </c>
      <c r="D10" s="49" t="str">
        <f>+IFERROR(IF(E10="#N/C","#N/C",INDEX([1]ClassificationClasses!D:D,MATCH(E10,[1]ClassificationClasses!E:E,0))),"ERROR")</f>
        <v>Cucujiformia</v>
      </c>
      <c r="E10" s="48" t="s">
        <v>421</v>
      </c>
      <c r="F10" s="48" t="s">
        <v>422</v>
      </c>
      <c r="G10" s="48" t="s">
        <v>423</v>
      </c>
      <c r="H10" s="50" t="s">
        <v>424</v>
      </c>
      <c r="I10" s="50" t="s">
        <v>35</v>
      </c>
      <c r="J10" s="69" t="str" cm="1">
        <f t="array" ref="J10">_xlfn.LET(_xlpm.cls,A10, _xlpm.ord,IFERROR(B10,"#N/C"), _xlpm.subord,IFERROR(C10,"#N/C"), _xlpm.infr,IFERROR(D10,"#N/C"), _xlpm.sf,IFERROR(E10,"#N/C"), _xlpm.fam,IFERROR(F10,"#N/C"), _xlpm.subfam,IF(TRIM(G10)="-","#N/C",IFERROR(G10,"#N/C")),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_xlpm.fallback,IF(IFERROR(B10,"#N/C")="#N/C",A10,IF(IFERROR(C10,"#N/C")="#N/C",B10,IF(IFERROR(D10,"#N/C")="#N/C",C10,IF(IFERROR(E10,"#N/C")="#N/C",D10,IF(IFERROR(F10,"#N/C")="#N/C",E10,IF(IFERROR(G10,"#N/C")="#N/C",F10,"#N/C")))))), _xlpm.finalResult,IF(OR(_xlpm.computedResult="",_xlpm.computedResult="#N/C"),_xlpm.fallback,_xlpm.computedResult), INDEX(_xlpm.finalResult,1))</f>
        <v>leaf_beetle</v>
      </c>
      <c r="K10" s="47" t="str">
        <f t="shared" si="0"/>
        <v>Insecta.Coleoptera.Polyphaga.Cucujiformia.Chrysomeloidea.Chrysomelidae.Chrysomelinae.Chrysolina.#N/C</v>
      </c>
      <c r="L10" s="46">
        <f>+COUNTIF([1]Monitoring!AN:AN,K10)</f>
        <v>0</v>
      </c>
    </row>
    <row r="11" spans="1:12" x14ac:dyDescent="0.3">
      <c r="A11" s="49" t="s">
        <v>37</v>
      </c>
      <c r="B11" s="49" t="s">
        <v>76</v>
      </c>
      <c r="C11" s="49" t="s">
        <v>77</v>
      </c>
      <c r="D11" s="49" t="str">
        <f>+IFERROR(IF(E11="#N/C","#N/C",INDEX([1]ClassificationClasses!D:D,MATCH(E11,[1]ClassificationClasses!E:E,0))),"ERROR")</f>
        <v>Cucujiformia</v>
      </c>
      <c r="E11" s="49" t="s">
        <v>421</v>
      </c>
      <c r="F11" s="49" t="s">
        <v>422</v>
      </c>
      <c r="G11" s="49" t="s">
        <v>443</v>
      </c>
      <c r="H11" s="51" t="s">
        <v>444</v>
      </c>
      <c r="I11" s="51" t="s">
        <v>35</v>
      </c>
      <c r="J11" s="69" t="str" cm="1">
        <f t="array" ref="J11">_xlfn.LET(_xlpm.cls,A11, _xlpm.ord,IFERROR(B11,"#N/C"), _xlpm.subord,IFERROR(C11,"#N/C"), _xlpm.infr,IFERROR(D11,"#N/C"), _xlpm.sf,IFERROR(E11,"#N/C"), _xlpm.fam,IFERROR(F11,"#N/C"), _xlpm.subfam,IF(TRIM(G11)="-","#N/C",IFERROR(G11,"#N/C")),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_xlpm.fallback,IF(IFERROR(B11,"#N/C")="#N/C",A11,IF(IFERROR(C11,"#N/C")="#N/C",B11,IF(IFERROR(D11,"#N/C")="#N/C",C11,IF(IFERROR(E11,"#N/C")="#N/C",D11,IF(IFERROR(F11,"#N/C")="#N/C",E11,IF(IFERROR(G11,"#N/C")="#N/C",F11,"#N/C")))))), _xlpm.finalResult,IF(OR(_xlpm.computedResult="",_xlpm.computedResult="#N/C"),_xlpm.fallback,_xlpm.computedResult), INDEX(_xlpm.finalResult,1))</f>
        <v>leaf_beetle</v>
      </c>
      <c r="K11" s="47" t="str">
        <f t="shared" si="0"/>
        <v>Insecta.Coleoptera.Polyphaga.Cucujiformia.Chrysomeloidea.Chrysomelidae.Criocerinae.Oulema.#N/C</v>
      </c>
      <c r="L11" s="46">
        <f>+COUNTIF([1]Monitoring!AN:AN,K11)</f>
        <v>0</v>
      </c>
    </row>
    <row r="12" spans="1:12" x14ac:dyDescent="0.3">
      <c r="A12" s="48" t="s">
        <v>37</v>
      </c>
      <c r="B12" s="48" t="s">
        <v>76</v>
      </c>
      <c r="C12" s="48" t="s">
        <v>77</v>
      </c>
      <c r="D12" s="49" t="str">
        <f>+IFERROR(IF(E12="#N/C","#N/C",INDEX([1]ClassificationClasses!D:D,MATCH(E12,[1]ClassificationClasses!E:E,0))),"ERROR")</f>
        <v>Cucujiformia</v>
      </c>
      <c r="E12" s="48" t="s">
        <v>421</v>
      </c>
      <c r="F12" s="48" t="s">
        <v>422</v>
      </c>
      <c r="G12" s="48" t="s">
        <v>736</v>
      </c>
      <c r="H12" s="50" t="s">
        <v>35</v>
      </c>
      <c r="I12" s="50" t="s">
        <v>35</v>
      </c>
      <c r="J12" s="69" t="str" cm="1">
        <f t="array" ref="J12">_xlfn.LET(_xlpm.cls,A12, _xlpm.ord,IFERROR(B12,"#N/C"), _xlpm.subord,IFERROR(C12,"#N/C"), _xlpm.infr,IFERROR(D12,"#N/C"), _xlpm.sf,IFERROR(E12,"#N/C"), _xlpm.fam,IFERROR(F12,"#N/C"), _xlpm.subfam,IF(TRIM(G12)="-","#N/C",IFERROR(G12,"#N/C")),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_xlpm.fallback,IF(IFERROR(B12,"#N/C")="#N/C",A12,IF(IFERROR(C12,"#N/C")="#N/C",B12,IF(IFERROR(D12,"#N/C")="#N/C",C12,IF(IFERROR(E12,"#N/C")="#N/C",D12,IF(IFERROR(F12,"#N/C")="#N/C",E12,IF(IFERROR(G12,"#N/C")="#N/C",F12,"#N/C")))))), _xlpm.finalResult,IF(OR(_xlpm.computedResult="",_xlpm.computedResult="#N/C"),_xlpm.fallback,_xlpm.computedResult), INDEX(_xlpm.finalResult,1))</f>
        <v>leaf_beetle</v>
      </c>
      <c r="K12" s="47" t="str">
        <f t="shared" si="0"/>
        <v>Insecta.Coleoptera.Polyphaga.Cucujiformia.Chrysomeloidea.Chrysomelidae.Galerucinae.#N/C.#N/C</v>
      </c>
      <c r="L12" s="46">
        <f>+COUNTIF([1]Monitoring!AN:AN,K12)</f>
        <v>0</v>
      </c>
    </row>
    <row r="13" spans="1:12" x14ac:dyDescent="0.3">
      <c r="A13" s="48" t="s">
        <v>37</v>
      </c>
      <c r="B13" s="48" t="s">
        <v>76</v>
      </c>
      <c r="C13" s="48" t="s">
        <v>77</v>
      </c>
      <c r="D13" s="49" t="str">
        <f>+IFERROR(IF(E13="#N/C","#N/C",INDEX([1]ClassificationClasses!D:D,MATCH(E13,[1]ClassificationClasses!E:E,0))),"ERROR")</f>
        <v>Cucujiformia</v>
      </c>
      <c r="E13" s="48" t="s">
        <v>421</v>
      </c>
      <c r="F13" s="48" t="s">
        <v>422</v>
      </c>
      <c r="G13" s="48" t="s">
        <v>736</v>
      </c>
      <c r="H13" s="50" t="s">
        <v>737</v>
      </c>
      <c r="I13" s="50" t="s">
        <v>35</v>
      </c>
      <c r="J13" s="69" t="str" cm="1">
        <f t="array" ref="J13">_xlfn.LET(_xlpm.cls,A13, _xlpm.ord,IFERROR(B13,"#N/C"), _xlpm.subord,IFERROR(C13,"#N/C"), _xlpm.infr,IFERROR(D13,"#N/C"), _xlpm.sf,IFERROR(E13,"#N/C"), _xlpm.fam,IFERROR(F13,"#N/C"), _xlpm.subfam,IF(TRIM(G13)="-","#N/C",IFERROR(G13,"#N/C")),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_xlpm.fallback,IF(IFERROR(B13,"#N/C")="#N/C",A13,IF(IFERROR(C13,"#N/C")="#N/C",B13,IF(IFERROR(D13,"#N/C")="#N/C",C13,IF(IFERROR(E13,"#N/C")="#N/C",D13,IF(IFERROR(F13,"#N/C")="#N/C",E13,IF(IFERROR(G13,"#N/C")="#N/C",F13,"#N/C")))))), _xlpm.finalResult,IF(OR(_xlpm.computedResult="",_xlpm.computedResult="#N/C"),_xlpm.fallback,_xlpm.computedResult), INDEX(_xlpm.finalResult,1))</f>
        <v>leaf_beetle</v>
      </c>
      <c r="K13" s="47" t="str">
        <f t="shared" si="0"/>
        <v>Insecta.Coleoptera.Polyphaga.Cucujiformia.Chrysomeloidea.Chrysomelidae.Galerucinae.Psylliodes.#N/C</v>
      </c>
      <c r="L13" s="46">
        <f>+COUNTIF([1]Monitoring!AN:AN,K13)</f>
        <v>1</v>
      </c>
    </row>
    <row r="14" spans="1:12" x14ac:dyDescent="0.3">
      <c r="A14" s="48" t="s">
        <v>37</v>
      </c>
      <c r="B14" s="48" t="s">
        <v>76</v>
      </c>
      <c r="C14" s="48" t="s">
        <v>77</v>
      </c>
      <c r="D14" s="49" t="str">
        <f>+IFERROR(IF(E14="#N/C","#N/C",INDEX([1]ClassificationClasses!D:D,MATCH(E14,[1]ClassificationClasses!E:E,0))),"ERROR")</f>
        <v>Cucujiformia</v>
      </c>
      <c r="E14" s="48" t="s">
        <v>78</v>
      </c>
      <c r="F14" s="48" t="s">
        <v>79</v>
      </c>
      <c r="G14" s="48" t="s">
        <v>35</v>
      </c>
      <c r="H14" s="50" t="s">
        <v>35</v>
      </c>
      <c r="I14" s="50" t="s">
        <v>35</v>
      </c>
      <c r="J14" s="69" t="str" cm="1">
        <f t="array" ref="J14">_xlfn.LET(_xlpm.cls,A14, _xlpm.ord,IFERROR(B14,"#N/C"), _xlpm.subord,IFERROR(C14,"#N/C"), _xlpm.infr,IFERROR(D14,"#N/C"), _xlpm.sf,IFERROR(E14,"#N/C"), _xlpm.fam,IFERROR(F14,"#N/C"), _xlpm.subfam,IF(TRIM(G14)="-","#N/C",IFERROR(G14,"#N/C")),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_xlpm.fallback,IF(IFERROR(B14,"#N/C")="#N/C",A14,IF(IFERROR(C14,"#N/C")="#N/C",B14,IF(IFERROR(D14,"#N/C")="#N/C",C14,IF(IFERROR(E14,"#N/C")="#N/C",D14,IF(IFERROR(F14,"#N/C")="#N/C",E14,IF(IFERROR(G14,"#N/C")="#N/C",F14,"#N/C")))))), _xlpm.finalResult,IF(OR(_xlpm.computedResult="",_xlpm.computedResult="#N/C"),_xlpm.fallback,_xlpm.computedResult), INDEX(_xlpm.finalResult,1))</f>
        <v>ladybug</v>
      </c>
      <c r="K14" s="47" t="str">
        <f t="shared" si="0"/>
        <v>Insecta.Coleoptera.Polyphaga.Cucujiformia.Coccinelloidea.Coccinellidae.#N/C.#N/C.#N/C</v>
      </c>
      <c r="L14" s="46">
        <f>+COUNTIF([1]Monitoring!AN:AN,K14)</f>
        <v>6</v>
      </c>
    </row>
    <row r="15" spans="1:12" x14ac:dyDescent="0.3">
      <c r="A15" s="48" t="s">
        <v>37</v>
      </c>
      <c r="B15" s="48" t="s">
        <v>76</v>
      </c>
      <c r="C15" s="48" t="s">
        <v>77</v>
      </c>
      <c r="D15" s="49" t="str">
        <f>+IFERROR(IF(E15="#N/C","#N/C",INDEX([1]ClassificationClasses!D:D,MATCH(E15,[1]ClassificationClasses!E:E,0))),"ERROR")</f>
        <v>Cucujiformia</v>
      </c>
      <c r="E15" s="48" t="s">
        <v>78</v>
      </c>
      <c r="F15" s="48" t="s">
        <v>79</v>
      </c>
      <c r="G15" s="48" t="s">
        <v>738</v>
      </c>
      <c r="H15" s="50" t="s">
        <v>35</v>
      </c>
      <c r="I15" s="50" t="s">
        <v>35</v>
      </c>
      <c r="J15" s="69" t="str" cm="1">
        <f t="array" ref="J15">_xlfn.LET(_xlpm.cls,A15, _xlpm.ord,IFERROR(B15,"#N/C"), _xlpm.subord,IFERROR(C15,"#N/C"), _xlpm.infr,IFERROR(D15,"#N/C"), _xlpm.sf,IFERROR(E15,"#N/C"), _xlpm.fam,IFERROR(F15,"#N/C"), _xlpm.subfam,IF(TRIM(G15)="-","#N/C",IFERROR(G15,"#N/C")),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_xlpm.fallback,IF(IFERROR(B15,"#N/C")="#N/C",A15,IF(IFERROR(C15,"#N/C")="#N/C",B15,IF(IFERROR(D15,"#N/C")="#N/C",C15,IF(IFERROR(E15,"#N/C")="#N/C",D15,IF(IFERROR(F15,"#N/C")="#N/C",E15,IF(IFERROR(G15,"#N/C")="#N/C",F15,"#N/C")))))), _xlpm.finalResult,IF(OR(_xlpm.computedResult="",_xlpm.computedResult="#N/C"),_xlpm.fallback,_xlpm.computedResult), INDEX(_xlpm.finalResult,1))</f>
        <v>ladybug</v>
      </c>
      <c r="K15" s="47" t="str">
        <f t="shared" si="0"/>
        <v>Insecta.Coleoptera.Polyphaga.Cucujiformia.Coccinelloidea.Coccinellidae.Chilocorinae.#N/C.#N/C</v>
      </c>
      <c r="L15" s="46">
        <f>+COUNTIF([1]Monitoring!AN:AN,K15)</f>
        <v>1</v>
      </c>
    </row>
    <row r="16" spans="1:12" x14ac:dyDescent="0.3">
      <c r="A16" s="48" t="s">
        <v>37</v>
      </c>
      <c r="B16" s="48" t="s">
        <v>76</v>
      </c>
      <c r="C16" s="48" t="s">
        <v>77</v>
      </c>
      <c r="D16" s="49" t="str">
        <f>+IFERROR(IF(E16="#N/C","#N/C",INDEX([1]ClassificationClasses!D:D,MATCH(E16,[1]ClassificationClasses!E:E,0))),"ERROR")</f>
        <v>Cucujiformia</v>
      </c>
      <c r="E16" s="48" t="s">
        <v>78</v>
      </c>
      <c r="F16" s="48" t="s">
        <v>79</v>
      </c>
      <c r="G16" s="48" t="s">
        <v>80</v>
      </c>
      <c r="H16" s="50" t="s">
        <v>35</v>
      </c>
      <c r="I16" s="50" t="s">
        <v>35</v>
      </c>
      <c r="J16" s="69" t="str" cm="1">
        <f t="array" ref="J16">_xlfn.LET(_xlpm.cls,A16, _xlpm.ord,IFERROR(B16,"#N/C"), _xlpm.subord,IFERROR(C16,"#N/C"), _xlpm.infr,IFERROR(D16,"#N/C"), _xlpm.sf,IFERROR(E16,"#N/C"), _xlpm.fam,IFERROR(F16,"#N/C"), _xlpm.subfam,IF(TRIM(G16)="-","#N/C",IFERROR(G16,"#N/C")),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_xlpm.fallback,IF(IFERROR(B16,"#N/C")="#N/C",A16,IF(IFERROR(C16,"#N/C")="#N/C",B16,IF(IFERROR(D16,"#N/C")="#N/C",C16,IF(IFERROR(E16,"#N/C")="#N/C",D16,IF(IFERROR(F16,"#N/C")="#N/C",E16,IF(IFERROR(G16,"#N/C")="#N/C",F16,"#N/C")))))), _xlpm.finalResult,IF(OR(_xlpm.computedResult="",_xlpm.computedResult="#N/C"),_xlpm.fallback,_xlpm.computedResult), INDEX(_xlpm.finalResult,1))</f>
        <v>ladybug</v>
      </c>
      <c r="K16" s="47" t="str">
        <f t="shared" si="0"/>
        <v>Insecta.Coleoptera.Polyphaga.Cucujiformia.Coccinelloidea.Coccinellidae.Coccinellinae.#N/C.#N/C</v>
      </c>
      <c r="L16" s="46">
        <f>+COUNTIF([1]Monitoring!AN:AN,K16)</f>
        <v>10</v>
      </c>
    </row>
    <row r="17" spans="1:12" x14ac:dyDescent="0.3">
      <c r="A17" s="49" t="s">
        <v>37</v>
      </c>
      <c r="B17" s="49" t="s">
        <v>76</v>
      </c>
      <c r="C17" s="49" t="s">
        <v>77</v>
      </c>
      <c r="D17" s="49" t="str">
        <f>+IFERROR(IF(E17="#N/C","#N/C",INDEX([1]ClassificationClasses!D:D,MATCH(E17,[1]ClassificationClasses!E:E,0))),"ERROR")</f>
        <v>Cucujiformia</v>
      </c>
      <c r="E17" s="49" t="s">
        <v>78</v>
      </c>
      <c r="F17" s="49" t="s">
        <v>79</v>
      </c>
      <c r="G17" s="49" t="s">
        <v>80</v>
      </c>
      <c r="H17" s="51" t="s">
        <v>739</v>
      </c>
      <c r="I17" s="51" t="s">
        <v>35</v>
      </c>
      <c r="J17" s="69" t="str" cm="1">
        <f t="array" ref="J17">_xlfn.LET(_xlpm.cls,A17, _xlpm.ord,IFERROR(B17,"#N/C"), _xlpm.subord,IFERROR(C17,"#N/C"), _xlpm.infr,IFERROR(D17,"#N/C"), _xlpm.sf,IFERROR(E17,"#N/C"), _xlpm.fam,IFERROR(F17,"#N/C"), _xlpm.subfam,IF(TRIM(G17)="-","#N/C",IFERROR(G17,"#N/C")),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_xlpm.fallback,IF(IFERROR(B17,"#N/C")="#N/C",A17,IF(IFERROR(C17,"#N/C")="#N/C",B17,IF(IFERROR(D17,"#N/C")="#N/C",C17,IF(IFERROR(E17,"#N/C")="#N/C",D17,IF(IFERROR(F17,"#N/C")="#N/C",E17,IF(IFERROR(G17,"#N/C")="#N/C",F17,"#N/C")))))), _xlpm.finalResult,IF(OR(_xlpm.computedResult="",_xlpm.computedResult="#N/C"),_xlpm.fallback,_xlpm.computedResult), INDEX(_xlpm.finalResult,1))</f>
        <v>ladybug</v>
      </c>
      <c r="K17" s="47" t="str">
        <f t="shared" si="0"/>
        <v>Insecta.Coleoptera.Polyphaga.Cucujiformia.Coccinelloidea.Coccinellidae.Coccinellinae.Coccinella.#N/C</v>
      </c>
      <c r="L17" s="46">
        <f>+COUNTIF([1]Monitoring!AN:AN,K17)</f>
        <v>2</v>
      </c>
    </row>
    <row r="18" spans="1:12" x14ac:dyDescent="0.3">
      <c r="A18" s="48" t="s">
        <v>37</v>
      </c>
      <c r="B18" s="48" t="s">
        <v>76</v>
      </c>
      <c r="C18" s="48" t="s">
        <v>77</v>
      </c>
      <c r="D18" s="49" t="str">
        <f>+IFERROR(IF(E18="#N/C","#N/C",INDEX([1]ClassificationClasses!D:D,MATCH(E18,[1]ClassificationClasses!E:E,0))),"ERROR")</f>
        <v>Cucujiformia</v>
      </c>
      <c r="E18" s="48" t="s">
        <v>78</v>
      </c>
      <c r="F18" s="48" t="s">
        <v>79</v>
      </c>
      <c r="G18" s="48" t="s">
        <v>80</v>
      </c>
      <c r="H18" s="50" t="s">
        <v>740</v>
      </c>
      <c r="I18" s="50" t="s">
        <v>35</v>
      </c>
      <c r="J18" s="69" t="str" cm="1">
        <f t="array" ref="J18">_xlfn.LET(_xlpm.cls,A18, _xlpm.ord,IFERROR(B18,"#N/C"), _xlpm.subord,IFERROR(C18,"#N/C"), _xlpm.infr,IFERROR(D18,"#N/C"), _xlpm.sf,IFERROR(E18,"#N/C"), _xlpm.fam,IFERROR(F18,"#N/C"), _xlpm.subfam,IF(TRIM(G18)="-","#N/C",IFERROR(G18,"#N/C")),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_xlpm.fallback,IF(IFERROR(B18,"#N/C")="#N/C",A18,IF(IFERROR(C18,"#N/C")="#N/C",B18,IF(IFERROR(D18,"#N/C")="#N/C",C18,IF(IFERROR(E18,"#N/C")="#N/C",D18,IF(IFERROR(F18,"#N/C")="#N/C",E18,IF(IFERROR(G18,"#N/C")="#N/C",F18,"#N/C")))))), _xlpm.finalResult,IF(OR(_xlpm.computedResult="",_xlpm.computedResult="#N/C"),_xlpm.fallback,_xlpm.computedResult), INDEX(_xlpm.finalResult,1))</f>
        <v>ladybug</v>
      </c>
      <c r="K18" s="47" t="str">
        <f t="shared" si="0"/>
        <v>Insecta.Coleoptera.Polyphaga.Cucujiformia.Coccinelloidea.Coccinellidae.Coccinellinae.Coccinellini.#N/C</v>
      </c>
      <c r="L18" s="46">
        <f>+COUNTIF([1]Monitoring!AN:AN,K18)</f>
        <v>3</v>
      </c>
    </row>
    <row r="19" spans="1:12" x14ac:dyDescent="0.3">
      <c r="A19" s="49" t="s">
        <v>37</v>
      </c>
      <c r="B19" s="49" t="s">
        <v>76</v>
      </c>
      <c r="C19" s="49" t="s">
        <v>77</v>
      </c>
      <c r="D19" s="49" t="str">
        <f>+IFERROR(IF(E19="#N/C","#N/C",INDEX([1]ClassificationClasses!D:D,MATCH(E19,[1]ClassificationClasses!E:E,0))),"ERROR")</f>
        <v>Cucujiformia</v>
      </c>
      <c r="E19" s="49" t="s">
        <v>78</v>
      </c>
      <c r="F19" s="49" t="s">
        <v>79</v>
      </c>
      <c r="G19" s="49" t="s">
        <v>80</v>
      </c>
      <c r="H19" s="51" t="s">
        <v>81</v>
      </c>
      <c r="I19" s="51" t="s">
        <v>35</v>
      </c>
      <c r="J19" s="69" t="str" cm="1">
        <f t="array" ref="J19">_xlfn.LET(_xlpm.cls,A19, _xlpm.ord,IFERROR(B19,"#N/C"), _xlpm.subord,IFERROR(C19,"#N/C"), _xlpm.infr,IFERROR(D19,"#N/C"), _xlpm.sf,IFERROR(E19,"#N/C"), _xlpm.fam,IFERROR(F19,"#N/C"), _xlpm.subfam,IF(TRIM(G19)="-","#N/C",IFERROR(G19,"#N/C")),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_xlpm.fallback,IF(IFERROR(B19,"#N/C")="#N/C",A19,IF(IFERROR(C19,"#N/C")="#N/C",B19,IF(IFERROR(D19,"#N/C")="#N/C",C19,IF(IFERROR(E19,"#N/C")="#N/C",D19,IF(IFERROR(F19,"#N/C")="#N/C",E19,IF(IFERROR(G19,"#N/C")="#N/C",F19,"#N/C")))))), _xlpm.finalResult,IF(OR(_xlpm.computedResult="",_xlpm.computedResult="#N/C"),_xlpm.fallback,_xlpm.computedResult), INDEX(_xlpm.finalResult,1))</f>
        <v>ladybug</v>
      </c>
      <c r="K19" s="47" t="str">
        <f t="shared" si="0"/>
        <v>Insecta.Coleoptera.Polyphaga.Cucujiformia.Coccinelloidea.Coccinellidae.Coccinellinae.Harmonia.#N/C</v>
      </c>
      <c r="L19" s="46">
        <f>+COUNTIF([1]Monitoring!AN:AN,K19)</f>
        <v>25</v>
      </c>
    </row>
    <row r="20" spans="1:12" x14ac:dyDescent="0.3">
      <c r="A20" s="49" t="s">
        <v>37</v>
      </c>
      <c r="B20" s="49" t="s">
        <v>76</v>
      </c>
      <c r="C20" s="49" t="s">
        <v>77</v>
      </c>
      <c r="D20" s="49" t="str">
        <f>+IFERROR(IF(E20="#N/C","#N/C",INDEX([1]ClassificationClasses!D:D,MATCH(E20,[1]ClassificationClasses!E:E,0))),"ERROR")</f>
        <v>Cucujiformia</v>
      </c>
      <c r="E20" s="49" t="s">
        <v>78</v>
      </c>
      <c r="F20" s="49" t="s">
        <v>79</v>
      </c>
      <c r="G20" s="49" t="s">
        <v>80</v>
      </c>
      <c r="H20" s="51" t="s">
        <v>81</v>
      </c>
      <c r="I20" s="51" t="s">
        <v>82</v>
      </c>
      <c r="J20" s="69" t="str" cm="1">
        <f t="array" ref="J20">_xlfn.LET(_xlpm.cls,A20, _xlpm.ord,IFERROR(B20,"#N/C"), _xlpm.subord,IFERROR(C20,"#N/C"), _xlpm.infr,IFERROR(D20,"#N/C"), _xlpm.sf,IFERROR(E20,"#N/C"), _xlpm.fam,IFERROR(F20,"#N/C"), _xlpm.subfam,IF(TRIM(G20)="-","#N/C",IFERROR(G20,"#N/C")),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_xlpm.fallback,IF(IFERROR(B20,"#N/C")="#N/C",A20,IF(IFERROR(C20,"#N/C")="#N/C",B20,IF(IFERROR(D20,"#N/C")="#N/C",C20,IF(IFERROR(E20,"#N/C")="#N/C",D20,IF(IFERROR(F20,"#N/C")="#N/C",E20,IF(IFERROR(G20,"#N/C")="#N/C",F20,"#N/C")))))), _xlpm.finalResult,IF(OR(_xlpm.computedResult="",_xlpm.computedResult="#N/C"),_xlpm.fallback,_xlpm.computedResult), INDEX(_xlpm.finalResult,1))</f>
        <v>ladybug</v>
      </c>
      <c r="K20" s="47" t="str">
        <f t="shared" si="0"/>
        <v>Insecta.Coleoptera.Polyphaga.Cucujiformia.Coccinelloidea.Coccinellidae.Coccinellinae.Harmonia.axyridis</v>
      </c>
      <c r="L20" s="46">
        <f>+COUNTIF([1]Monitoring!AN:AN,K20)</f>
        <v>1</v>
      </c>
    </row>
    <row r="21" spans="1:12" x14ac:dyDescent="0.3">
      <c r="A21" s="49" t="s">
        <v>37</v>
      </c>
      <c r="B21" s="49" t="s">
        <v>76</v>
      </c>
      <c r="C21" s="49" t="s">
        <v>77</v>
      </c>
      <c r="D21" s="49" t="str">
        <f>+IFERROR(IF(E21="#N/C","#N/C",INDEX([1]ClassificationClasses!D:D,MATCH(E21,[1]ClassificationClasses!E:E,0))),"ERROR")</f>
        <v>Cucujiformia</v>
      </c>
      <c r="E21" s="49" t="s">
        <v>78</v>
      </c>
      <c r="F21" s="49" t="s">
        <v>79</v>
      </c>
      <c r="G21" s="49" t="s">
        <v>80</v>
      </c>
      <c r="H21" s="50" t="s">
        <v>741</v>
      </c>
      <c r="I21" s="50" t="s">
        <v>35</v>
      </c>
      <c r="J21" s="69" t="str" cm="1">
        <f t="array" ref="J21">_xlfn.LET(_xlpm.cls,A21, _xlpm.ord,IFERROR(B21,"#N/C"), _xlpm.subord,IFERROR(C21,"#N/C"), _xlpm.infr,IFERROR(D21,"#N/C"), _xlpm.sf,IFERROR(E21,"#N/C"), _xlpm.fam,IFERROR(F21,"#N/C"), _xlpm.subfam,IF(TRIM(G21)="-","#N/C",IFERROR(G21,"#N/C")),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_xlpm.fallback,IF(IFERROR(B21,"#N/C")="#N/C",A21,IF(IFERROR(C21,"#N/C")="#N/C",B21,IF(IFERROR(D21,"#N/C")="#N/C",C21,IF(IFERROR(E21,"#N/C")="#N/C",D21,IF(IFERROR(F21,"#N/C")="#N/C",E21,IF(IFERROR(G21,"#N/C")="#N/C",F21,"#N/C")))))), _xlpm.finalResult,IF(OR(_xlpm.computedResult="",_xlpm.computedResult="#N/C"),_xlpm.fallback,_xlpm.computedResult), INDEX(_xlpm.finalResult,1))</f>
        <v>ladybug</v>
      </c>
      <c r="K21" s="47" t="str">
        <f t="shared" si="0"/>
        <v>Insecta.Coleoptera.Polyphaga.Cucujiformia.Coccinelloidea.Coccinellidae.Coccinellinae.Oenopia.#N/C</v>
      </c>
      <c r="L21" s="46">
        <f>+COUNTIF([1]Monitoring!AN:AN,K21)</f>
        <v>1</v>
      </c>
    </row>
    <row r="22" spans="1:12" x14ac:dyDescent="0.3">
      <c r="A22" s="49" t="s">
        <v>37</v>
      </c>
      <c r="B22" s="49" t="s">
        <v>76</v>
      </c>
      <c r="C22" s="49" t="s">
        <v>77</v>
      </c>
      <c r="D22" s="49" t="str">
        <f>+IFERROR(IF(E22="#N/C","#N/C",INDEX([1]ClassificationClasses!D:D,MATCH(E22,[1]ClassificationClasses!E:E,0))),"ERROR")</f>
        <v>Cucujiformia</v>
      </c>
      <c r="E22" s="49" t="s">
        <v>78</v>
      </c>
      <c r="F22" s="49" t="s">
        <v>79</v>
      </c>
      <c r="G22" s="49" t="s">
        <v>80</v>
      </c>
      <c r="H22" s="51" t="s">
        <v>470</v>
      </c>
      <c r="I22" s="51" t="s">
        <v>471</v>
      </c>
      <c r="J22" s="69" t="str" cm="1">
        <f t="array" ref="J22">_xlfn.LET(_xlpm.cls,A22, _xlpm.ord,IFERROR(B22,"#N/C"), _xlpm.subord,IFERROR(C22,"#N/C"), _xlpm.infr,IFERROR(D22,"#N/C"), _xlpm.sf,IFERROR(E22,"#N/C"), _xlpm.fam,IFERROR(F22,"#N/C"), _xlpm.subfam,IF(TRIM(G22)="-","#N/C",IFERROR(G22,"#N/C")),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_xlpm.fallback,IF(IFERROR(B22,"#N/C")="#N/C",A22,IF(IFERROR(C22,"#N/C")="#N/C",B22,IF(IFERROR(D22,"#N/C")="#N/C",C22,IF(IFERROR(E22,"#N/C")="#N/C",D22,IF(IFERROR(F22,"#N/C")="#N/C",E22,IF(IFERROR(G22,"#N/C")="#N/C",F22,"#N/C")))))), _xlpm.finalResult,IF(OR(_xlpm.computedResult="",_xlpm.computedResult="#N/C"),_xlpm.fallback,_xlpm.computedResult), INDEX(_xlpm.finalResult,1))</f>
        <v>ladybug</v>
      </c>
      <c r="K22" s="47" t="str">
        <f t="shared" si="0"/>
        <v>Insecta.Coleoptera.Polyphaga.Cucujiformia.Coccinelloidea.Coccinellidae.Coccinellinae.Propylea.quatuordecimpunctata</v>
      </c>
      <c r="L22" s="46">
        <f>+COUNTIF([1]Monitoring!AN:AN,K22)</f>
        <v>0</v>
      </c>
    </row>
    <row r="23" spans="1:12" x14ac:dyDescent="0.3">
      <c r="A23" s="48" t="s">
        <v>37</v>
      </c>
      <c r="B23" s="48" t="s">
        <v>76</v>
      </c>
      <c r="C23" s="48" t="s">
        <v>77</v>
      </c>
      <c r="D23" s="49" t="str">
        <f>+IFERROR(IF(E23="#N/C","#N/C",INDEX([1]ClassificationClasses!D:D,MATCH(E23,[1]ClassificationClasses!E:E,0))),"ERROR")</f>
        <v>Cucujiformia</v>
      </c>
      <c r="E23" s="48" t="s">
        <v>78</v>
      </c>
      <c r="F23" s="48" t="s">
        <v>79</v>
      </c>
      <c r="G23" s="48" t="s">
        <v>80</v>
      </c>
      <c r="H23" s="50" t="s">
        <v>127</v>
      </c>
      <c r="I23" s="50" t="s">
        <v>128</v>
      </c>
      <c r="J23" s="69" t="str" cm="1">
        <f t="array" ref="J23">_xlfn.LET(_xlpm.cls,A23, _xlpm.ord,IFERROR(B23,"#N/C"), _xlpm.subord,IFERROR(C23,"#N/C"), _xlpm.infr,IFERROR(D23,"#N/C"), _xlpm.sf,IFERROR(E23,"#N/C"), _xlpm.fam,IFERROR(F23,"#N/C"), _xlpm.subfam,IF(TRIM(G23)="-","#N/C",IFERROR(G23,"#N/C")),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_xlpm.fallback,IF(IFERROR(B23,"#N/C")="#N/C",A23,IF(IFERROR(C23,"#N/C")="#N/C",B23,IF(IFERROR(D23,"#N/C")="#N/C",C23,IF(IFERROR(E23,"#N/C")="#N/C",D23,IF(IFERROR(F23,"#N/C")="#N/C",E23,IF(IFERROR(G23,"#N/C")="#N/C",F23,"#N/C")))))), _xlpm.finalResult,IF(OR(_xlpm.computedResult="",_xlpm.computedResult="#N/C"),_xlpm.fallback,_xlpm.computedResult), INDEX(_xlpm.finalResult,1))</f>
        <v>ladybug</v>
      </c>
      <c r="K23" s="47" t="str">
        <f t="shared" si="0"/>
        <v>Insecta.Coleoptera.Polyphaga.Cucujiformia.Coccinelloidea.Coccinellidae.Coccinellinae.Psyllobora.vigintiduopunctata</v>
      </c>
      <c r="L23" s="46">
        <f>+COUNTIF([1]Monitoring!AN:AN,K23)</f>
        <v>0</v>
      </c>
    </row>
    <row r="24" spans="1:12" x14ac:dyDescent="0.3">
      <c r="A24" s="49" t="s">
        <v>37</v>
      </c>
      <c r="B24" s="49" t="s">
        <v>76</v>
      </c>
      <c r="C24" s="49" t="s">
        <v>77</v>
      </c>
      <c r="D24" s="49" t="str">
        <f>+IFERROR(IF(E24="#N/C","#N/C",INDEX([1]ClassificationClasses!D:D,MATCH(E24,[1]ClassificationClasses!E:E,0))),"ERROR")</f>
        <v>Cucujiformia</v>
      </c>
      <c r="E24" s="49" t="s">
        <v>428</v>
      </c>
      <c r="F24" s="49" t="s">
        <v>429</v>
      </c>
      <c r="G24" s="49" t="s">
        <v>481</v>
      </c>
      <c r="H24" s="51" t="s">
        <v>483</v>
      </c>
      <c r="I24" s="51" t="s">
        <v>530</v>
      </c>
      <c r="J24" s="69" t="str" cm="1">
        <f t="array" ref="J24">_xlfn.LET(_xlpm.cls,A24, _xlpm.ord,IFERROR(B24,"#N/C"), _xlpm.subord,IFERROR(C24,"#N/C"), _xlpm.infr,IFERROR(D24,"#N/C"), _xlpm.sf,IFERROR(E24,"#N/C"), _xlpm.fam,IFERROR(F24,"#N/C"), _xlpm.subfam,IF(TRIM(G24)="-","#N/C",IFERROR(G24,"#N/C")),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_xlpm.fallback,IF(IFERROR(B24,"#N/C")="#N/C",A24,IF(IFERROR(C24,"#N/C")="#N/C",B24,IF(IFERROR(D24,"#N/C")="#N/C",C24,IF(IFERROR(E24,"#N/C")="#N/C",D24,IF(IFERROR(F24,"#N/C")="#N/C",E24,IF(IFERROR(G24,"#N/C")="#N/C",F24,"#N/C")))))), _xlpm.finalResult,IF(OR(_xlpm.computedResult="",_xlpm.computedResult="#N/C"),_xlpm.fallback,_xlpm.computedResult), INDEX(_xlpm.finalResult,1))</f>
        <v>weevil</v>
      </c>
      <c r="K24" s="47" t="str">
        <f t="shared" si="0"/>
        <v>Insecta.Coleoptera.Polyphaga.Cucujiformia.Curculionoidea.Curculionidae.Brentidae.Apion.frumentarium</v>
      </c>
      <c r="L24" s="46">
        <f>+COUNTIF([1]Monitoring!AN:AN,K24)</f>
        <v>0</v>
      </c>
    </row>
    <row r="25" spans="1:12" x14ac:dyDescent="0.3">
      <c r="A25" s="48" t="s">
        <v>37</v>
      </c>
      <c r="B25" s="48" t="s">
        <v>76</v>
      </c>
      <c r="C25" s="48" t="s">
        <v>77</v>
      </c>
      <c r="D25" s="49" t="str">
        <f>+IFERROR(IF(E25="#N/C","#N/C",INDEX([1]ClassificationClasses!D:D,MATCH(E25,[1]ClassificationClasses!E:E,0))),"ERROR")</f>
        <v>Cucujiformia</v>
      </c>
      <c r="E25" s="48" t="s">
        <v>428</v>
      </c>
      <c r="F25" s="48" t="s">
        <v>429</v>
      </c>
      <c r="G25" s="48" t="s">
        <v>430</v>
      </c>
      <c r="H25" s="50" t="s">
        <v>742</v>
      </c>
      <c r="I25" s="50" t="s">
        <v>35</v>
      </c>
      <c r="J25" s="69" t="str" cm="1">
        <f t="array" ref="J25">_xlfn.LET(_xlpm.cls,A25, _xlpm.ord,IFERROR(B25,"#N/C"), _xlpm.subord,IFERROR(C25,"#N/C"), _xlpm.infr,IFERROR(D25,"#N/C"), _xlpm.sf,IFERROR(E25,"#N/C"), _xlpm.fam,IFERROR(F25,"#N/C"), _xlpm.subfam,IF(TRIM(G25)="-","#N/C",IFERROR(G25,"#N/C")),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_xlpm.fallback,IF(IFERROR(B25,"#N/C")="#N/C",A25,IF(IFERROR(C25,"#N/C")="#N/C",B25,IF(IFERROR(D25,"#N/C")="#N/C",C25,IF(IFERROR(E25,"#N/C")="#N/C",D25,IF(IFERROR(F25,"#N/C")="#N/C",E25,IF(IFERROR(G25,"#N/C")="#N/C",F25,"#N/C")))))), _xlpm.finalResult,IF(OR(_xlpm.computedResult="",_xlpm.computedResult="#N/C"),_xlpm.fallback,_xlpm.computedResult), INDEX(_xlpm.finalResult,1))</f>
        <v>weevil</v>
      </c>
      <c r="K25" s="47" t="str">
        <f t="shared" si="0"/>
        <v>Insecta.Coleoptera.Polyphaga.Cucujiformia.Curculionoidea.Curculionidae.Entiminae.Polydrusus.#N/C</v>
      </c>
      <c r="L25" s="46">
        <f>+COUNTIF([1]Monitoring!AN:AN,K25)</f>
        <v>1</v>
      </c>
    </row>
    <row r="26" spans="1:12" x14ac:dyDescent="0.3">
      <c r="A26" s="49" t="s">
        <v>37</v>
      </c>
      <c r="B26" s="49" t="s">
        <v>76</v>
      </c>
      <c r="C26" s="49" t="s">
        <v>77</v>
      </c>
      <c r="D26" s="49" t="str">
        <f>+IFERROR(IF(E26="#N/C","#N/C",INDEX([1]ClassificationClasses!D:D,MATCH(E26,[1]ClassificationClasses!E:E,0))),"ERROR")</f>
        <v>Cucujiformia</v>
      </c>
      <c r="E26" s="49" t="s">
        <v>428</v>
      </c>
      <c r="F26" s="49" t="s">
        <v>429</v>
      </c>
      <c r="G26" s="49" t="s">
        <v>430</v>
      </c>
      <c r="H26" s="51" t="s">
        <v>431</v>
      </c>
      <c r="I26" s="51" t="s">
        <v>35</v>
      </c>
      <c r="J26" s="69" t="str" cm="1">
        <f t="array" ref="J26">_xlfn.LET(_xlpm.cls,A26, _xlpm.ord,IFERROR(B26,"#N/C"), _xlpm.subord,IFERROR(C26,"#N/C"), _xlpm.infr,IFERROR(D26,"#N/C"), _xlpm.sf,IFERROR(E26,"#N/C"), _xlpm.fam,IFERROR(F26,"#N/C"), _xlpm.subfam,IF(TRIM(G26)="-","#N/C",IFERROR(G26,"#N/C")),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_xlpm.fallback,IF(IFERROR(B26,"#N/C")="#N/C",A26,IF(IFERROR(C26,"#N/C")="#N/C",B26,IF(IFERROR(D26,"#N/C")="#N/C",C26,IF(IFERROR(E26,"#N/C")="#N/C",D26,IF(IFERROR(F26,"#N/C")="#N/C",E26,IF(IFERROR(G26,"#N/C")="#N/C",F26,"#N/C")))))), _xlpm.finalResult,IF(OR(_xlpm.computedResult="",_xlpm.computedResult="#N/C"),_xlpm.fallback,_xlpm.computedResult), INDEX(_xlpm.finalResult,1))</f>
        <v>weevil</v>
      </c>
      <c r="K26" s="47" t="str">
        <f t="shared" si="0"/>
        <v>Insecta.Coleoptera.Polyphaga.Cucujiformia.Curculionoidea.Curculionidae.Entiminae.Sitona.#N/C</v>
      </c>
      <c r="L26" s="46">
        <f>+COUNTIF([1]Monitoring!AN:AN,K26)</f>
        <v>1</v>
      </c>
    </row>
    <row r="27" spans="1:12" x14ac:dyDescent="0.3">
      <c r="A27" s="49" t="s">
        <v>37</v>
      </c>
      <c r="B27" s="49" t="s">
        <v>76</v>
      </c>
      <c r="C27" s="49" t="s">
        <v>77</v>
      </c>
      <c r="D27" s="49" t="str">
        <f>+IFERROR(IF(E27="#N/C","#N/C",INDEX([1]ClassificationClasses!D:D,MATCH(E27,[1]ClassificationClasses!E:E,0))),"ERROR")</f>
        <v>Cucujiformia</v>
      </c>
      <c r="E27" s="49" t="s">
        <v>428</v>
      </c>
      <c r="F27" s="49" t="s">
        <v>429</v>
      </c>
      <c r="G27" s="49" t="s">
        <v>430</v>
      </c>
      <c r="H27" s="118" t="s">
        <v>431</v>
      </c>
      <c r="I27" s="51" t="s">
        <v>432</v>
      </c>
      <c r="J27" s="69" t="str" cm="1">
        <f t="array" ref="J27">_xlfn.LET(_xlpm.cls,A27, _xlpm.ord,IFERROR(B27,"#N/C"), _xlpm.subord,IFERROR(C27,"#N/C"), _xlpm.infr,IFERROR(D27,"#N/C"), _xlpm.sf,IFERROR(E27,"#N/C"), _xlpm.fam,IFERROR(F27,"#N/C"), _xlpm.subfam,IF(TRIM(G27)="-","#N/C",IFERROR(G27,"#N/C")),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_xlpm.fallback,IF(IFERROR(B27,"#N/C")="#N/C",A27,IF(IFERROR(C27,"#N/C")="#N/C",B27,IF(IFERROR(D27,"#N/C")="#N/C",C27,IF(IFERROR(E27,"#N/C")="#N/C",D27,IF(IFERROR(F27,"#N/C")="#N/C",E27,IF(IFERROR(G27,"#N/C")="#N/C",F27,"#N/C")))))), _xlpm.finalResult,IF(OR(_xlpm.computedResult="",_xlpm.computedResult="#N/C"),_xlpm.fallback,_xlpm.computedResult), INDEX(_xlpm.finalResult,1))</f>
        <v>weevil</v>
      </c>
      <c r="K27" s="47" t="str">
        <f t="shared" si="0"/>
        <v>Insecta.Coleoptera.Polyphaga.Cucujiformia.Curculionoidea.Curculionidae.Entiminae.Sitona.lineatus</v>
      </c>
      <c r="L27" s="46">
        <f>+COUNTIF([1]Monitoring!AN:AN,K27)</f>
        <v>0</v>
      </c>
    </row>
    <row r="28" spans="1:12" x14ac:dyDescent="0.3">
      <c r="A28" s="49" t="s">
        <v>37</v>
      </c>
      <c r="B28" s="49" t="s">
        <v>76</v>
      </c>
      <c r="C28" s="49" t="s">
        <v>77</v>
      </c>
      <c r="D28" s="49" t="str">
        <f>+IFERROR(IF(E28="#N/C","#N/C",INDEX([1]ClassificationClasses!D:D,MATCH(E28,[1]ClassificationClasses!E:E,0))),"ERROR")</f>
        <v>Cucujiformia</v>
      </c>
      <c r="E28" s="49" t="s">
        <v>428</v>
      </c>
      <c r="F28" s="49" t="s">
        <v>429</v>
      </c>
      <c r="G28" s="49" t="s">
        <v>430</v>
      </c>
      <c r="H28" s="51" t="s">
        <v>599</v>
      </c>
      <c r="I28" s="51" t="s">
        <v>35</v>
      </c>
      <c r="J28" s="69" t="str" cm="1">
        <f t="array" ref="J28">_xlfn.LET(_xlpm.cls,A28, _xlpm.ord,IFERROR(B28,"#N/C"), _xlpm.subord,IFERROR(C28,"#N/C"), _xlpm.infr,IFERROR(D28,"#N/C"), _xlpm.sf,IFERROR(E28,"#N/C"), _xlpm.fam,IFERROR(F28,"#N/C"), _xlpm.subfam,IF(TRIM(G28)="-","#N/C",IFERROR(G28,"#N/C")),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_xlpm.fallback,IF(IFERROR(B28,"#N/C")="#N/C",A28,IF(IFERROR(C28,"#N/C")="#N/C",B28,IF(IFERROR(D28,"#N/C")="#N/C",C28,IF(IFERROR(E28,"#N/C")="#N/C",D28,IF(IFERROR(F28,"#N/C")="#N/C",E28,IF(IFERROR(G28,"#N/C")="#N/C",F28,"#N/C")))))), _xlpm.finalResult,IF(OR(_xlpm.computedResult="",_xlpm.computedResult="#N/C"),_xlpm.fallback,_xlpm.computedResult), INDEX(_xlpm.finalResult,1))</f>
        <v>weevil</v>
      </c>
      <c r="K28" s="47" t="str">
        <f t="shared" si="0"/>
        <v>Insecta.Coleoptera.Polyphaga.Cucujiformia.Curculionoidea.Curculionidae.Entiminae.Strophosoma.#N/C</v>
      </c>
      <c r="L28" s="46">
        <f>+COUNTIF([1]Monitoring!AN:AN,K28)</f>
        <v>0</v>
      </c>
    </row>
    <row r="29" spans="1:12" x14ac:dyDescent="0.3">
      <c r="A29" s="48" t="s">
        <v>37</v>
      </c>
      <c r="B29" s="48" t="s">
        <v>76</v>
      </c>
      <c r="C29" s="48" t="s">
        <v>77</v>
      </c>
      <c r="D29" s="49" t="str">
        <f>+IFERROR(IF(E29="#N/C","#N/C",INDEX([1]ClassificationClasses!D:D,MATCH(E29,[1]ClassificationClasses!E:E,0))),"ERROR")</f>
        <v>Cucujiformia</v>
      </c>
      <c r="E29" s="48" t="s">
        <v>428</v>
      </c>
      <c r="F29" s="48" t="s">
        <v>429</v>
      </c>
      <c r="G29" s="48" t="s">
        <v>430</v>
      </c>
      <c r="H29" s="50" t="s">
        <v>599</v>
      </c>
      <c r="I29" s="50" t="s">
        <v>600</v>
      </c>
      <c r="J29" s="69" t="str" cm="1">
        <f t="array" ref="J29">_xlfn.LET(_xlpm.cls,A29, _xlpm.ord,IFERROR(B29,"#N/C"), _xlpm.subord,IFERROR(C29,"#N/C"), _xlpm.infr,IFERROR(D29,"#N/C"), _xlpm.sf,IFERROR(E29,"#N/C"), _xlpm.fam,IFERROR(F29,"#N/C"), _xlpm.subfam,IF(TRIM(G29)="-","#N/C",IFERROR(G29,"#N/C")),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_xlpm.fallback,IF(IFERROR(B29,"#N/C")="#N/C",A29,IF(IFERROR(C29,"#N/C")="#N/C",B29,IF(IFERROR(D29,"#N/C")="#N/C",C29,IF(IFERROR(E29,"#N/C")="#N/C",D29,IF(IFERROR(F29,"#N/C")="#N/C",E29,IF(IFERROR(G29,"#N/C")="#N/C",F29,"#N/C")))))), _xlpm.finalResult,IF(OR(_xlpm.computedResult="",_xlpm.computedResult="#N/C"),_xlpm.fallback,_xlpm.computedResult), INDEX(_xlpm.finalResult,1))</f>
        <v>weevil</v>
      </c>
      <c r="K29" s="47" t="str">
        <f t="shared" si="0"/>
        <v>Insecta.Coleoptera.Polyphaga.Cucujiformia.Curculionoidea.Curculionidae.Entiminae.Strophosoma.melanogrammum</v>
      </c>
      <c r="L29" s="46">
        <f>+COUNTIF([1]Monitoring!AN:AN,K29)</f>
        <v>0</v>
      </c>
    </row>
    <row r="30" spans="1:12" x14ac:dyDescent="0.3">
      <c r="A30" s="49" t="s">
        <v>37</v>
      </c>
      <c r="B30" s="49" t="s">
        <v>76</v>
      </c>
      <c r="C30" s="49" t="s">
        <v>77</v>
      </c>
      <c r="D30" s="49" t="str">
        <f>+IFERROR(IF(E30="#N/C","#N/C",INDEX([1]ClassificationClasses!D:D,MATCH(E30,[1]ClassificationClasses!E:E,0))),"ERROR")</f>
        <v>Cucujiformia</v>
      </c>
      <c r="E30" s="49" t="s">
        <v>143</v>
      </c>
      <c r="F30" s="49" t="s">
        <v>250</v>
      </c>
      <c r="G30" s="49" t="s">
        <v>251</v>
      </c>
      <c r="H30" s="51" t="s">
        <v>252</v>
      </c>
      <c r="I30" s="51" t="s">
        <v>253</v>
      </c>
      <c r="J30" s="69" t="str" cm="1">
        <f t="array" ref="J30">_xlfn.LET(_xlpm.cls,A30, _xlpm.ord,IFERROR(B30,"#N/C"), _xlpm.subord,IFERROR(C30,"#N/C"), _xlpm.infr,IFERROR(D30,"#N/C"), _xlpm.sf,IFERROR(E30,"#N/C"), _xlpm.fam,IFERROR(F30,"#N/C"), _xlpm.subfam,IF(TRIM(G30)="-","#N/C",IFERROR(G30,"#N/C")),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_xlpm.fallback,IF(IFERROR(B30,"#N/C")="#N/C",A30,IF(IFERROR(C30,"#N/C")="#N/C",B30,IF(IFERROR(D30,"#N/C")="#N/C",C30,IF(IFERROR(E30,"#N/C")="#N/C",D30,IF(IFERROR(F30,"#N/C")="#N/C",E30,IF(IFERROR(G30,"#N/C")="#N/C",F30,"#N/C")))))), _xlpm.finalResult,IF(OR(_xlpm.computedResult="",_xlpm.computedResult="#N/C"),_xlpm.fallback,_xlpm.computedResult), INDEX(_xlpm.finalResult,1))</f>
        <v>ant_beetle</v>
      </c>
      <c r="K30" s="47" t="str">
        <f t="shared" si="0"/>
        <v>Insecta.Coleoptera.Polyphaga.Cucujiformia.Tenebrionoidea.Anthicidae.Anthicinae.Notoxus.monoceros</v>
      </c>
      <c r="L30" s="46">
        <f>+COUNTIF([1]Monitoring!AN:AN,K30)</f>
        <v>0</v>
      </c>
    </row>
    <row r="31" spans="1:12" x14ac:dyDescent="0.3">
      <c r="A31" s="48" t="s">
        <v>37</v>
      </c>
      <c r="B31" s="48" t="s">
        <v>76</v>
      </c>
      <c r="C31" s="48" t="s">
        <v>77</v>
      </c>
      <c r="D31" s="49" t="str">
        <f>+IFERROR(IF(E31="#N/C","#N/C",INDEX([1]ClassificationClasses!D:D,MATCH(E31,[1]ClassificationClasses!E:E,0))),"ERROR")</f>
        <v>Cucujiformia</v>
      </c>
      <c r="E31" s="48" t="s">
        <v>143</v>
      </c>
      <c r="F31" s="48" t="s">
        <v>250</v>
      </c>
      <c r="G31" s="48" t="s">
        <v>340</v>
      </c>
      <c r="H31" s="50" t="s">
        <v>252</v>
      </c>
      <c r="I31" s="50" t="s">
        <v>253</v>
      </c>
      <c r="J31" s="69" t="str" cm="1">
        <f t="array" ref="J31">_xlfn.LET(_xlpm.cls,A31, _xlpm.ord,IFERROR(B31,"#N/C"), _xlpm.subord,IFERROR(C31,"#N/C"), _xlpm.infr,IFERROR(D31,"#N/C"), _xlpm.sf,IFERROR(E31,"#N/C"), _xlpm.fam,IFERROR(F31,"#N/C"), _xlpm.subfam,IF(TRIM(G31)="-","#N/C",IFERROR(G31,"#N/C")),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_xlpm.fallback,IF(IFERROR(B31,"#N/C")="#N/C",A31,IF(IFERROR(C31,"#N/C")="#N/C",B31,IF(IFERROR(D31,"#N/C")="#N/C",C31,IF(IFERROR(E31,"#N/C")="#N/C",D31,IF(IFERROR(F31,"#N/C")="#N/C",E31,IF(IFERROR(G31,"#N/C")="#N/C",F31,"#N/C")))))), _xlpm.finalResult,IF(OR(_xlpm.computedResult="",_xlpm.computedResult="#N/C"),_xlpm.fallback,_xlpm.computedResult), INDEX(_xlpm.finalResult,1))</f>
        <v>ant_beetle</v>
      </c>
      <c r="K31" s="47" t="str">
        <f t="shared" si="0"/>
        <v>Insecta.Coleoptera.Polyphaga.Cucujiformia.Tenebrionoidea.Anthicidae.Notoxinae.Notoxus.monoceros</v>
      </c>
      <c r="L31" s="46">
        <f>+COUNTIF([1]Monitoring!AN:AN,K31)</f>
        <v>0</v>
      </c>
    </row>
    <row r="32" spans="1:12" x14ac:dyDescent="0.3">
      <c r="A32" s="49" t="s">
        <v>37</v>
      </c>
      <c r="B32" s="49" t="s">
        <v>76</v>
      </c>
      <c r="C32" s="49" t="s">
        <v>77</v>
      </c>
      <c r="D32" s="49" t="str">
        <f>+IFERROR(IF(E32="#N/C","#N/C",INDEX([1]ClassificationClasses!D:D,MATCH(E32,[1]ClassificationClasses!E:E,0))),"ERROR")</f>
        <v>Cucujiformia</v>
      </c>
      <c r="E32" s="49" t="s">
        <v>143</v>
      </c>
      <c r="F32" s="49" t="s">
        <v>144</v>
      </c>
      <c r="G32" s="49" t="s">
        <v>145</v>
      </c>
      <c r="H32" s="51" t="s">
        <v>146</v>
      </c>
      <c r="I32" s="51" t="s">
        <v>35</v>
      </c>
      <c r="J32" s="69" t="str" cm="1">
        <f t="array" ref="J32">_xlfn.LET(_xlpm.cls,A32, _xlpm.ord,IFERROR(B32,"#N/C"), _xlpm.subord,IFERROR(C32,"#N/C"), _xlpm.infr,IFERROR(D32,"#N/C"), _xlpm.sf,IFERROR(E32,"#N/C"), _xlpm.fam,IFERROR(F32,"#N/C"), _xlpm.subfam,IF(TRIM(G32)="-","#N/C",IFERROR(G32,"#N/C")),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_xlpm.fallback,IF(IFERROR(B32,"#N/C")="#N/C",A32,IF(IFERROR(C32,"#N/C")="#N/C",B32,IF(IFERROR(D32,"#N/C")="#N/C",C32,IF(IFERROR(E32,"#N/C")="#N/C",D32,IF(IFERROR(F32,"#N/C")="#N/C",E32,IF(IFERROR(G32,"#N/C")="#N/C",F32,"#N/C")))))), _xlpm.finalResult,IF(OR(_xlpm.computedResult="",_xlpm.computedResult="#N/C"),_xlpm.fallback,_xlpm.computedResult), INDEX(_xlpm.finalResult,1))</f>
        <v>pollen_feeding_beetle</v>
      </c>
      <c r="K32" s="47" t="str">
        <f t="shared" si="0"/>
        <v>Insecta.Coleoptera.Polyphaga.Cucujiformia.Tenebrionoidea.Oedemeridae.Nacerdinae.Chrysanthia.#N/C</v>
      </c>
      <c r="L32" s="46">
        <f>+COUNTIF([1]Monitoring!AN:AN,K32)</f>
        <v>0</v>
      </c>
    </row>
    <row r="33" spans="1:12" x14ac:dyDescent="0.3">
      <c r="A33" s="49" t="s">
        <v>37</v>
      </c>
      <c r="B33" s="49" t="s">
        <v>205</v>
      </c>
      <c r="C33" s="49" t="s">
        <v>206</v>
      </c>
      <c r="D33" s="49"/>
      <c r="E33" s="49" t="s">
        <v>207</v>
      </c>
      <c r="F33" s="49" t="s">
        <v>208</v>
      </c>
      <c r="G33" s="49" t="s">
        <v>209</v>
      </c>
      <c r="H33" s="51" t="s">
        <v>35</v>
      </c>
      <c r="I33" s="51" t="s">
        <v>35</v>
      </c>
      <c r="J33" s="69" t="str" cm="1">
        <f t="array" ref="J33">_xlfn.LET(_xlpm.cls,A33, _xlpm.ord,IFERROR(B33,"#N/C"), _xlpm.subord,IFERROR(C33,"#N/C"), _xlpm.infr,IFERROR(D33,"#N/C"), _xlpm.sf,IFERROR(E33,"#N/C"), _xlpm.fam,IFERROR(F33,"#N/C"), _xlpm.subfam,IF(TRIM(G33)="-","#N/C",IFERROR(G33,"#N/C")),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_xlpm.fallback,IF(IFERROR(B33,"#N/C")="#N/C",A33,IF(IFERROR(C33,"#N/C")="#N/C",B33,IF(IFERROR(D33,"#N/C")="#N/C",C33,IF(IFERROR(E33,"#N/C")="#N/C",D33,IF(IFERROR(F33,"#N/C")="#N/C",E33,IF(IFERROR(G33,"#N/C")="#N/C",F33,"#N/C")))))), _xlpm.finalResult,IF(OR(_xlpm.computedResult="",_xlpm.computedResult="#N/C"),_xlpm.fallback,_xlpm.computedResult), INDEX(_xlpm.finalResult,1))</f>
        <v>earwig</v>
      </c>
      <c r="K33" s="47" t="str">
        <f t="shared" si="0"/>
        <v>Insecta.Dermaptera.Forficulina..Forficuloidea.Forficulidae.Forficulinae.#N/C.#N/C</v>
      </c>
      <c r="L33" s="46">
        <f>+COUNTIF([1]Monitoring!AN:AN,K33)</f>
        <v>0</v>
      </c>
    </row>
    <row r="34" spans="1:12" x14ac:dyDescent="0.3">
      <c r="A34" s="48" t="s">
        <v>37</v>
      </c>
      <c r="B34" s="48" t="s">
        <v>205</v>
      </c>
      <c r="C34" s="48" t="s">
        <v>206</v>
      </c>
      <c r="D34" s="49"/>
      <c r="E34" s="48" t="s">
        <v>207</v>
      </c>
      <c r="F34" s="48" t="s">
        <v>208</v>
      </c>
      <c r="G34" s="48" t="s">
        <v>209</v>
      </c>
      <c r="H34" s="50" t="s">
        <v>743</v>
      </c>
      <c r="I34" s="50" t="s">
        <v>35</v>
      </c>
      <c r="J34" s="69" t="str" cm="1">
        <f t="array" ref="J34">_xlfn.LET(_xlpm.cls,A34, _xlpm.ord,IFERROR(B34,"#N/C"), _xlpm.subord,IFERROR(C34,"#N/C"), _xlpm.infr,IFERROR(D34,"#N/C"), _xlpm.sf,IFERROR(E34,"#N/C"), _xlpm.fam,IFERROR(F34,"#N/C"), _xlpm.subfam,IF(TRIM(G34)="-","#N/C",IFERROR(G34,"#N/C")),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_xlpm.fallback,IF(IFERROR(B34,"#N/C")="#N/C",A34,IF(IFERROR(C34,"#N/C")="#N/C",B34,IF(IFERROR(D34,"#N/C")="#N/C",C34,IF(IFERROR(E34,"#N/C")="#N/C",D34,IF(IFERROR(F34,"#N/C")="#N/C",E34,IF(IFERROR(G34,"#N/C")="#N/C",F34,"#N/C")))))), _xlpm.finalResult,IF(OR(_xlpm.computedResult="",_xlpm.computedResult="#N/C"),_xlpm.fallback,_xlpm.computedResult), INDEX(_xlpm.finalResult,1))</f>
        <v>earwig</v>
      </c>
      <c r="K34" s="47" t="str">
        <f t="shared" si="0"/>
        <v>Insecta.Dermaptera.Forficulina..Forficuloidea.Forficulidae.Forficulinae.Forficula.#N/C</v>
      </c>
      <c r="L34" s="46">
        <f>+COUNTIF([1]Monitoring!AN:AN,K34)</f>
        <v>0</v>
      </c>
    </row>
    <row r="35" spans="1:12" x14ac:dyDescent="0.3">
      <c r="A35" s="49" t="s">
        <v>37</v>
      </c>
      <c r="B35" s="49" t="s">
        <v>38</v>
      </c>
      <c r="C35" s="49" t="s">
        <v>35</v>
      </c>
      <c r="D35" s="49" t="str">
        <f>+IFERROR(IF(E35="#N/C","#N/C",INDEX([1]ClassificationClasses!D:D,MATCH(E35,[1]ClassificationClasses!E:E,0))),"ERROR")</f>
        <v>#N/C</v>
      </c>
      <c r="E35" s="49" t="s">
        <v>35</v>
      </c>
      <c r="F35" s="49" t="s">
        <v>35</v>
      </c>
      <c r="G35" s="49" t="s">
        <v>35</v>
      </c>
      <c r="H35" s="51" t="s">
        <v>35</v>
      </c>
      <c r="I35" s="51" t="s">
        <v>35</v>
      </c>
      <c r="J35" s="69" t="str" cm="1">
        <f t="array" ref="J35">_xlfn.LET(_xlpm.cls,A35, _xlpm.ord,IFERROR(B35,"#N/C"), _xlpm.subord,IFERROR(C35,"#N/C"), _xlpm.infr,IFERROR(D35,"#N/C"), _xlpm.sf,IFERROR(E35,"#N/C"), _xlpm.fam,IFERROR(F35,"#N/C"), _xlpm.subfam,IF(TRIM(G35)="-","#N/C",IFERROR(G35,"#N/C")),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_xlpm.fallback,IF(IFERROR(B35,"#N/C")="#N/C",A35,IF(IFERROR(C35,"#N/C")="#N/C",B35,IF(IFERROR(D35,"#N/C")="#N/C",C35,IF(IFERROR(E35,"#N/C")="#N/C",D35,IF(IFERROR(F35,"#N/C")="#N/C",E35,IF(IFERROR(G35,"#N/C")="#N/C",F35,"#N/C")))))), _xlpm.finalResult,IF(OR(_xlpm.computedResult="",_xlpm.computedResult="#N/C"),_xlpm.fallback,_xlpm.computedResult), INDEX(_xlpm.finalResult,1))</f>
        <v>Diptera</v>
      </c>
      <c r="K35" s="47" t="str">
        <f t="shared" si="0"/>
        <v>Insecta.Diptera.#N/C.#N/C.#N/C.#N/C.#N/C.#N/C.#N/C</v>
      </c>
      <c r="L35" s="46">
        <f>+COUNTIF([1]Monitoring!AN:AN,K35)</f>
        <v>4</v>
      </c>
    </row>
    <row r="36" spans="1:12" x14ac:dyDescent="0.3">
      <c r="A36" s="48" t="s">
        <v>37</v>
      </c>
      <c r="B36" s="48" t="s">
        <v>38</v>
      </c>
      <c r="C36" s="48" t="s">
        <v>39</v>
      </c>
      <c r="D36" s="49" t="str">
        <f>+IFERROR(IF(E36="#N/C","#N/C",INDEX([1]ClassificationClasses!D:D,MATCH(E36,[1]ClassificationClasses!E:E,0))),"ERROR")</f>
        <v>#N/C</v>
      </c>
      <c r="E36" s="48" t="s">
        <v>35</v>
      </c>
      <c r="F36" s="48" t="s">
        <v>35</v>
      </c>
      <c r="G36" s="48" t="s">
        <v>35</v>
      </c>
      <c r="H36" s="50" t="s">
        <v>35</v>
      </c>
      <c r="I36" s="50" t="s">
        <v>35</v>
      </c>
      <c r="J36" s="69" t="str" cm="1">
        <f t="array" ref="J36">_xlfn.LET(_xlpm.cls,A36, _xlpm.ord,IFERROR(B36,"#N/C"), _xlpm.subord,IFERROR(C36,"#N/C"), _xlpm.infr,IFERROR(D36,"#N/C"), _xlpm.sf,IFERROR(E36,"#N/C"), _xlpm.fam,IFERROR(F36,"#N/C"), _xlpm.subfam,IF(TRIM(G36)="-","#N/C",IFERROR(G36,"#N/C")),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_xlpm.fallback,IF(IFERROR(B36,"#N/C")="#N/C",A36,IF(IFERROR(C36,"#N/C")="#N/C",B36,IF(IFERROR(D36,"#N/C")="#N/C",C36,IF(IFERROR(E36,"#N/C")="#N/C",D36,IF(IFERROR(F36,"#N/C")="#N/C",E36,IF(IFERROR(G36,"#N/C")="#N/C",F36,"#N/C")))))), _xlpm.finalResult,IF(OR(_xlpm.computedResult="",_xlpm.computedResult="#N/C"),_xlpm.fallback,_xlpm.computedResult), INDEX(_xlpm.finalResult,1))</f>
        <v>Brachycera</v>
      </c>
      <c r="K36" s="47" t="str">
        <f t="shared" si="0"/>
        <v>Insecta.Diptera.Brachycera.#N/C.#N/C.#N/C.#N/C.#N/C.#N/C</v>
      </c>
      <c r="L36" s="46">
        <f>+COUNTIF([1]Monitoring!AN:AN,K36)</f>
        <v>329</v>
      </c>
    </row>
    <row r="37" spans="1:12" x14ac:dyDescent="0.3">
      <c r="A37" s="49" t="s">
        <v>37</v>
      </c>
      <c r="B37" s="49" t="s">
        <v>38</v>
      </c>
      <c r="C37" s="49" t="s">
        <v>39</v>
      </c>
      <c r="D37" s="49" t="str">
        <f>+IFERROR(IF(E37="#N/C","#N/C",INDEX([1]ClassificationClasses!D:D,MATCH(E37,[1]ClassificationClasses!E:E,0))),"ERROR")</f>
        <v>Asilomorpha</v>
      </c>
      <c r="E37" s="49" t="s">
        <v>149</v>
      </c>
      <c r="F37" s="49" t="s">
        <v>150</v>
      </c>
      <c r="G37" s="49" t="s">
        <v>151</v>
      </c>
      <c r="H37" s="51" t="s">
        <v>35</v>
      </c>
      <c r="I37" s="51" t="s">
        <v>35</v>
      </c>
      <c r="J37" s="69" t="str" cm="1">
        <f t="array" ref="J37">_xlfn.LET(_xlpm.cls,A37, _xlpm.ord,IFERROR(B37,"#N/C"), _xlpm.subord,IFERROR(C37,"#N/C"), _xlpm.infr,IFERROR(D37,"#N/C"), _xlpm.sf,IFERROR(E37,"#N/C"), _xlpm.fam,IFERROR(F37,"#N/C"), _xlpm.subfam,IF(TRIM(G37)="-","#N/C",IFERROR(G37,"#N/C")),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_xlpm.fallback,IF(IFERROR(B37,"#N/C")="#N/C",A37,IF(IFERROR(C37,"#N/C")="#N/C",B37,IF(IFERROR(D37,"#N/C")="#N/C",C37,IF(IFERROR(E37,"#N/C")="#N/C",D37,IF(IFERROR(F37,"#N/C")="#N/C",E37,IF(IFERROR(G37,"#N/C")="#N/C",F37,"#N/C")))))), _xlpm.finalResult,IF(OR(_xlpm.computedResult="",_xlpm.computedResult="#N/C"),_xlpm.fallback,_xlpm.computedResult), INDEX(_xlpm.finalResult,1))</f>
        <v>robber_fly</v>
      </c>
      <c r="K37" s="47" t="str">
        <f t="shared" si="0"/>
        <v>Insecta.Diptera.Brachycera.Asilomorpha.Asiloidea.Asilidae.Asilinae.#N/C.#N/C</v>
      </c>
      <c r="L37" s="46">
        <f>+COUNTIF([1]Monitoring!AN:AN,K37)</f>
        <v>3</v>
      </c>
    </row>
    <row r="38" spans="1:12" x14ac:dyDescent="0.3">
      <c r="A38" s="49" t="s">
        <v>37</v>
      </c>
      <c r="B38" s="49" t="s">
        <v>38</v>
      </c>
      <c r="C38" s="49" t="s">
        <v>39</v>
      </c>
      <c r="D38" s="49" t="str">
        <f>+IFERROR(IF(E38="#N/C","#N/C",INDEX([1]ClassificationClasses!D:D,MATCH(E38,[1]ClassificationClasses!E:E,0))),"ERROR")</f>
        <v>Asilomorpha</v>
      </c>
      <c r="E38" s="49" t="s">
        <v>149</v>
      </c>
      <c r="F38" s="49" t="s">
        <v>150</v>
      </c>
      <c r="G38" s="49" t="s">
        <v>151</v>
      </c>
      <c r="H38" s="51" t="s">
        <v>34</v>
      </c>
      <c r="I38" s="51" t="s">
        <v>35</v>
      </c>
      <c r="J38" s="69" t="str" cm="1">
        <f t="array" ref="J38">_xlfn.LET(_xlpm.cls,A38, _xlpm.ord,IFERROR(B38,"#N/C"), _xlpm.subord,IFERROR(C38,"#N/C"), _xlpm.infr,IFERROR(D38,"#N/C"), _xlpm.sf,IFERROR(E38,"#N/C"), _xlpm.fam,IFERROR(F38,"#N/C"), _xlpm.subfam,IF(TRIM(G38)="-","#N/C",IFERROR(G38,"#N/C")),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_xlpm.fallback,IF(IFERROR(B38,"#N/C")="#N/C",A38,IF(IFERROR(C38,"#N/C")="#N/C",B38,IF(IFERROR(D38,"#N/C")="#N/C",C38,IF(IFERROR(E38,"#N/C")="#N/C",D38,IF(IFERROR(F38,"#N/C")="#N/C",E38,IF(IFERROR(G38,"#N/C")="#N/C",F38,"#N/C")))))), _xlpm.finalResult,IF(OR(_xlpm.computedResult="",_xlpm.computedResult="#N/C"),_xlpm.fallback,_xlpm.computedResult), INDEX(_xlpm.finalResult,1))</f>
        <v>robber_fly</v>
      </c>
      <c r="K38" s="47" t="str">
        <f t="shared" si="0"/>
        <v>Insecta.Diptera.Brachycera.Asilomorpha.Asiloidea.Asilidae.Asilinae.Tolmerus.#N/C</v>
      </c>
      <c r="L38" s="46">
        <f>+COUNTIF([1]Monitoring!AN:AN,K38)</f>
        <v>3</v>
      </c>
    </row>
    <row r="39" spans="1:12" x14ac:dyDescent="0.3">
      <c r="A39" s="48" t="s">
        <v>37</v>
      </c>
      <c r="B39" s="48" t="s">
        <v>38</v>
      </c>
      <c r="C39" s="48" t="s">
        <v>39</v>
      </c>
      <c r="D39" s="49" t="str">
        <f>+IFERROR(IF(E39="#N/C","#N/C",INDEX([1]ClassificationClasses!D:D,MATCH(E39,[1]ClassificationClasses!E:E,0))),"ERROR")</f>
        <v>Asilomorpha</v>
      </c>
      <c r="E39" s="48" t="s">
        <v>149</v>
      </c>
      <c r="F39" s="48" t="s">
        <v>150</v>
      </c>
      <c r="G39" s="48" t="s">
        <v>744</v>
      </c>
      <c r="H39" s="50" t="s">
        <v>35</v>
      </c>
      <c r="I39" s="50" t="s">
        <v>35</v>
      </c>
      <c r="J39" s="69" t="str" cm="1">
        <f t="array" ref="J39">_xlfn.LET(_xlpm.cls,A39, _xlpm.ord,IFERROR(B39,"#N/C"), _xlpm.subord,IFERROR(C39,"#N/C"), _xlpm.infr,IFERROR(D39,"#N/C"), _xlpm.sf,IFERROR(E39,"#N/C"), _xlpm.fam,IFERROR(F39,"#N/C"), _xlpm.subfam,IF(TRIM(G39)="-","#N/C",IFERROR(G39,"#N/C")),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_xlpm.fallback,IF(IFERROR(B39,"#N/C")="#N/C",A39,IF(IFERROR(C39,"#N/C")="#N/C",B39,IF(IFERROR(D39,"#N/C")="#N/C",C39,IF(IFERROR(E39,"#N/C")="#N/C",D39,IF(IFERROR(F39,"#N/C")="#N/C",E39,IF(IFERROR(G39,"#N/C")="#N/C",F39,"#N/C")))))), _xlpm.finalResult,IF(OR(_xlpm.computedResult="",_xlpm.computedResult="#N/C"),_xlpm.fallback,_xlpm.computedResult), INDEX(_xlpm.finalResult,1))</f>
        <v>robber_fly</v>
      </c>
      <c r="K39" s="47" t="str">
        <f t="shared" si="0"/>
        <v>Insecta.Diptera.Brachycera.Asilomorpha.Asiloidea.Asilidae.Laphriinae.#N/C.#N/C</v>
      </c>
      <c r="L39" s="46">
        <f>+COUNTIF([1]Monitoring!AN:AN,K39)</f>
        <v>1</v>
      </c>
    </row>
    <row r="40" spans="1:12" x14ac:dyDescent="0.3">
      <c r="A40" s="48" t="s">
        <v>37</v>
      </c>
      <c r="B40" s="48" t="s">
        <v>38</v>
      </c>
      <c r="C40" s="48" t="s">
        <v>39</v>
      </c>
      <c r="D40" s="49" t="str">
        <f>+IFERROR(IF(E40="#N/C","#N/C",INDEX([1]ClassificationClasses!D:D,MATCH(E40,[1]ClassificationClasses!E:E,0))),"ERROR")</f>
        <v>Muscomorpha</v>
      </c>
      <c r="E40" s="52" t="s">
        <v>745</v>
      </c>
      <c r="F40" s="48" t="s">
        <v>746</v>
      </c>
      <c r="G40" s="48" t="s">
        <v>747</v>
      </c>
      <c r="H40" s="50" t="s">
        <v>748</v>
      </c>
      <c r="I40" s="50" t="s">
        <v>35</v>
      </c>
      <c r="J40" s="69" t="str" cm="1">
        <f t="array" ref="J40">_xlfn.LET(_xlpm.cls,A40, _xlpm.ord,IFERROR(B40,"#N/C"), _xlpm.subord,IFERROR(C40,"#N/C"), _xlpm.infr,IFERROR(D40,"#N/C"), _xlpm.sf,IFERROR(E40,"#N/C"), _xlpm.fam,IFERROR(F40,"#N/C"), _xlpm.subfam,IF(TRIM(G40)="-","#N/C",IFERROR(G40,"#N/C")),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_xlpm.fallback,IF(IFERROR(B40,"#N/C")="#N/C",A40,IF(IFERROR(C40,"#N/C")="#N/C",B40,IF(IFERROR(D40,"#N/C")="#N/C",C40,IF(IFERROR(E40,"#N/C")="#N/C",D40,IF(IFERROR(F40,"#N/C")="#N/C",E40,IF(IFERROR(G40,"#N/C")="#N/C",F40,"#N/C")))))), _xlpm.finalResult,IF(OR(_xlpm.computedResult="",_xlpm.computedResult="#N/C"),_xlpm.fallback,_xlpm.computedResult), INDEX(_xlpm.finalResult,1))</f>
        <v>fly</v>
      </c>
      <c r="K40" s="47" t="str">
        <f t="shared" si="0"/>
        <v>Insecta.Diptera.Brachycera.Muscomorpha.Carnoidea.Chloropidae.Chloropinae.Thaumatomyia.#N/C</v>
      </c>
      <c r="L40" s="46">
        <f>+COUNTIF([1]Monitoring!AN:AN,K40)</f>
        <v>1</v>
      </c>
    </row>
    <row r="41" spans="1:12" x14ac:dyDescent="0.3">
      <c r="A41" s="49" t="s">
        <v>37</v>
      </c>
      <c r="B41" s="49" t="s">
        <v>38</v>
      </c>
      <c r="C41" s="49" t="s">
        <v>39</v>
      </c>
      <c r="D41" s="49" t="str">
        <f>+IFERROR(IF(E41="#N/C","#N/C",INDEX([1]ClassificationClasses!D:D,MATCH(E41,[1]ClassificationClasses!E:E,0))),"ERROR")</f>
        <v>Asilomorpha</v>
      </c>
      <c r="E41" s="49" t="s">
        <v>439</v>
      </c>
      <c r="F41" s="49" t="s">
        <v>440</v>
      </c>
      <c r="G41" s="49" t="s">
        <v>35</v>
      </c>
      <c r="H41" s="51" t="s">
        <v>35</v>
      </c>
      <c r="I41" s="51" t="s">
        <v>35</v>
      </c>
      <c r="J41" s="69" t="str" cm="1">
        <f t="array" ref="J41">_xlfn.LET(_xlpm.cls,A41, _xlpm.ord,IFERROR(B41,"#N/C"), _xlpm.subord,IFERROR(C41,"#N/C"), _xlpm.infr,IFERROR(D41,"#N/C"), _xlpm.sf,IFERROR(E41,"#N/C"), _xlpm.fam,IFERROR(F41,"#N/C"), _xlpm.subfam,IF(TRIM(G41)="-","#N/C",IFERROR(G41,"#N/C")),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_xlpm.fallback,IF(IFERROR(B41,"#N/C")="#N/C",A41,IF(IFERROR(C41,"#N/C")="#N/C",B41,IF(IFERROR(D41,"#N/C")="#N/C",C41,IF(IFERROR(E41,"#N/C")="#N/C",D41,IF(IFERROR(F41,"#N/C")="#N/C",E41,IF(IFERROR(G41,"#N/C")="#N/C",F41,"#N/C")))))), _xlpm.finalResult,IF(OR(_xlpm.computedResult="",_xlpm.computedResult="#N/C"),_xlpm.fallback,_xlpm.computedResult), INDEX(_xlpm.finalResult,1))</f>
        <v>dance_fly</v>
      </c>
      <c r="K41" s="47" t="str">
        <f t="shared" si="0"/>
        <v>Insecta.Diptera.Brachycera.Asilomorpha.Empidoidea.Dolichopodidae.#N/C.#N/C.#N/C</v>
      </c>
      <c r="L41" s="46">
        <f>+COUNTIF([1]Monitoring!AN:AN,K41)</f>
        <v>0</v>
      </c>
    </row>
    <row r="42" spans="1:12" x14ac:dyDescent="0.3">
      <c r="A42" s="49" t="s">
        <v>37</v>
      </c>
      <c r="B42" s="49" t="s">
        <v>38</v>
      </c>
      <c r="C42" s="49" t="s">
        <v>39</v>
      </c>
      <c r="D42" s="49" t="str">
        <f>+IFERROR(IF(E42="#N/C","#N/C",INDEX([1]ClassificationClasses!D:D,MATCH(E42,[1]ClassificationClasses!E:E,0))),"ERROR")</f>
        <v>Asilomorpha</v>
      </c>
      <c r="E42" s="49" t="s">
        <v>439</v>
      </c>
      <c r="F42" s="49" t="s">
        <v>440</v>
      </c>
      <c r="G42" s="49" t="s">
        <v>547</v>
      </c>
      <c r="H42" s="51" t="s">
        <v>548</v>
      </c>
      <c r="I42" s="51" t="s">
        <v>35</v>
      </c>
      <c r="J42" s="69" t="str" cm="1">
        <f t="array" ref="J42">_xlfn.LET(_xlpm.cls,A42, _xlpm.ord,IFERROR(B42,"#N/C"), _xlpm.subord,IFERROR(C42,"#N/C"), _xlpm.infr,IFERROR(D42,"#N/C"), _xlpm.sf,IFERROR(E42,"#N/C"), _xlpm.fam,IFERROR(F42,"#N/C"), _xlpm.subfam,IF(TRIM(G42)="-","#N/C",IFERROR(G42,"#N/C")),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_xlpm.fallback,IF(IFERROR(B42,"#N/C")="#N/C",A42,IF(IFERROR(C42,"#N/C")="#N/C",B42,IF(IFERROR(D42,"#N/C")="#N/C",C42,IF(IFERROR(E42,"#N/C")="#N/C",D42,IF(IFERROR(F42,"#N/C")="#N/C",E42,IF(IFERROR(G42,"#N/C")="#N/C",F42,"#N/C")))))), _xlpm.finalResult,IF(OR(_xlpm.computedResult="",_xlpm.computedResult="#N/C"),_xlpm.fallback,_xlpm.computedResult), INDEX(_xlpm.finalResult,1))</f>
        <v>dance_fly</v>
      </c>
      <c r="K42" s="47" t="str">
        <f t="shared" si="0"/>
        <v>Insecta.Diptera.Brachycera.Asilomorpha.Empidoidea.Dolichopodidae.Medeterinae.Medetera.#N/C</v>
      </c>
      <c r="L42" s="46">
        <f>+COUNTIF([1]Monitoring!AN:AN,K42)</f>
        <v>0</v>
      </c>
    </row>
    <row r="43" spans="1:12" x14ac:dyDescent="0.3">
      <c r="A43" s="48" t="s">
        <v>37</v>
      </c>
      <c r="B43" s="48" t="s">
        <v>38</v>
      </c>
      <c r="C43" s="48" t="s">
        <v>39</v>
      </c>
      <c r="D43" s="49" t="str">
        <f>+IFERROR(IF(E43="#N/C","#N/C",INDEX([1]ClassificationClasses!D:D,MATCH(E43,[1]ClassificationClasses!E:E,0))),"ERROR")</f>
        <v>Asilomorpha</v>
      </c>
      <c r="E43" s="48" t="s">
        <v>439</v>
      </c>
      <c r="F43" s="48" t="s">
        <v>749</v>
      </c>
      <c r="G43" s="48" t="s">
        <v>750</v>
      </c>
      <c r="H43" s="50" t="s">
        <v>751</v>
      </c>
      <c r="I43" s="50" t="s">
        <v>35</v>
      </c>
      <c r="J43" s="69" t="str" cm="1">
        <f t="array" ref="J43">_xlfn.LET(_xlpm.cls,A43, _xlpm.ord,IFERROR(B43,"#N/C"), _xlpm.subord,IFERROR(C43,"#N/C"), _xlpm.infr,IFERROR(D43,"#N/C"), _xlpm.sf,IFERROR(E43,"#N/C"), _xlpm.fam,IFERROR(F43,"#N/C"), _xlpm.subfam,IF(TRIM(G43)="-","#N/C",IFERROR(G43,"#N/C")),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_xlpm.fallback,IF(IFERROR(B43,"#N/C")="#N/C",A43,IF(IFERROR(C43,"#N/C")="#N/C",B43,IF(IFERROR(D43,"#N/C")="#N/C",C43,IF(IFERROR(E43,"#N/C")="#N/C",D43,IF(IFERROR(F43,"#N/C")="#N/C",E43,IF(IFERROR(G43,"#N/C")="#N/C",F43,"#N/C")))))), _xlpm.finalResult,IF(OR(_xlpm.computedResult="",_xlpm.computedResult="#N/C"),_xlpm.fallback,_xlpm.computedResult), INDEX(_xlpm.finalResult,1))</f>
        <v>dance_fly</v>
      </c>
      <c r="K43" s="47" t="str">
        <f t="shared" si="0"/>
        <v>Insecta.Diptera.Brachycera.Asilomorpha.Empidoidea.Hybotidae.Tachydromiinae.Tachydromia.#N/C</v>
      </c>
      <c r="L43" s="46">
        <f>+COUNTIF([1]Monitoring!AN:AN,K43)</f>
        <v>1</v>
      </c>
    </row>
    <row r="44" spans="1:12" x14ac:dyDescent="0.3">
      <c r="A44" s="49" t="s">
        <v>37</v>
      </c>
      <c r="B44" s="49" t="s">
        <v>38</v>
      </c>
      <c r="C44" s="49" t="s">
        <v>39</v>
      </c>
      <c r="D44" s="49" t="str">
        <f>+IFERROR(IF(E44="#N/C","#N/C",INDEX([1]ClassificationClasses!D:D,MATCH(E44,[1]ClassificationClasses!E:E,0))),"ERROR")</f>
        <v>Muscomorpha</v>
      </c>
      <c r="E44" s="49" t="s">
        <v>63</v>
      </c>
      <c r="F44" s="49" t="s">
        <v>64</v>
      </c>
      <c r="G44" s="49" t="s">
        <v>65</v>
      </c>
      <c r="H44" s="51" t="s">
        <v>35</v>
      </c>
      <c r="I44" s="51" t="s">
        <v>35</v>
      </c>
      <c r="J44" s="69" t="str" cm="1">
        <f t="array" ref="J44">_xlfn.LET(_xlpm.cls,A44, _xlpm.ord,IFERROR(B44,"#N/C"), _xlpm.subord,IFERROR(C44,"#N/C"), _xlpm.infr,IFERROR(D44,"#N/C"), _xlpm.sf,IFERROR(E44,"#N/C"), _xlpm.fam,IFERROR(F44,"#N/C"), _xlpm.subfam,IF(TRIM(G44)="-","#N/C",IFERROR(G44,"#N/C")),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_xlpm.fallback,IF(IFERROR(B44,"#N/C")="#N/C",A44,IF(IFERROR(C44,"#N/C")="#N/C",B44,IF(IFERROR(D44,"#N/C")="#N/C",C44,IF(IFERROR(E44,"#N/C")="#N/C",D44,IF(IFERROR(F44,"#N/C")="#N/C",E44,IF(IFERROR(G44,"#N/C")="#N/C",F44,"#N/C")))))), _xlpm.finalResult,IF(OR(_xlpm.computedResult="",_xlpm.computedResult="#N/C"),_xlpm.fallback,_xlpm.computedResult), INDEX(_xlpm.finalResult,1))</f>
        <v>fruit_fly</v>
      </c>
      <c r="K44" s="47" t="str">
        <f t="shared" si="0"/>
        <v>Insecta.Diptera.Brachycera.Muscomorpha.Ephydroidea.Drosophilidae.Drosophilinae.#N/C.#N/C</v>
      </c>
      <c r="L44" s="46">
        <f>+COUNTIF([1]Monitoring!AN:AN,K44)</f>
        <v>2</v>
      </c>
    </row>
    <row r="45" spans="1:12" x14ac:dyDescent="0.3">
      <c r="A45" s="48" t="s">
        <v>37</v>
      </c>
      <c r="B45" s="48" t="s">
        <v>38</v>
      </c>
      <c r="C45" s="48" t="s">
        <v>39</v>
      </c>
      <c r="D45" s="49" t="str">
        <f>+IFERROR(IF(E45="#N/C","#N/C",INDEX([1]ClassificationClasses!D:D,MATCH(E45,[1]ClassificationClasses!E:E,0))),"ERROR")</f>
        <v>Muscomorpha</v>
      </c>
      <c r="E45" s="48" t="s">
        <v>63</v>
      </c>
      <c r="F45" s="48" t="s">
        <v>64</v>
      </c>
      <c r="G45" s="48" t="s">
        <v>65</v>
      </c>
      <c r="H45" s="50" t="s">
        <v>626</v>
      </c>
      <c r="I45" s="50" t="s">
        <v>35</v>
      </c>
      <c r="J45" s="69" t="str" cm="1">
        <f t="array" ref="J45">_xlfn.LET(_xlpm.cls,A45, _xlpm.ord,IFERROR(B45,"#N/C"), _xlpm.subord,IFERROR(C45,"#N/C"), _xlpm.infr,IFERROR(D45,"#N/C"), _xlpm.sf,IFERROR(E45,"#N/C"), _xlpm.fam,IFERROR(F45,"#N/C"), _xlpm.subfam,IF(TRIM(G45)="-","#N/C",IFERROR(G45,"#N/C")),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_xlpm.fallback,IF(IFERROR(B45,"#N/C")="#N/C",A45,IF(IFERROR(C45,"#N/C")="#N/C",B45,IF(IFERROR(D45,"#N/C")="#N/C",C45,IF(IFERROR(E45,"#N/C")="#N/C",D45,IF(IFERROR(F45,"#N/C")="#N/C",E45,IF(IFERROR(G45,"#N/C")="#N/C",F45,"#N/C")))))), _xlpm.finalResult,IF(OR(_xlpm.computedResult="",_xlpm.computedResult="#N/C"),_xlpm.fallback,_xlpm.computedResult), INDEX(_xlpm.finalResult,1))</f>
        <v>fruit_fly</v>
      </c>
      <c r="K45" s="47" t="str">
        <f t="shared" si="0"/>
        <v>Insecta.Diptera.Brachycera.Muscomorpha.Ephydroidea.Drosophilidae.Drosophilinae.Chymomyza.#N/C</v>
      </c>
      <c r="L45" s="46">
        <f>+COUNTIF([1]Monitoring!AN:AN,K45)</f>
        <v>0</v>
      </c>
    </row>
    <row r="46" spans="1:12" x14ac:dyDescent="0.3">
      <c r="A46" s="48" t="s">
        <v>37</v>
      </c>
      <c r="B46" s="48" t="s">
        <v>38</v>
      </c>
      <c r="C46" s="48" t="s">
        <v>39</v>
      </c>
      <c r="D46" s="49" t="str">
        <f>+IFERROR(IF(E46="#N/C","#N/C",INDEX([1]ClassificationClasses!D:D,MATCH(E46,[1]ClassificationClasses!E:E,0))),"ERROR")</f>
        <v>Muscomorpha</v>
      </c>
      <c r="E46" s="48" t="s">
        <v>63</v>
      </c>
      <c r="F46" s="48" t="s">
        <v>64</v>
      </c>
      <c r="G46" s="48" t="s">
        <v>65</v>
      </c>
      <c r="H46" s="50" t="s">
        <v>626</v>
      </c>
      <c r="I46" s="50" t="s">
        <v>627</v>
      </c>
      <c r="J46" s="69" t="str" cm="1">
        <f t="array" ref="J46">_xlfn.LET(_xlpm.cls,A46, _xlpm.ord,IFERROR(B46,"#N/C"), _xlpm.subord,IFERROR(C46,"#N/C"), _xlpm.infr,IFERROR(D46,"#N/C"), _xlpm.sf,IFERROR(E46,"#N/C"), _xlpm.fam,IFERROR(F46,"#N/C"), _xlpm.subfam,IF(TRIM(G46)="-","#N/C",IFERROR(G46,"#N/C")),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_xlpm.fallback,IF(IFERROR(B46,"#N/C")="#N/C",A46,IF(IFERROR(C46,"#N/C")="#N/C",B46,IF(IFERROR(D46,"#N/C")="#N/C",C46,IF(IFERROR(E46,"#N/C")="#N/C",D46,IF(IFERROR(F46,"#N/C")="#N/C",E46,IF(IFERROR(G46,"#N/C")="#N/C",F46,"#N/C")))))), _xlpm.finalResult,IF(OR(_xlpm.computedResult="",_xlpm.computedResult="#N/C"),_xlpm.fallback,_xlpm.computedResult), INDEX(_xlpm.finalResult,1))</f>
        <v>fruit_fly</v>
      </c>
      <c r="K46" s="47" t="str">
        <f t="shared" si="0"/>
        <v>Insecta.Diptera.Brachycera.Muscomorpha.Ephydroidea.Drosophilidae.Drosophilinae.Chymomyza.amoena</v>
      </c>
      <c r="L46" s="46">
        <f>+COUNTIF([1]Monitoring!AN:AN,K46)</f>
        <v>0</v>
      </c>
    </row>
    <row r="47" spans="1:12" x14ac:dyDescent="0.3">
      <c r="A47" s="49" t="s">
        <v>37</v>
      </c>
      <c r="B47" s="49" t="s">
        <v>38</v>
      </c>
      <c r="C47" s="49" t="s">
        <v>39</v>
      </c>
      <c r="D47" s="49" t="str">
        <f>+IFERROR(IF(E47="#N/C","#N/C",INDEX([1]ClassificationClasses!D:D,MATCH(E47,[1]ClassificationClasses!E:E,0))),"ERROR")</f>
        <v>Muscomorpha</v>
      </c>
      <c r="E47" s="49" t="s">
        <v>63</v>
      </c>
      <c r="F47" s="49" t="s">
        <v>64</v>
      </c>
      <c r="G47" s="49" t="s">
        <v>65</v>
      </c>
      <c r="H47" s="51" t="s">
        <v>263</v>
      </c>
      <c r="I47" s="51" t="s">
        <v>35</v>
      </c>
      <c r="J47" s="69" t="str" cm="1">
        <f t="array" ref="J47">_xlfn.LET(_xlpm.cls,A47, _xlpm.ord,IFERROR(B47,"#N/C"), _xlpm.subord,IFERROR(C47,"#N/C"), _xlpm.infr,IFERROR(D47,"#N/C"), _xlpm.sf,IFERROR(E47,"#N/C"), _xlpm.fam,IFERROR(F47,"#N/C"), _xlpm.subfam,IF(TRIM(G47)="-","#N/C",IFERROR(G47,"#N/C")),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_xlpm.fallback,IF(IFERROR(B47,"#N/C")="#N/C",A47,IF(IFERROR(C47,"#N/C")="#N/C",B47,IF(IFERROR(D47,"#N/C")="#N/C",C47,IF(IFERROR(E47,"#N/C")="#N/C",D47,IF(IFERROR(F47,"#N/C")="#N/C",E47,IF(IFERROR(G47,"#N/C")="#N/C",F47,"#N/C")))))), _xlpm.finalResult,IF(OR(_xlpm.computedResult="",_xlpm.computedResult="#N/C"),_xlpm.fallback,_xlpm.computedResult), INDEX(_xlpm.finalResult,1))</f>
        <v>fruit_fly</v>
      </c>
      <c r="K47" s="47" t="str">
        <f t="shared" si="0"/>
        <v>Insecta.Diptera.Brachycera.Muscomorpha.Ephydroidea.Drosophilidae.Drosophilinae.Drosophila.#N/C</v>
      </c>
      <c r="L47" s="46">
        <f>+COUNTIF([1]Monitoring!AN:AN,K47)</f>
        <v>8</v>
      </c>
    </row>
    <row r="48" spans="1:12" x14ac:dyDescent="0.3">
      <c r="A48" s="49" t="s">
        <v>37</v>
      </c>
      <c r="B48" s="49" t="s">
        <v>38</v>
      </c>
      <c r="C48" s="49" t="s">
        <v>39</v>
      </c>
      <c r="D48" s="49" t="str">
        <f>+IFERROR(IF(E48="#N/C","#N/C",INDEX([1]ClassificationClasses!D:D,MATCH(E48,[1]ClassificationClasses!E:E,0))),"ERROR")</f>
        <v>Muscomorpha</v>
      </c>
      <c r="E48" s="49" t="s">
        <v>63</v>
      </c>
      <c r="F48" s="49" t="s">
        <v>64</v>
      </c>
      <c r="G48" s="49" t="s">
        <v>65</v>
      </c>
      <c r="H48" s="51" t="s">
        <v>66</v>
      </c>
      <c r="I48" s="51" t="s">
        <v>35</v>
      </c>
      <c r="J48" s="69" t="str" cm="1">
        <f t="array" ref="J48">_xlfn.LET(_xlpm.cls,A48, _xlpm.ord,IFERROR(B48,"#N/C"), _xlpm.subord,IFERROR(C48,"#N/C"), _xlpm.infr,IFERROR(D48,"#N/C"), _xlpm.sf,IFERROR(E48,"#N/C"), _xlpm.fam,IFERROR(F48,"#N/C"), _xlpm.subfam,IF(TRIM(G48)="-","#N/C",IFERROR(G48,"#N/C")),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_xlpm.fallback,IF(IFERROR(B48,"#N/C")="#N/C",A48,IF(IFERROR(C48,"#N/C")="#N/C",B48,IF(IFERROR(D48,"#N/C")="#N/C",C48,IF(IFERROR(E48,"#N/C")="#N/C",D48,IF(IFERROR(F48,"#N/C")="#N/C",E48,IF(IFERROR(G48,"#N/C")="#N/C",F48,"#N/C")))))), _xlpm.finalResult,IF(OR(_xlpm.computedResult="",_xlpm.computedResult="#N/C"),_xlpm.fallback,_xlpm.computedResult), INDEX(_xlpm.finalResult,1))</f>
        <v>fruit_fly</v>
      </c>
      <c r="K48" s="47" t="str">
        <f t="shared" si="0"/>
        <v>Insecta.Diptera.Brachycera.Muscomorpha.Ephydroidea.Drosophilidae.Drosophilinae.Scaptomyza.#N/C</v>
      </c>
      <c r="L48" s="46">
        <f>+COUNTIF([1]Monitoring!AN:AN,K48)</f>
        <v>0</v>
      </c>
    </row>
    <row r="49" spans="1:12" x14ac:dyDescent="0.3">
      <c r="A49" s="48" t="s">
        <v>37</v>
      </c>
      <c r="B49" s="48" t="s">
        <v>38</v>
      </c>
      <c r="C49" s="48" t="s">
        <v>39</v>
      </c>
      <c r="D49" s="49" t="str">
        <f>+IFERROR(IF(E49="#N/C","#N/C",INDEX([1]ClassificationClasses!D:D,MATCH(E49,[1]ClassificationClasses!E:E,0))),"ERROR")</f>
        <v>Muscomorpha</v>
      </c>
      <c r="E49" s="48" t="s">
        <v>63</v>
      </c>
      <c r="F49" s="48" t="s">
        <v>752</v>
      </c>
      <c r="G49" s="48" t="s">
        <v>753</v>
      </c>
      <c r="H49" s="50" t="s">
        <v>754</v>
      </c>
      <c r="I49" s="50" t="s">
        <v>35</v>
      </c>
      <c r="J49" s="69" t="str" cm="1">
        <f t="array" ref="J49">_xlfn.LET(_xlpm.cls,A49, _xlpm.ord,IFERROR(B49,"#N/C"), _xlpm.subord,IFERROR(C49,"#N/C"), _xlpm.infr,IFERROR(D49,"#N/C"), _xlpm.sf,IFERROR(E49,"#N/C"), _xlpm.fam,IFERROR(F49,"#N/C"), _xlpm.subfam,IF(TRIM(G49)="-","#N/C",IFERROR(G49,"#N/C")),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_xlpm.fallback,IF(IFERROR(B49,"#N/C")="#N/C",A49,IF(IFERROR(C49,"#N/C")="#N/C",B49,IF(IFERROR(D49,"#N/C")="#N/C",C49,IF(IFERROR(E49,"#N/C")="#N/C",D49,IF(IFERROR(F49,"#N/C")="#N/C",E49,IF(IFERROR(G49,"#N/C")="#N/C",F49,"#N/C")))))), _xlpm.finalResult,IF(OR(_xlpm.computedResult="",_xlpm.computedResult="#N/C"),_xlpm.fallback,_xlpm.computedResult), INDEX(_xlpm.finalResult,1))</f>
        <v>fruit_fly</v>
      </c>
      <c r="K49" s="47" t="str">
        <f t="shared" si="0"/>
        <v>Insecta.Diptera.Brachycera.Muscomorpha.Ephydroidea.Ephydroidae.Hydrelliinae.Notiphila.#N/C</v>
      </c>
      <c r="L49" s="46">
        <f>+COUNTIF([1]Monitoring!AN:AN,K49)</f>
        <v>1</v>
      </c>
    </row>
    <row r="50" spans="1:12" x14ac:dyDescent="0.3">
      <c r="A50" s="48" t="s">
        <v>37</v>
      </c>
      <c r="B50" s="48" t="s">
        <v>38</v>
      </c>
      <c r="C50" s="48" t="s">
        <v>39</v>
      </c>
      <c r="D50" s="49" t="str">
        <f>+IFERROR(IF(E50="#N/C","#N/C",INDEX([1]ClassificationClasses!D:D,MATCH(E50,[1]ClassificationClasses!E:E,0))),"ERROR")</f>
        <v>Muscomorpha</v>
      </c>
      <c r="E50" s="52" t="s">
        <v>330</v>
      </c>
      <c r="F50" s="48" t="s">
        <v>331</v>
      </c>
      <c r="G50" s="48" t="s">
        <v>332</v>
      </c>
      <c r="H50" s="50" t="s">
        <v>35</v>
      </c>
      <c r="I50" s="50" t="s">
        <v>35</v>
      </c>
      <c r="J50" s="69" t="str" cm="1">
        <f t="array" ref="J50">_xlfn.LET(_xlpm.cls,A50, _xlpm.ord,IFERROR(B50,"#N/C"), _xlpm.subord,IFERROR(C50,"#N/C"), _xlpm.infr,IFERROR(D50,"#N/C"), _xlpm.sf,IFERROR(E50,"#N/C"), _xlpm.fam,IFERROR(F50,"#N/C"), _xlpm.subfam,IF(TRIM(G50)="-","#N/C",IFERROR(G50,"#N/C")),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_xlpm.fallback,IF(IFERROR(B50,"#N/C")="#N/C",A50,IF(IFERROR(C50,"#N/C")="#N/C",B50,IF(IFERROR(D50,"#N/C")="#N/C",C50,IF(IFERROR(E50,"#N/C")="#N/C",D50,IF(IFERROR(F50,"#N/C")="#N/C",E50,IF(IFERROR(G50,"#N/C")="#N/C",F50,"#N/C")))))), _xlpm.finalResult,IF(OR(_xlpm.computedResult="",_xlpm.computedResult="#N/C"),_xlpm.fallback,_xlpm.computedResult), INDEX(_xlpm.finalResult,1))</f>
        <v>fruit_fly</v>
      </c>
      <c r="K50" s="47" t="str">
        <f t="shared" si="0"/>
        <v>Insecta.Diptera.Brachycera.Muscomorpha.Lauxanioidea.Lauxaniidae.Lauxaniinae.#N/C.#N/C</v>
      </c>
      <c r="L50" s="46">
        <f>+COUNTIF([1]Monitoring!AN:AN,K50)</f>
        <v>2</v>
      </c>
    </row>
    <row r="51" spans="1:12" x14ac:dyDescent="0.3">
      <c r="A51" s="49" t="s">
        <v>37</v>
      </c>
      <c r="B51" s="49" t="s">
        <v>38</v>
      </c>
      <c r="C51" s="49" t="s">
        <v>39</v>
      </c>
      <c r="D51" s="49" t="str">
        <f>+IFERROR(IF(E51="#N/C","#N/C",INDEX([1]ClassificationClasses!D:D,MATCH(E51,[1]ClassificationClasses!E:E,0))),"ERROR")</f>
        <v>Muscomorpha</v>
      </c>
      <c r="E51" s="53" t="s">
        <v>330</v>
      </c>
      <c r="F51" s="49" t="s">
        <v>331</v>
      </c>
      <c r="G51" s="49" t="s">
        <v>332</v>
      </c>
      <c r="H51" s="51" t="s">
        <v>755</v>
      </c>
      <c r="I51" s="51" t="s">
        <v>35</v>
      </c>
      <c r="J51" s="69" t="str" cm="1">
        <f t="array" ref="J51">_xlfn.LET(_xlpm.cls,A51, _xlpm.ord,IFERROR(B51,"#N/C"), _xlpm.subord,IFERROR(C51,"#N/C"), _xlpm.infr,IFERROR(D51,"#N/C"), _xlpm.sf,IFERROR(E51,"#N/C"), _xlpm.fam,IFERROR(F51,"#N/C"), _xlpm.subfam,IF(TRIM(G51)="-","#N/C",IFERROR(G51,"#N/C")),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_xlpm.fallback,IF(IFERROR(B51,"#N/C")="#N/C",A51,IF(IFERROR(C51,"#N/C")="#N/C",B51,IF(IFERROR(D51,"#N/C")="#N/C",C51,IF(IFERROR(E51,"#N/C")="#N/C",D51,IF(IFERROR(F51,"#N/C")="#N/C",E51,IF(IFERROR(G51,"#N/C")="#N/C",F51,"#N/C")))))), _xlpm.finalResult,IF(OR(_xlpm.computedResult="",_xlpm.computedResult="#N/C"),_xlpm.fallback,_xlpm.computedResult), INDEX(_xlpm.finalResult,1))</f>
        <v>fruit_fly</v>
      </c>
      <c r="K51" s="47" t="str">
        <f t="shared" si="0"/>
        <v>Insecta.Diptera.Brachycera.Muscomorpha.Lauxanioidea.Lauxaniidae.Lauxaniinae.Calliopum.#N/C</v>
      </c>
      <c r="L51" s="46">
        <f>+COUNTIF([1]Monitoring!AN:AN,K51)</f>
        <v>8</v>
      </c>
    </row>
    <row r="52" spans="1:12" x14ac:dyDescent="0.3">
      <c r="A52" s="49" t="s">
        <v>37</v>
      </c>
      <c r="B52" s="49" t="s">
        <v>38</v>
      </c>
      <c r="C52" s="49" t="s">
        <v>39</v>
      </c>
      <c r="D52" s="49" t="str">
        <f>+IFERROR(IF(E52="#N/C","#N/C",INDEX([1]ClassificationClasses!D:D,MATCH(E52,[1]ClassificationClasses!E:E,0))),"ERROR")</f>
        <v>Muscomorpha</v>
      </c>
      <c r="E52" s="53" t="s">
        <v>330</v>
      </c>
      <c r="F52" s="49" t="s">
        <v>331</v>
      </c>
      <c r="G52" s="49" t="s">
        <v>332</v>
      </c>
      <c r="H52" s="51" t="s">
        <v>333</v>
      </c>
      <c r="I52" s="51" t="s">
        <v>35</v>
      </c>
      <c r="J52" s="69" t="str" cm="1">
        <f t="array" ref="J52">_xlfn.LET(_xlpm.cls,A52, _xlpm.ord,IFERROR(B52,"#N/C"), _xlpm.subord,IFERROR(C52,"#N/C"), _xlpm.infr,IFERROR(D52,"#N/C"), _xlpm.sf,IFERROR(E52,"#N/C"), _xlpm.fam,IFERROR(F52,"#N/C"), _xlpm.subfam,IF(TRIM(G52)="-","#N/C",IFERROR(G52,"#N/C")),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_xlpm.fallback,IF(IFERROR(B52,"#N/C")="#N/C",A52,IF(IFERROR(C52,"#N/C")="#N/C",B52,IF(IFERROR(D52,"#N/C")="#N/C",C52,IF(IFERROR(E52,"#N/C")="#N/C",D52,IF(IFERROR(F52,"#N/C")="#N/C",E52,IF(IFERROR(G52,"#N/C")="#N/C",F52,"#N/C")))))), _xlpm.finalResult,IF(OR(_xlpm.computedResult="",_xlpm.computedResult="#N/C"),_xlpm.fallback,_xlpm.computedResult), INDEX(_xlpm.finalResult,1))</f>
        <v>fruit_fly</v>
      </c>
      <c r="K52" s="47" t="str">
        <f t="shared" si="0"/>
        <v>Insecta.Diptera.Brachycera.Muscomorpha.Lauxanioidea.Lauxaniidae.Lauxaniinae.Sapromyza.#N/C</v>
      </c>
      <c r="L52" s="46">
        <f>+COUNTIF([1]Monitoring!AN:AN,K52)</f>
        <v>0</v>
      </c>
    </row>
    <row r="53" spans="1:12" x14ac:dyDescent="0.3">
      <c r="A53" s="49" t="s">
        <v>37</v>
      </c>
      <c r="B53" s="49" t="s">
        <v>38</v>
      </c>
      <c r="C53" s="49" t="s">
        <v>39</v>
      </c>
      <c r="D53" s="49" t="str">
        <f>+IFERROR(IF(E53="#N/C","#N/C",INDEX([1]ClassificationClasses!D:D,MATCH(E53,[1]ClassificationClasses!E:E,0))),"ERROR")</f>
        <v>Muscomorpha</v>
      </c>
      <c r="E53" s="49" t="s">
        <v>175</v>
      </c>
      <c r="F53" s="49" t="s">
        <v>35</v>
      </c>
      <c r="G53" s="49" t="s">
        <v>35</v>
      </c>
      <c r="H53" s="51" t="s">
        <v>35</v>
      </c>
      <c r="I53" s="51" t="s">
        <v>35</v>
      </c>
      <c r="J53" s="69" t="str" cm="1">
        <f t="array" ref="J53">_xlfn.LET(_xlpm.cls,A53, _xlpm.ord,IFERROR(B53,"#N/C"), _xlpm.subord,IFERROR(C53,"#N/C"), _xlpm.infr,IFERROR(D53,"#N/C"), _xlpm.sf,IFERROR(E53,"#N/C"), _xlpm.fam,IFERROR(F53,"#N/C"), _xlpm.subfam,IF(TRIM(G53)="-","#N/C",IFERROR(G53,"#N/C")),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_xlpm.fallback,IF(IFERROR(B53,"#N/C")="#N/C",A53,IF(IFERROR(C53,"#N/C")="#N/C",B53,IF(IFERROR(D53,"#N/C")="#N/C",C53,IF(IFERROR(E53,"#N/C")="#N/C",D53,IF(IFERROR(F53,"#N/C")="#N/C",E53,IF(IFERROR(G53,"#N/C")="#N/C",F53,"#N/C")))))), _xlpm.finalResult,IF(OR(_xlpm.computedResult="",_xlpm.computedResult="#N/C"),_xlpm.fallback,_xlpm.computedResult), INDEX(_xlpm.finalResult,1))</f>
        <v>Muscoidea</v>
      </c>
      <c r="K53" s="47" t="str">
        <f t="shared" si="0"/>
        <v>Insecta.Diptera.Brachycera.Muscomorpha.Muscoidea.#N/C.#N/C.#N/C.#N/C</v>
      </c>
      <c r="L53" s="46">
        <f>+COUNTIF([1]Monitoring!AN:AN,K53)</f>
        <v>192</v>
      </c>
    </row>
    <row r="54" spans="1:12" x14ac:dyDescent="0.3">
      <c r="A54" s="49" t="s">
        <v>37</v>
      </c>
      <c r="B54" s="49" t="s">
        <v>38</v>
      </c>
      <c r="C54" s="49" t="s">
        <v>39</v>
      </c>
      <c r="D54" s="49" t="str">
        <f>+IFERROR(IF(E54="#N/C","#N/C",INDEX([1]ClassificationClasses!D:D,MATCH(E54,[1]ClassificationClasses!E:E,0))),"ERROR")</f>
        <v>Muscomorpha</v>
      </c>
      <c r="E54" s="49" t="s">
        <v>175</v>
      </c>
      <c r="F54" s="49" t="s">
        <v>612</v>
      </c>
      <c r="G54" s="49" t="s">
        <v>613</v>
      </c>
      <c r="H54" s="51" t="s">
        <v>756</v>
      </c>
      <c r="I54" s="51" t="s">
        <v>35</v>
      </c>
      <c r="J54" s="69" t="str" cm="1">
        <f t="array" ref="J54">_xlfn.LET(_xlpm.cls,A54, _xlpm.ord,IFERROR(B54,"#N/C"), _xlpm.subord,IFERROR(C54,"#N/C"), _xlpm.infr,IFERROR(D54,"#N/C"), _xlpm.sf,IFERROR(E54,"#N/C"), _xlpm.fam,IFERROR(F54,"#N/C"), _xlpm.subfam,IF(TRIM(G54)="-","#N/C",IFERROR(G54,"#N/C")),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_xlpm.fallback,IF(IFERROR(B54,"#N/C")="#N/C",A54,IF(IFERROR(C54,"#N/C")="#N/C",B54,IF(IFERROR(D54,"#N/C")="#N/C",C54,IF(IFERROR(E54,"#N/C")="#N/C",D54,IF(IFERROR(F54,"#N/C")="#N/C",E54,IF(IFERROR(G54,"#N/C")="#N/C",F54,"#N/C")))))), _xlpm.finalResult,IF(OR(_xlpm.computedResult="",_xlpm.computedResult="#N/C"),_xlpm.fallback,_xlpm.computedResult), INDEX(_xlpm.finalResult,1))</f>
        <v>fly</v>
      </c>
      <c r="K54" s="47" t="str">
        <f t="shared" si="0"/>
        <v>Insecta.Diptera.Brachycera.Muscomorpha.Muscoidea.Anthomyiidae.Anthomyiinae.Anthomyia.#N/C</v>
      </c>
      <c r="L54" s="46">
        <f>+COUNTIF([1]Monitoring!AN:AN,K54)</f>
        <v>2</v>
      </c>
    </row>
    <row r="55" spans="1:12" x14ac:dyDescent="0.3">
      <c r="A55" s="49" t="s">
        <v>37</v>
      </c>
      <c r="B55" s="49" t="s">
        <v>38</v>
      </c>
      <c r="C55" s="49" t="s">
        <v>39</v>
      </c>
      <c r="D55" s="49" t="str">
        <f>+IFERROR(IF(E55="#N/C","#N/C",INDEX([1]ClassificationClasses!D:D,MATCH(E55,[1]ClassificationClasses!E:E,0))),"ERROR")</f>
        <v>Muscomorpha</v>
      </c>
      <c r="E55" s="49" t="s">
        <v>175</v>
      </c>
      <c r="F55" s="49" t="s">
        <v>612</v>
      </c>
      <c r="G55" s="49" t="s">
        <v>613</v>
      </c>
      <c r="H55" s="51" t="s">
        <v>614</v>
      </c>
      <c r="I55" s="51" t="s">
        <v>35</v>
      </c>
      <c r="J55" s="69" t="str" cm="1">
        <f t="array" ref="J55">_xlfn.LET(_xlpm.cls,A55, _xlpm.ord,IFERROR(B55,"#N/C"), _xlpm.subord,IFERROR(C55,"#N/C"), _xlpm.infr,IFERROR(D55,"#N/C"), _xlpm.sf,IFERROR(E55,"#N/C"), _xlpm.fam,IFERROR(F55,"#N/C"), _xlpm.subfam,IF(TRIM(G55)="-","#N/C",IFERROR(G55,"#N/C")),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_xlpm.fallback,IF(IFERROR(B55,"#N/C")="#N/C",A55,IF(IFERROR(C55,"#N/C")="#N/C",B55,IF(IFERROR(D55,"#N/C")="#N/C",C55,IF(IFERROR(E55,"#N/C")="#N/C",D55,IF(IFERROR(F55,"#N/C")="#N/C",E55,IF(IFERROR(G55,"#N/C")="#N/C",F55,"#N/C")))))), _xlpm.finalResult,IF(OR(_xlpm.computedResult="",_xlpm.computedResult="#N/C"),_xlpm.fallback,_xlpm.computedResult), INDEX(_xlpm.finalResult,1))</f>
        <v>fly</v>
      </c>
      <c r="K55" s="47" t="str">
        <f t="shared" si="0"/>
        <v>Insecta.Diptera.Brachycera.Muscomorpha.Muscoidea.Anthomyiidae.Anthomyiinae.Fucellia.#N/C</v>
      </c>
      <c r="L55" s="46">
        <f>+COUNTIF([1]Monitoring!AN:AN,K55)</f>
        <v>0</v>
      </c>
    </row>
    <row r="56" spans="1:12" x14ac:dyDescent="0.3">
      <c r="A56" s="49" t="s">
        <v>37</v>
      </c>
      <c r="B56" s="49" t="s">
        <v>38</v>
      </c>
      <c r="C56" s="49" t="s">
        <v>39</v>
      </c>
      <c r="D56" s="49" t="str">
        <f>+IFERROR(IF(E56="#N/C","#N/C",INDEX([1]ClassificationClasses!D:D,MATCH(E56,[1]ClassificationClasses!E:E,0))),"ERROR")</f>
        <v>Muscomorpha</v>
      </c>
      <c r="E56" s="49" t="s">
        <v>175</v>
      </c>
      <c r="F56" s="49" t="s">
        <v>176</v>
      </c>
      <c r="G56" s="49"/>
      <c r="H56" s="51" t="s">
        <v>177</v>
      </c>
      <c r="I56" s="51" t="s">
        <v>35</v>
      </c>
      <c r="J56" s="69" t="str" cm="1">
        <f t="array" ref="J56">_xlfn.LET(_xlpm.cls,A56, _xlpm.ord,IFERROR(B56,"#N/C"), _xlpm.subord,IFERROR(C56,"#N/C"), _xlpm.infr,IFERROR(D56,"#N/C"), _xlpm.sf,IFERROR(E56,"#N/C"), _xlpm.fam,IFERROR(F56,"#N/C"), _xlpm.subfam,IF(TRIM(G56)="-","#N/C",IFERROR(G56,"#N/C")),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_xlpm.fallback,IF(IFERROR(B56,"#N/C")="#N/C",A56,IF(IFERROR(C56,"#N/C")="#N/C",B56,IF(IFERROR(D56,"#N/C")="#N/C",C56,IF(IFERROR(E56,"#N/C")="#N/C",D56,IF(IFERROR(F56,"#N/C")="#N/C",E56,IF(IFERROR(G56,"#N/C")="#N/C",F56,"#N/C")))))), _xlpm.finalResult,IF(OR(_xlpm.computedResult="",_xlpm.computedResult="#N/C"),_xlpm.fallback,_xlpm.computedResult), INDEX(_xlpm.finalResult,1))</f>
        <v>fly</v>
      </c>
      <c r="K56" s="47" t="str">
        <f t="shared" si="0"/>
        <v>Insecta.Diptera.Brachycera.Muscomorpha.Muscoidea.Fanniidae..Fannia.#N/C</v>
      </c>
      <c r="L56" s="46">
        <f>+COUNTIF([1]Monitoring!AN:AN,K56)</f>
        <v>0</v>
      </c>
    </row>
    <row r="57" spans="1:12" x14ac:dyDescent="0.3">
      <c r="A57" s="48" t="s">
        <v>37</v>
      </c>
      <c r="B57" s="48" t="s">
        <v>38</v>
      </c>
      <c r="C57" s="48" t="s">
        <v>39</v>
      </c>
      <c r="D57" s="49" t="str">
        <f>+IFERROR(IF(E57="#N/C","#N/C",INDEX([1]ClassificationClasses!D:D,MATCH(E57,[1]ClassificationClasses!E:E,0))),"ERROR")</f>
        <v>Muscomorpha</v>
      </c>
      <c r="E57" s="48" t="s">
        <v>175</v>
      </c>
      <c r="F57" s="48" t="s">
        <v>176</v>
      </c>
      <c r="H57" s="50" t="s">
        <v>177</v>
      </c>
      <c r="I57" s="50" t="s">
        <v>550</v>
      </c>
      <c r="J57" s="69" t="str" cm="1">
        <f t="array" ref="J57">_xlfn.LET(_xlpm.cls,A57, _xlpm.ord,IFERROR(B57,"#N/C"), _xlpm.subord,IFERROR(C57,"#N/C"), _xlpm.infr,IFERROR(D57,"#N/C"), _xlpm.sf,IFERROR(E57,"#N/C"), _xlpm.fam,IFERROR(F57,"#N/C"), _xlpm.subfam,IF(TRIM(G57)="-","#N/C",IFERROR(G57,"#N/C")),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_xlpm.fallback,IF(IFERROR(B57,"#N/C")="#N/C",A57,IF(IFERROR(C57,"#N/C")="#N/C",B57,IF(IFERROR(D57,"#N/C")="#N/C",C57,IF(IFERROR(E57,"#N/C")="#N/C",D57,IF(IFERROR(F57,"#N/C")="#N/C",E57,IF(IFERROR(G57,"#N/C")="#N/C",F57,"#N/C")))))), _xlpm.finalResult,IF(OR(_xlpm.computedResult="",_xlpm.computedResult="#N/C"),_xlpm.fallback,_xlpm.computedResult), INDEX(_xlpm.finalResult,1))</f>
        <v>fly</v>
      </c>
      <c r="K57" s="47" t="str">
        <f t="shared" si="0"/>
        <v>Insecta.Diptera.Brachycera.Muscomorpha.Muscoidea.Fanniidae..Fannia.canicularis</v>
      </c>
      <c r="L57" s="46">
        <f>+COUNTIF([1]Monitoring!AN:AN,K57)</f>
        <v>0</v>
      </c>
    </row>
    <row r="58" spans="1:12" x14ac:dyDescent="0.3">
      <c r="A58" s="49" t="s">
        <v>37</v>
      </c>
      <c r="B58" s="49" t="s">
        <v>38</v>
      </c>
      <c r="C58" s="49" t="s">
        <v>39</v>
      </c>
      <c r="D58" s="49" t="str">
        <f>+IFERROR(IF(E58="#N/C","#N/C",INDEX([1]ClassificationClasses!D:D,MATCH(E58,[1]ClassificationClasses!E:E,0))),"ERROR")</f>
        <v>Muscomorpha</v>
      </c>
      <c r="E58" s="49" t="s">
        <v>175</v>
      </c>
      <c r="F58" s="49" t="s">
        <v>495</v>
      </c>
      <c r="G58" s="49" t="s">
        <v>35</v>
      </c>
      <c r="H58" s="51" t="s">
        <v>35</v>
      </c>
      <c r="I58" s="51" t="s">
        <v>35</v>
      </c>
      <c r="J58" s="69" t="str" cm="1">
        <f t="array" ref="J58">_xlfn.LET(_xlpm.cls,A58, _xlpm.ord,IFERROR(B58,"#N/C"), _xlpm.subord,IFERROR(C58,"#N/C"), _xlpm.infr,IFERROR(D58,"#N/C"), _xlpm.sf,IFERROR(E58,"#N/C"), _xlpm.fam,IFERROR(F58,"#N/C"), _xlpm.subfam,IF(TRIM(G58)="-","#N/C",IFERROR(G58,"#N/C")),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_xlpm.fallback,IF(IFERROR(B58,"#N/C")="#N/C",A58,IF(IFERROR(C58,"#N/C")="#N/C",B58,IF(IFERROR(D58,"#N/C")="#N/C",C58,IF(IFERROR(E58,"#N/C")="#N/C",D58,IF(IFERROR(F58,"#N/C")="#N/C",E58,IF(IFERROR(G58,"#N/C")="#N/C",F58,"#N/C")))))), _xlpm.finalResult,IF(OR(_xlpm.computedResult="",_xlpm.computedResult="#N/C"),_xlpm.fallback,_xlpm.computedResult), INDEX(_xlpm.finalResult,1))</f>
        <v>fly</v>
      </c>
      <c r="K58" s="47" t="str">
        <f t="shared" si="0"/>
        <v>Insecta.Diptera.Brachycera.Muscomorpha.Muscoidea.Muscidae.#N/C.#N/C.#N/C</v>
      </c>
      <c r="L58" s="46">
        <f>+COUNTIF([1]Monitoring!AN:AN,K58)</f>
        <v>3</v>
      </c>
    </row>
    <row r="59" spans="1:12" x14ac:dyDescent="0.3">
      <c r="A59" s="48" t="s">
        <v>37</v>
      </c>
      <c r="B59" s="48" t="s">
        <v>38</v>
      </c>
      <c r="C59" s="48" t="s">
        <v>39</v>
      </c>
      <c r="D59" s="49" t="str">
        <f>+IFERROR(IF(E59="#N/C","#N/C",INDEX([1]ClassificationClasses!D:D,MATCH(E59,[1]ClassificationClasses!E:E,0))),"ERROR")</f>
        <v>Muscomorpha</v>
      </c>
      <c r="E59" s="48" t="s">
        <v>175</v>
      </c>
      <c r="F59" s="48" t="s">
        <v>495</v>
      </c>
      <c r="G59" s="48" t="s">
        <v>667</v>
      </c>
      <c r="H59" s="50" t="s">
        <v>668</v>
      </c>
      <c r="I59" s="50" t="s">
        <v>35</v>
      </c>
      <c r="J59" s="69" t="str" cm="1">
        <f t="array" ref="J59">_xlfn.LET(_xlpm.cls,A59, _xlpm.ord,IFERROR(B59,"#N/C"), _xlpm.subord,IFERROR(C59,"#N/C"), _xlpm.infr,IFERROR(D59,"#N/C"), _xlpm.sf,IFERROR(E59,"#N/C"), _xlpm.fam,IFERROR(F59,"#N/C"), _xlpm.subfam,IF(TRIM(G59)="-","#N/C",IFERROR(G59,"#N/C")),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_xlpm.fallback,IF(IFERROR(B59,"#N/C")="#N/C",A59,IF(IFERROR(C59,"#N/C")="#N/C",B59,IF(IFERROR(D59,"#N/C")="#N/C",C59,IF(IFERROR(E59,"#N/C")="#N/C",D59,IF(IFERROR(F59,"#N/C")="#N/C",E59,IF(IFERROR(G59,"#N/C")="#N/C",F59,"#N/C")))))), _xlpm.finalResult,IF(OR(_xlpm.computedResult="",_xlpm.computedResult="#N/C"),_xlpm.fallback,_xlpm.computedResult), INDEX(_xlpm.finalResult,1))</f>
        <v>fly</v>
      </c>
      <c r="K59" s="47" t="str">
        <f t="shared" si="0"/>
        <v>Insecta.Diptera.Brachycera.Muscomorpha.Muscoidea.Muscidae.Coenosiinae.Coenosia.#N/C</v>
      </c>
      <c r="L59" s="46">
        <f>+COUNTIF([1]Monitoring!AN:AN,K59)</f>
        <v>0</v>
      </c>
    </row>
    <row r="60" spans="1:12" x14ac:dyDescent="0.3">
      <c r="A60" s="48" t="s">
        <v>37</v>
      </c>
      <c r="B60" s="48" t="s">
        <v>38</v>
      </c>
      <c r="C60" s="48" t="s">
        <v>39</v>
      </c>
      <c r="D60" s="49" t="str">
        <f>+IFERROR(IF(E60="#N/C","#N/C",INDEX([1]ClassificationClasses!D:D,MATCH(E60,[1]ClassificationClasses!E:E,0))),"ERROR")</f>
        <v>Muscomorpha</v>
      </c>
      <c r="E60" s="48" t="s">
        <v>175</v>
      </c>
      <c r="F60" s="48" t="s">
        <v>495</v>
      </c>
      <c r="G60" s="48" t="s">
        <v>496</v>
      </c>
      <c r="H60" s="50" t="s">
        <v>497</v>
      </c>
      <c r="I60" s="50" t="s">
        <v>498</v>
      </c>
      <c r="J60" s="69" t="str" cm="1">
        <f t="array" ref="J60">_xlfn.LET(_xlpm.cls,A60, _xlpm.ord,IFERROR(B60,"#N/C"), _xlpm.subord,IFERROR(C60,"#N/C"), _xlpm.infr,IFERROR(D60,"#N/C"), _xlpm.sf,IFERROR(E60,"#N/C"), _xlpm.fam,IFERROR(F60,"#N/C"), _xlpm.subfam,IF(TRIM(G60)="-","#N/C",IFERROR(G60,"#N/C")),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_xlpm.fallback,IF(IFERROR(B60,"#N/C")="#N/C",A60,IF(IFERROR(C60,"#N/C")="#N/C",B60,IF(IFERROR(D60,"#N/C")="#N/C",C60,IF(IFERROR(E60,"#N/C")="#N/C",D60,IF(IFERROR(F60,"#N/C")="#N/C",E60,IF(IFERROR(G60,"#N/C")="#N/C",F60,"#N/C")))))), _xlpm.finalResult,IF(OR(_xlpm.computedResult="",_xlpm.computedResult="#N/C"),_xlpm.fallback,_xlpm.computedResult), INDEX(_xlpm.finalResult,1))</f>
        <v>fly</v>
      </c>
      <c r="K60" s="47" t="str">
        <f t="shared" si="0"/>
        <v>Insecta.Diptera.Brachycera.Muscomorpha.Muscoidea.Muscidae.Muscinae.Mesembrina.meridiana</v>
      </c>
      <c r="L60" s="46">
        <f>+COUNTIF([1]Monitoring!AN:AN,K60)</f>
        <v>0</v>
      </c>
    </row>
    <row r="61" spans="1:12" x14ac:dyDescent="0.3">
      <c r="A61" s="48" t="s">
        <v>37</v>
      </c>
      <c r="B61" s="48" t="s">
        <v>38</v>
      </c>
      <c r="C61" s="48" t="s">
        <v>39</v>
      </c>
      <c r="D61" s="49" t="str">
        <f>+IFERROR(IF(E61="#N/C","#N/C",INDEX([1]ClassificationClasses!D:D,MATCH(E61,[1]ClassificationClasses!E:E,0))),"ERROR")</f>
        <v>Muscomorpha</v>
      </c>
      <c r="E61" s="48" t="s">
        <v>175</v>
      </c>
      <c r="F61" s="48" t="s">
        <v>495</v>
      </c>
      <c r="G61" s="48" t="s">
        <v>496</v>
      </c>
      <c r="H61" s="50" t="s">
        <v>630</v>
      </c>
      <c r="I61" s="50" t="s">
        <v>35</v>
      </c>
      <c r="J61" s="69" t="str" cm="1">
        <f t="array" ref="J61">_xlfn.LET(_xlpm.cls,A61, _xlpm.ord,IFERROR(B61,"#N/C"), _xlpm.subord,IFERROR(C61,"#N/C"), _xlpm.infr,IFERROR(D61,"#N/C"), _xlpm.sf,IFERROR(E61,"#N/C"), _xlpm.fam,IFERROR(F61,"#N/C"), _xlpm.subfam,IF(TRIM(G61)="-","#N/C",IFERROR(G61,"#N/C")),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_xlpm.fallback,IF(IFERROR(B61,"#N/C")="#N/C",A61,IF(IFERROR(C61,"#N/C")="#N/C",B61,IF(IFERROR(D61,"#N/C")="#N/C",C61,IF(IFERROR(E61,"#N/C")="#N/C",D61,IF(IFERROR(F61,"#N/C")="#N/C",E61,IF(IFERROR(G61,"#N/C")="#N/C",F61,"#N/C")))))), _xlpm.finalResult,IF(OR(_xlpm.computedResult="",_xlpm.computedResult="#N/C"),_xlpm.fallback,_xlpm.computedResult), INDEX(_xlpm.finalResult,1))</f>
        <v>fly</v>
      </c>
      <c r="K61" s="47" t="str">
        <f t="shared" si="0"/>
        <v>Insecta.Diptera.Brachycera.Muscomorpha.Muscoidea.Muscidae.Muscinae.Musca.#N/C</v>
      </c>
      <c r="L61" s="46">
        <f>+COUNTIF([1]Monitoring!AN:AN,K61)</f>
        <v>1</v>
      </c>
    </row>
    <row r="62" spans="1:12" x14ac:dyDescent="0.3">
      <c r="A62" s="49" t="s">
        <v>37</v>
      </c>
      <c r="B62" s="49" t="s">
        <v>38</v>
      </c>
      <c r="C62" s="49" t="s">
        <v>39</v>
      </c>
      <c r="D62" s="49" t="str">
        <f>+IFERROR(IF(E62="#N/C","#N/C",INDEX([1]ClassificationClasses!D:D,MATCH(E62,[1]ClassificationClasses!E:E,0))),"ERROR")</f>
        <v>Muscomorpha</v>
      </c>
      <c r="E62" s="49" t="s">
        <v>175</v>
      </c>
      <c r="F62" s="49" t="s">
        <v>495</v>
      </c>
      <c r="G62" s="49" t="s">
        <v>496</v>
      </c>
      <c r="H62" s="51" t="s">
        <v>630</v>
      </c>
      <c r="I62" s="51" t="s">
        <v>631</v>
      </c>
      <c r="J62" s="69" t="str" cm="1">
        <f t="array" ref="J62">_xlfn.LET(_xlpm.cls,A62, _xlpm.ord,IFERROR(B62,"#N/C"), _xlpm.subord,IFERROR(C62,"#N/C"), _xlpm.infr,IFERROR(D62,"#N/C"), _xlpm.sf,IFERROR(E62,"#N/C"), _xlpm.fam,IFERROR(F62,"#N/C"), _xlpm.subfam,IF(TRIM(G62)="-","#N/C",IFERROR(G62,"#N/C")),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_xlpm.fallback,IF(IFERROR(B62,"#N/C")="#N/C",A62,IF(IFERROR(C62,"#N/C")="#N/C",B62,IF(IFERROR(D62,"#N/C")="#N/C",C62,IF(IFERROR(E62,"#N/C")="#N/C",D62,IF(IFERROR(F62,"#N/C")="#N/C",E62,IF(IFERROR(G62,"#N/C")="#N/C",F62,"#N/C")))))), _xlpm.finalResult,IF(OR(_xlpm.computedResult="",_xlpm.computedResult="#N/C"),_xlpm.fallback,_xlpm.computedResult), INDEX(_xlpm.finalResult,1))</f>
        <v>fly</v>
      </c>
      <c r="K62" s="47" t="str">
        <f t="shared" si="0"/>
        <v>Insecta.Diptera.Brachycera.Muscomorpha.Muscoidea.Muscidae.Muscinae.Musca.domestica</v>
      </c>
      <c r="L62" s="46">
        <f>+COUNTIF([1]Monitoring!AN:AN,K62)</f>
        <v>0</v>
      </c>
    </row>
    <row r="63" spans="1:12" x14ac:dyDescent="0.3">
      <c r="A63" s="48" t="s">
        <v>37</v>
      </c>
      <c r="B63" s="48" t="s">
        <v>38</v>
      </c>
      <c r="C63" s="48" t="s">
        <v>39</v>
      </c>
      <c r="D63" s="49" t="str">
        <f>+IFERROR(IF(E63="#N/C","#N/C",INDEX([1]ClassificationClasses!D:D,MATCH(E63,[1]ClassificationClasses!E:E,0))),"ERROR")</f>
        <v>Muscomorpha</v>
      </c>
      <c r="E63" s="48" t="s">
        <v>175</v>
      </c>
      <c r="F63" s="48" t="s">
        <v>757</v>
      </c>
      <c r="G63" s="48" t="s">
        <v>758</v>
      </c>
      <c r="H63" s="50" t="s">
        <v>759</v>
      </c>
      <c r="I63" s="50" t="s">
        <v>35</v>
      </c>
      <c r="J63" s="69" t="str" cm="1">
        <f t="array" ref="J63">_xlfn.LET(_xlpm.cls,A63, _xlpm.ord,IFERROR(B63,"#N/C"), _xlpm.subord,IFERROR(C63,"#N/C"), _xlpm.infr,IFERROR(D63,"#N/C"), _xlpm.sf,IFERROR(E63,"#N/C"), _xlpm.fam,IFERROR(F63,"#N/C"), _xlpm.subfam,IF(TRIM(G63)="-","#N/C",IFERROR(G63,"#N/C")),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_xlpm.fallback,IF(IFERROR(B63,"#N/C")="#N/C",A63,IF(IFERROR(C63,"#N/C")="#N/C",B63,IF(IFERROR(D63,"#N/C")="#N/C",C63,IF(IFERROR(E63,"#N/C")="#N/C",D63,IF(IFERROR(F63,"#N/C")="#N/C",E63,IF(IFERROR(G63,"#N/C")="#N/C",F63,"#N/C")))))), _xlpm.finalResult,IF(OR(_xlpm.computedResult="",_xlpm.computedResult="#N/C"),_xlpm.fallback,_xlpm.computedResult), INDEX(_xlpm.finalResult,1))</f>
        <v>dung_fly</v>
      </c>
      <c r="K63" s="47" t="str">
        <f t="shared" si="0"/>
        <v>Insecta.Diptera.Brachycera.Muscomorpha.Muscoidea.Scathophagidae.Scathophaginae.Scathophaga.#N/C</v>
      </c>
      <c r="L63" s="46">
        <f>+COUNTIF([1]Monitoring!AN:AN,K63)</f>
        <v>1</v>
      </c>
    </row>
    <row r="64" spans="1:12" x14ac:dyDescent="0.3">
      <c r="A64" s="49" t="s">
        <v>37</v>
      </c>
      <c r="B64" s="49" t="s">
        <v>38</v>
      </c>
      <c r="C64" s="49" t="s">
        <v>39</v>
      </c>
      <c r="D64" s="49" t="str">
        <f>+IFERROR(IF(E64="#N/C","#N/C",INDEX([1]ClassificationClasses!D:D,MATCH(E64,[1]ClassificationClasses!E:E,0))),"ERROR")</f>
        <v>Muscomorpha</v>
      </c>
      <c r="E64" s="49" t="s">
        <v>335</v>
      </c>
      <c r="F64" s="49" t="s">
        <v>35</v>
      </c>
      <c r="G64" s="49" t="s">
        <v>35</v>
      </c>
      <c r="H64" s="51" t="s">
        <v>35</v>
      </c>
      <c r="I64" s="51" t="s">
        <v>35</v>
      </c>
      <c r="J64" s="69" t="str" cm="1">
        <f t="array" ref="J64">_xlfn.LET(_xlpm.cls,A64, _xlpm.ord,IFERROR(B64,"#N/C"), _xlpm.subord,IFERROR(C64,"#N/C"), _xlpm.infr,IFERROR(D64,"#N/C"), _xlpm.sf,IFERROR(E64,"#N/C"), _xlpm.fam,IFERROR(F64,"#N/C"), _xlpm.subfam,IF(TRIM(G64)="-","#N/C",IFERROR(G64,"#N/C")),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_xlpm.fallback,IF(IFERROR(B64,"#N/C")="#N/C",A64,IF(IFERROR(C64,"#N/C")="#N/C",B64,IF(IFERROR(D64,"#N/C")="#N/C",C64,IF(IFERROR(E64,"#N/C")="#N/C",D64,IF(IFERROR(F64,"#N/C")="#N/C",E64,IF(IFERROR(G64,"#N/C")="#N/C",F64,"#N/C")))))), _xlpm.finalResult,IF(OR(_xlpm.computedResult="",_xlpm.computedResult="#N/C"),_xlpm.fallback,_xlpm.computedResult), INDEX(_xlpm.finalResult,1))</f>
        <v>Oestroidea</v>
      </c>
      <c r="K64" s="47" t="str">
        <f t="shared" si="0"/>
        <v>Insecta.Diptera.Brachycera.Muscomorpha.Oestroidea.#N/C.#N/C.#N/C.#N/C</v>
      </c>
      <c r="L64" s="46">
        <f>+COUNTIF([1]Monitoring!AN:AN,K64)</f>
        <v>11</v>
      </c>
    </row>
    <row r="65" spans="1:12" x14ac:dyDescent="0.3">
      <c r="A65" s="48" t="s">
        <v>37</v>
      </c>
      <c r="B65" s="48" t="s">
        <v>38</v>
      </c>
      <c r="C65" s="48" t="s">
        <v>39</v>
      </c>
      <c r="D65" s="49" t="str">
        <f>+IFERROR(IF(E65="#N/C","#N/C",INDEX([1]ClassificationClasses!D:D,MATCH(E65,[1]ClassificationClasses!E:E,0))),"ERROR")</f>
        <v>Muscomorpha</v>
      </c>
      <c r="E65" s="48" t="s">
        <v>335</v>
      </c>
      <c r="F65" s="48" t="s">
        <v>760</v>
      </c>
      <c r="G65" s="48" t="s">
        <v>35</v>
      </c>
      <c r="H65" s="50" t="s">
        <v>35</v>
      </c>
      <c r="I65" s="50" t="s">
        <v>35</v>
      </c>
      <c r="J65" s="69" t="str" cm="1">
        <f t="array" ref="J65">_xlfn.LET(_xlpm.cls,A65, _xlpm.ord,IFERROR(B65,"#N/C"), _xlpm.subord,IFERROR(C65,"#N/C"), _xlpm.infr,IFERROR(D65,"#N/C"), _xlpm.sf,IFERROR(E65,"#N/C"), _xlpm.fam,IFERROR(F65,"#N/C"), _xlpm.subfam,IF(TRIM(G65)="-","#N/C",IFERROR(G65,"#N/C")),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_xlpm.fallback,IF(IFERROR(B65,"#N/C")="#N/C",A65,IF(IFERROR(C65,"#N/C")="#N/C",B65,IF(IFERROR(D65,"#N/C")="#N/C",C65,IF(IFERROR(E65,"#N/C")="#N/C",D65,IF(IFERROR(F65,"#N/C")="#N/C",E65,IF(IFERROR(G65,"#N/C")="#N/C",F65,"#N/C")))))), _xlpm.finalResult,IF(OR(_xlpm.computedResult="",_xlpm.computedResult="#N/C"),_xlpm.fallback,_xlpm.computedResult), INDEX(_xlpm.finalResult,1))</f>
        <v>flesh_fly</v>
      </c>
      <c r="K65" s="47" t="str">
        <f t="shared" si="0"/>
        <v>Insecta.Diptera.Brachycera.Muscomorpha.Oestroidea.Calliphoridae.#N/C.#N/C.#N/C</v>
      </c>
      <c r="L65" s="46">
        <f>+COUNTIF([1]Monitoring!AN:AN,K65)</f>
        <v>1</v>
      </c>
    </row>
    <row r="66" spans="1:12" x14ac:dyDescent="0.3">
      <c r="A66" s="49" t="s">
        <v>37</v>
      </c>
      <c r="B66" s="49" t="s">
        <v>38</v>
      </c>
      <c r="C66" s="49" t="s">
        <v>39</v>
      </c>
      <c r="D66" s="49" t="str">
        <f>+IFERROR(IF(E66="#N/C","#N/C",INDEX([1]ClassificationClasses!D:D,MATCH(E66,[1]ClassificationClasses!E:E,0))),"ERROR")</f>
        <v>Muscomorpha</v>
      </c>
      <c r="E66" s="49" t="s">
        <v>335</v>
      </c>
      <c r="F66" s="49" t="s">
        <v>760</v>
      </c>
      <c r="G66" s="49" t="s">
        <v>761</v>
      </c>
      <c r="H66" s="51" t="s">
        <v>762</v>
      </c>
      <c r="I66" s="51" t="s">
        <v>35</v>
      </c>
      <c r="J66" s="69" t="str" cm="1">
        <f t="array" ref="J66">_xlfn.LET(_xlpm.cls,A66, _xlpm.ord,IFERROR(B66,"#N/C"), _xlpm.subord,IFERROR(C66,"#N/C"), _xlpm.infr,IFERROR(D66,"#N/C"), _xlpm.sf,IFERROR(E66,"#N/C"), _xlpm.fam,IFERROR(F66,"#N/C"), _xlpm.subfam,IF(TRIM(G66)="-","#N/C",IFERROR(G66,"#N/C")),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_xlpm.fallback,IF(IFERROR(B66,"#N/C")="#N/C",A66,IF(IFERROR(C66,"#N/C")="#N/C",B66,IF(IFERROR(D66,"#N/C")="#N/C",C66,IF(IFERROR(E66,"#N/C")="#N/C",D66,IF(IFERROR(F66,"#N/C")="#N/C",E66,IF(IFERROR(G66,"#N/C")="#N/C",F66,"#N/C")))))), _xlpm.finalResult,IF(OR(_xlpm.computedResult="",_xlpm.computedResult="#N/C"),_xlpm.fallback,_xlpm.computedResult), INDEX(_xlpm.finalResult,1))</f>
        <v>flesh_fly</v>
      </c>
      <c r="K66" s="47" t="str">
        <f t="shared" si="0"/>
        <v>Insecta.Diptera.Brachycera.Muscomorpha.Oestroidea.Calliphoridae.Calliphorinae.Bellardia.#N/C</v>
      </c>
      <c r="L66" s="46">
        <f>+COUNTIF([1]Monitoring!AN:AN,K66)</f>
        <v>2</v>
      </c>
    </row>
    <row r="67" spans="1:12" x14ac:dyDescent="0.3">
      <c r="A67" s="48" t="s">
        <v>37</v>
      </c>
      <c r="B67" s="48" t="s">
        <v>38</v>
      </c>
      <c r="C67" s="48" t="s">
        <v>39</v>
      </c>
      <c r="D67" s="49" t="str">
        <f>+IFERROR(IF(E67="#N/C","#N/C",INDEX([1]ClassificationClasses!D:D,MATCH(E67,[1]ClassificationClasses!E:E,0))),"ERROR")</f>
        <v>Muscomorpha</v>
      </c>
      <c r="E67" s="48" t="s">
        <v>335</v>
      </c>
      <c r="F67" s="48" t="s">
        <v>763</v>
      </c>
      <c r="H67" s="50" t="s">
        <v>764</v>
      </c>
      <c r="I67" s="50" t="s">
        <v>35</v>
      </c>
      <c r="J67" s="69" t="str" cm="1">
        <f t="array" ref="J67">_xlfn.LET(_xlpm.cls,A67, _xlpm.ord,IFERROR(B67,"#N/C"), _xlpm.subord,IFERROR(C67,"#N/C"), _xlpm.infr,IFERROR(D67,"#N/C"), _xlpm.sf,IFERROR(E67,"#N/C"), _xlpm.fam,IFERROR(F67,"#N/C"), _xlpm.subfam,IF(TRIM(G67)="-","#N/C",IFERROR(G67,"#N/C")),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_xlpm.fallback,IF(IFERROR(B67,"#N/C")="#N/C",A67,IF(IFERROR(C67,"#N/C")="#N/C",B67,IF(IFERROR(D67,"#N/C")="#N/C",C67,IF(IFERROR(E67,"#N/C")="#N/C",D67,IF(IFERROR(F67,"#N/C")="#N/C",E67,IF(IFERROR(G67,"#N/C")="#N/C",F67,"#N/C")))))), _xlpm.finalResult,IF(OR(_xlpm.computedResult="",_xlpm.computedResult="#N/C"),_xlpm.fallback,_xlpm.computedResult), INDEX(_xlpm.finalResult,1))</f>
        <v>flesh_fly</v>
      </c>
      <c r="K67" s="47" t="str">
        <f t="shared" ref="K67:K130" si="1">+CONCATENATE(A67,".",B67,".",C67,".",D67,".",E67,".",F67,".",G67,".",H67,".",I67)</f>
        <v>Insecta.Diptera.Brachycera.Muscomorpha.Oestroidea.Rhinophoridae..Paykullia.#N/C</v>
      </c>
      <c r="L67" s="46">
        <f>+COUNTIF([1]Monitoring!AN:AN,K67)</f>
        <v>0</v>
      </c>
    </row>
    <row r="68" spans="1:12" x14ac:dyDescent="0.3">
      <c r="A68" s="48" t="s">
        <v>37</v>
      </c>
      <c r="B68" s="48" t="s">
        <v>38</v>
      </c>
      <c r="C68" s="48" t="s">
        <v>39</v>
      </c>
      <c r="D68" s="49" t="str">
        <f>+IFERROR(IF(E68="#N/C","#N/C",INDEX([1]ClassificationClasses!D:D,MATCH(E68,[1]ClassificationClasses!E:E,0))),"ERROR")</f>
        <v>Muscomorpha</v>
      </c>
      <c r="E68" s="48" t="s">
        <v>335</v>
      </c>
      <c r="F68" s="48" t="s">
        <v>765</v>
      </c>
      <c r="G68" s="48" t="s">
        <v>35</v>
      </c>
      <c r="H68" s="50" t="s">
        <v>35</v>
      </c>
      <c r="I68" s="50" t="s">
        <v>35</v>
      </c>
      <c r="J68" s="69" t="str" cm="1">
        <f t="array" ref="J68">_xlfn.LET(_xlpm.cls,A68, _xlpm.ord,IFERROR(B68,"#N/C"), _xlpm.subord,IFERROR(C68,"#N/C"), _xlpm.infr,IFERROR(D68,"#N/C"), _xlpm.sf,IFERROR(E68,"#N/C"), _xlpm.fam,IFERROR(F68,"#N/C"), _xlpm.subfam,IF(TRIM(G68)="-","#N/C",IFERROR(G68,"#N/C")),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_xlpm.fallback,IF(IFERROR(B68,"#N/C")="#N/C",A68,IF(IFERROR(C68,"#N/C")="#N/C",B68,IF(IFERROR(D68,"#N/C")="#N/C",C68,IF(IFERROR(E68,"#N/C")="#N/C",D68,IF(IFERROR(F68,"#N/C")="#N/C",E68,IF(IFERROR(G68,"#N/C")="#N/C",F68,"#N/C")))))), _xlpm.finalResult,IF(OR(_xlpm.computedResult="",_xlpm.computedResult="#N/C"),_xlpm.fallback,_xlpm.computedResult), INDEX(_xlpm.finalResult,1))</f>
        <v>Oestroidea</v>
      </c>
      <c r="K68" s="47" t="str">
        <f t="shared" si="1"/>
        <v>Insecta.Diptera.Brachycera.Muscomorpha.Oestroidea.Sacrophagidae.#N/C.#N/C.#N/C</v>
      </c>
      <c r="L68" s="46">
        <f>+COUNTIF([1]Monitoring!AN:AN,K68)</f>
        <v>2</v>
      </c>
    </row>
    <row r="69" spans="1:12" x14ac:dyDescent="0.3">
      <c r="A69" s="48" t="s">
        <v>37</v>
      </c>
      <c r="B69" s="48" t="s">
        <v>38</v>
      </c>
      <c r="C69" s="48" t="s">
        <v>39</v>
      </c>
      <c r="D69" s="49" t="str">
        <f>+IFERROR(IF(E69="#N/C","#N/C",INDEX([1]ClassificationClasses!D:D,MATCH(E69,[1]ClassificationClasses!E:E,0))),"ERROR")</f>
        <v>Muscomorpha</v>
      </c>
      <c r="E69" s="48" t="s">
        <v>335</v>
      </c>
      <c r="F69" s="48" t="s">
        <v>375</v>
      </c>
      <c r="G69" s="48" t="s">
        <v>35</v>
      </c>
      <c r="H69" s="50" t="s">
        <v>35</v>
      </c>
      <c r="I69" s="50" t="s">
        <v>35</v>
      </c>
      <c r="J69" s="69" t="str" cm="1">
        <f t="array" ref="J69">_xlfn.LET(_xlpm.cls,A69, _xlpm.ord,IFERROR(B69,"#N/C"), _xlpm.subord,IFERROR(C69,"#N/C"), _xlpm.infr,IFERROR(D69,"#N/C"), _xlpm.sf,IFERROR(E69,"#N/C"), _xlpm.fam,IFERROR(F69,"#N/C"), _xlpm.subfam,IF(TRIM(G69)="-","#N/C",IFERROR(G69,"#N/C")),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_xlpm.fallback,IF(IFERROR(B69,"#N/C")="#N/C",A69,IF(IFERROR(C69,"#N/C")="#N/C",B69,IF(IFERROR(D69,"#N/C")="#N/C",C69,IF(IFERROR(E69,"#N/C")="#N/C",D69,IF(IFERROR(F69,"#N/C")="#N/C",E69,IF(IFERROR(G69,"#N/C")="#N/C",F69,"#N/C")))))), _xlpm.finalResult,IF(OR(_xlpm.computedResult="",_xlpm.computedResult="#N/C"),_xlpm.fallback,_xlpm.computedResult), INDEX(_xlpm.finalResult,1))</f>
        <v>flesh_fly</v>
      </c>
      <c r="K69" s="47" t="str">
        <f t="shared" si="1"/>
        <v>Insecta.Diptera.Brachycera.Muscomorpha.Oestroidea.Sarcophagidae.#N/C.#N/C.#N/C</v>
      </c>
      <c r="L69" s="46">
        <f>+COUNTIF([1]Monitoring!AN:AN,K69)</f>
        <v>12</v>
      </c>
    </row>
    <row r="70" spans="1:12" x14ac:dyDescent="0.3">
      <c r="A70" s="49" t="s">
        <v>37</v>
      </c>
      <c r="B70" s="49" t="s">
        <v>38</v>
      </c>
      <c r="C70" s="49" t="s">
        <v>39</v>
      </c>
      <c r="D70" s="49" t="str">
        <f>+IFERROR(IF(E70="#N/C","#N/C",INDEX([1]ClassificationClasses!D:D,MATCH(E70,[1]ClassificationClasses!E:E,0))),"ERROR")</f>
        <v>Muscomorpha</v>
      </c>
      <c r="E70" s="49" t="s">
        <v>335</v>
      </c>
      <c r="F70" s="49" t="s">
        <v>375</v>
      </c>
      <c r="G70" s="49" t="s">
        <v>376</v>
      </c>
      <c r="H70" s="51" t="s">
        <v>35</v>
      </c>
      <c r="I70" s="51" t="s">
        <v>35</v>
      </c>
      <c r="J70" s="69" t="str" cm="1">
        <f t="array" ref="J70">_xlfn.LET(_xlpm.cls,A70, _xlpm.ord,IFERROR(B70,"#N/C"), _xlpm.subord,IFERROR(C70,"#N/C"), _xlpm.infr,IFERROR(D70,"#N/C"), _xlpm.sf,IFERROR(E70,"#N/C"), _xlpm.fam,IFERROR(F70,"#N/C"), _xlpm.subfam,IF(TRIM(G70)="-","#N/C",IFERROR(G70,"#N/C")),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_xlpm.fallback,IF(IFERROR(B70,"#N/C")="#N/C",A70,IF(IFERROR(C70,"#N/C")="#N/C",B70,IF(IFERROR(D70,"#N/C")="#N/C",C70,IF(IFERROR(E70,"#N/C")="#N/C",D70,IF(IFERROR(F70,"#N/C")="#N/C",E70,IF(IFERROR(G70,"#N/C")="#N/C",F70,"#N/C")))))), _xlpm.finalResult,IF(OR(_xlpm.computedResult="",_xlpm.computedResult="#N/C"),_xlpm.fallback,_xlpm.computedResult), INDEX(_xlpm.finalResult,1))</f>
        <v>flesh_fly</v>
      </c>
      <c r="K70" s="47" t="str">
        <f t="shared" si="1"/>
        <v>Insecta.Diptera.Brachycera.Muscomorpha.Oestroidea.Sarcophagidae.Sarcophaginae.#N/C.#N/C</v>
      </c>
      <c r="L70" s="46">
        <f>+COUNTIF([1]Monitoring!AN:AN,K70)</f>
        <v>5</v>
      </c>
    </row>
    <row r="71" spans="1:12" x14ac:dyDescent="0.3">
      <c r="A71" s="49" t="s">
        <v>37</v>
      </c>
      <c r="B71" s="49" t="s">
        <v>38</v>
      </c>
      <c r="C71" s="49" t="s">
        <v>39</v>
      </c>
      <c r="D71" s="49" t="str">
        <f>+IFERROR(IF(E71="#N/C","#N/C",INDEX([1]ClassificationClasses!D:D,MATCH(E71,[1]ClassificationClasses!E:E,0))),"ERROR")</f>
        <v>Muscomorpha</v>
      </c>
      <c r="E71" s="49" t="s">
        <v>335</v>
      </c>
      <c r="F71" s="49" t="s">
        <v>375</v>
      </c>
      <c r="G71" s="49" t="s">
        <v>376</v>
      </c>
      <c r="H71" s="51" t="s">
        <v>377</v>
      </c>
      <c r="I71" s="51" t="s">
        <v>35</v>
      </c>
      <c r="J71" s="69" t="str" cm="1">
        <f t="array" ref="J71">_xlfn.LET(_xlpm.cls,A71, _xlpm.ord,IFERROR(B71,"#N/C"), _xlpm.subord,IFERROR(C71,"#N/C"), _xlpm.infr,IFERROR(D71,"#N/C"), _xlpm.sf,IFERROR(E71,"#N/C"), _xlpm.fam,IFERROR(F71,"#N/C"), _xlpm.subfam,IF(TRIM(G71)="-","#N/C",IFERROR(G71,"#N/C")),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_xlpm.fallback,IF(IFERROR(B71,"#N/C")="#N/C",A71,IF(IFERROR(C71,"#N/C")="#N/C",B71,IF(IFERROR(D71,"#N/C")="#N/C",C71,IF(IFERROR(E71,"#N/C")="#N/C",D71,IF(IFERROR(F71,"#N/C")="#N/C",E71,IF(IFERROR(G71,"#N/C")="#N/C",F71,"#N/C")))))), _xlpm.finalResult,IF(OR(_xlpm.computedResult="",_xlpm.computedResult="#N/C"),_xlpm.fallback,_xlpm.computedResult), INDEX(_xlpm.finalResult,1))</f>
        <v>flesh_fly</v>
      </c>
      <c r="K71" s="47" t="str">
        <f t="shared" si="1"/>
        <v>Insecta.Diptera.Brachycera.Muscomorpha.Oestroidea.Sarcophagidae.Sarcophaginae.Sarcophaga.#N/C</v>
      </c>
      <c r="L71" s="46">
        <f>+COUNTIF([1]Monitoring!AN:AN,K71)</f>
        <v>8</v>
      </c>
    </row>
    <row r="72" spans="1:12" x14ac:dyDescent="0.3">
      <c r="A72" s="48" t="s">
        <v>37</v>
      </c>
      <c r="B72" s="48" t="s">
        <v>38</v>
      </c>
      <c r="C72" s="48" t="s">
        <v>39</v>
      </c>
      <c r="D72" s="49" t="str">
        <f>+IFERROR(IF(E72="#N/C","#N/C",INDEX([1]ClassificationClasses!D:D,MATCH(E72,[1]ClassificationClasses!E:E,0))),"ERROR")</f>
        <v>Muscomorpha</v>
      </c>
      <c r="E72" s="48" t="s">
        <v>335</v>
      </c>
      <c r="F72" s="48" t="s">
        <v>525</v>
      </c>
      <c r="G72" s="48" t="s">
        <v>35</v>
      </c>
      <c r="H72" s="50" t="s">
        <v>35</v>
      </c>
      <c r="I72" s="50" t="s">
        <v>35</v>
      </c>
      <c r="J72" s="69" t="str" cm="1">
        <f t="array" ref="J72">_xlfn.LET(_xlpm.cls,A72, _xlpm.ord,IFERROR(B72,"#N/C"), _xlpm.subord,IFERROR(C72,"#N/C"), _xlpm.infr,IFERROR(D72,"#N/C"), _xlpm.sf,IFERROR(E72,"#N/C"), _xlpm.fam,IFERROR(F72,"#N/C"), _xlpm.subfam,IF(TRIM(G72)="-","#N/C",IFERROR(G72,"#N/C")),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_xlpm.fallback,IF(IFERROR(B72,"#N/C")="#N/C",A72,IF(IFERROR(C72,"#N/C")="#N/C",B72,IF(IFERROR(D72,"#N/C")="#N/C",C72,IF(IFERROR(E72,"#N/C")="#N/C",D72,IF(IFERROR(F72,"#N/C")="#N/C",E72,IF(IFERROR(G72,"#N/C")="#N/C",F72,"#N/C")))))), _xlpm.finalResult,IF(OR(_xlpm.computedResult="",_xlpm.computedResult="#N/C"),_xlpm.fallback,_xlpm.computedResult), INDEX(_xlpm.finalResult,1))</f>
        <v>flesh_fly</v>
      </c>
      <c r="K72" s="47" t="str">
        <f t="shared" si="1"/>
        <v>Insecta.Diptera.Brachycera.Muscomorpha.Oestroidea.Tachinidae.#N/C.#N/C.#N/C</v>
      </c>
      <c r="L72" s="46">
        <f>+COUNTIF([1]Monitoring!AN:AN,K72)</f>
        <v>2</v>
      </c>
    </row>
    <row r="73" spans="1:12" x14ac:dyDescent="0.3">
      <c r="A73" s="48" t="s">
        <v>37</v>
      </c>
      <c r="B73" s="48" t="s">
        <v>38</v>
      </c>
      <c r="C73" s="48" t="s">
        <v>39</v>
      </c>
      <c r="D73" s="49" t="str">
        <f>+IFERROR(IF(E73="#N/C","#N/C",INDEX([1]ClassificationClasses!D:D,MATCH(E73,[1]ClassificationClasses!E:E,0))),"ERROR")</f>
        <v>Muscomorpha</v>
      </c>
      <c r="E73" s="48" t="s">
        <v>335</v>
      </c>
      <c r="F73" s="48" t="s">
        <v>525</v>
      </c>
      <c r="G73" s="48" t="s">
        <v>766</v>
      </c>
      <c r="H73" s="50" t="s">
        <v>35</v>
      </c>
      <c r="I73" s="50" t="s">
        <v>35</v>
      </c>
      <c r="J73" s="69" t="str" cm="1">
        <f t="array" ref="J73">_xlfn.LET(_xlpm.cls,A73, _xlpm.ord,IFERROR(B73,"#N/C"), _xlpm.subord,IFERROR(C73,"#N/C"), _xlpm.infr,IFERROR(D73,"#N/C"), _xlpm.sf,IFERROR(E73,"#N/C"), _xlpm.fam,IFERROR(F73,"#N/C"), _xlpm.subfam,IF(TRIM(G73)="-","#N/C",IFERROR(G73,"#N/C")),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_xlpm.fallback,IF(IFERROR(B73,"#N/C")="#N/C",A73,IF(IFERROR(C73,"#N/C")="#N/C",B73,IF(IFERROR(D73,"#N/C")="#N/C",C73,IF(IFERROR(E73,"#N/C")="#N/C",D73,IF(IFERROR(F73,"#N/C")="#N/C",E73,IF(IFERROR(G73,"#N/C")="#N/C",F73,"#N/C")))))), _xlpm.finalResult,IF(OR(_xlpm.computedResult="",_xlpm.computedResult="#N/C"),_xlpm.fallback,_xlpm.computedResult), INDEX(_xlpm.finalResult,1))</f>
        <v>flesh_fly</v>
      </c>
      <c r="K73" s="47" t="str">
        <f t="shared" si="1"/>
        <v>Insecta.Diptera.Brachycera.Muscomorpha.Oestroidea.Tachinidae.Exoristinae.#N/C.#N/C</v>
      </c>
      <c r="L73" s="46">
        <f>+COUNTIF([1]Monitoring!AN:AN,K73)</f>
        <v>1</v>
      </c>
    </row>
    <row r="74" spans="1:12" x14ac:dyDescent="0.3">
      <c r="A74" s="48" t="s">
        <v>37</v>
      </c>
      <c r="B74" s="48" t="s">
        <v>38</v>
      </c>
      <c r="C74" s="48" t="s">
        <v>39</v>
      </c>
      <c r="D74" s="49" t="str">
        <f>+IFERROR(IF(E74="#N/C","#N/C",INDEX([1]ClassificationClasses!D:D,MATCH(E74,[1]ClassificationClasses!E:E,0))),"ERROR")</f>
        <v>Muscomorpha</v>
      </c>
      <c r="E74" s="48" t="s">
        <v>335</v>
      </c>
      <c r="F74" s="48" t="s">
        <v>525</v>
      </c>
      <c r="G74" s="48" t="s">
        <v>526</v>
      </c>
      <c r="H74" s="50" t="s">
        <v>712</v>
      </c>
      <c r="I74" s="50" t="s">
        <v>35</v>
      </c>
      <c r="J74" s="69" t="str" cm="1">
        <f t="array" ref="J74">_xlfn.LET(_xlpm.cls,A74, _xlpm.ord,IFERROR(B74,"#N/C"), _xlpm.subord,IFERROR(C74,"#N/C"), _xlpm.infr,IFERROR(D74,"#N/C"), _xlpm.sf,IFERROR(E74,"#N/C"), _xlpm.fam,IFERROR(F74,"#N/C"), _xlpm.subfam,IF(TRIM(G74)="-","#N/C",IFERROR(G74,"#N/C")),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_xlpm.fallback,IF(IFERROR(B74,"#N/C")="#N/C",A74,IF(IFERROR(C74,"#N/C")="#N/C",B74,IF(IFERROR(D74,"#N/C")="#N/C",C74,IF(IFERROR(E74,"#N/C")="#N/C",D74,IF(IFERROR(F74,"#N/C")="#N/C",E74,IF(IFERROR(G74,"#N/C")="#N/C",F74,"#N/C")))))), _xlpm.finalResult,IF(OR(_xlpm.computedResult="",_xlpm.computedResult="#N/C"),_xlpm.fallback,_xlpm.computedResult), INDEX(_xlpm.finalResult,1))</f>
        <v>flesh_fly</v>
      </c>
      <c r="K74" s="47" t="str">
        <f t="shared" si="1"/>
        <v>Insecta.Diptera.Brachycera.Muscomorpha.Oestroidea.Tachinidae.Phasiinae.Ectophasia.#N/C</v>
      </c>
      <c r="L74" s="46">
        <f>+COUNTIF([1]Monitoring!AN:AN,K74)</f>
        <v>0</v>
      </c>
    </row>
    <row r="75" spans="1:12" x14ac:dyDescent="0.3">
      <c r="A75" s="49" t="s">
        <v>37</v>
      </c>
      <c r="B75" s="49" t="s">
        <v>38</v>
      </c>
      <c r="C75" s="49" t="s">
        <v>39</v>
      </c>
      <c r="D75" s="49" t="str">
        <f>+IFERROR(IF(E75="#N/C","#N/C",INDEX([1]ClassificationClasses!D:D,MATCH(E75,[1]ClassificationClasses!E:E,0))),"ERROR")</f>
        <v>Muscomorpha</v>
      </c>
      <c r="E75" s="49" t="s">
        <v>335</v>
      </c>
      <c r="F75" s="49" t="s">
        <v>525</v>
      </c>
      <c r="G75" s="49" t="s">
        <v>526</v>
      </c>
      <c r="H75" s="51" t="s">
        <v>527</v>
      </c>
      <c r="I75" s="51" t="s">
        <v>35</v>
      </c>
      <c r="J75" s="69" t="str" cm="1">
        <f t="array" ref="J75">_xlfn.LET(_xlpm.cls,A75, _xlpm.ord,IFERROR(B75,"#N/C"), _xlpm.subord,IFERROR(C75,"#N/C"), _xlpm.infr,IFERROR(D75,"#N/C"), _xlpm.sf,IFERROR(E75,"#N/C"), _xlpm.fam,IFERROR(F75,"#N/C"), _xlpm.subfam,IF(TRIM(G75)="-","#N/C",IFERROR(G75,"#N/C")),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_xlpm.fallback,IF(IFERROR(B75,"#N/C")="#N/C",A75,IF(IFERROR(C75,"#N/C")="#N/C",B75,IF(IFERROR(D75,"#N/C")="#N/C",C75,IF(IFERROR(E75,"#N/C")="#N/C",D75,IF(IFERROR(F75,"#N/C")="#N/C",E75,IF(IFERROR(G75,"#N/C")="#N/C",F75,"#N/C")))))), _xlpm.finalResult,IF(OR(_xlpm.computedResult="",_xlpm.computedResult="#N/C"),_xlpm.fallback,_xlpm.computedResult), INDEX(_xlpm.finalResult,1))</f>
        <v>flesh_fly</v>
      </c>
      <c r="K75" s="47" t="str">
        <f t="shared" si="1"/>
        <v>Insecta.Diptera.Brachycera.Muscomorpha.Oestroidea.Tachinidae.Phasiinae.Gymnosoma.#N/C</v>
      </c>
      <c r="L75" s="46">
        <f>+COUNTIF([1]Monitoring!AN:AN,K75)</f>
        <v>0</v>
      </c>
    </row>
    <row r="76" spans="1:12" x14ac:dyDescent="0.3">
      <c r="A76" s="49" t="s">
        <v>37</v>
      </c>
      <c r="B76" s="49" t="s">
        <v>38</v>
      </c>
      <c r="C76" s="49" t="s">
        <v>39</v>
      </c>
      <c r="D76" s="49" t="str">
        <f>+IFERROR(IF(E76="#N/C","#N/C",INDEX([1]ClassificationClasses!D:D,MATCH(E76,[1]ClassificationClasses!E:E,0))),"ERROR")</f>
        <v>Muscomorpha</v>
      </c>
      <c r="E76" s="49" t="s">
        <v>335</v>
      </c>
      <c r="F76" s="49" t="s">
        <v>525</v>
      </c>
      <c r="G76" s="49" t="s">
        <v>767</v>
      </c>
      <c r="H76" s="51" t="s">
        <v>768</v>
      </c>
      <c r="I76" s="51" t="s">
        <v>35</v>
      </c>
      <c r="J76" s="69" t="str" cm="1">
        <f t="array" ref="J76">_xlfn.LET(_xlpm.cls,A76, _xlpm.ord,IFERROR(B76,"#N/C"), _xlpm.subord,IFERROR(C76,"#N/C"), _xlpm.infr,IFERROR(D76,"#N/C"), _xlpm.sf,IFERROR(E76,"#N/C"), _xlpm.fam,IFERROR(F76,"#N/C"), _xlpm.subfam,IF(TRIM(G76)="-","#N/C",IFERROR(G76,"#N/C")),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_xlpm.fallback,IF(IFERROR(B76,"#N/C")="#N/C",A76,IF(IFERROR(C76,"#N/C")="#N/C",B76,IF(IFERROR(D76,"#N/C")="#N/C",C76,IF(IFERROR(E76,"#N/C")="#N/C",D76,IF(IFERROR(F76,"#N/C")="#N/C",E76,IF(IFERROR(G76,"#N/C")="#N/C",F76,"#N/C")))))), _xlpm.finalResult,IF(OR(_xlpm.computedResult="",_xlpm.computedResult="#N/C"),_xlpm.fallback,_xlpm.computedResult), INDEX(_xlpm.finalResult,1))</f>
        <v>flesh_fly</v>
      </c>
      <c r="K76" s="47" t="str">
        <f t="shared" si="1"/>
        <v>Insecta.Diptera.Brachycera.Muscomorpha.Oestroidea.Tachinidae.Tachininae.Tachina.#N/C</v>
      </c>
      <c r="L76" s="46">
        <f>+COUNTIF([1]Monitoring!AN:AN,K76)</f>
        <v>7</v>
      </c>
    </row>
    <row r="77" spans="1:12" x14ac:dyDescent="0.3">
      <c r="A77" s="48" t="s">
        <v>37</v>
      </c>
      <c r="B77" s="48" t="s">
        <v>38</v>
      </c>
      <c r="C77" s="48" t="s">
        <v>39</v>
      </c>
      <c r="D77" s="49" t="str">
        <f>+IFERROR(IF(E77="#N/C","#N/C",INDEX([1]ClassificationClasses!D:D,MATCH(E77,[1]ClassificationClasses!E:E,0))),"ERROR")</f>
        <v>Muscomorpha</v>
      </c>
      <c r="E77" s="52" t="s">
        <v>233</v>
      </c>
      <c r="F77" s="48" t="s">
        <v>234</v>
      </c>
      <c r="H77" s="50" t="s">
        <v>769</v>
      </c>
      <c r="I77" s="50" t="s">
        <v>770</v>
      </c>
      <c r="J77" s="69" t="str" cm="1">
        <f t="array" ref="J77">_xlfn.LET(_xlpm.cls,A77, _xlpm.ord,IFERROR(B77,"#N/C"), _xlpm.subord,IFERROR(C77,"#N/C"), _xlpm.infr,IFERROR(D77,"#N/C"), _xlpm.sf,IFERROR(E77,"#N/C"), _xlpm.fam,IFERROR(F77,"#N/C"), _xlpm.subfam,IF(TRIM(G77)="-","#N/C",IFERROR(G77,"#N/C")),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_xlpm.fallback,IF(IFERROR(B77,"#N/C")="#N/C",A77,IF(IFERROR(C77,"#N/C")="#N/C",B77,IF(IFERROR(D77,"#N/C")="#N/C",C77,IF(IFERROR(E77,"#N/C")="#N/C",D77,IF(IFERROR(F77,"#N/C")="#N/C",E77,IF(IFERROR(G77,"#N/C")="#N/C",F77,"#N/C")))))), _xlpm.finalResult,IF(OR(_xlpm.computedResult="",_xlpm.computedResult="#N/C"),_xlpm.fallback,_xlpm.computedResult), INDEX(_xlpm.finalResult,1))</f>
        <v>fly</v>
      </c>
      <c r="K77" s="47" t="str">
        <f t="shared" si="1"/>
        <v>Insecta.Diptera.Brachycera.Muscomorpha.Opomyzoidea.Opomyzidae..Geomyza.tripunctata</v>
      </c>
      <c r="L77" s="46">
        <f>+COUNTIF([1]Monitoring!AN:AN,K77)</f>
        <v>0</v>
      </c>
    </row>
    <row r="78" spans="1:12" x14ac:dyDescent="0.3">
      <c r="A78" s="49" t="s">
        <v>37</v>
      </c>
      <c r="B78" s="49" t="s">
        <v>38</v>
      </c>
      <c r="C78" s="49" t="s">
        <v>39</v>
      </c>
      <c r="D78" s="49" t="str">
        <f>+IFERROR(IF(E78="#N/C","#N/C",INDEX([1]ClassificationClasses!D:D,MATCH(E78,[1]ClassificationClasses!E:E,0))),"ERROR")</f>
        <v>Muscomorpha</v>
      </c>
      <c r="E78" s="53" t="s">
        <v>233</v>
      </c>
      <c r="F78" s="49" t="s">
        <v>234</v>
      </c>
      <c r="G78" s="49" t="s">
        <v>35</v>
      </c>
      <c r="H78" s="51" t="s">
        <v>35</v>
      </c>
      <c r="I78" s="51" t="s">
        <v>35</v>
      </c>
      <c r="J78" s="69" t="str" cm="1">
        <f t="array" ref="J78">_xlfn.LET(_xlpm.cls,A78, _xlpm.ord,IFERROR(B78,"#N/C"), _xlpm.subord,IFERROR(C78,"#N/C"), _xlpm.infr,IFERROR(D78,"#N/C"), _xlpm.sf,IFERROR(E78,"#N/C"), _xlpm.fam,IFERROR(F78,"#N/C"), _xlpm.subfam,IF(TRIM(G78)="-","#N/C",IFERROR(G78,"#N/C")),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_xlpm.fallback,IF(IFERROR(B78,"#N/C")="#N/C",A78,IF(IFERROR(C78,"#N/C")="#N/C",B78,IF(IFERROR(D78,"#N/C")="#N/C",C78,IF(IFERROR(E78,"#N/C")="#N/C",D78,IF(IFERROR(F78,"#N/C")="#N/C",E78,IF(IFERROR(G78,"#N/C")="#N/C",F78,"#N/C")))))), _xlpm.finalResult,IF(OR(_xlpm.computedResult="",_xlpm.computedResult="#N/C"),_xlpm.fallback,_xlpm.computedResult), INDEX(_xlpm.finalResult,1))</f>
        <v>fly</v>
      </c>
      <c r="K78" s="47" t="str">
        <f t="shared" si="1"/>
        <v>Insecta.Diptera.Brachycera.Muscomorpha.Opomyzoidea.Opomyzidae.#N/C.#N/C.#N/C</v>
      </c>
      <c r="L78" s="46">
        <f>+COUNTIF([1]Monitoring!AN:AN,K78)</f>
        <v>0</v>
      </c>
    </row>
    <row r="79" spans="1:12" x14ac:dyDescent="0.3">
      <c r="A79" s="49" t="s">
        <v>37</v>
      </c>
      <c r="B79" s="49" t="s">
        <v>38</v>
      </c>
      <c r="C79" s="49" t="s">
        <v>39</v>
      </c>
      <c r="D79" s="49" t="str">
        <f>+IFERROR(IF(E79="#N/C","#N/C",INDEX([1]ClassificationClasses!D:D,MATCH(E79,[1]ClassificationClasses!E:E,0))),"ERROR")</f>
        <v>Muscomorpha</v>
      </c>
      <c r="E79" s="53" t="s">
        <v>771</v>
      </c>
      <c r="F79" s="49" t="s">
        <v>772</v>
      </c>
      <c r="G79" s="49"/>
      <c r="H79" s="51" t="s">
        <v>773</v>
      </c>
      <c r="I79" s="51" t="s">
        <v>35</v>
      </c>
      <c r="J79" s="69" t="str" cm="1">
        <f t="array" ref="J79">_xlfn.LET(_xlpm.cls,A79, _xlpm.ord,IFERROR(B79,"#N/C"), _xlpm.subord,IFERROR(C79,"#N/C"), _xlpm.infr,IFERROR(D79,"#N/C"), _xlpm.sf,IFERROR(E79,"#N/C"), _xlpm.fam,IFERROR(F79,"#N/C"), _xlpm.subfam,IF(TRIM(G79)="-","#N/C",IFERROR(G79,"#N/C")),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_xlpm.fallback,IF(IFERROR(B79,"#N/C")="#N/C",A79,IF(IFERROR(C79,"#N/C")="#N/C",B79,IF(IFERROR(D79,"#N/C")="#N/C",C79,IF(IFERROR(E79,"#N/C")="#N/C",D79,IF(IFERROR(F79,"#N/C")="#N/C",E79,IF(IFERROR(G79,"#N/C")="#N/C",F79,"#N/C")))))), _xlpm.finalResult,IF(OR(_xlpm.computedResult="",_xlpm.computedResult="#N/C"),_xlpm.fallback,_xlpm.computedResult), INDEX(_xlpm.finalResult,1))</f>
        <v>fly</v>
      </c>
      <c r="K79" s="47" t="str">
        <f t="shared" si="1"/>
        <v>Insecta.Diptera.Brachycera.Muscomorpha.Phoroidea.Lonchopteridae..Lonchoptera.#N/C</v>
      </c>
      <c r="L79" s="46">
        <f>+COUNTIF([1]Monitoring!AN:AN,K79)</f>
        <v>0</v>
      </c>
    </row>
    <row r="80" spans="1:12" x14ac:dyDescent="0.3">
      <c r="A80" s="49" t="s">
        <v>37</v>
      </c>
      <c r="B80" s="49" t="s">
        <v>38</v>
      </c>
      <c r="C80" s="49" t="s">
        <v>39</v>
      </c>
      <c r="D80" s="49" t="str">
        <f>+IFERROR(IF(E80="#N/C","#N/C",INDEX([1]ClassificationClasses!D:D,MATCH(E80,[1]ClassificationClasses!E:E,0))),"ERROR")</f>
        <v>Muscomorpha</v>
      </c>
      <c r="E80" s="53" t="s">
        <v>771</v>
      </c>
      <c r="F80" s="49" t="s">
        <v>774</v>
      </c>
      <c r="G80" s="49" t="s">
        <v>35</v>
      </c>
      <c r="H80" s="51" t="s">
        <v>35</v>
      </c>
      <c r="I80" s="51" t="s">
        <v>35</v>
      </c>
      <c r="J80" s="69" t="str" cm="1">
        <f t="array" ref="J80">_xlfn.LET(_xlpm.cls,A80, _xlpm.ord,IFERROR(B80,"#N/C"), _xlpm.subord,IFERROR(C80,"#N/C"), _xlpm.infr,IFERROR(D80,"#N/C"), _xlpm.sf,IFERROR(E80,"#N/C"), _xlpm.fam,IFERROR(F80,"#N/C"), _xlpm.subfam,IF(TRIM(G80)="-","#N/C",IFERROR(G80,"#N/C")),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_xlpm.fallback,IF(IFERROR(B80,"#N/C")="#N/C",A80,IF(IFERROR(C80,"#N/C")="#N/C",B80,IF(IFERROR(D80,"#N/C")="#N/C",C80,IF(IFERROR(E80,"#N/C")="#N/C",D80,IF(IFERROR(F80,"#N/C")="#N/C",E80,IF(IFERROR(G80,"#N/C")="#N/C",F80,"#N/C")))))), _xlpm.finalResult,IF(OR(_xlpm.computedResult="",_xlpm.computedResult="#N/C"),_xlpm.fallback,_xlpm.computedResult), INDEX(_xlpm.finalResult,1))</f>
        <v>fly</v>
      </c>
      <c r="K80" s="47" t="str">
        <f t="shared" si="1"/>
        <v>Insecta.Diptera.Brachycera.Muscomorpha.Phoroidea.Phoridae.#N/C.#N/C.#N/C</v>
      </c>
      <c r="L80" s="46">
        <f>+COUNTIF([1]Monitoring!AN:AN,K80)</f>
        <v>1</v>
      </c>
    </row>
    <row r="81" spans="1:12" x14ac:dyDescent="0.3">
      <c r="A81" s="48" t="s">
        <v>37</v>
      </c>
      <c r="B81" s="48" t="s">
        <v>38</v>
      </c>
      <c r="C81" s="48" t="s">
        <v>39</v>
      </c>
      <c r="D81" s="49" t="str">
        <f>+IFERROR(IF(E81="#N/C","#N/C",INDEX([1]ClassificationClasses!D:D,MATCH(E81,[1]ClassificationClasses!E:E,0))),"ERROR")</f>
        <v>Muscomorpha</v>
      </c>
      <c r="E81" s="52" t="s">
        <v>771</v>
      </c>
      <c r="F81" s="48" t="s">
        <v>774</v>
      </c>
      <c r="G81" s="48" t="s">
        <v>775</v>
      </c>
      <c r="H81" s="50" t="s">
        <v>776</v>
      </c>
      <c r="I81" s="50" t="s">
        <v>35</v>
      </c>
      <c r="J81" s="69" t="str" cm="1">
        <f t="array" ref="J81">_xlfn.LET(_xlpm.cls,A81, _xlpm.ord,IFERROR(B81,"#N/C"), _xlpm.subord,IFERROR(C81,"#N/C"), _xlpm.infr,IFERROR(D81,"#N/C"), _xlpm.sf,IFERROR(E81,"#N/C"), _xlpm.fam,IFERROR(F81,"#N/C"), _xlpm.subfam,IF(TRIM(G81)="-","#N/C",IFERROR(G81,"#N/C")),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_xlpm.fallback,IF(IFERROR(B81,"#N/C")="#N/C",A81,IF(IFERROR(C81,"#N/C")="#N/C",B81,IF(IFERROR(D81,"#N/C")="#N/C",C81,IF(IFERROR(E81,"#N/C")="#N/C",D81,IF(IFERROR(F81,"#N/C")="#N/C",E81,IF(IFERROR(G81,"#N/C")="#N/C",F81,"#N/C")))))), _xlpm.finalResult,IF(OR(_xlpm.computedResult="",_xlpm.computedResult="#N/C"),_xlpm.fallback,_xlpm.computedResult), INDEX(_xlpm.finalResult,1))</f>
        <v>fly</v>
      </c>
      <c r="K81" s="47" t="str">
        <f t="shared" si="1"/>
        <v>Insecta.Diptera.Brachycera.Muscomorpha.Phoroidea.Phoridae.Metopininae.Megaselia.#N/C</v>
      </c>
      <c r="L81" s="46">
        <f>+COUNTIF([1]Monitoring!AN:AN,K81)</f>
        <v>1</v>
      </c>
    </row>
    <row r="82" spans="1:12" x14ac:dyDescent="0.3">
      <c r="A82" s="49" t="s">
        <v>37</v>
      </c>
      <c r="B82" s="49" t="s">
        <v>38</v>
      </c>
      <c r="C82" s="49" t="s">
        <v>39</v>
      </c>
      <c r="D82" s="49" t="str">
        <f>+IFERROR(IF(E82="#N/C","#N/C",INDEX([1]ClassificationClasses!D:D,MATCH(E82,[1]ClassificationClasses!E:E,0))),"ERROR")</f>
        <v>Tabanomorpha</v>
      </c>
      <c r="E82" s="49" t="s">
        <v>642</v>
      </c>
      <c r="F82" s="49" t="s">
        <v>643</v>
      </c>
      <c r="G82" s="49" t="s">
        <v>644</v>
      </c>
      <c r="H82" s="51" t="s">
        <v>645</v>
      </c>
      <c r="I82" s="51" t="s">
        <v>646</v>
      </c>
      <c r="J82" s="69" t="str" cm="1">
        <f t="array" ref="J82">_xlfn.LET(_xlpm.cls,A82, _xlpm.ord,IFERROR(B82,"#N/C"), _xlpm.subord,IFERROR(C82,"#N/C"), _xlpm.infr,IFERROR(D82,"#N/C"), _xlpm.sf,IFERROR(E82,"#N/C"), _xlpm.fam,IFERROR(F82,"#N/C"), _xlpm.subfam,IF(TRIM(G82)="-","#N/C",IFERROR(G82,"#N/C")),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_xlpm.fallback,IF(IFERROR(B82,"#N/C")="#N/C",A82,IF(IFERROR(C82,"#N/C")="#N/C",B82,IF(IFERROR(D82,"#N/C")="#N/C",C82,IF(IFERROR(E82,"#N/C")="#N/C",D82,IF(IFERROR(F82,"#N/C")="#N/C",E82,IF(IFERROR(G82,"#N/C")="#N/C",F82,"#N/C")))))), _xlpm.finalResult,IF(OR(_xlpm.computedResult="",_xlpm.computedResult="#N/C"),_xlpm.fallback,_xlpm.computedResult), INDEX(_xlpm.finalResult,1))</f>
        <v>snipe_fly</v>
      </c>
      <c r="K82" s="47" t="str">
        <f t="shared" si="1"/>
        <v>Insecta.Diptera.Brachycera.Tabanomorpha.Rhagionoidea.Rhagionidae.Rhagioninae.Rhagio.tringarius</v>
      </c>
      <c r="L82" s="46">
        <f>+COUNTIF([1]Monitoring!AN:AN,K82)</f>
        <v>0</v>
      </c>
    </row>
    <row r="83" spans="1:12" x14ac:dyDescent="0.3">
      <c r="A83" s="54" t="s">
        <v>37</v>
      </c>
      <c r="B83" s="54" t="s">
        <v>38</v>
      </c>
      <c r="C83" s="54" t="s">
        <v>39</v>
      </c>
      <c r="D83" s="49" t="str">
        <f>+IFERROR(IF(E83="#N/C","#N/C",INDEX([1]ClassificationClasses!D:D,MATCH(E83,[1]ClassificationClasses!E:E,0))),"ERROR")</f>
        <v>Muscomorpha</v>
      </c>
      <c r="E83" s="54" t="s">
        <v>161</v>
      </c>
      <c r="F83" s="54" t="s">
        <v>639</v>
      </c>
      <c r="G83" s="54" t="s">
        <v>640</v>
      </c>
      <c r="H83" s="55" t="s">
        <v>641</v>
      </c>
      <c r="I83" s="55" t="s">
        <v>35</v>
      </c>
      <c r="J83" s="69" t="str" cm="1">
        <f t="array" ref="J83">_xlfn.LET(_xlpm.cls,A83, _xlpm.ord,IFERROR(B83,"#N/C"), _xlpm.subord,IFERROR(C83,"#N/C"), _xlpm.infr,IFERROR(D83,"#N/C"), _xlpm.sf,IFERROR(E83,"#N/C"), _xlpm.fam,IFERROR(F83,"#N/C"), _xlpm.subfam,IF(TRIM(G83)="-","#N/C",IFERROR(G83,"#N/C")),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_xlpm.fallback,IF(IFERROR(B83,"#N/C")="#N/C",A83,IF(IFERROR(C83,"#N/C")="#N/C",B83,IF(IFERROR(D83,"#N/C")="#N/C",C83,IF(IFERROR(E83,"#N/C")="#N/C",D83,IF(IFERROR(F83,"#N/C")="#N/C",E83,IF(IFERROR(G83,"#N/C")="#N/C",F83,"#N/C")))))), _xlpm.finalResult,IF(OR(_xlpm.computedResult="",_xlpm.computedResult="#N/C"),_xlpm.fallback,_xlpm.computedResult), INDEX(_xlpm.finalResult,1))</f>
        <v>marsh_fly</v>
      </c>
      <c r="K83" s="47" t="str">
        <f t="shared" si="1"/>
        <v>Insecta.Diptera.Brachycera.Muscomorpha.Sciomyzoidea.Sciomyzidae.Sciomyzinae.Tetanocera.#N/C</v>
      </c>
      <c r="L83" s="46">
        <f>+COUNTIF([1]Monitoring!AN:AN,K83)</f>
        <v>0</v>
      </c>
    </row>
    <row r="84" spans="1:12" x14ac:dyDescent="0.3">
      <c r="A84" s="48" t="s">
        <v>37</v>
      </c>
      <c r="B84" s="48" t="s">
        <v>38</v>
      </c>
      <c r="C84" s="48" t="s">
        <v>39</v>
      </c>
      <c r="D84" s="49" t="str">
        <f>+IFERROR(IF(E84="#N/C","#N/C",INDEX([1]ClassificationClasses!D:D,MATCH(E84,[1]ClassificationClasses!E:E,0))),"ERROR")</f>
        <v>Muscomorpha</v>
      </c>
      <c r="E84" s="48" t="s">
        <v>161</v>
      </c>
      <c r="F84" s="48" t="s">
        <v>162</v>
      </c>
      <c r="G84" s="48" t="s">
        <v>35</v>
      </c>
      <c r="H84" s="50" t="s">
        <v>35</v>
      </c>
      <c r="I84" s="50" t="s">
        <v>35</v>
      </c>
      <c r="J84" s="69" t="str" cm="1">
        <f t="array" ref="J84">_xlfn.LET(_xlpm.cls,A84, _xlpm.ord,IFERROR(B84,"#N/C"), _xlpm.subord,IFERROR(C84,"#N/C"), _xlpm.infr,IFERROR(D84,"#N/C"), _xlpm.sf,IFERROR(E84,"#N/C"), _xlpm.fam,IFERROR(F84,"#N/C"), _xlpm.subfam,IF(TRIM(G84)="-","#N/C",IFERROR(G84,"#N/C")),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_xlpm.fallback,IF(IFERROR(B84,"#N/C")="#N/C",A84,IF(IFERROR(C84,"#N/C")="#N/C",B84,IF(IFERROR(D84,"#N/C")="#N/C",C84,IF(IFERROR(E84,"#N/C")="#N/C",D84,IF(IFERROR(F84,"#N/C")="#N/C",E84,IF(IFERROR(G84,"#N/C")="#N/C",F84,"#N/C")))))), _xlpm.finalResult,IF(OR(_xlpm.computedResult="",_xlpm.computedResult="#N/C"),_xlpm.fallback,_xlpm.computedResult), INDEX(_xlpm.finalResult,1))</f>
        <v>scavenger_fly</v>
      </c>
      <c r="K84" s="47" t="str">
        <f t="shared" si="1"/>
        <v>Insecta.Diptera.Brachycera.Muscomorpha.Sciomyzoidea.Sepsidae.#N/C.#N/C.#N/C</v>
      </c>
      <c r="L84" s="46">
        <f>+COUNTIF([1]Monitoring!AN:AN,K84)</f>
        <v>2</v>
      </c>
    </row>
    <row r="85" spans="1:12" x14ac:dyDescent="0.3">
      <c r="A85" s="48" t="s">
        <v>37</v>
      </c>
      <c r="B85" s="48" t="s">
        <v>38</v>
      </c>
      <c r="C85" s="48" t="s">
        <v>39</v>
      </c>
      <c r="D85" s="49" t="str">
        <f>+IFERROR(IF(E85="#N/C","#N/C",INDEX([1]ClassificationClasses!D:D,MATCH(E85,[1]ClassificationClasses!E:E,0))),"ERROR")</f>
        <v>Muscomorpha</v>
      </c>
      <c r="E85" s="48" t="s">
        <v>161</v>
      </c>
      <c r="F85" s="48" t="s">
        <v>162</v>
      </c>
      <c r="G85" s="48" t="s">
        <v>163</v>
      </c>
      <c r="H85" s="50" t="s">
        <v>777</v>
      </c>
      <c r="I85" s="50" t="s">
        <v>35</v>
      </c>
      <c r="J85" s="69" t="str" cm="1">
        <f t="array" ref="J85">_xlfn.LET(_xlpm.cls,A85, _xlpm.ord,IFERROR(B85,"#N/C"), _xlpm.subord,IFERROR(C85,"#N/C"), _xlpm.infr,IFERROR(D85,"#N/C"), _xlpm.sf,IFERROR(E85,"#N/C"), _xlpm.fam,IFERROR(F85,"#N/C"), _xlpm.subfam,IF(TRIM(G85)="-","#N/C",IFERROR(G85,"#N/C")),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_xlpm.fallback,IF(IFERROR(B85,"#N/C")="#N/C",A85,IF(IFERROR(C85,"#N/C")="#N/C",B85,IF(IFERROR(D85,"#N/C")="#N/C",C85,IF(IFERROR(E85,"#N/C")="#N/C",D85,IF(IFERROR(F85,"#N/C")="#N/C",E85,IF(IFERROR(G85,"#N/C")="#N/C",F85,"#N/C")))))), _xlpm.finalResult,IF(OR(_xlpm.computedResult="",_xlpm.computedResult="#N/C"),_xlpm.fallback,_xlpm.computedResult), INDEX(_xlpm.finalResult,1))</f>
        <v>scavenger_fly</v>
      </c>
      <c r="K85" s="47" t="str">
        <f t="shared" si="1"/>
        <v>Insecta.Diptera.Brachycera.Muscomorpha.Sciomyzoidea.Sepsidae.Sepsinae.Parapalaeosepsis.#N/C</v>
      </c>
      <c r="L85" s="46">
        <f>+COUNTIF([1]Monitoring!AN:AN,K85)</f>
        <v>2</v>
      </c>
    </row>
    <row r="86" spans="1:12" x14ac:dyDescent="0.3">
      <c r="A86" s="49" t="s">
        <v>37</v>
      </c>
      <c r="B86" s="49" t="s">
        <v>38</v>
      </c>
      <c r="C86" s="49" t="s">
        <v>39</v>
      </c>
      <c r="D86" s="49" t="str">
        <f>+IFERROR(IF(E86="#N/C","#N/C",INDEX([1]ClassificationClasses!D:D,MATCH(E86,[1]ClassificationClasses!E:E,0))),"ERROR")</f>
        <v>Muscomorpha</v>
      </c>
      <c r="E86" s="49" t="s">
        <v>161</v>
      </c>
      <c r="F86" s="49" t="s">
        <v>162</v>
      </c>
      <c r="G86" s="49" t="s">
        <v>163</v>
      </c>
      <c r="H86" s="51" t="s">
        <v>164</v>
      </c>
      <c r="I86" s="51" t="s">
        <v>35</v>
      </c>
      <c r="J86" s="69" t="str" cm="1">
        <f t="array" ref="J86">_xlfn.LET(_xlpm.cls,A86, _xlpm.ord,IFERROR(B86,"#N/C"), _xlpm.subord,IFERROR(C86,"#N/C"), _xlpm.infr,IFERROR(D86,"#N/C"), _xlpm.sf,IFERROR(E86,"#N/C"), _xlpm.fam,IFERROR(F86,"#N/C"), _xlpm.subfam,IF(TRIM(G86)="-","#N/C",IFERROR(G86,"#N/C")),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_xlpm.fallback,IF(IFERROR(B86,"#N/C")="#N/C",A86,IF(IFERROR(C86,"#N/C")="#N/C",B86,IF(IFERROR(D86,"#N/C")="#N/C",C86,IF(IFERROR(E86,"#N/C")="#N/C",D86,IF(IFERROR(F86,"#N/C")="#N/C",E86,IF(IFERROR(G86,"#N/C")="#N/C",F86,"#N/C")))))), _xlpm.finalResult,IF(OR(_xlpm.computedResult="",_xlpm.computedResult="#N/C"),_xlpm.fallback,_xlpm.computedResult), INDEX(_xlpm.finalResult,1))</f>
        <v>scavenger_fly</v>
      </c>
      <c r="K86" s="47" t="str">
        <f t="shared" si="1"/>
        <v>Insecta.Diptera.Brachycera.Muscomorpha.Sciomyzoidea.Sepsidae.Sepsinae.Sepsis.#N/C</v>
      </c>
      <c r="L86" s="46">
        <f>+COUNTIF([1]Monitoring!AN:AN,K86)</f>
        <v>0</v>
      </c>
    </row>
    <row r="87" spans="1:12" x14ac:dyDescent="0.3">
      <c r="A87" s="49" t="s">
        <v>37</v>
      </c>
      <c r="B87" s="49" t="s">
        <v>38</v>
      </c>
      <c r="C87" s="49" t="s">
        <v>39</v>
      </c>
      <c r="D87" s="49" t="str">
        <f>+IFERROR(IF(E87="#N/C","#N/C",INDEX([1]ClassificationClasses!D:D,MATCH(E87,[1]ClassificationClasses!E:E,0))),"ERROR")</f>
        <v>Muscomorpha</v>
      </c>
      <c r="E87" s="53" t="s">
        <v>778</v>
      </c>
      <c r="F87" s="49" t="s">
        <v>779</v>
      </c>
      <c r="G87" s="49" t="s">
        <v>35</v>
      </c>
      <c r="H87" s="51" t="s">
        <v>35</v>
      </c>
      <c r="I87" s="51" t="s">
        <v>35</v>
      </c>
      <c r="J87" s="69" t="str" cm="1">
        <f t="array" ref="J87">_xlfn.LET(_xlpm.cls,A87, _xlpm.ord,IFERROR(B87,"#N/C"), _xlpm.subord,IFERROR(C87,"#N/C"), _xlpm.infr,IFERROR(D87,"#N/C"), _xlpm.sf,IFERROR(E87,"#N/C"), _xlpm.fam,IFERROR(F87,"#N/C"), _xlpm.subfam,IF(TRIM(G87)="-","#N/C",IFERROR(G87,"#N/C")),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_xlpm.fallback,IF(IFERROR(B87,"#N/C")="#N/C",A87,IF(IFERROR(C87,"#N/C")="#N/C",B87,IF(IFERROR(D87,"#N/C")="#N/C",C87,IF(IFERROR(E87,"#N/C")="#N/C",D87,IF(IFERROR(F87,"#N/C")="#N/C",E87,IF(IFERROR(G87,"#N/C")="#N/C",F87,"#N/C")))))), _xlpm.finalResult,IF(OR(_xlpm.computedResult="",_xlpm.computedResult="#N/C"),_xlpm.fallback,_xlpm.computedResult), INDEX(_xlpm.finalResult,1))</f>
        <v>fly</v>
      </c>
      <c r="K87" s="47" t="str">
        <f t="shared" si="1"/>
        <v>Insecta.Diptera.Brachycera.Muscomorpha.Sphaeroceroidea.Heleomyzidae.#N/C.#N/C.#N/C</v>
      </c>
      <c r="L87" s="46">
        <f>+COUNTIF([1]Monitoring!AN:AN,K87)</f>
        <v>1</v>
      </c>
    </row>
    <row r="88" spans="1:12" x14ac:dyDescent="0.3">
      <c r="A88" s="49" t="s">
        <v>37</v>
      </c>
      <c r="B88" s="49" t="s">
        <v>38</v>
      </c>
      <c r="C88" s="49" t="s">
        <v>39</v>
      </c>
      <c r="D88" s="49" t="str">
        <f>+IFERROR(IF(E88="#N/C","#N/C",INDEX([1]ClassificationClasses!D:D,MATCH(E88,[1]ClassificationClasses!E:E,0))),"ERROR")</f>
        <v>Muscomorpha</v>
      </c>
      <c r="E88" s="53" t="s">
        <v>778</v>
      </c>
      <c r="F88" s="49" t="s">
        <v>780</v>
      </c>
      <c r="G88" s="49" t="s">
        <v>35</v>
      </c>
      <c r="H88" s="51" t="s">
        <v>35</v>
      </c>
      <c r="I88" s="51" t="s">
        <v>35</v>
      </c>
      <c r="J88" s="69" t="str" cm="1">
        <f t="array" ref="J88">_xlfn.LET(_xlpm.cls,A88, _xlpm.ord,IFERROR(B88,"#N/C"), _xlpm.subord,IFERROR(C88,"#N/C"), _xlpm.infr,IFERROR(D88,"#N/C"), _xlpm.sf,IFERROR(E88,"#N/C"), _xlpm.fam,IFERROR(F88,"#N/C"), _xlpm.subfam,IF(TRIM(G88)="-","#N/C",IFERROR(G88,"#N/C")),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_xlpm.fallback,IF(IFERROR(B88,"#N/C")="#N/C",A88,IF(IFERROR(C88,"#N/C")="#N/C",B88,IF(IFERROR(D88,"#N/C")="#N/C",C88,IF(IFERROR(E88,"#N/C")="#N/C",D88,IF(IFERROR(F88,"#N/C")="#N/C",E88,IF(IFERROR(G88,"#N/C")="#N/C",F88,"#N/C")))))), _xlpm.finalResult,IF(OR(_xlpm.computedResult="",_xlpm.computedResult="#N/C"),_xlpm.fallback,_xlpm.computedResult), INDEX(_xlpm.finalResult,1))</f>
        <v>fly</v>
      </c>
      <c r="K88" s="47" t="str">
        <f t="shared" si="1"/>
        <v>Insecta.Diptera.Brachycera.Muscomorpha.Sphaeroceroidea.Sphaeroceridae.#N/C.#N/C.#N/C</v>
      </c>
      <c r="L88" s="46">
        <f>+COUNTIF([1]Monitoring!AN:AN,K88)</f>
        <v>1</v>
      </c>
    </row>
    <row r="89" spans="1:12" x14ac:dyDescent="0.3">
      <c r="A89" s="48" t="s">
        <v>37</v>
      </c>
      <c r="B89" s="48" t="s">
        <v>38</v>
      </c>
      <c r="C89" s="48" t="s">
        <v>39</v>
      </c>
      <c r="D89" s="49" t="str">
        <f>+IFERROR(IF(E89="#N/C","#N/C",INDEX([1]ClassificationClasses!D:D,MATCH(E89,[1]ClassificationClasses!E:E,0))),"ERROR")</f>
        <v>Stratiomyomorpha</v>
      </c>
      <c r="E89" s="48" t="s">
        <v>405</v>
      </c>
      <c r="F89" s="48" t="s">
        <v>406</v>
      </c>
      <c r="H89" s="50" t="s">
        <v>407</v>
      </c>
      <c r="I89" s="50" t="s">
        <v>35</v>
      </c>
      <c r="J89" s="69" t="str" cm="1">
        <f t="array" ref="J89">_xlfn.LET(_xlpm.cls,A89, _xlpm.ord,IFERROR(B89,"#N/C"), _xlpm.subord,IFERROR(C89,"#N/C"), _xlpm.infr,IFERROR(D89,"#N/C"), _xlpm.sf,IFERROR(E89,"#N/C"), _xlpm.fam,IFERROR(F89,"#N/C"), _xlpm.subfam,IF(TRIM(G89)="-","#N/C",IFERROR(G89,"#N/C")),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_xlpm.fallback,IF(IFERROR(B89,"#N/C")="#N/C",A89,IF(IFERROR(C89,"#N/C")="#N/C",B89,IF(IFERROR(D89,"#N/C")="#N/C",C89,IF(IFERROR(E89,"#N/C")="#N/C",D89,IF(IFERROR(F89,"#N/C")="#N/C",E89,IF(IFERROR(G89,"#N/C")="#N/C",F89,"#N/C")))))), _xlpm.finalResult,IF(OR(_xlpm.computedResult="",_xlpm.computedResult="#N/C"),_xlpm.fallback,_xlpm.computedResult), INDEX(_xlpm.finalResult,1))</f>
        <v>soldier_fly</v>
      </c>
      <c r="K89" s="47" t="str">
        <f t="shared" si="1"/>
        <v>Insecta.Diptera.Brachycera.Stratiomyomorpha.Stratiomyoidea.Xylomyidae..Solva.#N/C</v>
      </c>
      <c r="L89" s="46">
        <f>+COUNTIF([1]Monitoring!AN:AN,K89)</f>
        <v>0</v>
      </c>
    </row>
    <row r="90" spans="1:12" x14ac:dyDescent="0.3">
      <c r="A90" s="49" t="s">
        <v>37</v>
      </c>
      <c r="B90" s="49" t="s">
        <v>38</v>
      </c>
      <c r="C90" s="49" t="s">
        <v>39</v>
      </c>
      <c r="D90" s="49" t="str">
        <f>+IFERROR(IF(E90="#N/C","#N/C",INDEX([1]ClassificationClasses!D:D,MATCH(E90,[1]ClassificationClasses!E:E,0))),"ERROR")</f>
        <v>Muscomorpha</v>
      </c>
      <c r="E90" s="49" t="s">
        <v>46</v>
      </c>
      <c r="F90" s="49" t="s">
        <v>478</v>
      </c>
      <c r="G90" s="49" t="s">
        <v>35</v>
      </c>
      <c r="H90" s="51" t="s">
        <v>35</v>
      </c>
      <c r="I90" s="51" t="s">
        <v>35</v>
      </c>
      <c r="J90" s="69" t="str" cm="1">
        <f t="array" ref="J90">_xlfn.LET(_xlpm.cls,A90, _xlpm.ord,IFERROR(B90,"#N/C"), _xlpm.subord,IFERROR(C90,"#N/C"), _xlpm.infr,IFERROR(D90,"#N/C"), _xlpm.sf,IFERROR(E90,"#N/C"), _xlpm.fam,IFERROR(F90,"#N/C"), _xlpm.subfam,IF(TRIM(G90)="-","#N/C",IFERROR(G90,"#N/C")),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_xlpm.fallback,IF(IFERROR(B90,"#N/C")="#N/C",A90,IF(IFERROR(C90,"#N/C")="#N/C",B90,IF(IFERROR(D90,"#N/C")="#N/C",C90,IF(IFERROR(E90,"#N/C")="#N/C",D90,IF(IFERROR(F90,"#N/C")="#N/C",E90,IF(IFERROR(G90,"#N/C")="#N/C",F90,"#N/C")))))), _xlpm.finalResult,IF(OR(_xlpm.computedResult="",_xlpm.computedResult="#N/C"),_xlpm.fallback,_xlpm.computedResult), INDEX(_xlpm.finalResult,1))</f>
        <v>hoverfly</v>
      </c>
      <c r="K90" s="47" t="str">
        <f t="shared" si="1"/>
        <v>Insecta.Diptera.Brachycera.Muscomorpha.Syrphoidea.Pipunculidae.#N/C.#N/C.#N/C</v>
      </c>
      <c r="L90" s="46">
        <f>+COUNTIF([1]Monitoring!AN:AN,K90)</f>
        <v>0</v>
      </c>
    </row>
    <row r="91" spans="1:12" x14ac:dyDescent="0.3">
      <c r="A91" s="48" t="s">
        <v>37</v>
      </c>
      <c r="B91" s="48" t="s">
        <v>38</v>
      </c>
      <c r="C91" s="48" t="s">
        <v>39</v>
      </c>
      <c r="D91" s="49" t="str">
        <f>+IFERROR(IF(E91="#N/C","#N/C",INDEX([1]ClassificationClasses!D:D,MATCH(E91,[1]ClassificationClasses!E:E,0))),"ERROR")</f>
        <v>Muscomorpha</v>
      </c>
      <c r="E91" s="48" t="s">
        <v>46</v>
      </c>
      <c r="F91" s="48" t="s">
        <v>47</v>
      </c>
      <c r="G91" s="48" t="s">
        <v>781</v>
      </c>
      <c r="H91" s="50" t="s">
        <v>782</v>
      </c>
      <c r="I91" s="50" t="s">
        <v>35</v>
      </c>
      <c r="J91" s="69" t="str" cm="1">
        <f t="array" ref="J91">_xlfn.LET(_xlpm.cls,A91, _xlpm.ord,IFERROR(B91,"#N/C"), _xlpm.subord,IFERROR(C91,"#N/C"), _xlpm.infr,IFERROR(D91,"#N/C"), _xlpm.sf,IFERROR(E91,"#N/C"), _xlpm.fam,IFERROR(F91,"#N/C"), _xlpm.subfam,IF(TRIM(G91)="-","#N/C",IFERROR(G91,"#N/C")),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_xlpm.fallback,IF(IFERROR(B91,"#N/C")="#N/C",A91,IF(IFERROR(C91,"#N/C")="#N/C",B91,IF(IFERROR(D91,"#N/C")="#N/C",C91,IF(IFERROR(E91,"#N/C")="#N/C",D91,IF(IFERROR(F91,"#N/C")="#N/C",E91,IF(IFERROR(G91,"#N/C")="#N/C",F91,"#N/C")))))), _xlpm.finalResult,IF(OR(_xlpm.computedResult="",_xlpm.computedResult="#N/C"),_xlpm.fallback,_xlpm.computedResult), INDEX(_xlpm.finalResult,1))</f>
        <v>hoverfly</v>
      </c>
      <c r="K91" s="47" t="str">
        <f t="shared" si="1"/>
        <v>Insecta.Diptera.Brachycera.Muscomorpha.Syrphoidea.Syrphidae.Eristalinae.Eristalis.#N/C</v>
      </c>
      <c r="L91" s="46">
        <f>+COUNTIF([1]Monitoring!AN:AN,K91)</f>
        <v>1</v>
      </c>
    </row>
    <row r="92" spans="1:12" x14ac:dyDescent="0.3">
      <c r="A92" s="49" t="s">
        <v>37</v>
      </c>
      <c r="B92" s="49" t="s">
        <v>38</v>
      </c>
      <c r="C92" s="49" t="s">
        <v>39</v>
      </c>
      <c r="D92" s="49" t="str">
        <f>+IFERROR(IF(E92="#N/C","#N/C",INDEX([1]ClassificationClasses!D:D,MATCH(E92,[1]ClassificationClasses!E:E,0))),"ERROR")</f>
        <v>Muscomorpha</v>
      </c>
      <c r="E92" s="54" t="s">
        <v>46</v>
      </c>
      <c r="F92" s="54" t="s">
        <v>47</v>
      </c>
      <c r="G92" s="54" t="s">
        <v>48</v>
      </c>
      <c r="H92" s="55" t="s">
        <v>35</v>
      </c>
      <c r="I92" s="55" t="s">
        <v>35</v>
      </c>
      <c r="J92" s="69" t="str" cm="1">
        <f t="array" ref="J92">_xlfn.LET(_xlpm.cls,A92, _xlpm.ord,IFERROR(B92,"#N/C"), _xlpm.subord,IFERROR(C92,"#N/C"), _xlpm.infr,IFERROR(D92,"#N/C"), _xlpm.sf,IFERROR(E92,"#N/C"), _xlpm.fam,IFERROR(F92,"#N/C"), _xlpm.subfam,IF(TRIM(G92)="-","#N/C",IFERROR(G92,"#N/C")),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_xlpm.fallback,IF(IFERROR(B92,"#N/C")="#N/C",A92,IF(IFERROR(C92,"#N/C")="#N/C",B92,IF(IFERROR(D92,"#N/C")="#N/C",C92,IF(IFERROR(E92,"#N/C")="#N/C",D92,IF(IFERROR(F92,"#N/C")="#N/C",E92,IF(IFERROR(G92,"#N/C")="#N/C",F92,"#N/C")))))), _xlpm.finalResult,IF(OR(_xlpm.computedResult="",_xlpm.computedResult="#N/C"),_xlpm.fallback,_xlpm.computedResult), INDEX(_xlpm.finalResult,1))</f>
        <v>hoverfly</v>
      </c>
      <c r="K92" s="47" t="str">
        <f t="shared" si="1"/>
        <v>Insecta.Diptera.Brachycera.Muscomorpha.Syrphoidea.Syrphidae.Syrphinae.#N/C.#N/C</v>
      </c>
      <c r="L92" s="46">
        <f>+COUNTIF([1]Monitoring!AN:AN,K92)</f>
        <v>0</v>
      </c>
    </row>
    <row r="93" spans="1:12" x14ac:dyDescent="0.3">
      <c r="A93" s="48" t="s">
        <v>37</v>
      </c>
      <c r="B93" s="48" t="s">
        <v>38</v>
      </c>
      <c r="C93" s="48" t="s">
        <v>39</v>
      </c>
      <c r="D93" s="49" t="str">
        <f>+IFERROR(IF(E93="#N/C","#N/C",INDEX([1]ClassificationClasses!D:D,MATCH(E93,[1]ClassificationClasses!E:E,0))),"ERROR")</f>
        <v>Muscomorpha</v>
      </c>
      <c r="E93" s="48" t="s">
        <v>46</v>
      </c>
      <c r="F93" s="48" t="s">
        <v>47</v>
      </c>
      <c r="G93" s="48" t="s">
        <v>48</v>
      </c>
      <c r="H93" s="50" t="s">
        <v>783</v>
      </c>
      <c r="I93" s="50" t="s">
        <v>35</v>
      </c>
      <c r="J93" s="69" t="str" cm="1">
        <f t="array" ref="J93">_xlfn.LET(_xlpm.cls,A93, _xlpm.ord,IFERROR(B93,"#N/C"), _xlpm.subord,IFERROR(C93,"#N/C"), _xlpm.infr,IFERROR(D93,"#N/C"), _xlpm.sf,IFERROR(E93,"#N/C"), _xlpm.fam,IFERROR(F93,"#N/C"), _xlpm.subfam,IF(TRIM(G93)="-","#N/C",IFERROR(G93,"#N/C")),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_xlpm.fallback,IF(IFERROR(B93,"#N/C")="#N/C",A93,IF(IFERROR(C93,"#N/C")="#N/C",B93,IF(IFERROR(D93,"#N/C")="#N/C",C93,IF(IFERROR(E93,"#N/C")="#N/C",D93,IF(IFERROR(F93,"#N/C")="#N/C",E93,IF(IFERROR(G93,"#N/C")="#N/C",F93,"#N/C")))))), _xlpm.finalResult,IF(OR(_xlpm.computedResult="",_xlpm.computedResult="#N/C"),_xlpm.fallback,_xlpm.computedResult), INDEX(_xlpm.finalResult,1))</f>
        <v>hoverfly</v>
      </c>
      <c r="K93" s="47" t="str">
        <f t="shared" si="1"/>
        <v>Insecta.Diptera.Brachycera.Muscomorpha.Syrphoidea.Syrphidae.Syrphinae.Dasysyrphus.#N/C</v>
      </c>
      <c r="L93" s="46">
        <f>+COUNTIF([1]Monitoring!AN:AN,K93)</f>
        <v>2</v>
      </c>
    </row>
    <row r="94" spans="1:12" x14ac:dyDescent="0.3">
      <c r="A94" s="49" t="s">
        <v>37</v>
      </c>
      <c r="B94" s="49" t="s">
        <v>38</v>
      </c>
      <c r="C94" s="49" t="s">
        <v>39</v>
      </c>
      <c r="D94" s="49" t="str">
        <f>+IFERROR(IF(E94="#N/C","#N/C",INDEX([1]ClassificationClasses!D:D,MATCH(E94,[1]ClassificationClasses!E:E,0))),"ERROR")</f>
        <v>Muscomorpha</v>
      </c>
      <c r="E94" s="51" t="s">
        <v>46</v>
      </c>
      <c r="F94" s="51" t="s">
        <v>47</v>
      </c>
      <c r="G94" s="51" t="s">
        <v>48</v>
      </c>
      <c r="H94" s="51" t="s">
        <v>784</v>
      </c>
      <c r="I94" s="51" t="s">
        <v>35</v>
      </c>
      <c r="J94" s="69" t="str" cm="1">
        <f t="array" ref="J94">_xlfn.LET(_xlpm.cls,A94, _xlpm.ord,IFERROR(B94,"#N/C"), _xlpm.subord,IFERROR(C94,"#N/C"), _xlpm.infr,IFERROR(D94,"#N/C"), _xlpm.sf,IFERROR(E94,"#N/C"), _xlpm.fam,IFERROR(F94,"#N/C"), _xlpm.subfam,IF(TRIM(G94)="-","#N/C",IFERROR(G94,"#N/C")),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_xlpm.fallback,IF(IFERROR(B94,"#N/C")="#N/C",A94,IF(IFERROR(C94,"#N/C")="#N/C",B94,IF(IFERROR(D94,"#N/C")="#N/C",C94,IF(IFERROR(E94,"#N/C")="#N/C",D94,IF(IFERROR(F94,"#N/C")="#N/C",E94,IF(IFERROR(G94,"#N/C")="#N/C",F94,"#N/C")))))), _xlpm.finalResult,IF(OR(_xlpm.computedResult="",_xlpm.computedResult="#N/C"),_xlpm.fallback,_xlpm.computedResult), INDEX(_xlpm.finalResult,1))</f>
        <v>hoverfly</v>
      </c>
      <c r="K94" s="47" t="str">
        <f t="shared" si="1"/>
        <v>Insecta.Diptera.Brachycera.Muscomorpha.Syrphoidea.Syrphidae.Syrphinae.Episyrphus.#N/C</v>
      </c>
      <c r="L94" s="46">
        <f>+COUNTIF([1]Monitoring!AN:AN,K94)</f>
        <v>10</v>
      </c>
    </row>
    <row r="95" spans="1:12" x14ac:dyDescent="0.3">
      <c r="A95" s="49" t="s">
        <v>37</v>
      </c>
      <c r="B95" s="49" t="s">
        <v>38</v>
      </c>
      <c r="C95" s="49" t="s">
        <v>39</v>
      </c>
      <c r="D95" s="49" t="str">
        <f>+IFERROR(IF(E95="#N/C","#N/C",INDEX([1]ClassificationClasses!D:D,MATCH(E95,[1]ClassificationClasses!E:E,0))),"ERROR")</f>
        <v>Muscomorpha</v>
      </c>
      <c r="E95" s="49" t="s">
        <v>46</v>
      </c>
      <c r="F95" s="49" t="s">
        <v>47</v>
      </c>
      <c r="G95" s="49" t="s">
        <v>48</v>
      </c>
      <c r="H95" s="51" t="s">
        <v>785</v>
      </c>
      <c r="I95" s="51" t="s">
        <v>35</v>
      </c>
      <c r="J95" s="69" t="str" cm="1">
        <f t="array" ref="J95">_xlfn.LET(_xlpm.cls,A95, _xlpm.ord,IFERROR(B95,"#N/C"), _xlpm.subord,IFERROR(C95,"#N/C"), _xlpm.infr,IFERROR(D95,"#N/C"), _xlpm.sf,IFERROR(E95,"#N/C"), _xlpm.fam,IFERROR(F95,"#N/C"), _xlpm.subfam,IF(TRIM(G95)="-","#N/C",IFERROR(G95,"#N/C")),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_xlpm.fallback,IF(IFERROR(B95,"#N/C")="#N/C",A95,IF(IFERROR(C95,"#N/C")="#N/C",B95,IF(IFERROR(D95,"#N/C")="#N/C",C95,IF(IFERROR(E95,"#N/C")="#N/C",D95,IF(IFERROR(F95,"#N/C")="#N/C",E95,IF(IFERROR(G95,"#N/C")="#N/C",F95,"#N/C")))))), _xlpm.finalResult,IF(OR(_xlpm.computedResult="",_xlpm.computedResult="#N/C"),_xlpm.fallback,_xlpm.computedResult), INDEX(_xlpm.finalResult,1))</f>
        <v>hoverfly</v>
      </c>
      <c r="K95" s="47" t="str">
        <f t="shared" si="1"/>
        <v>Insecta.Diptera.Brachycera.Muscomorpha.Syrphoidea.Syrphidae.Syrphinae.Eupeodes.#N/C</v>
      </c>
      <c r="L95" s="46">
        <f>+COUNTIF([1]Monitoring!AN:AN,K95)</f>
        <v>1</v>
      </c>
    </row>
    <row r="96" spans="1:12" x14ac:dyDescent="0.3">
      <c r="A96" s="49" t="s">
        <v>37</v>
      </c>
      <c r="B96" s="49" t="s">
        <v>38</v>
      </c>
      <c r="C96" s="49" t="s">
        <v>39</v>
      </c>
      <c r="D96" s="49" t="str">
        <f>+IFERROR(IF(E96="#N/C","#N/C",INDEX([1]ClassificationClasses!D:D,MATCH(E96,[1]ClassificationClasses!E:E,0))),"ERROR")</f>
        <v>Muscomorpha</v>
      </c>
      <c r="E96" s="49" t="s">
        <v>46</v>
      </c>
      <c r="F96" s="49" t="s">
        <v>47</v>
      </c>
      <c r="G96" s="49" t="s">
        <v>48</v>
      </c>
      <c r="H96" s="51" t="s">
        <v>182</v>
      </c>
      <c r="I96" s="51" t="s">
        <v>35</v>
      </c>
      <c r="J96" s="69" t="str" cm="1">
        <f t="array" ref="J96">_xlfn.LET(_xlpm.cls,A96, _xlpm.ord,IFERROR(B96,"#N/C"), _xlpm.subord,IFERROR(C96,"#N/C"), _xlpm.infr,IFERROR(D96,"#N/C"), _xlpm.sf,IFERROR(E96,"#N/C"), _xlpm.fam,IFERROR(F96,"#N/C"), _xlpm.subfam,IF(TRIM(G96)="-","#N/C",IFERROR(G96,"#N/C")),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_xlpm.fallback,IF(IFERROR(B96,"#N/C")="#N/C",A96,IF(IFERROR(C96,"#N/C")="#N/C",B96,IF(IFERROR(D96,"#N/C")="#N/C",C96,IF(IFERROR(E96,"#N/C")="#N/C",D96,IF(IFERROR(F96,"#N/C")="#N/C",E96,IF(IFERROR(G96,"#N/C")="#N/C",F96,"#N/C")))))), _xlpm.finalResult,IF(OR(_xlpm.computedResult="",_xlpm.computedResult="#N/C"),_xlpm.fallback,_xlpm.computedResult), INDEX(_xlpm.finalResult,1))</f>
        <v>hoverfly</v>
      </c>
      <c r="K96" s="47" t="str">
        <f t="shared" si="1"/>
        <v>Insecta.Diptera.Brachycera.Muscomorpha.Syrphoidea.Syrphidae.Syrphinae.Melanostoma.#N/C</v>
      </c>
      <c r="L96" s="46">
        <f>+COUNTIF([1]Monitoring!AN:AN,K96)</f>
        <v>0</v>
      </c>
    </row>
    <row r="97" spans="1:12" x14ac:dyDescent="0.3">
      <c r="A97" s="49" t="s">
        <v>37</v>
      </c>
      <c r="B97" s="49" t="s">
        <v>38</v>
      </c>
      <c r="C97" s="49" t="s">
        <v>39</v>
      </c>
      <c r="D97" s="49" t="str">
        <f>+IFERROR(IF(E97="#N/C","#N/C",INDEX([1]ClassificationClasses!D:D,MATCH(E97,[1]ClassificationClasses!E:E,0))),"ERROR")</f>
        <v>Muscomorpha</v>
      </c>
      <c r="E97" s="49" t="s">
        <v>46</v>
      </c>
      <c r="F97" s="49" t="s">
        <v>47</v>
      </c>
      <c r="G97" s="49" t="s">
        <v>48</v>
      </c>
      <c r="H97" s="51" t="s">
        <v>786</v>
      </c>
      <c r="I97" s="51" t="s">
        <v>35</v>
      </c>
      <c r="J97" s="69" t="str" cm="1">
        <f t="array" ref="J97">_xlfn.LET(_xlpm.cls,A97, _xlpm.ord,IFERROR(B97,"#N/C"), _xlpm.subord,IFERROR(C97,"#N/C"), _xlpm.infr,IFERROR(D97,"#N/C"), _xlpm.sf,IFERROR(E97,"#N/C"), _xlpm.fam,IFERROR(F97,"#N/C"), _xlpm.subfam,IF(TRIM(G97)="-","#N/C",IFERROR(G97,"#N/C")),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_xlpm.fallback,IF(IFERROR(B97,"#N/C")="#N/C",A97,IF(IFERROR(C97,"#N/C")="#N/C",B97,IF(IFERROR(D97,"#N/C")="#N/C",C97,IF(IFERROR(E97,"#N/C")="#N/C",D97,IF(IFERROR(F97,"#N/C")="#N/C",E97,IF(IFERROR(G97,"#N/C")="#N/C",F97,"#N/C")))))), _xlpm.finalResult,IF(OR(_xlpm.computedResult="",_xlpm.computedResult="#N/C"),_xlpm.fallback,_xlpm.computedResult), INDEX(_xlpm.finalResult,1))</f>
        <v>hoverfly</v>
      </c>
      <c r="K97" s="47" t="str">
        <f t="shared" si="1"/>
        <v>Insecta.Diptera.Brachycera.Muscomorpha.Syrphoidea.Syrphidae.Syrphinae.Scaeva.#N/C</v>
      </c>
      <c r="L97" s="46">
        <f>+COUNTIF([1]Monitoring!AN:AN,K97)</f>
        <v>1</v>
      </c>
    </row>
    <row r="98" spans="1:12" x14ac:dyDescent="0.3">
      <c r="A98" s="49" t="s">
        <v>37</v>
      </c>
      <c r="B98" s="49" t="s">
        <v>38</v>
      </c>
      <c r="C98" s="49" t="s">
        <v>39</v>
      </c>
      <c r="D98" s="49" t="str">
        <f>+IFERROR(IF(E98="#N/C","#N/C",INDEX([1]ClassificationClasses!D:D,MATCH(E98,[1]ClassificationClasses!E:E,0))),"ERROR")</f>
        <v>Muscomorpha</v>
      </c>
      <c r="E98" s="49" t="s">
        <v>46</v>
      </c>
      <c r="F98" s="49" t="s">
        <v>47</v>
      </c>
      <c r="G98" s="49" t="s">
        <v>48</v>
      </c>
      <c r="H98" s="51" t="s">
        <v>49</v>
      </c>
      <c r="I98" s="51" t="s">
        <v>35</v>
      </c>
      <c r="J98" s="69" t="str" cm="1">
        <f t="array" ref="J98">_xlfn.LET(_xlpm.cls,A98, _xlpm.ord,IFERROR(B98,"#N/C"), _xlpm.subord,IFERROR(C98,"#N/C"), _xlpm.infr,IFERROR(D98,"#N/C"), _xlpm.sf,IFERROR(E98,"#N/C"), _xlpm.fam,IFERROR(F98,"#N/C"), _xlpm.subfam,IF(TRIM(G98)="-","#N/C",IFERROR(G98,"#N/C")),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_xlpm.fallback,IF(IFERROR(B98,"#N/C")="#N/C",A98,IF(IFERROR(C98,"#N/C")="#N/C",B98,IF(IFERROR(D98,"#N/C")="#N/C",C98,IF(IFERROR(E98,"#N/C")="#N/C",D98,IF(IFERROR(F98,"#N/C")="#N/C",E98,IF(IFERROR(G98,"#N/C")="#N/C",F98,"#N/C")))))), _xlpm.finalResult,IF(OR(_xlpm.computedResult="",_xlpm.computedResult="#N/C"),_xlpm.fallback,_xlpm.computedResult), INDEX(_xlpm.finalResult,1))</f>
        <v>hoverfly</v>
      </c>
      <c r="K98" s="47" t="str">
        <f t="shared" si="1"/>
        <v>Insecta.Diptera.Brachycera.Muscomorpha.Syrphoidea.Syrphidae.Syrphinae.Sphaerophoria.#N/C</v>
      </c>
      <c r="L98" s="46">
        <f>+COUNTIF([1]Monitoring!AN:AN,K98)</f>
        <v>4</v>
      </c>
    </row>
    <row r="99" spans="1:12" x14ac:dyDescent="0.3">
      <c r="A99" s="49" t="s">
        <v>37</v>
      </c>
      <c r="B99" s="49" t="s">
        <v>38</v>
      </c>
      <c r="C99" s="49" t="s">
        <v>39</v>
      </c>
      <c r="D99" s="49" t="str">
        <f>+IFERROR(IF(E99="#N/C","#N/C",INDEX([1]ClassificationClasses!D:D,MATCH(E99,[1]ClassificationClasses!E:E,0))),"ERROR")</f>
        <v>Muscomorpha</v>
      </c>
      <c r="E99" s="49" t="s">
        <v>46</v>
      </c>
      <c r="F99" s="49" t="s">
        <v>47</v>
      </c>
      <c r="G99" s="49" t="s">
        <v>48</v>
      </c>
      <c r="H99" s="51" t="s">
        <v>49</v>
      </c>
      <c r="I99" s="51" t="s">
        <v>357</v>
      </c>
      <c r="J99" s="69" t="str" cm="1">
        <f t="array" ref="J99">_xlfn.LET(_xlpm.cls,A99, _xlpm.ord,IFERROR(B99,"#N/C"), _xlpm.subord,IFERROR(C99,"#N/C"), _xlpm.infr,IFERROR(D99,"#N/C"), _xlpm.sf,IFERROR(E99,"#N/C"), _xlpm.fam,IFERROR(F99,"#N/C"), _xlpm.subfam,IF(TRIM(G99)="-","#N/C",IFERROR(G99,"#N/C")),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_xlpm.fallback,IF(IFERROR(B99,"#N/C")="#N/C",A99,IF(IFERROR(C99,"#N/C")="#N/C",B99,IF(IFERROR(D99,"#N/C")="#N/C",C99,IF(IFERROR(E99,"#N/C")="#N/C",D99,IF(IFERROR(F99,"#N/C")="#N/C",E99,IF(IFERROR(G99,"#N/C")="#N/C",F99,"#N/C")))))), _xlpm.finalResult,IF(OR(_xlpm.computedResult="",_xlpm.computedResult="#N/C"),_xlpm.fallback,_xlpm.computedResult), INDEX(_xlpm.finalResult,1))</f>
        <v>hoverfly</v>
      </c>
      <c r="K99" s="47" t="str">
        <f t="shared" si="1"/>
        <v>Insecta.Diptera.Brachycera.Muscomorpha.Syrphoidea.Syrphidae.Syrphinae.Sphaerophoria.scripta</v>
      </c>
      <c r="L99" s="46">
        <f>+COUNTIF([1]Monitoring!AN:AN,K99)</f>
        <v>0</v>
      </c>
    </row>
    <row r="100" spans="1:12" x14ac:dyDescent="0.3">
      <c r="A100" s="49" t="s">
        <v>37</v>
      </c>
      <c r="B100" s="49" t="s">
        <v>38</v>
      </c>
      <c r="C100" s="49" t="s">
        <v>39</v>
      </c>
      <c r="D100" s="49" t="str">
        <f>+IFERROR(IF(E100="#N/C","#N/C",INDEX([1]ClassificationClasses!D:D,MATCH(E100,[1]ClassificationClasses!E:E,0))),"ERROR")</f>
        <v>Muscomorpha</v>
      </c>
      <c r="E100" s="49" t="s">
        <v>46</v>
      </c>
      <c r="F100" s="49" t="s">
        <v>47</v>
      </c>
      <c r="G100" s="49" t="s">
        <v>48</v>
      </c>
      <c r="H100" s="51" t="s">
        <v>787</v>
      </c>
      <c r="I100" s="51" t="s">
        <v>35</v>
      </c>
      <c r="J100" s="69" t="str" cm="1">
        <f t="array" ref="J100">_xlfn.LET(_xlpm.cls,A100, _xlpm.ord,IFERROR(B100,"#N/C"), _xlpm.subord,IFERROR(C100,"#N/C"), _xlpm.infr,IFERROR(D100,"#N/C"), _xlpm.sf,IFERROR(E100,"#N/C"), _xlpm.fam,IFERROR(F100,"#N/C"), _xlpm.subfam,IF(TRIM(G100)="-","#N/C",IFERROR(G100,"#N/C")),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_xlpm.fallback,IF(IFERROR(B100,"#N/C")="#N/C",A100,IF(IFERROR(C100,"#N/C")="#N/C",B100,IF(IFERROR(D100,"#N/C")="#N/C",C100,IF(IFERROR(E100,"#N/C")="#N/C",D100,IF(IFERROR(F100,"#N/C")="#N/C",E100,IF(IFERROR(G100,"#N/C")="#N/C",F100,"#N/C")))))), _xlpm.finalResult,IF(OR(_xlpm.computedResult="",_xlpm.computedResult="#N/C"),_xlpm.fallback,_xlpm.computedResult), INDEX(_xlpm.finalResult,1))</f>
        <v>hoverfly</v>
      </c>
      <c r="K100" s="47" t="str">
        <f t="shared" si="1"/>
        <v>Insecta.Diptera.Brachycera.Muscomorpha.Syrphoidea.Syrphidae.Syrphinae.Syrphini.#N/C</v>
      </c>
      <c r="L100" s="46">
        <f>+COUNTIF([1]Monitoring!AN:AN,K100)</f>
        <v>3</v>
      </c>
    </row>
    <row r="101" spans="1:12" x14ac:dyDescent="0.3">
      <c r="A101" s="49" t="s">
        <v>37</v>
      </c>
      <c r="B101" s="49" t="s">
        <v>38</v>
      </c>
      <c r="C101" s="49" t="s">
        <v>39</v>
      </c>
      <c r="D101" s="49" t="str">
        <f>+IFERROR(IF(E101="#N/C","#N/C",INDEX([1]ClassificationClasses!D:D,MATCH(E101,[1]ClassificationClasses!E:E,0))),"ERROR")</f>
        <v>Muscomorpha</v>
      </c>
      <c r="E101" s="49" t="s">
        <v>46</v>
      </c>
      <c r="F101" s="49" t="s">
        <v>47</v>
      </c>
      <c r="G101" s="49" t="s">
        <v>48</v>
      </c>
      <c r="H101" s="51" t="s">
        <v>400</v>
      </c>
      <c r="I101" s="51" t="s">
        <v>401</v>
      </c>
      <c r="J101" s="69" t="str" cm="1">
        <f t="array" ref="J101">_xlfn.LET(_xlpm.cls,A101, _xlpm.ord,IFERROR(B101,"#N/C"), _xlpm.subord,IFERROR(C101,"#N/C"), _xlpm.infr,IFERROR(D101,"#N/C"), _xlpm.sf,IFERROR(E101,"#N/C"), _xlpm.fam,IFERROR(F101,"#N/C"), _xlpm.subfam,IF(TRIM(G101)="-","#N/C",IFERROR(G101,"#N/C")),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_xlpm.fallback,IF(IFERROR(B101,"#N/C")="#N/C",A101,IF(IFERROR(C101,"#N/C")="#N/C",B101,IF(IFERROR(D101,"#N/C")="#N/C",C101,IF(IFERROR(E101,"#N/C")="#N/C",D101,IF(IFERROR(F101,"#N/C")="#N/C",E101,IF(IFERROR(G101,"#N/C")="#N/C",F101,"#N/C")))))), _xlpm.finalResult,IF(OR(_xlpm.computedResult="",_xlpm.computedResult="#N/C"),_xlpm.fallback,_xlpm.computedResult), INDEX(_xlpm.finalResult,1))</f>
        <v>hoverfly</v>
      </c>
      <c r="K101" s="47" t="str">
        <f t="shared" si="1"/>
        <v>Insecta.Diptera.Brachycera.Muscomorpha.Syrphoidea.Syrphidae.Syrphinae.Xanthogramma.dives</v>
      </c>
      <c r="L101" s="46">
        <f>+COUNTIF([1]Monitoring!AN:AN,K101)</f>
        <v>0</v>
      </c>
    </row>
    <row r="102" spans="1:12" x14ac:dyDescent="0.3">
      <c r="A102" s="48" t="s">
        <v>37</v>
      </c>
      <c r="B102" s="48" t="s">
        <v>38</v>
      </c>
      <c r="C102" s="48" t="s">
        <v>39</v>
      </c>
      <c r="D102" s="49" t="str">
        <f>+IFERROR(IF(E102="#N/C","#N/C",INDEX([1]ClassificationClasses!D:D,MATCH(E102,[1]ClassificationClasses!E:E,0))),"ERROR")</f>
        <v>Muscomorpha</v>
      </c>
      <c r="E102" s="48" t="s">
        <v>452</v>
      </c>
      <c r="F102" s="48" t="s">
        <v>453</v>
      </c>
      <c r="G102" s="48" t="s">
        <v>453</v>
      </c>
      <c r="H102" s="50" t="s">
        <v>788</v>
      </c>
      <c r="I102" s="50" t="s">
        <v>35</v>
      </c>
      <c r="J102" s="69" t="str" cm="1">
        <f t="array" ref="J102">_xlfn.LET(_xlpm.cls,A102, _xlpm.ord,IFERROR(B102,"#N/C"), _xlpm.subord,IFERROR(C102,"#N/C"), _xlpm.infr,IFERROR(D102,"#N/C"), _xlpm.sf,IFERROR(E102,"#N/C"), _xlpm.fam,IFERROR(F102,"#N/C"), _xlpm.subfam,IF(TRIM(G102)="-","#N/C",IFERROR(G102,"#N/C")),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_xlpm.fallback,IF(IFERROR(B102,"#N/C")="#N/C",A102,IF(IFERROR(C102,"#N/C")="#N/C",B102,IF(IFERROR(D102,"#N/C")="#N/C",C102,IF(IFERROR(E102,"#N/C")="#N/C",D102,IF(IFERROR(F102,"#N/C")="#N/C",E102,IF(IFERROR(G102,"#N/C")="#N/C",F102,"#N/C")))))), _xlpm.finalResult,IF(OR(_xlpm.computedResult="",_xlpm.computedResult="#N/C"),_xlpm.fallback,_xlpm.computedResult), INDEX(_xlpm.finalResult,1))</f>
        <v>fruit_fly</v>
      </c>
      <c r="K102" s="47" t="str">
        <f t="shared" si="1"/>
        <v>Insecta.Diptera.Brachycera.Muscomorpha.Tephritoidea.Pallopteridae.Pallopteridae.Palloptera.#N/C</v>
      </c>
      <c r="L102" s="46">
        <f>+COUNTIF([1]Monitoring!AN:AN,K102)</f>
        <v>1</v>
      </c>
    </row>
    <row r="103" spans="1:12" x14ac:dyDescent="0.3">
      <c r="A103" s="48" t="s">
        <v>37</v>
      </c>
      <c r="B103" s="48" t="s">
        <v>38</v>
      </c>
      <c r="C103" s="48" t="s">
        <v>39</v>
      </c>
      <c r="D103" s="49" t="str">
        <f>+IFERROR(IF(E103="#N/C","#N/C",INDEX([1]ClassificationClasses!D:D,MATCH(E103,[1]ClassificationClasses!E:E,0))),"ERROR")</f>
        <v>Muscomorpha</v>
      </c>
      <c r="E103" s="48" t="s">
        <v>452</v>
      </c>
      <c r="F103" s="48" t="s">
        <v>789</v>
      </c>
      <c r="G103" s="48" t="s">
        <v>790</v>
      </c>
      <c r="H103" s="50" t="s">
        <v>35</v>
      </c>
      <c r="I103" s="50" t="s">
        <v>35</v>
      </c>
      <c r="J103" s="69" t="str" cm="1">
        <f t="array" ref="J103">_xlfn.LET(_xlpm.cls,A103, _xlpm.ord,IFERROR(B103,"#N/C"), _xlpm.subord,IFERROR(C103,"#N/C"), _xlpm.infr,IFERROR(D103,"#N/C"), _xlpm.sf,IFERROR(E103,"#N/C"), _xlpm.fam,IFERROR(F103,"#N/C"), _xlpm.subfam,IF(TRIM(G103)="-","#N/C",IFERROR(G103,"#N/C")),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_xlpm.fallback,IF(IFERROR(B103,"#N/C")="#N/C",A103,IF(IFERROR(C103,"#N/C")="#N/C",B103,IF(IFERROR(D103,"#N/C")="#N/C",C103,IF(IFERROR(E103,"#N/C")="#N/C",D103,IF(IFERROR(F103,"#N/C")="#N/C",E103,IF(IFERROR(G103,"#N/C")="#N/C",F103,"#N/C")))))), _xlpm.finalResult,IF(OR(_xlpm.computedResult="",_xlpm.computedResult="#N/C"),_xlpm.fallback,_xlpm.computedResult), INDEX(_xlpm.finalResult,1))</f>
        <v>fruit_fly</v>
      </c>
      <c r="K103" s="47" t="str">
        <f t="shared" si="1"/>
        <v>Insecta.Diptera.Brachycera.Muscomorpha.Tephritoidea.Tephritidae.Tephritinae.#N/C.#N/C</v>
      </c>
      <c r="L103" s="46">
        <f>+COUNTIF([1]Monitoring!AN:AN,K103)</f>
        <v>1</v>
      </c>
    </row>
    <row r="104" spans="1:12" x14ac:dyDescent="0.3">
      <c r="A104" s="48" t="s">
        <v>37</v>
      </c>
      <c r="B104" s="48" t="s">
        <v>38</v>
      </c>
      <c r="C104" s="48" t="s">
        <v>39</v>
      </c>
      <c r="D104" s="49" t="str">
        <f>+IFERROR(IF(E104="#N/C","#N/C",INDEX([1]ClassificationClasses!D:D,MATCH(E104,[1]ClassificationClasses!E:E,0))),"ERROR")</f>
        <v>Muscomorpha</v>
      </c>
      <c r="E104" s="48" t="s">
        <v>452</v>
      </c>
      <c r="F104" s="48" t="s">
        <v>789</v>
      </c>
      <c r="G104" s="48" t="s">
        <v>790</v>
      </c>
      <c r="H104" s="50" t="s">
        <v>791</v>
      </c>
      <c r="I104" s="50" t="s">
        <v>35</v>
      </c>
      <c r="J104" s="69" t="str" cm="1">
        <f t="array" ref="J104">_xlfn.LET(_xlpm.cls,A104, _xlpm.ord,IFERROR(B104,"#N/C"), _xlpm.subord,IFERROR(C104,"#N/C"), _xlpm.infr,IFERROR(D104,"#N/C"), _xlpm.sf,IFERROR(E104,"#N/C"), _xlpm.fam,IFERROR(F104,"#N/C"), _xlpm.subfam,IF(TRIM(G104)="-","#N/C",IFERROR(G104,"#N/C")),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_xlpm.fallback,IF(IFERROR(B104,"#N/C")="#N/C",A104,IF(IFERROR(C104,"#N/C")="#N/C",B104,IF(IFERROR(D104,"#N/C")="#N/C",C104,IF(IFERROR(E104,"#N/C")="#N/C",D104,IF(IFERROR(F104,"#N/C")="#N/C",E104,IF(IFERROR(G104,"#N/C")="#N/C",F104,"#N/C")))))), _xlpm.finalResult,IF(OR(_xlpm.computedResult="",_xlpm.computedResult="#N/C"),_xlpm.fallback,_xlpm.computedResult), INDEX(_xlpm.finalResult,1))</f>
        <v>fruit_fly</v>
      </c>
      <c r="K104" s="47" t="str">
        <f t="shared" si="1"/>
        <v>Insecta.Diptera.Brachycera.Muscomorpha.Tephritoidea.Tephritidae.Tephritinae.Tephritis.#N/C</v>
      </c>
      <c r="L104" s="46">
        <f>+COUNTIF([1]Monitoring!AN:AN,K104)</f>
        <v>1</v>
      </c>
    </row>
    <row r="105" spans="1:12" x14ac:dyDescent="0.3">
      <c r="A105" s="49" t="s">
        <v>37</v>
      </c>
      <c r="B105" s="49" t="s">
        <v>38</v>
      </c>
      <c r="C105" s="49" t="s">
        <v>39</v>
      </c>
      <c r="D105" s="49" t="str">
        <f>+IFERROR(IF(E105="#N/C","#N/C",INDEX([1]ClassificationClasses!D:D,MATCH(E105,[1]ClassificationClasses!E:E,0))),"ERROR")</f>
        <v>Muscomorpha</v>
      </c>
      <c r="E105" s="49" t="s">
        <v>452</v>
      </c>
      <c r="F105" s="49" t="s">
        <v>789</v>
      </c>
      <c r="G105" s="49" t="s">
        <v>792</v>
      </c>
      <c r="H105" s="51" t="s">
        <v>793</v>
      </c>
      <c r="I105" s="51" t="s">
        <v>35</v>
      </c>
      <c r="J105" s="69" t="str" cm="1">
        <f t="array" ref="J105">_xlfn.LET(_xlpm.cls,A105, _xlpm.ord,IFERROR(B105,"#N/C"), _xlpm.subord,IFERROR(C105,"#N/C"), _xlpm.infr,IFERROR(D105,"#N/C"), _xlpm.sf,IFERROR(E105,"#N/C"), _xlpm.fam,IFERROR(F105,"#N/C"), _xlpm.subfam,IF(TRIM(G105)="-","#N/C",IFERROR(G105,"#N/C")),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_xlpm.fallback,IF(IFERROR(B105,"#N/C")="#N/C",A105,IF(IFERROR(C105,"#N/C")="#N/C",B105,IF(IFERROR(D105,"#N/C")="#N/C",C105,IF(IFERROR(E105,"#N/C")="#N/C",D105,IF(IFERROR(F105,"#N/C")="#N/C",E105,IF(IFERROR(G105,"#N/C")="#N/C",F105,"#N/C")))))), _xlpm.finalResult,IF(OR(_xlpm.computedResult="",_xlpm.computedResult="#N/C"),_xlpm.fallback,_xlpm.computedResult), INDEX(_xlpm.finalResult,1))</f>
        <v>fruit_fly</v>
      </c>
      <c r="K105" s="47" t="str">
        <f t="shared" si="1"/>
        <v>Insecta.Diptera.Brachycera.Muscomorpha.Tephritoidea.Tephritidae.Trypetinae.Anomoia.#N/C</v>
      </c>
      <c r="L105" s="46">
        <f>+COUNTIF([1]Monitoring!AN:AN,K105)</f>
        <v>2</v>
      </c>
    </row>
    <row r="106" spans="1:12" x14ac:dyDescent="0.3">
      <c r="A106" s="49" t="s">
        <v>37</v>
      </c>
      <c r="B106" s="49" t="s">
        <v>38</v>
      </c>
      <c r="C106" s="49" t="s">
        <v>185</v>
      </c>
      <c r="D106" s="49" t="str">
        <f>+IFERROR(IF(E106="#N/C","#N/C",INDEX([1]ClassificationClasses!D:D,MATCH(E106,[1]ClassificationClasses!E:E,0))),"ERROR")</f>
        <v>#N/C</v>
      </c>
      <c r="E106" s="49" t="s">
        <v>35</v>
      </c>
      <c r="F106" s="49" t="s">
        <v>35</v>
      </c>
      <c r="G106" s="49" t="s">
        <v>35</v>
      </c>
      <c r="H106" s="51" t="s">
        <v>35</v>
      </c>
      <c r="I106" s="51" t="s">
        <v>35</v>
      </c>
      <c r="J106" s="69" t="str" cm="1">
        <f t="array" ref="J106">_xlfn.LET(_xlpm.cls,A106, _xlpm.ord,IFERROR(B106,"#N/C"), _xlpm.subord,IFERROR(C106,"#N/C"), _xlpm.infr,IFERROR(D106,"#N/C"), _xlpm.sf,IFERROR(E106,"#N/C"), _xlpm.fam,IFERROR(F106,"#N/C"), _xlpm.subfam,IF(TRIM(G106)="-","#N/C",IFERROR(G106,"#N/C")),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_xlpm.fallback,IF(IFERROR(B106,"#N/C")="#N/C",A106,IF(IFERROR(C106,"#N/C")="#N/C",B106,IF(IFERROR(D106,"#N/C")="#N/C",C106,IF(IFERROR(E106,"#N/C")="#N/C",D106,IF(IFERROR(F106,"#N/C")="#N/C",E106,IF(IFERROR(G106,"#N/C")="#N/C",F106,"#N/C")))))), _xlpm.finalResult,IF(OR(_xlpm.computedResult="",_xlpm.computedResult="#N/C"),_xlpm.fallback,_xlpm.computedResult), INDEX(_xlpm.finalResult,1))</f>
        <v>Nematocera</v>
      </c>
      <c r="K106" s="47" t="str">
        <f t="shared" si="1"/>
        <v>Insecta.Diptera.Nematocera.#N/C.#N/C.#N/C.#N/C.#N/C.#N/C</v>
      </c>
      <c r="L106" s="46">
        <f>+COUNTIF([1]Monitoring!AN:AN,K106)</f>
        <v>0</v>
      </c>
    </row>
    <row r="107" spans="1:12" x14ac:dyDescent="0.3">
      <c r="A107" s="49" t="s">
        <v>37</v>
      </c>
      <c r="B107" s="49" t="s">
        <v>38</v>
      </c>
      <c r="C107" s="49" t="s">
        <v>185</v>
      </c>
      <c r="D107" s="49" t="str">
        <f>+IFERROR(IF(E107="#N/C","#N/C",INDEX([1]ClassificationClasses!D:D,MATCH(E107,[1]ClassificationClasses!E:E,0))),"ERROR")</f>
        <v>Bibionomorpha</v>
      </c>
      <c r="E107" s="49" t="s">
        <v>794</v>
      </c>
      <c r="F107" s="49" t="s">
        <v>794</v>
      </c>
      <c r="G107" s="49" t="s">
        <v>795</v>
      </c>
      <c r="H107" s="51" t="s">
        <v>796</v>
      </c>
      <c r="I107" s="51" t="s">
        <v>35</v>
      </c>
      <c r="J107" s="69" t="str" cm="1">
        <f t="array" ref="J107">_xlfn.LET(_xlpm.cls,A107, _xlpm.ord,IFERROR(B107,"#N/C"), _xlpm.subord,IFERROR(C107,"#N/C"), _xlpm.infr,IFERROR(D107,"#N/C"), _xlpm.sf,IFERROR(E107,"#N/C"), _xlpm.fam,IFERROR(F107,"#N/C"), _xlpm.subfam,IF(TRIM(G107)="-","#N/C",IFERROR(G107,"#N/C")),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_xlpm.fallback,IF(IFERROR(B107,"#N/C")="#N/C",A107,IF(IFERROR(C107,"#N/C")="#N/C",B107,IF(IFERROR(D107,"#N/C")="#N/C",C107,IF(IFERROR(E107,"#N/C")="#N/C",D107,IF(IFERROR(F107,"#N/C")="#N/C",E107,IF(IFERROR(G107,"#N/C")="#N/C",F107,"#N/C")))))), _xlpm.finalResult,IF(OR(_xlpm.computedResult="",_xlpm.computedResult="#N/C"),_xlpm.fallback,_xlpm.computedResult), INDEX(_xlpm.finalResult,1))</f>
        <v>fever_fly</v>
      </c>
      <c r="K107" s="47" t="str">
        <f t="shared" si="1"/>
        <v>Insecta.Diptera.Nematocera.Bibionomorpha.Bibionoidea.Bibionoidea.Bibioninae.Dilophus.#N/C</v>
      </c>
      <c r="L107" s="46">
        <f>+COUNTIF([1]Monitoring!AN:AN,K107)</f>
        <v>2</v>
      </c>
    </row>
    <row r="108" spans="1:12" x14ac:dyDescent="0.3">
      <c r="A108" s="49" t="s">
        <v>37</v>
      </c>
      <c r="B108" s="49" t="s">
        <v>38</v>
      </c>
      <c r="C108" s="49" t="s">
        <v>185</v>
      </c>
      <c r="D108" s="49" t="str">
        <f>+IFERROR(IF(E108="#N/C","#N/C",INDEX([1]ClassificationClasses!D:D,MATCH(E108,[1]ClassificationClasses!E:E,0))),"ERROR")</f>
        <v>Culicomorpha</v>
      </c>
      <c r="E108" s="49" t="s">
        <v>797</v>
      </c>
      <c r="F108" s="49" t="s">
        <v>798</v>
      </c>
      <c r="G108" s="49" t="s">
        <v>799</v>
      </c>
      <c r="H108" s="51" t="s">
        <v>800</v>
      </c>
      <c r="I108" s="51" t="s">
        <v>35</v>
      </c>
      <c r="J108" s="69" t="str" cm="1">
        <f t="array" ref="J108">_xlfn.LET(_xlpm.cls,A108, _xlpm.ord,IFERROR(B108,"#N/C"), _xlpm.subord,IFERROR(C108,"#N/C"), _xlpm.infr,IFERROR(D108,"#N/C"), _xlpm.sf,IFERROR(E108,"#N/C"), _xlpm.fam,IFERROR(F108,"#N/C"), _xlpm.subfam,IF(TRIM(G108)="-","#N/C",IFERROR(G108,"#N/C")),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_xlpm.fallback,IF(IFERROR(B108,"#N/C")="#N/C",A108,IF(IFERROR(C108,"#N/C")="#N/C",B108,IF(IFERROR(D108,"#N/C")="#N/C",C108,IF(IFERROR(E108,"#N/C")="#N/C",D108,IF(IFERROR(F108,"#N/C")="#N/C",E108,IF(IFERROR(G108,"#N/C")="#N/C",F108,"#N/C")))))), _xlpm.finalResult,IF(OR(_xlpm.computedResult="",_xlpm.computedResult="#N/C"),_xlpm.fallback,_xlpm.computedResult), INDEX(_xlpm.finalResult,1))</f>
        <v>midge</v>
      </c>
      <c r="K108" s="47" t="str">
        <f t="shared" si="1"/>
        <v>Insecta.Diptera.Nematocera.Culicomorpha.Chironomoidea.Chironomidae.Chironominae.Chironomus.#N/C</v>
      </c>
      <c r="L108" s="46">
        <f>+COUNTIF([1]Monitoring!AN:AN,K108)</f>
        <v>1</v>
      </c>
    </row>
    <row r="109" spans="1:12" x14ac:dyDescent="0.3">
      <c r="A109" s="49" t="s">
        <v>37</v>
      </c>
      <c r="B109" s="49" t="s">
        <v>38</v>
      </c>
      <c r="C109" s="49" t="s">
        <v>185</v>
      </c>
      <c r="D109" s="49" t="str">
        <f>+IFERROR(IF(E109="#N/C","#N/C",INDEX([1]ClassificationClasses!D:D,MATCH(E109,[1]ClassificationClasses!E:E,0))),"ERROR")</f>
        <v>Culicomorpha</v>
      </c>
      <c r="E109" s="49" t="s">
        <v>311</v>
      </c>
      <c r="F109" s="49" t="s">
        <v>312</v>
      </c>
      <c r="G109" s="49" t="s">
        <v>35</v>
      </c>
      <c r="H109" s="51" t="s">
        <v>35</v>
      </c>
      <c r="I109" s="51" t="s">
        <v>35</v>
      </c>
      <c r="J109" s="69" t="str" cm="1">
        <f t="array" ref="J109">_xlfn.LET(_xlpm.cls,A109, _xlpm.ord,IFERROR(B109,"#N/C"), _xlpm.subord,IFERROR(C109,"#N/C"), _xlpm.infr,IFERROR(D109,"#N/C"), _xlpm.sf,IFERROR(E109,"#N/C"), _xlpm.fam,IFERROR(F109,"#N/C"), _xlpm.subfam,IF(TRIM(G109)="-","#N/C",IFERROR(G109,"#N/C")),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_xlpm.fallback,IF(IFERROR(B109,"#N/C")="#N/C",A109,IF(IFERROR(C109,"#N/C")="#N/C",B109,IF(IFERROR(D109,"#N/C")="#N/C",C109,IF(IFERROR(E109,"#N/C")="#N/C",D109,IF(IFERROR(F109,"#N/C")="#N/C",E109,IF(IFERROR(G109,"#N/C")="#N/C",F109,"#N/C")))))), _xlpm.finalResult,IF(OR(_xlpm.computedResult="",_xlpm.computedResult="#N/C"),_xlpm.fallback,_xlpm.computedResult), INDEX(_xlpm.finalResult,1))</f>
        <v>midge</v>
      </c>
      <c r="K109" s="47" t="str">
        <f t="shared" si="1"/>
        <v>Insecta.Diptera.Nematocera.Culicomorpha.Culicoidea.Culicidae.#N/C.#N/C.#N/C</v>
      </c>
      <c r="L109" s="46">
        <f>+COUNTIF([1]Monitoring!AN:AN,K109)</f>
        <v>0</v>
      </c>
    </row>
    <row r="110" spans="1:12" x14ac:dyDescent="0.3">
      <c r="A110" s="48" t="s">
        <v>37</v>
      </c>
      <c r="B110" s="48" t="s">
        <v>38</v>
      </c>
      <c r="C110" s="48" t="s">
        <v>185</v>
      </c>
      <c r="D110" s="49" t="str">
        <f>+IFERROR(IF(E110="#N/C","#N/C",INDEX([1]ClassificationClasses!D:D,MATCH(E110,[1]ClassificationClasses!E:E,0))),"ERROR")</f>
        <v>Bibionomorpha</v>
      </c>
      <c r="E110" s="48" t="s">
        <v>186</v>
      </c>
      <c r="F110" s="48" t="s">
        <v>35</v>
      </c>
      <c r="G110" s="48" t="s">
        <v>35</v>
      </c>
      <c r="H110" s="50" t="s">
        <v>35</v>
      </c>
      <c r="I110" s="50" t="s">
        <v>35</v>
      </c>
      <c r="J110" s="69" t="str" cm="1">
        <f t="array" ref="J110">_xlfn.LET(_xlpm.cls,A110, _xlpm.ord,IFERROR(B110,"#N/C"), _xlpm.subord,IFERROR(C110,"#N/C"), _xlpm.infr,IFERROR(D110,"#N/C"), _xlpm.sf,IFERROR(E110,"#N/C"), _xlpm.fam,IFERROR(F110,"#N/C"), _xlpm.subfam,IF(TRIM(G110)="-","#N/C",IFERROR(G110,"#N/C")),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_xlpm.fallback,IF(IFERROR(B110,"#N/C")="#N/C",A110,IF(IFERROR(C110,"#N/C")="#N/C",B110,IF(IFERROR(D110,"#N/C")="#N/C",C110,IF(IFERROR(E110,"#N/C")="#N/C",D110,IF(IFERROR(F110,"#N/C")="#N/C",E110,IF(IFERROR(G110,"#N/C")="#N/C",F110,"#N/C")))))), _xlpm.finalResult,IF(OR(_xlpm.computedResult="",_xlpm.computedResult="#N/C"),_xlpm.fallback,_xlpm.computedResult), INDEX(_xlpm.finalResult,1))</f>
        <v>Sciaroidea</v>
      </c>
      <c r="K110" s="47" t="str">
        <f t="shared" si="1"/>
        <v>Insecta.Diptera.Nematocera.Bibionomorpha.Sciaroidea.#N/C.#N/C.#N/C.#N/C</v>
      </c>
      <c r="L110" s="46">
        <f>+COUNTIF([1]Monitoring!AN:AN,K110)</f>
        <v>0</v>
      </c>
    </row>
    <row r="111" spans="1:12" x14ac:dyDescent="0.3">
      <c r="A111" s="48" t="s">
        <v>37</v>
      </c>
      <c r="B111" s="48" t="s">
        <v>38</v>
      </c>
      <c r="C111" s="48" t="s">
        <v>185</v>
      </c>
      <c r="D111" s="49" t="str">
        <f>+IFERROR(IF(E111="#N/C","#N/C",INDEX([1]ClassificationClasses!D:D,MATCH(E111,[1]ClassificationClasses!E:E,0))),"ERROR")</f>
        <v>Bibionomorpha</v>
      </c>
      <c r="E111" s="48" t="s">
        <v>186</v>
      </c>
      <c r="F111" s="48" t="s">
        <v>187</v>
      </c>
      <c r="G111" s="48" t="s">
        <v>188</v>
      </c>
      <c r="H111" s="50" t="s">
        <v>189</v>
      </c>
      <c r="I111" s="50" t="s">
        <v>35</v>
      </c>
      <c r="J111" s="69" t="str" cm="1">
        <f t="array" ref="J111">_xlfn.LET(_xlpm.cls,A111, _xlpm.ord,IFERROR(B111,"#N/C"), _xlpm.subord,IFERROR(C111,"#N/C"), _xlpm.infr,IFERROR(D111,"#N/C"), _xlpm.sf,IFERROR(E111,"#N/C"), _xlpm.fam,IFERROR(F111,"#N/C"), _xlpm.subfam,IF(TRIM(G111)="-","#N/C",IFERROR(G111,"#N/C")),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_xlpm.fallback,IF(IFERROR(B111,"#N/C")="#N/C",A111,IF(IFERROR(C111,"#N/C")="#N/C",B111,IF(IFERROR(D111,"#N/C")="#N/C",C111,IF(IFERROR(E111,"#N/C")="#N/C",D111,IF(IFERROR(F111,"#N/C")="#N/C",E111,IF(IFERROR(G111,"#N/C")="#N/C",F111,"#N/C")))))), _xlpm.finalResult,IF(OR(_xlpm.computedResult="",_xlpm.computedResult="#N/C"),_xlpm.fallback,_xlpm.computedResult), INDEX(_xlpm.finalResult,1))</f>
        <v>Sciaroidea</v>
      </c>
      <c r="K111" s="47" t="str">
        <f t="shared" si="1"/>
        <v>Insecta.Diptera.Nematocera.Bibionomorpha.Sciaroidea.Keroplatidae.Macrocerinae.Macrocera.#N/C</v>
      </c>
      <c r="L111" s="46">
        <f>+COUNTIF([1]Monitoring!AN:AN,K111)</f>
        <v>0</v>
      </c>
    </row>
    <row r="112" spans="1:12" x14ac:dyDescent="0.3">
      <c r="A112" s="49" t="s">
        <v>37</v>
      </c>
      <c r="B112" s="49" t="s">
        <v>38</v>
      </c>
      <c r="C112" s="49" t="s">
        <v>185</v>
      </c>
      <c r="D112" s="49" t="str">
        <f>+IFERROR(IF(E112="#N/C","#N/C",INDEX([1]ClassificationClasses!D:D,MATCH(E112,[1]ClassificationClasses!E:E,0))),"ERROR")</f>
        <v>Bibionomorpha</v>
      </c>
      <c r="E112" s="49" t="s">
        <v>186</v>
      </c>
      <c r="F112" s="49" t="s">
        <v>419</v>
      </c>
      <c r="G112" s="49" t="s">
        <v>35</v>
      </c>
      <c r="H112" s="51" t="s">
        <v>35</v>
      </c>
      <c r="I112" s="51" t="s">
        <v>35</v>
      </c>
      <c r="J112" s="69" t="str" cm="1">
        <f t="array" ref="J112">_xlfn.LET(_xlpm.cls,A112, _xlpm.ord,IFERROR(B112,"#N/C"), _xlpm.subord,IFERROR(C112,"#N/C"), _xlpm.infr,IFERROR(D112,"#N/C"), _xlpm.sf,IFERROR(E112,"#N/C"), _xlpm.fam,IFERROR(F112,"#N/C"), _xlpm.subfam,IF(TRIM(G112)="-","#N/C",IFERROR(G112,"#N/C")),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_xlpm.fallback,IF(IFERROR(B112,"#N/C")="#N/C",A112,IF(IFERROR(C112,"#N/C")="#N/C",B112,IF(IFERROR(D112,"#N/C")="#N/C",C112,IF(IFERROR(E112,"#N/C")="#N/C",D112,IF(IFERROR(F112,"#N/C")="#N/C",E112,IF(IFERROR(G112,"#N/C")="#N/C",F112,"#N/C")))))), _xlpm.finalResult,IF(OR(_xlpm.computedResult="",_xlpm.computedResult="#N/C"),_xlpm.fallback,_xlpm.computedResult), INDEX(_xlpm.finalResult,1))</f>
        <v>Sciaroidea</v>
      </c>
      <c r="K112" s="47" t="str">
        <f t="shared" si="1"/>
        <v>Insecta.Diptera.Nematocera.Bibionomorpha.Sciaroidea.Mycetophilidae.#N/C.#N/C.#N/C</v>
      </c>
      <c r="L112" s="46">
        <f>+COUNTIF([1]Monitoring!AN:AN,K112)</f>
        <v>0</v>
      </c>
    </row>
    <row r="113" spans="1:12" x14ac:dyDescent="0.3">
      <c r="A113" s="49" t="s">
        <v>37</v>
      </c>
      <c r="B113" s="49" t="s">
        <v>38</v>
      </c>
      <c r="C113" s="49" t="s">
        <v>185</v>
      </c>
      <c r="D113" s="49" t="str">
        <f>+IFERROR(IF(E113="#N/C","#N/C",INDEX([1]ClassificationClasses!D:D,MATCH(E113,[1]ClassificationClasses!E:E,0))),"ERROR")</f>
        <v>Tipulomorpha</v>
      </c>
      <c r="E113" s="49" t="s">
        <v>236</v>
      </c>
      <c r="F113" s="49" t="s">
        <v>237</v>
      </c>
      <c r="G113" s="49" t="s">
        <v>238</v>
      </c>
      <c r="H113" s="51" t="s">
        <v>35</v>
      </c>
      <c r="I113" s="51" t="s">
        <v>35</v>
      </c>
      <c r="J113" s="69" t="str" cm="1">
        <f t="array" ref="J113">_xlfn.LET(_xlpm.cls,A113, _xlpm.ord,IFERROR(B113,"#N/C"), _xlpm.subord,IFERROR(C113,"#N/C"), _xlpm.infr,IFERROR(D113,"#N/C"), _xlpm.sf,IFERROR(E113,"#N/C"), _xlpm.fam,IFERROR(F113,"#N/C"), _xlpm.subfam,IF(TRIM(G113)="-","#N/C",IFERROR(G113,"#N/C")),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_xlpm.fallback,IF(IFERROR(B113,"#N/C")="#N/C",A113,IF(IFERROR(C113,"#N/C")="#N/C",B113,IF(IFERROR(D113,"#N/C")="#N/C",C113,IF(IFERROR(E113,"#N/C")="#N/C",D113,IF(IFERROR(F113,"#N/C")="#N/C",E113,IF(IFERROR(G113,"#N/C")="#N/C",F113,"#N/C")))))), _xlpm.finalResult,IF(OR(_xlpm.computedResult="",_xlpm.computedResult="#N/C"),_xlpm.fallback,_xlpm.computedResult), INDEX(_xlpm.finalResult,1))</f>
        <v>crane_fly</v>
      </c>
      <c r="K113" s="47" t="str">
        <f t="shared" si="1"/>
        <v>Insecta.Diptera.Nematocera.Tipulomorpha.Tipuloidea.Tipulidae.Tipulinae.#N/C.#N/C</v>
      </c>
      <c r="L113" s="46">
        <f>+COUNTIF([1]Monitoring!AN:AN,K113)</f>
        <v>0</v>
      </c>
    </row>
    <row r="114" spans="1:12" x14ac:dyDescent="0.3">
      <c r="A114" s="49" t="s">
        <v>37</v>
      </c>
      <c r="B114" s="49" t="s">
        <v>38</v>
      </c>
      <c r="C114" s="49" t="s">
        <v>185</v>
      </c>
      <c r="D114" s="49" t="str">
        <f>+IFERROR(IF(E114="#N/C","#N/C",INDEX([1]ClassificationClasses!D:D,MATCH(E114,[1]ClassificationClasses!E:E,0))),"ERROR")</f>
        <v>Tipulomorpha</v>
      </c>
      <c r="E114" s="49" t="s">
        <v>236</v>
      </c>
      <c r="F114" s="49" t="s">
        <v>237</v>
      </c>
      <c r="G114" s="49" t="s">
        <v>238</v>
      </c>
      <c r="H114" s="51" t="s">
        <v>239</v>
      </c>
      <c r="I114" s="51" t="s">
        <v>35</v>
      </c>
      <c r="J114" s="69" t="str" cm="1">
        <f t="array" ref="J114">_xlfn.LET(_xlpm.cls,A114, _xlpm.ord,IFERROR(B114,"#N/C"), _xlpm.subord,IFERROR(C114,"#N/C"), _xlpm.infr,IFERROR(D114,"#N/C"), _xlpm.sf,IFERROR(E114,"#N/C"), _xlpm.fam,IFERROR(F114,"#N/C"), _xlpm.subfam,IF(TRIM(G114)="-","#N/C",IFERROR(G114,"#N/C")),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_xlpm.fallback,IF(IFERROR(B114,"#N/C")="#N/C",A114,IF(IFERROR(C114,"#N/C")="#N/C",B114,IF(IFERROR(D114,"#N/C")="#N/C",C114,IF(IFERROR(E114,"#N/C")="#N/C",D114,IF(IFERROR(F114,"#N/C")="#N/C",E114,IF(IFERROR(G114,"#N/C")="#N/C",F114,"#N/C")))))), _xlpm.finalResult,IF(OR(_xlpm.computedResult="",_xlpm.computedResult="#N/C"),_xlpm.fallback,_xlpm.computedResult), INDEX(_xlpm.finalResult,1))</f>
        <v>crane_fly</v>
      </c>
      <c r="K114" s="47" t="str">
        <f t="shared" si="1"/>
        <v>Insecta.Diptera.Nematocera.Tipulomorpha.Tipuloidea.Tipulidae.Tipulinae.Nephrotoma.#N/C</v>
      </c>
      <c r="L114" s="46">
        <f>+COUNTIF([1]Monitoring!AN:AN,K114)</f>
        <v>0</v>
      </c>
    </row>
    <row r="115" spans="1:12" x14ac:dyDescent="0.3">
      <c r="A115" s="48" t="s">
        <v>37</v>
      </c>
      <c r="B115" s="48" t="s">
        <v>38</v>
      </c>
      <c r="C115" s="49" t="s">
        <v>185</v>
      </c>
      <c r="D115" s="49" t="str">
        <f>+IFERROR(IF(E115="#N/C","#N/C",INDEX([1]ClassificationClasses!D:D,MATCH(E115,[1]ClassificationClasses!E:E,0))),"ERROR")</f>
        <v>Tipulomorpha</v>
      </c>
      <c r="E115" s="48" t="s">
        <v>236</v>
      </c>
      <c r="F115" s="48" t="s">
        <v>237</v>
      </c>
      <c r="G115" s="48" t="s">
        <v>238</v>
      </c>
      <c r="H115" s="50" t="s">
        <v>801</v>
      </c>
      <c r="I115" s="50" t="s">
        <v>35</v>
      </c>
      <c r="J115" s="69" t="str" cm="1">
        <f t="array" ref="J115">_xlfn.LET(_xlpm.cls,A115, _xlpm.ord,IFERROR(B115,"#N/C"), _xlpm.subord,IFERROR(C115,"#N/C"), _xlpm.infr,IFERROR(D115,"#N/C"), _xlpm.sf,IFERROR(E115,"#N/C"), _xlpm.fam,IFERROR(F115,"#N/C"), _xlpm.subfam,IF(TRIM(G115)="-","#N/C",IFERROR(G115,"#N/C")),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_xlpm.fallback,IF(IFERROR(B115,"#N/C")="#N/C",A115,IF(IFERROR(C115,"#N/C")="#N/C",B115,IF(IFERROR(D115,"#N/C")="#N/C",C115,IF(IFERROR(E115,"#N/C")="#N/C",D115,IF(IFERROR(F115,"#N/C")="#N/C",E115,IF(IFERROR(G115,"#N/C")="#N/C",F115,"#N/C")))))), _xlpm.finalResult,IF(OR(_xlpm.computedResult="",_xlpm.computedResult="#N/C"),_xlpm.fallback,_xlpm.computedResult), INDEX(_xlpm.finalResult,1))</f>
        <v>crane_fly</v>
      </c>
      <c r="K115" s="47" t="str">
        <f t="shared" si="1"/>
        <v>Insecta.Diptera.Nematocera.Tipulomorpha.Tipuloidea.Tipulidae.Tipulinae.Tipula.#N/C</v>
      </c>
      <c r="L115" s="46">
        <f>+COUNTIF([1]Monitoring!AN:AN,K115)</f>
        <v>1</v>
      </c>
    </row>
    <row r="116" spans="1:12" x14ac:dyDescent="0.3">
      <c r="A116" s="49" t="s">
        <v>37</v>
      </c>
      <c r="B116" s="49" t="s">
        <v>274</v>
      </c>
      <c r="C116" s="49" t="s">
        <v>341</v>
      </c>
      <c r="D116" s="49" t="str">
        <f>+IFERROR(IF(E116="#N/C","#N/C",INDEX([1]ClassificationClasses!D:D,MATCH(E116,[1]ClassificationClasses!E:E,0))),"ERROR")</f>
        <v>#N/C</v>
      </c>
      <c r="E116" s="49" t="s">
        <v>35</v>
      </c>
      <c r="F116" s="49" t="s">
        <v>35</v>
      </c>
      <c r="G116" s="49" t="s">
        <v>35</v>
      </c>
      <c r="H116" s="51" t="s">
        <v>35</v>
      </c>
      <c r="I116" s="51" t="s">
        <v>35</v>
      </c>
      <c r="J116" s="69" t="str" cm="1">
        <f t="array" ref="J116">_xlfn.LET(_xlpm.cls,A116, _xlpm.ord,IFERROR(B116,"#N/C"), _xlpm.subord,IFERROR(C116,"#N/C"), _xlpm.infr,IFERROR(D116,"#N/C"), _xlpm.sf,IFERROR(E116,"#N/C"), _xlpm.fam,IFERROR(F116,"#N/C"), _xlpm.subfam,IF(TRIM(G116)="-","#N/C",IFERROR(G116,"#N/C")),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_xlpm.fallback,IF(IFERROR(B116,"#N/C")="#N/C",A116,IF(IFERROR(C116,"#N/C")="#N/C",B116,IF(IFERROR(D116,"#N/C")="#N/C",C116,IF(IFERROR(E116,"#N/C")="#N/C",D116,IF(IFERROR(F116,"#N/C")="#N/C",E116,IF(IFERROR(G116,"#N/C")="#N/C",F116,"#N/C")))))), _xlpm.finalResult,IF(OR(_xlpm.computedResult="",_xlpm.computedResult="#N/C"),_xlpm.fallback,_xlpm.computedResult), INDEX(_xlpm.finalResult,1))</f>
        <v>Auchenorrhyncha</v>
      </c>
      <c r="K116" s="47" t="str">
        <f t="shared" si="1"/>
        <v>Insecta.Hemiptera.Auchenorrhyncha.#N/C.#N/C.#N/C.#N/C.#N/C.#N/C</v>
      </c>
      <c r="L116" s="46">
        <f>+COUNTIF([1]Monitoring!AN:AN,K116)</f>
        <v>0</v>
      </c>
    </row>
    <row r="117" spans="1:12" x14ac:dyDescent="0.3">
      <c r="A117" s="49" t="s">
        <v>37</v>
      </c>
      <c r="B117" s="49" t="s">
        <v>274</v>
      </c>
      <c r="C117" s="49" t="s">
        <v>341</v>
      </c>
      <c r="D117" s="49" t="str">
        <f>+IFERROR(IF(E117="#N/C","#N/C",INDEX([1]ClassificationClasses!D:D,MATCH(E117,[1]ClassificationClasses!E:E,0))),"ERROR")</f>
        <v>Cicadomorpha</v>
      </c>
      <c r="E117" s="49" t="s">
        <v>802</v>
      </c>
      <c r="F117" s="49" t="s">
        <v>803</v>
      </c>
      <c r="G117" s="49" t="s">
        <v>804</v>
      </c>
      <c r="H117" s="51" t="s">
        <v>805</v>
      </c>
      <c r="I117" s="51" t="s">
        <v>35</v>
      </c>
      <c r="J117" s="69" t="str" cm="1">
        <f t="array" ref="J117">_xlfn.LET(_xlpm.cls,A117, _xlpm.ord,IFERROR(B117,"#N/C"), _xlpm.subord,IFERROR(C117,"#N/C"), _xlpm.infr,IFERROR(D117,"#N/C"), _xlpm.sf,IFERROR(E117,"#N/C"), _xlpm.fam,IFERROR(F117,"#N/C"), _xlpm.subfam,IF(TRIM(G117)="-","#N/C",IFERROR(G117,"#N/C")),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_xlpm.fallback,IF(IFERROR(B117,"#N/C")="#N/C",A117,IF(IFERROR(C117,"#N/C")="#N/C",B117,IF(IFERROR(D117,"#N/C")="#N/C",C117,IF(IFERROR(E117,"#N/C")="#N/C",D117,IF(IFERROR(F117,"#N/C")="#N/C",E117,IF(IFERROR(G117,"#N/C")="#N/C",F117,"#N/C")))))), _xlpm.finalResult,IF(OR(_xlpm.computedResult="",_xlpm.computedResult="#N/C"),_xlpm.fallback,_xlpm.computedResult), INDEX(_xlpm.finalResult,1))</f>
        <v>leafhopper</v>
      </c>
      <c r="K117" s="47" t="str">
        <f t="shared" si="1"/>
        <v>Insecta.Hemiptera.Auchenorrhyncha.Cicadomorpha.Membracoidea.Cicadellidae.Deltocephalinae.Orientus.#N/C</v>
      </c>
      <c r="L117" s="46">
        <f>+COUNTIF([1]Monitoring!AN:AN,K117)</f>
        <v>2</v>
      </c>
    </row>
    <row r="118" spans="1:12" x14ac:dyDescent="0.3">
      <c r="A118" s="49" t="s">
        <v>37</v>
      </c>
      <c r="B118" s="49" t="s">
        <v>274</v>
      </c>
      <c r="C118" s="49" t="s">
        <v>275</v>
      </c>
      <c r="D118" s="49" t="s">
        <v>806</v>
      </c>
      <c r="E118" s="49" t="s">
        <v>807</v>
      </c>
      <c r="F118" s="49" t="s">
        <v>808</v>
      </c>
      <c r="G118" s="49" t="s">
        <v>809</v>
      </c>
      <c r="H118" s="51" t="s">
        <v>810</v>
      </c>
      <c r="I118" s="51" t="s">
        <v>35</v>
      </c>
      <c r="J118" s="69" t="str" cm="1">
        <f t="array" ref="J118">_xlfn.LET(_xlpm.cls,A118, _xlpm.ord,IFERROR(B118,"#N/C"), _xlpm.subord,IFERROR(C118,"#N/C"), _xlpm.infr,IFERROR(D118,"#N/C"), _xlpm.sf,IFERROR(E118,"#N/C"), _xlpm.fam,IFERROR(F118,"#N/C"), _xlpm.subfam,IF(TRIM(G118)="-","#N/C",IFERROR(G118,"#N/C")),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_xlpm.fallback,IF(IFERROR(B118,"#N/C")="#N/C",A118,IF(IFERROR(C118,"#N/C")="#N/C",B118,IF(IFERROR(D118,"#N/C")="#N/C",C118,IF(IFERROR(E118,"#N/C")="#N/C",D118,IF(IFERROR(F118,"#N/C")="#N/C",E118,IF(IFERROR(G118,"#N/C")="#N/C",F118,"#N/C")))))), _xlpm.finalResult,IF(OR(_xlpm.computedResult="",_xlpm.computedResult="#N/C"),_xlpm.fallback,_xlpm.computedResult), INDEX(_xlpm.finalResult,1))</f>
        <v>bug</v>
      </c>
      <c r="K118" s="47" t="str">
        <f t="shared" si="1"/>
        <v>Insecta.Hemiptera.Heteroptera.Pentatomomorpha.Lygaeoidea.Rhyparochromidae.Rhyparochrominae.Rhyparochromus.#N/C</v>
      </c>
      <c r="L118" s="46">
        <f>+COUNTIF([1]Monitoring!AN:AN,K118)</f>
        <v>2</v>
      </c>
    </row>
    <row r="119" spans="1:12" x14ac:dyDescent="0.3">
      <c r="A119" s="49" t="s">
        <v>37</v>
      </c>
      <c r="B119" s="49" t="s">
        <v>274</v>
      </c>
      <c r="C119" s="49" t="s">
        <v>275</v>
      </c>
      <c r="D119" s="49" t="s">
        <v>806</v>
      </c>
      <c r="E119" s="49" t="s">
        <v>276</v>
      </c>
      <c r="F119" s="49" t="s">
        <v>277</v>
      </c>
      <c r="G119" s="49" t="s">
        <v>811</v>
      </c>
      <c r="H119" s="51" t="s">
        <v>35</v>
      </c>
      <c r="I119" s="51" t="s">
        <v>35</v>
      </c>
      <c r="J119" s="69" t="str" cm="1">
        <f t="array" ref="J119">_xlfn.LET(_xlpm.cls,A119, _xlpm.ord,IFERROR(B119,"#N/C"), _xlpm.subord,IFERROR(C119,"#N/C"), _xlpm.infr,IFERROR(D119,"#N/C"), _xlpm.sf,IFERROR(E119,"#N/C"), _xlpm.fam,IFERROR(F119,"#N/C"), _xlpm.subfam,IF(TRIM(G119)="-","#N/C",IFERROR(G119,"#N/C")),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_xlpm.fallback,IF(IFERROR(B119,"#N/C")="#N/C",A119,IF(IFERROR(C119,"#N/C")="#N/C",B119,IF(IFERROR(D119,"#N/C")="#N/C",C119,IF(IFERROR(E119,"#N/C")="#N/C",D119,IF(IFERROR(F119,"#N/C")="#N/C",E119,IF(IFERROR(G119,"#N/C")="#N/C",F119,"#N/C")))))), _xlpm.finalResult,IF(OR(_xlpm.computedResult="",_xlpm.computedResult="#N/C"),_xlpm.fallback,_xlpm.computedResult), INDEX(_xlpm.finalResult,1))</f>
        <v>bug</v>
      </c>
      <c r="K119" s="47" t="str">
        <f t="shared" si="1"/>
        <v>Insecta.Hemiptera.Heteroptera.Pentatomomorpha.Miroidea.Miridae.Mirinae.#N/C.#N/C</v>
      </c>
      <c r="L119" s="46">
        <f>+COUNTIF([1]Monitoring!AN:AN,K119)</f>
        <v>1</v>
      </c>
    </row>
    <row r="120" spans="1:12" x14ac:dyDescent="0.3">
      <c r="A120" s="49" t="s">
        <v>37</v>
      </c>
      <c r="B120" s="49" t="s">
        <v>274</v>
      </c>
      <c r="C120" s="49" t="s">
        <v>275</v>
      </c>
      <c r="D120" s="49" t="s">
        <v>806</v>
      </c>
      <c r="E120" s="49" t="s">
        <v>276</v>
      </c>
      <c r="F120" s="49" t="s">
        <v>277</v>
      </c>
      <c r="G120" s="49" t="s">
        <v>278</v>
      </c>
      <c r="H120" s="51" t="s">
        <v>279</v>
      </c>
      <c r="I120" s="51" t="s">
        <v>35</v>
      </c>
      <c r="J120" s="69" t="str" cm="1">
        <f t="array" ref="J120">_xlfn.LET(_xlpm.cls,A120, _xlpm.ord,IFERROR(B120,"#N/C"), _xlpm.subord,IFERROR(C120,"#N/C"), _xlpm.infr,IFERROR(D120,"#N/C"), _xlpm.sf,IFERROR(E120,"#N/C"), _xlpm.fam,IFERROR(F120,"#N/C"), _xlpm.subfam,IF(TRIM(G120)="-","#N/C",IFERROR(G120,"#N/C")),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_xlpm.fallback,IF(IFERROR(B120,"#N/C")="#N/C",A120,IF(IFERROR(C120,"#N/C")="#N/C",B120,IF(IFERROR(D120,"#N/C")="#N/C",C120,IF(IFERROR(E120,"#N/C")="#N/C",D120,IF(IFERROR(F120,"#N/C")="#N/C",E120,IF(IFERROR(G120,"#N/C")="#N/C",F120,"#N/C")))))), _xlpm.finalResult,IF(OR(_xlpm.computedResult="",_xlpm.computedResult="#N/C"),_xlpm.fallback,_xlpm.computedResult), INDEX(_xlpm.finalResult,1))</f>
        <v>bug</v>
      </c>
      <c r="K120" s="47" t="str">
        <f t="shared" si="1"/>
        <v>Insecta.Hemiptera.Heteroptera.Pentatomomorpha.Miroidea.Miridae.Orthotylinae.Orthotylus.#N/C</v>
      </c>
      <c r="L120" s="46">
        <f>+COUNTIF([1]Monitoring!AN:AN,K120)</f>
        <v>0</v>
      </c>
    </row>
    <row r="121" spans="1:12" x14ac:dyDescent="0.3">
      <c r="A121" s="49" t="s">
        <v>37</v>
      </c>
      <c r="B121" s="49" t="s">
        <v>41</v>
      </c>
      <c r="C121" s="49" t="s">
        <v>35</v>
      </c>
      <c r="D121" s="49" t="str">
        <f>+IFERROR(IF(E121="#N/C","#N/C",INDEX([1]ClassificationClasses!D:D,MATCH(E121,[1]ClassificationClasses!E:E,0))),"ERROR")</f>
        <v>#N/C</v>
      </c>
      <c r="E121" s="49" t="s">
        <v>35</v>
      </c>
      <c r="F121" s="49" t="s">
        <v>35</v>
      </c>
      <c r="G121" s="49" t="s">
        <v>35</v>
      </c>
      <c r="H121" s="51" t="s">
        <v>35</v>
      </c>
      <c r="I121" s="51" t="s">
        <v>35</v>
      </c>
      <c r="J121" s="69" t="str" cm="1">
        <f t="array" ref="J121">_xlfn.LET(_xlpm.cls,A121, _xlpm.ord,IFERROR(B121,"#N/C"), _xlpm.subord,IFERROR(C121,"#N/C"), _xlpm.infr,IFERROR(D121,"#N/C"), _xlpm.sf,IFERROR(E121,"#N/C"), _xlpm.fam,IFERROR(F121,"#N/C"), _xlpm.subfam,IF(TRIM(G121)="-","#N/C",IFERROR(G121,"#N/C")),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_xlpm.fallback,IF(IFERROR(B121,"#N/C")="#N/C",A121,IF(IFERROR(C121,"#N/C")="#N/C",B121,IF(IFERROR(D121,"#N/C")="#N/C",C121,IF(IFERROR(E121,"#N/C")="#N/C",D121,IF(IFERROR(F121,"#N/C")="#N/C",E121,IF(IFERROR(G121,"#N/C")="#N/C",F121,"#N/C")))))), _xlpm.finalResult,IF(OR(_xlpm.computedResult="",_xlpm.computedResult="#N/C"),_xlpm.fallback,_xlpm.computedResult), INDEX(_xlpm.finalResult,1))</f>
        <v>Hymenoptera</v>
      </c>
      <c r="K121" s="47" t="str">
        <f t="shared" si="1"/>
        <v>Insecta.Hymenoptera.#N/C.#N/C.#N/C.#N/C.#N/C.#N/C.#N/C</v>
      </c>
      <c r="L121" s="46">
        <f>+COUNTIF([1]Monitoring!AN:AN,K121)</f>
        <v>0</v>
      </c>
    </row>
    <row r="122" spans="1:12" x14ac:dyDescent="0.3">
      <c r="A122" s="49" t="s">
        <v>37</v>
      </c>
      <c r="B122" s="49" t="s">
        <v>41</v>
      </c>
      <c r="C122" s="49" t="s">
        <v>42</v>
      </c>
      <c r="D122" s="49" t="str">
        <f>+IFERROR(IF(E122="#N/C","#N/C",INDEX([1]ClassificationClasses!D:D,MATCH(E122,[1]ClassificationClasses!E:E,0))),"ERROR")</f>
        <v>#N/C</v>
      </c>
      <c r="E122" s="49" t="s">
        <v>35</v>
      </c>
      <c r="F122" s="49" t="s">
        <v>35</v>
      </c>
      <c r="G122" s="49" t="s">
        <v>35</v>
      </c>
      <c r="H122" s="51" t="s">
        <v>35</v>
      </c>
      <c r="I122" s="51" t="s">
        <v>35</v>
      </c>
      <c r="J122" s="69" t="str" cm="1">
        <f t="array" ref="J122">_xlfn.LET(_xlpm.cls,A122, _xlpm.ord,IFERROR(B122,"#N/C"), _xlpm.subord,IFERROR(C122,"#N/C"), _xlpm.infr,IFERROR(D122,"#N/C"), _xlpm.sf,IFERROR(E122,"#N/C"), _xlpm.fam,IFERROR(F122,"#N/C"), _xlpm.subfam,IF(TRIM(G122)="-","#N/C",IFERROR(G122,"#N/C")),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_xlpm.fallback,IF(IFERROR(B122,"#N/C")="#N/C",A122,IF(IFERROR(C122,"#N/C")="#N/C",B122,IF(IFERROR(D122,"#N/C")="#N/C",C122,IF(IFERROR(E122,"#N/C")="#N/C",D122,IF(IFERROR(F122,"#N/C")="#N/C",E122,IF(IFERROR(G122,"#N/C")="#N/C",F122,"#N/C")))))), _xlpm.finalResult,IF(OR(_xlpm.computedResult="",_xlpm.computedResult="#N/C"),_xlpm.fallback,_xlpm.computedResult), INDEX(_xlpm.finalResult,1))</f>
        <v>Apocrita</v>
      </c>
      <c r="K122" s="47" t="str">
        <f t="shared" si="1"/>
        <v>Insecta.Hymenoptera.Apocrita.#N/C.#N/C.#N/C.#N/C.#N/C.#N/C</v>
      </c>
      <c r="L122" s="46">
        <f>+COUNTIF([1]Monitoring!AN:AN,K122)</f>
        <v>0</v>
      </c>
    </row>
    <row r="123" spans="1:12" x14ac:dyDescent="0.3">
      <c r="A123" s="48" t="s">
        <v>37</v>
      </c>
      <c r="B123" s="48" t="s">
        <v>41</v>
      </c>
      <c r="C123" s="48" t="s">
        <v>42</v>
      </c>
      <c r="D123" s="49" t="str">
        <f>+IFERROR(IF(E123="#N/C","#N/C",INDEX([1]ClassificationClasses!D:D,MATCH(E123,[1]ClassificationClasses!E:E,0))),"ERROR")</f>
        <v>Aculeata</v>
      </c>
      <c r="E123" s="48" t="s">
        <v>131</v>
      </c>
      <c r="F123" s="48" t="s">
        <v>132</v>
      </c>
      <c r="G123" s="48" t="s">
        <v>133</v>
      </c>
      <c r="H123" s="50" t="s">
        <v>35</v>
      </c>
      <c r="I123" s="50" t="s">
        <v>35</v>
      </c>
      <c r="J123" s="69" t="str" cm="1">
        <f t="array" ref="J123">_xlfn.LET(_xlpm.cls,A123, _xlpm.ord,IFERROR(B123,"#N/C"), _xlpm.subord,IFERROR(C123,"#N/C"), _xlpm.infr,IFERROR(D123,"#N/C"), _xlpm.sf,IFERROR(E123,"#N/C"), _xlpm.fam,IFERROR(F123,"#N/C"), _xlpm.subfam,IF(TRIM(G123)="-","#N/C",IFERROR(G123,"#N/C")),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_xlpm.fallback,IF(IFERROR(B123,"#N/C")="#N/C",A123,IF(IFERROR(C123,"#N/C")="#N/C",B123,IF(IFERROR(D123,"#N/C")="#N/C",C123,IF(IFERROR(E123,"#N/C")="#N/C",D123,IF(IFERROR(F123,"#N/C")="#N/C",E123,IF(IFERROR(G123,"#N/C")="#N/C",F123,"#N/C")))))), _xlpm.finalResult,IF(OR(_xlpm.computedResult="",_xlpm.computedResult="#N/C"),_xlpm.fallback,_xlpm.computedResult), INDEX(_xlpm.finalResult,1))</f>
        <v>bee</v>
      </c>
      <c r="K123" s="47" t="str">
        <f t="shared" si="1"/>
        <v>Insecta.Hymenoptera.Apocrita.Aculeata.Apoidea.Apidae.Apinae.#N/C.#N/C</v>
      </c>
      <c r="L123" s="46">
        <f>+COUNTIF([1]Monitoring!AN:AN,K123)</f>
        <v>1</v>
      </c>
    </row>
    <row r="124" spans="1:12" x14ac:dyDescent="0.3">
      <c r="A124" s="49" t="s">
        <v>37</v>
      </c>
      <c r="B124" s="49" t="s">
        <v>41</v>
      </c>
      <c r="C124" s="49" t="s">
        <v>42</v>
      </c>
      <c r="D124" s="49" t="str">
        <f>+IFERROR(IF(E124="#N/C","#N/C",INDEX([1]ClassificationClasses!D:D,MATCH(E124,[1]ClassificationClasses!E:E,0))),"ERROR")</f>
        <v>Aculeata</v>
      </c>
      <c r="E124" s="49" t="s">
        <v>131</v>
      </c>
      <c r="F124" s="49" t="s">
        <v>132</v>
      </c>
      <c r="G124" s="49" t="s">
        <v>133</v>
      </c>
      <c r="H124" s="118" t="s">
        <v>134</v>
      </c>
      <c r="I124" s="118" t="s">
        <v>35</v>
      </c>
      <c r="J124" s="69" t="str" cm="1">
        <f t="array" ref="J124">_xlfn.LET(_xlpm.cls,A124, _xlpm.ord,IFERROR(B124,"#N/C"), _xlpm.subord,IFERROR(C124,"#N/C"), _xlpm.infr,IFERROR(D124,"#N/C"), _xlpm.sf,IFERROR(E124,"#N/C"), _xlpm.fam,IFERROR(F124,"#N/C"), _xlpm.subfam,IF(TRIM(G124)="-","#N/C",IFERROR(G124,"#N/C")),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_xlpm.fallback,IF(IFERROR(B124,"#N/C")="#N/C",A124,IF(IFERROR(C124,"#N/C")="#N/C",B124,IF(IFERROR(D124,"#N/C")="#N/C",C124,IF(IFERROR(E124,"#N/C")="#N/C",D124,IF(IFERROR(F124,"#N/C")="#N/C",E124,IF(IFERROR(G124,"#N/C")="#N/C",F124,"#N/C")))))), _xlpm.finalResult,IF(OR(_xlpm.computedResult="",_xlpm.computedResult="#N/C"),_xlpm.fallback,_xlpm.computedResult), INDEX(_xlpm.finalResult,1))</f>
        <v>bee</v>
      </c>
      <c r="K124" s="47" t="str">
        <f t="shared" si="1"/>
        <v>Insecta.Hymenoptera.Apocrita.Aculeata.Apoidea.Apidae.Apinae.Bombus.#N/C</v>
      </c>
      <c r="L124" s="46">
        <f>+COUNTIF([1]Monitoring!AN:AN,K124)</f>
        <v>0</v>
      </c>
    </row>
    <row r="125" spans="1:12" x14ac:dyDescent="0.3">
      <c r="A125" s="49" t="s">
        <v>37</v>
      </c>
      <c r="B125" s="49" t="s">
        <v>41</v>
      </c>
      <c r="C125" s="49" t="s">
        <v>42</v>
      </c>
      <c r="D125" s="49" t="str">
        <f>+IFERROR(IF(E125="#N/C","#N/C",INDEX([1]ClassificationClasses!D:D,MATCH(E125,[1]ClassificationClasses!E:E,0))),"ERROR")</f>
        <v>Aculeata</v>
      </c>
      <c r="E125" s="49" t="s">
        <v>131</v>
      </c>
      <c r="F125" s="49" t="s">
        <v>396</v>
      </c>
      <c r="G125" s="49" t="s">
        <v>397</v>
      </c>
      <c r="H125" s="51" t="s">
        <v>398</v>
      </c>
      <c r="I125" s="51" t="s">
        <v>35</v>
      </c>
      <c r="J125" s="69" t="str" cm="1">
        <f t="array" ref="J125">_xlfn.LET(_xlpm.cls,A125, _xlpm.ord,IFERROR(B125,"#N/C"), _xlpm.subord,IFERROR(C125,"#N/C"), _xlpm.infr,IFERROR(D125,"#N/C"), _xlpm.sf,IFERROR(E125,"#N/C"), _xlpm.fam,IFERROR(F125,"#N/C"), _xlpm.subfam,IF(TRIM(G125)="-","#N/C",IFERROR(G125,"#N/C")),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_xlpm.fallback,IF(IFERROR(B125,"#N/C")="#N/C",A125,IF(IFERROR(C125,"#N/C")="#N/C",B125,IF(IFERROR(D125,"#N/C")="#N/C",C125,IF(IFERROR(E125,"#N/C")="#N/C",D125,IF(IFERROR(F125,"#N/C")="#N/C",E125,IF(IFERROR(G125,"#N/C")="#N/C",F125,"#N/C")))))), _xlpm.finalResult,IF(OR(_xlpm.computedResult="",_xlpm.computedResult="#N/C"),_xlpm.fallback,_xlpm.computedResult), INDEX(_xlpm.finalResult,1))</f>
        <v>Apoidea</v>
      </c>
      <c r="K125" s="47" t="str">
        <f t="shared" si="1"/>
        <v>Insecta.Hymenoptera.Apocrita.Aculeata.Apoidea.Crabronidae.Astatinae.Astata.#N/C</v>
      </c>
      <c r="L125" s="46">
        <f>+COUNTIF([1]Monitoring!AN:AN,K125)</f>
        <v>0</v>
      </c>
    </row>
    <row r="126" spans="1:12" x14ac:dyDescent="0.3">
      <c r="A126" s="49" t="s">
        <v>37</v>
      </c>
      <c r="B126" s="49" t="s">
        <v>41</v>
      </c>
      <c r="C126" s="49" t="s">
        <v>42</v>
      </c>
      <c r="D126" s="49" t="str">
        <f>+IFERROR(IF(E126="#N/C","#N/C",INDEX([1]ClassificationClasses!D:D,MATCH(E126,[1]ClassificationClasses!E:E,0))),"ERROR")</f>
        <v>Aculeata</v>
      </c>
      <c r="E126" s="49" t="s">
        <v>131</v>
      </c>
      <c r="F126" s="49" t="s">
        <v>396</v>
      </c>
      <c r="G126" s="49" t="s">
        <v>812</v>
      </c>
      <c r="H126" s="51" t="s">
        <v>813</v>
      </c>
      <c r="I126" s="51" t="s">
        <v>35</v>
      </c>
      <c r="J126" s="69" t="str" cm="1">
        <f t="array" ref="J126">_xlfn.LET(_xlpm.cls,A126, _xlpm.ord,IFERROR(B126,"#N/C"), _xlpm.subord,IFERROR(C126,"#N/C"), _xlpm.infr,IFERROR(D126,"#N/C"), _xlpm.sf,IFERROR(E126,"#N/C"), _xlpm.fam,IFERROR(F126,"#N/C"), _xlpm.subfam,IF(TRIM(G126)="-","#N/C",IFERROR(G126,"#N/C")),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_xlpm.fallback,IF(IFERROR(B126,"#N/C")="#N/C",A126,IF(IFERROR(C126,"#N/C")="#N/C",B126,IF(IFERROR(D126,"#N/C")="#N/C",C126,IF(IFERROR(E126,"#N/C")="#N/C",D126,IF(IFERROR(F126,"#N/C")="#N/C",E126,IF(IFERROR(G126,"#N/C")="#N/C",F126,"#N/C")))))), _xlpm.finalResult,IF(OR(_xlpm.computedResult="",_xlpm.computedResult="#N/C"),_xlpm.fallback,_xlpm.computedResult), INDEX(_xlpm.finalResult,1))</f>
        <v>Apoidea</v>
      </c>
      <c r="K126" s="47" t="str">
        <f t="shared" si="1"/>
        <v>Insecta.Hymenoptera.Apocrita.Aculeata.Apoidea.Crabronidae.Crabroninae.Oxybelus.#N/C</v>
      </c>
      <c r="L126" s="46">
        <f>+COUNTIF([1]Monitoring!AN:AN,K126)</f>
        <v>1</v>
      </c>
    </row>
    <row r="127" spans="1:12" x14ac:dyDescent="0.3">
      <c r="A127" s="49" t="s">
        <v>37</v>
      </c>
      <c r="B127" s="49" t="s">
        <v>41</v>
      </c>
      <c r="C127" s="49" t="s">
        <v>42</v>
      </c>
      <c r="D127" s="49" t="str">
        <f>+IFERROR(IF(E127="#N/C","#N/C",INDEX([1]ClassificationClasses!D:D,MATCH(E127,[1]ClassificationClasses!E:E,0))),"ERROR")</f>
        <v>Aculeata</v>
      </c>
      <c r="E127" s="49" t="s">
        <v>131</v>
      </c>
      <c r="F127" s="49" t="s">
        <v>396</v>
      </c>
      <c r="G127" s="49" t="s">
        <v>814</v>
      </c>
      <c r="H127" s="51" t="s">
        <v>815</v>
      </c>
      <c r="I127" s="51" t="s">
        <v>35</v>
      </c>
      <c r="J127" s="69" t="str" cm="1">
        <f t="array" ref="J127">_xlfn.LET(_xlpm.cls,A127, _xlpm.ord,IFERROR(B127,"#N/C"), _xlpm.subord,IFERROR(C127,"#N/C"), _xlpm.infr,IFERROR(D127,"#N/C"), _xlpm.sf,IFERROR(E127,"#N/C"), _xlpm.fam,IFERROR(F127,"#N/C"), _xlpm.subfam,IF(TRIM(G127)="-","#N/C",IFERROR(G127,"#N/C")),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_xlpm.fallback,IF(IFERROR(B127,"#N/C")="#N/C",A127,IF(IFERROR(C127,"#N/C")="#N/C",B127,IF(IFERROR(D127,"#N/C")="#N/C",C127,IF(IFERROR(E127,"#N/C")="#N/C",D127,IF(IFERROR(F127,"#N/C")="#N/C",E127,IF(IFERROR(G127,"#N/C")="#N/C",F127,"#N/C")))))), _xlpm.finalResult,IF(OR(_xlpm.computedResult="",_xlpm.computedResult="#N/C"),_xlpm.fallback,_xlpm.computedResult), INDEX(_xlpm.finalResult,1))</f>
        <v>Apoidea</v>
      </c>
      <c r="K127" s="47" t="str">
        <f t="shared" si="1"/>
        <v>Insecta.Hymenoptera.Apocrita.Aculeata.Apoidea.Crabronidae.Pemphredoninae.Pemphredon.#N/C</v>
      </c>
      <c r="L127" s="46">
        <f>+COUNTIF([1]Monitoring!AN:AN,K127)</f>
        <v>1</v>
      </c>
    </row>
    <row r="128" spans="1:12" x14ac:dyDescent="0.3">
      <c r="A128" s="48" t="s">
        <v>37</v>
      </c>
      <c r="B128" s="48" t="s">
        <v>41</v>
      </c>
      <c r="C128" s="48" t="s">
        <v>42</v>
      </c>
      <c r="D128" s="49" t="str">
        <f>+IFERROR(IF(E128="#N/C","#N/C",INDEX([1]ClassificationClasses!D:D,MATCH(E128,[1]ClassificationClasses!E:E,0))),"ERROR")</f>
        <v>Parasitica</v>
      </c>
      <c r="E128" s="48" t="s">
        <v>816</v>
      </c>
      <c r="F128" s="48" t="s">
        <v>817</v>
      </c>
      <c r="G128" s="48" t="s">
        <v>35</v>
      </c>
      <c r="H128" s="50" t="s">
        <v>35</v>
      </c>
      <c r="I128" s="50" t="s">
        <v>35</v>
      </c>
      <c r="J128" s="69" t="str" cm="1">
        <f t="array" ref="J128">_xlfn.LET(_xlpm.cls,A128, _xlpm.ord,IFERROR(B128,"#N/C"), _xlpm.subord,IFERROR(C128,"#N/C"), _xlpm.infr,IFERROR(D128,"#N/C"), _xlpm.sf,IFERROR(E128,"#N/C"), _xlpm.fam,IFERROR(F128,"#N/C"), _xlpm.subfam,IF(TRIM(G128)="-","#N/C",IFERROR(G128,"#N/C")),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_xlpm.fallback,IF(IFERROR(B128,"#N/C")="#N/C",A128,IF(IFERROR(C128,"#N/C")="#N/C",B128,IF(IFERROR(D128,"#N/C")="#N/C",C128,IF(IFERROR(E128,"#N/C")="#N/C",D128,IF(IFERROR(F128,"#N/C")="#N/C",E128,IF(IFERROR(G128,"#N/C")="#N/C",F128,"#N/C")))))), _xlpm.finalResult,IF(OR(_xlpm.computedResult="",_xlpm.computedResult="#N/C"),_xlpm.fallback,_xlpm.computedResult), INDEX(_xlpm.finalResult,1))</f>
        <v>parasitoid_wasp_small</v>
      </c>
      <c r="K128" s="47" t="str">
        <f t="shared" si="1"/>
        <v>Insecta.Hymenoptera.Apocrita.Parasitica.Chalcidoidea.Eulophidae.#N/C.#N/C.#N/C</v>
      </c>
      <c r="L128" s="46">
        <f>+COUNTIF([1]Monitoring!AN:AN,K128)</f>
        <v>1</v>
      </c>
    </row>
    <row r="129" spans="1:12" x14ac:dyDescent="0.3">
      <c r="A129" s="49" t="s">
        <v>37</v>
      </c>
      <c r="B129" s="49" t="s">
        <v>41</v>
      </c>
      <c r="C129" s="49" t="s">
        <v>42</v>
      </c>
      <c r="D129" s="49" t="str">
        <f>+IFERROR(IF(E129="#N/C","#N/C",INDEX([1]ClassificationClasses!D:D,MATCH(E129,[1]ClassificationClasses!E:E,0))),"ERROR")</f>
        <v>Parasitica</v>
      </c>
      <c r="E129" s="49" t="s">
        <v>71</v>
      </c>
      <c r="F129" s="49" t="s">
        <v>35</v>
      </c>
      <c r="G129" s="49" t="s">
        <v>35</v>
      </c>
      <c r="H129" s="51" t="s">
        <v>35</v>
      </c>
      <c r="I129" s="51" t="s">
        <v>35</v>
      </c>
      <c r="J129" s="69" t="str" cm="1">
        <f t="array" ref="J129">_xlfn.LET(_xlpm.cls,A129, _xlpm.ord,IFERROR(B129,"#N/C"), _xlpm.subord,IFERROR(C129,"#N/C"), _xlpm.infr,IFERROR(D129,"#N/C"), _xlpm.sf,IFERROR(E129,"#N/C"), _xlpm.fam,IFERROR(F129,"#N/C"), _xlpm.subfam,IF(TRIM(G129)="-","#N/C",IFERROR(G129,"#N/C")),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_xlpm.fallback,IF(IFERROR(B129,"#N/C")="#N/C",A129,IF(IFERROR(C129,"#N/C")="#N/C",B129,IF(IFERROR(D129,"#N/C")="#N/C",C129,IF(IFERROR(E129,"#N/C")="#N/C",D129,IF(IFERROR(F129,"#N/C")="#N/C",E129,IF(IFERROR(G129,"#N/C")="#N/C",F129,"#N/C")))))), _xlpm.finalResult,IF(OR(_xlpm.computedResult="",_xlpm.computedResult="#N/C"),_xlpm.fallback,_xlpm.computedResult), INDEX(_xlpm.finalResult,1))</f>
        <v>Ichneumonoidea</v>
      </c>
      <c r="K129" s="47" t="str">
        <f t="shared" si="1"/>
        <v>Insecta.Hymenoptera.Apocrita.Parasitica.Ichneumonoidea.#N/C.#N/C.#N/C.#N/C</v>
      </c>
      <c r="L129" s="46">
        <f>+COUNTIF([1]Monitoring!AN:AN,K129)</f>
        <v>0</v>
      </c>
    </row>
    <row r="130" spans="1:12" x14ac:dyDescent="0.3">
      <c r="A130" s="49" t="s">
        <v>37</v>
      </c>
      <c r="B130" s="49" t="s">
        <v>41</v>
      </c>
      <c r="C130" s="49" t="s">
        <v>42</v>
      </c>
      <c r="D130" s="49" t="str">
        <f>+IFERROR(IF(E130="#N/C","#N/C",INDEX([1]ClassificationClasses!D:D,MATCH(E130,[1]ClassificationClasses!E:E,0))),"ERROR")</f>
        <v>Parasitica</v>
      </c>
      <c r="E130" s="49" t="s">
        <v>71</v>
      </c>
      <c r="F130" s="49" t="s">
        <v>704</v>
      </c>
      <c r="G130" s="49" t="s">
        <v>705</v>
      </c>
      <c r="H130" s="51" t="s">
        <v>35</v>
      </c>
      <c r="I130" s="51" t="s">
        <v>35</v>
      </c>
      <c r="J130" s="69" t="str" cm="1">
        <f t="array" ref="J130">_xlfn.LET(_xlpm.cls,A130, _xlpm.ord,IFERROR(B130,"#N/C"), _xlpm.subord,IFERROR(C130,"#N/C"), _xlpm.infr,IFERROR(D130,"#N/C"), _xlpm.sf,IFERROR(E130,"#N/C"), _xlpm.fam,IFERROR(F130,"#N/C"), _xlpm.subfam,IF(TRIM(G130)="-","#N/C",IFERROR(G130,"#N/C")),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_xlpm.fallback,IF(IFERROR(B130,"#N/C")="#N/C",A130,IF(IFERROR(C130,"#N/C")="#N/C",B130,IF(IFERROR(D130,"#N/C")="#N/C",C130,IF(IFERROR(E130,"#N/C")="#N/C",D130,IF(IFERROR(F130,"#N/C")="#N/C",E130,IF(IFERROR(G130,"#N/C")="#N/C",F130,"#N/C")))))), _xlpm.finalResult,IF(OR(_xlpm.computedResult="",_xlpm.computedResult="#N/C"),_xlpm.fallback,_xlpm.computedResult), INDEX(_xlpm.finalResult,1))</f>
        <v>Ichneumonoidea</v>
      </c>
      <c r="K130" s="47" t="str">
        <f t="shared" si="1"/>
        <v>Insecta.Hymenoptera.Apocrita.Parasitica.Ichneumonoidea.Braconidae.Macrocentrinae.#N/C.#N/C</v>
      </c>
      <c r="L130" s="46">
        <f>+COUNTIF([1]Monitoring!AN:AN,K130)</f>
        <v>0</v>
      </c>
    </row>
    <row r="131" spans="1:12" x14ac:dyDescent="0.3">
      <c r="A131" s="49" t="s">
        <v>37</v>
      </c>
      <c r="B131" s="49" t="s">
        <v>41</v>
      </c>
      <c r="C131" s="49" t="s">
        <v>42</v>
      </c>
      <c r="D131" s="49" t="str">
        <f>+IFERROR(IF(E131="#N/C","#N/C",INDEX([1]ClassificationClasses!D:D,MATCH(E131,[1]ClassificationClasses!E:E,0))),"ERROR")</f>
        <v>Parasitica</v>
      </c>
      <c r="E131" s="49" t="s">
        <v>71</v>
      </c>
      <c r="F131" s="49" t="s">
        <v>72</v>
      </c>
      <c r="G131" s="49" t="s">
        <v>818</v>
      </c>
      <c r="H131" s="51" t="s">
        <v>212</v>
      </c>
      <c r="I131" s="51" t="s">
        <v>35</v>
      </c>
      <c r="J131" s="69" t="str" cm="1">
        <f t="array" ref="J131">_xlfn.LET(_xlpm.cls,A131, _xlpm.ord,IFERROR(B131,"#N/C"), _xlpm.subord,IFERROR(C131,"#N/C"), _xlpm.infr,IFERROR(D131,"#N/C"), _xlpm.sf,IFERROR(E131,"#N/C"), _xlpm.fam,IFERROR(F131,"#N/C"), _xlpm.subfam,IF(TRIM(G131)="-","#N/C",IFERROR(G131,"#N/C")),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_xlpm.fallback,IF(IFERROR(B131,"#N/C")="#N/C",A131,IF(IFERROR(C131,"#N/C")="#N/C",B131,IF(IFERROR(D131,"#N/C")="#N/C",C131,IF(IFERROR(E131,"#N/C")="#N/C",D131,IF(IFERROR(F131,"#N/C")="#N/C",E131,IF(IFERROR(G131,"#N/C")="#N/C",F131,"#N/C")))))), _xlpm.finalResult,IF(OR(_xlpm.computedResult="",_xlpm.computedResult="#N/C"),_xlpm.fallback,_xlpm.computedResult), INDEX(_xlpm.finalResult,1))</f>
        <v>Ichneumonidae</v>
      </c>
      <c r="K131" s="47" t="str">
        <f t="shared" ref="K131:K195" si="2">+CONCATENATE(A131,".",B131,".",C131,".",D131,".",E131,".",F131,".",G131,".",H131,".",I131)</f>
        <v>Insecta.Hymenoptera.Apocrita.Parasitica.Ichneumonoidea.Ichneumonidae.	Banchinae.Exetastes.#N/C</v>
      </c>
      <c r="L131" s="46">
        <f>+COUNTIF([1]Monitoring!AN:AN,K131)</f>
        <v>0</v>
      </c>
    </row>
    <row r="132" spans="1:12" x14ac:dyDescent="0.3">
      <c r="A132" s="49" t="s">
        <v>37</v>
      </c>
      <c r="B132" s="49" t="s">
        <v>41</v>
      </c>
      <c r="C132" s="49" t="s">
        <v>42</v>
      </c>
      <c r="D132" s="49" t="str">
        <f>+IFERROR(IF(E132="#N/C","#N/C",INDEX([1]ClassificationClasses!D:D,MATCH(E132,[1]ClassificationClasses!E:E,0))),"ERROR")</f>
        <v>Parasitica</v>
      </c>
      <c r="E132" s="49" t="s">
        <v>71</v>
      </c>
      <c r="F132" s="49" t="s">
        <v>72</v>
      </c>
      <c r="G132" s="49" t="s">
        <v>35</v>
      </c>
      <c r="H132" s="51" t="s">
        <v>35</v>
      </c>
      <c r="I132" s="51" t="s">
        <v>35</v>
      </c>
      <c r="J132" s="69" t="str" cm="1">
        <f t="array" ref="J132">_xlfn.LET(_xlpm.cls,A132, _xlpm.ord,IFERROR(B132,"#N/C"), _xlpm.subord,IFERROR(C132,"#N/C"), _xlpm.infr,IFERROR(D132,"#N/C"), _xlpm.sf,IFERROR(E132,"#N/C"), _xlpm.fam,IFERROR(F132,"#N/C"), _xlpm.subfam,IF(TRIM(G132)="-","#N/C",IFERROR(G132,"#N/C")),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_xlpm.fallback,IF(IFERROR(B132,"#N/C")="#N/C",A132,IF(IFERROR(C132,"#N/C")="#N/C",B132,IF(IFERROR(D132,"#N/C")="#N/C",C132,IF(IFERROR(E132,"#N/C")="#N/C",D132,IF(IFERROR(F132,"#N/C")="#N/C",E132,IF(IFERROR(G132,"#N/C")="#N/C",F132,"#N/C")))))), _xlpm.finalResult,IF(OR(_xlpm.computedResult="",_xlpm.computedResult="#N/C"),_xlpm.fallback,_xlpm.computedResult), INDEX(_xlpm.finalResult,1))</f>
        <v>Ichneumonidae</v>
      </c>
      <c r="K132" s="47" t="str">
        <f t="shared" si="2"/>
        <v>Insecta.Hymenoptera.Apocrita.Parasitica.Ichneumonoidea.Ichneumonidae.#N/C.#N/C.#N/C</v>
      </c>
      <c r="L132" s="46">
        <f>+COUNTIF([1]Monitoring!AN:AN,K132)</f>
        <v>3</v>
      </c>
    </row>
    <row r="133" spans="1:12" x14ac:dyDescent="0.3">
      <c r="A133" s="48" t="s">
        <v>37</v>
      </c>
      <c r="B133" s="48" t="s">
        <v>41</v>
      </c>
      <c r="C133" s="48" t="s">
        <v>42</v>
      </c>
      <c r="D133" s="49" t="str">
        <f>+IFERROR(IF(E133="#N/C","#N/C",INDEX([1]ClassificationClasses!D:D,MATCH(E133,[1]ClassificationClasses!E:E,0))),"ERROR")</f>
        <v>Parasitica</v>
      </c>
      <c r="E133" s="48" t="s">
        <v>71</v>
      </c>
      <c r="F133" s="48" t="s">
        <v>72</v>
      </c>
      <c r="G133" s="48" t="s">
        <v>211</v>
      </c>
      <c r="H133" s="50" t="s">
        <v>35</v>
      </c>
      <c r="I133" s="50" t="s">
        <v>35</v>
      </c>
      <c r="J133" s="69" t="str" cm="1">
        <f t="array" ref="J133">_xlfn.LET(_xlpm.cls,A133, _xlpm.ord,IFERROR(B133,"#N/C"), _xlpm.subord,IFERROR(C133,"#N/C"), _xlpm.infr,IFERROR(D133,"#N/C"), _xlpm.sf,IFERROR(E133,"#N/C"), _xlpm.fam,IFERROR(F133,"#N/C"), _xlpm.subfam,IF(TRIM(G133)="-","#N/C",IFERROR(G133,"#N/C")),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_xlpm.fallback,IF(IFERROR(B133,"#N/C")="#N/C",A133,IF(IFERROR(C133,"#N/C")="#N/C",B133,IF(IFERROR(D133,"#N/C")="#N/C",C133,IF(IFERROR(E133,"#N/C")="#N/C",D133,IF(IFERROR(F133,"#N/C")="#N/C",E133,IF(IFERROR(G133,"#N/C")="#N/C",F133,"#N/C")))))), _xlpm.finalResult,IF(OR(_xlpm.computedResult="",_xlpm.computedResult="#N/C"),_xlpm.fallback,_xlpm.computedResult), INDEX(_xlpm.finalResult,1))</f>
        <v>Ichneumonidae</v>
      </c>
      <c r="K133" s="47" t="str">
        <f t="shared" si="2"/>
        <v>Insecta.Hymenoptera.Apocrita.Parasitica.Ichneumonoidea.Ichneumonidae.Banchinae.#N/C.#N/C</v>
      </c>
      <c r="L133" s="46">
        <f>+COUNTIF([1]Monitoring!AN:AN,K133)</f>
        <v>0</v>
      </c>
    </row>
    <row r="134" spans="1:12" x14ac:dyDescent="0.3">
      <c r="A134" s="49" t="s">
        <v>37</v>
      </c>
      <c r="B134" s="49" t="s">
        <v>41</v>
      </c>
      <c r="C134" s="49" t="s">
        <v>42</v>
      </c>
      <c r="D134" s="49" t="str">
        <f>+IFERROR(IF(E134="#N/C","#N/C",INDEX([1]ClassificationClasses!D:D,MATCH(E134,[1]ClassificationClasses!E:E,0))),"ERROR")</f>
        <v>Parasitica</v>
      </c>
      <c r="E134" s="49" t="s">
        <v>71</v>
      </c>
      <c r="F134" s="49" t="s">
        <v>72</v>
      </c>
      <c r="G134" s="49" t="s">
        <v>465</v>
      </c>
      <c r="H134" s="51" t="s">
        <v>466</v>
      </c>
      <c r="I134" s="51" t="s">
        <v>35</v>
      </c>
      <c r="J134" s="69" t="str" cm="1">
        <f t="array" ref="J134">_xlfn.LET(_xlpm.cls,A134, _xlpm.ord,IFERROR(B134,"#N/C"), _xlpm.subord,IFERROR(C134,"#N/C"), _xlpm.infr,IFERROR(D134,"#N/C"), _xlpm.sf,IFERROR(E134,"#N/C"), _xlpm.fam,IFERROR(F134,"#N/C"), _xlpm.subfam,IF(TRIM(G134)="-","#N/C",IFERROR(G134,"#N/C")),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_xlpm.fallback,IF(IFERROR(B134,"#N/C")="#N/C",A134,IF(IFERROR(C134,"#N/C")="#N/C",B134,IF(IFERROR(D134,"#N/C")="#N/C",C134,IF(IFERROR(E134,"#N/C")="#N/C",D134,IF(IFERROR(F134,"#N/C")="#N/C",E134,IF(IFERROR(G134,"#N/C")="#N/C",F134,"#N/C")))))), _xlpm.finalResult,IF(OR(_xlpm.computedResult="",_xlpm.computedResult="#N/C"),_xlpm.fallback,_xlpm.computedResult), INDEX(_xlpm.finalResult,1))</f>
        <v>Ichneumonidae</v>
      </c>
      <c r="K134" s="47" t="str">
        <f t="shared" si="2"/>
        <v>Insecta.Hymenoptera.Apocrita.Parasitica.Ichneumonoidea.Ichneumonidae.Campopleginae.Dusona.#N/C</v>
      </c>
      <c r="L134" s="46">
        <f>+COUNTIF([1]Monitoring!AN:AN,K134)</f>
        <v>1</v>
      </c>
    </row>
    <row r="135" spans="1:12" x14ac:dyDescent="0.3">
      <c r="A135" s="48" t="s">
        <v>37</v>
      </c>
      <c r="B135" s="48" t="s">
        <v>41</v>
      </c>
      <c r="C135" s="48" t="s">
        <v>42</v>
      </c>
      <c r="D135" s="49" t="str">
        <f>+IFERROR(IF(E135="#N/C","#N/C",INDEX([1]ClassificationClasses!D:D,MATCH(E135,[1]ClassificationClasses!E:E,0))),"ERROR")</f>
        <v>Parasitica</v>
      </c>
      <c r="E135" s="48" t="s">
        <v>71</v>
      </c>
      <c r="F135" s="48" t="s">
        <v>72</v>
      </c>
      <c r="G135" s="48" t="s">
        <v>85</v>
      </c>
      <c r="H135" s="50" t="s">
        <v>86</v>
      </c>
      <c r="I135" s="50" t="s">
        <v>35</v>
      </c>
      <c r="J135" s="69" t="str" cm="1">
        <f t="array" ref="J135">_xlfn.LET(_xlpm.cls,A135, _xlpm.ord,IFERROR(B135,"#N/C"), _xlpm.subord,IFERROR(C135,"#N/C"), _xlpm.infr,IFERROR(D135,"#N/C"), _xlpm.sf,IFERROR(E135,"#N/C"), _xlpm.fam,IFERROR(F135,"#N/C"), _xlpm.subfam,IF(TRIM(G135)="-","#N/C",IFERROR(G135,"#N/C")),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_xlpm.fallback,IF(IFERROR(B135,"#N/C")="#N/C",A135,IF(IFERROR(C135,"#N/C")="#N/C",B135,IF(IFERROR(D135,"#N/C")="#N/C",C135,IF(IFERROR(E135,"#N/C")="#N/C",D135,IF(IFERROR(F135,"#N/C")="#N/C",E135,IF(IFERROR(G135,"#N/C")="#N/C",F135,"#N/C")))))), _xlpm.finalResult,IF(OR(_xlpm.computedResult="",_xlpm.computedResult="#N/C"),_xlpm.fallback,_xlpm.computedResult), INDEX(_xlpm.finalResult,1))</f>
        <v>Ichneumonidae</v>
      </c>
      <c r="K135" s="47" t="str">
        <f t="shared" si="2"/>
        <v>Insecta.Hymenoptera.Apocrita.Parasitica.Ichneumonoidea.Ichneumonidae.Diplazontinae.Diplazon.#N/C</v>
      </c>
      <c r="L135" s="46">
        <f>+COUNTIF([1]Monitoring!AN:AN,K135)</f>
        <v>0</v>
      </c>
    </row>
    <row r="136" spans="1:12" x14ac:dyDescent="0.3">
      <c r="A136" s="49" t="s">
        <v>37</v>
      </c>
      <c r="B136" s="49" t="s">
        <v>41</v>
      </c>
      <c r="C136" s="49" t="s">
        <v>42</v>
      </c>
      <c r="D136" s="49" t="str">
        <f>+IFERROR(IF(E136="#N/C","#N/C",INDEX([1]ClassificationClasses!D:D,MATCH(E136,[1]ClassificationClasses!E:E,0))),"ERROR")</f>
        <v>Parasitica</v>
      </c>
      <c r="E136" s="49" t="s">
        <v>71</v>
      </c>
      <c r="F136" s="49" t="s">
        <v>72</v>
      </c>
      <c r="G136" s="49" t="s">
        <v>85</v>
      </c>
      <c r="H136" s="51" t="s">
        <v>86</v>
      </c>
      <c r="I136" s="51" t="s">
        <v>87</v>
      </c>
      <c r="J136" s="69" t="str" cm="1">
        <f t="array" ref="J136">_xlfn.LET(_xlpm.cls,A136, _xlpm.ord,IFERROR(B136,"#N/C"), _xlpm.subord,IFERROR(C136,"#N/C"), _xlpm.infr,IFERROR(D136,"#N/C"), _xlpm.sf,IFERROR(E136,"#N/C"), _xlpm.fam,IFERROR(F136,"#N/C"), _xlpm.subfam,IF(TRIM(G136)="-","#N/C",IFERROR(G136,"#N/C")),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_xlpm.fallback,IF(IFERROR(B136,"#N/C")="#N/C",A136,IF(IFERROR(C136,"#N/C")="#N/C",B136,IF(IFERROR(D136,"#N/C")="#N/C",C136,IF(IFERROR(E136,"#N/C")="#N/C",D136,IF(IFERROR(F136,"#N/C")="#N/C",E136,IF(IFERROR(G136,"#N/C")="#N/C",F136,"#N/C")))))), _xlpm.finalResult,IF(OR(_xlpm.computedResult="",_xlpm.computedResult="#N/C"),_xlpm.fallback,_xlpm.computedResult), INDEX(_xlpm.finalResult,1))</f>
        <v>Ichneumonidae</v>
      </c>
      <c r="K136" s="47" t="str">
        <f t="shared" si="2"/>
        <v>Insecta.Hymenoptera.Apocrita.Parasitica.Ichneumonoidea.Ichneumonidae.Diplazontinae.Diplazon.laetatorius</v>
      </c>
      <c r="L136" s="46">
        <f>+COUNTIF([1]Monitoring!AN:AN,K136)</f>
        <v>0</v>
      </c>
    </row>
    <row r="137" spans="1:12" x14ac:dyDescent="0.3">
      <c r="A137" s="49" t="s">
        <v>37</v>
      </c>
      <c r="B137" s="49" t="s">
        <v>41</v>
      </c>
      <c r="C137" s="49" t="s">
        <v>42</v>
      </c>
      <c r="D137" s="49" t="str">
        <f>+IFERROR(IF(E137="#N/C","#N/C",INDEX([1]ClassificationClasses!D:D,MATCH(E137,[1]ClassificationClasses!E:E,0))),"ERROR")</f>
        <v>Parasitica</v>
      </c>
      <c r="E137" s="49" t="s">
        <v>71</v>
      </c>
      <c r="F137" s="49" t="s">
        <v>72</v>
      </c>
      <c r="G137" s="49" t="s">
        <v>665</v>
      </c>
      <c r="H137" s="51" t="s">
        <v>35</v>
      </c>
      <c r="I137" s="51" t="s">
        <v>35</v>
      </c>
      <c r="J137" s="69" t="str" cm="1">
        <f t="array" ref="J137">_xlfn.LET(_xlpm.cls,A137, _xlpm.ord,IFERROR(B137,"#N/C"), _xlpm.subord,IFERROR(C137,"#N/C"), _xlpm.infr,IFERROR(D137,"#N/C"), _xlpm.sf,IFERROR(E137,"#N/C"), _xlpm.fam,IFERROR(F137,"#N/C"), _xlpm.subfam,IF(TRIM(G137)="-","#N/C",IFERROR(G137,"#N/C")),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_xlpm.fallback,IF(IFERROR(B137,"#N/C")="#N/C",A137,IF(IFERROR(C137,"#N/C")="#N/C",B137,IF(IFERROR(D137,"#N/C")="#N/C",C137,IF(IFERROR(E137,"#N/C")="#N/C",D137,IF(IFERROR(F137,"#N/C")="#N/C",E137,IF(IFERROR(G137,"#N/C")="#N/C",F137,"#N/C")))))), _xlpm.finalResult,IF(OR(_xlpm.computedResult="",_xlpm.computedResult="#N/C"),_xlpm.fallback,_xlpm.computedResult), INDEX(_xlpm.finalResult,1))</f>
        <v>Ichneumonidae</v>
      </c>
      <c r="K137" s="47" t="str">
        <f t="shared" si="2"/>
        <v>Insecta.Hymenoptera.Apocrita.Parasitica.Ichneumonoidea.Ichneumonidae.Ichneumoninae.#N/C.#N/C</v>
      </c>
      <c r="L137" s="46">
        <f>+COUNTIF([1]Monitoring!AN:AN,K137)</f>
        <v>0</v>
      </c>
    </row>
    <row r="138" spans="1:12" x14ac:dyDescent="0.3">
      <c r="A138" s="49" t="s">
        <v>37</v>
      </c>
      <c r="B138" s="49" t="s">
        <v>41</v>
      </c>
      <c r="C138" s="49" t="s">
        <v>42</v>
      </c>
      <c r="D138" s="49" t="str">
        <f>+IFERROR(IF(E138="#N/C","#N/C",INDEX([1]ClassificationClasses!D:D,MATCH(E138,[1]ClassificationClasses!E:E,0))),"ERROR")</f>
        <v>Parasitica</v>
      </c>
      <c r="E138" s="49" t="s">
        <v>71</v>
      </c>
      <c r="F138" s="49" t="s">
        <v>72</v>
      </c>
      <c r="G138" s="49" t="s">
        <v>325</v>
      </c>
      <c r="H138" s="51" t="s">
        <v>326</v>
      </c>
      <c r="I138" s="51" t="s">
        <v>35</v>
      </c>
      <c r="J138" s="69" t="str" cm="1">
        <f t="array" ref="J138">_xlfn.LET(_xlpm.cls,A138, _xlpm.ord,IFERROR(B138,"#N/C"), _xlpm.subord,IFERROR(C138,"#N/C"), _xlpm.infr,IFERROR(D138,"#N/C"), _xlpm.sf,IFERROR(E138,"#N/C"), _xlpm.fam,IFERROR(F138,"#N/C"), _xlpm.subfam,IF(TRIM(G138)="-","#N/C",IFERROR(G138,"#N/C")),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_xlpm.fallback,IF(IFERROR(B138,"#N/C")="#N/C",A138,IF(IFERROR(C138,"#N/C")="#N/C",B138,IF(IFERROR(D138,"#N/C")="#N/C",C138,IF(IFERROR(E138,"#N/C")="#N/C",D138,IF(IFERROR(F138,"#N/C")="#N/C",E138,IF(IFERROR(G138,"#N/C")="#N/C",F138,"#N/C")))))), _xlpm.finalResult,IF(OR(_xlpm.computedResult="",_xlpm.computedResult="#N/C"),_xlpm.fallback,_xlpm.computedResult), INDEX(_xlpm.finalResult,1))</f>
        <v>parasitoid_wasp_small</v>
      </c>
      <c r="K138" s="47" t="str">
        <f t="shared" si="2"/>
        <v>Insecta.Hymenoptera.Apocrita.Parasitica.Ichneumonoidea.Ichneumonidae.Phygadeuontinae.Gelis.#N/C</v>
      </c>
      <c r="L138" s="46">
        <f>+COUNTIF([1]Monitoring!AN:AN,K138)</f>
        <v>1</v>
      </c>
    </row>
    <row r="139" spans="1:12" x14ac:dyDescent="0.3">
      <c r="A139" s="49" t="s">
        <v>37</v>
      </c>
      <c r="B139" s="49" t="s">
        <v>41</v>
      </c>
      <c r="C139" s="49" t="s">
        <v>42</v>
      </c>
      <c r="D139" s="49" t="str">
        <f>+IFERROR(IF(E139="#N/C","#N/C",INDEX([1]ClassificationClasses!D:D,MATCH(E139,[1]ClassificationClasses!E:E,0))),"ERROR")</f>
        <v>Parasitica</v>
      </c>
      <c r="E139" s="49" t="s">
        <v>71</v>
      </c>
      <c r="F139" s="49" t="s">
        <v>72</v>
      </c>
      <c r="G139" s="49" t="s">
        <v>136</v>
      </c>
      <c r="H139" s="51" t="s">
        <v>819</v>
      </c>
      <c r="I139" s="51" t="s">
        <v>35</v>
      </c>
      <c r="J139" s="69" t="str" cm="1">
        <f t="array" ref="J139">_xlfn.LET(_xlpm.cls,A139, _xlpm.ord,IFERROR(B139,"#N/C"), _xlpm.subord,IFERROR(C139,"#N/C"), _xlpm.infr,IFERROR(D139,"#N/C"), _xlpm.sf,IFERROR(E139,"#N/C"), _xlpm.fam,IFERROR(F139,"#N/C"), _xlpm.subfam,IF(TRIM(G139)="-","#N/C",IFERROR(G139,"#N/C")),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_xlpm.fallback,IF(IFERROR(B139,"#N/C")="#N/C",A139,IF(IFERROR(C139,"#N/C")="#N/C",B139,IF(IFERROR(D139,"#N/C")="#N/C",C139,IF(IFERROR(E139,"#N/C")="#N/C",D139,IF(IFERROR(F139,"#N/C")="#N/C",E139,IF(IFERROR(G139,"#N/C")="#N/C",F139,"#N/C")))))), _xlpm.finalResult,IF(OR(_xlpm.computedResult="",_xlpm.computedResult="#N/C"),_xlpm.fallback,_xlpm.computedResult), INDEX(_xlpm.finalResult,1))</f>
        <v>Ichneumonidae</v>
      </c>
      <c r="K139" s="47" t="str">
        <f t="shared" si="2"/>
        <v>Insecta.Hymenoptera.Apocrita.Parasitica.Ichneumonoidea.Ichneumonidae.Pimplinae.Dolichomitus.#N/C</v>
      </c>
      <c r="L139" s="46">
        <f>+COUNTIF([1]Monitoring!AN:AN,K139)</f>
        <v>0</v>
      </c>
    </row>
    <row r="140" spans="1:12" x14ac:dyDescent="0.3">
      <c r="A140" s="49" t="s">
        <v>37</v>
      </c>
      <c r="B140" s="49" t="s">
        <v>41</v>
      </c>
      <c r="C140" s="49" t="s">
        <v>42</v>
      </c>
      <c r="D140" s="49" t="str">
        <f>+IFERROR(IF(E140="#N/C","#N/C",INDEX([1]ClassificationClasses!D:D,MATCH(E140,[1]ClassificationClasses!E:E,0))),"ERROR")</f>
        <v>Parasitica</v>
      </c>
      <c r="E140" s="49" t="s">
        <v>71</v>
      </c>
      <c r="F140" s="49" t="s">
        <v>72</v>
      </c>
      <c r="G140" s="49" t="s">
        <v>136</v>
      </c>
      <c r="H140" s="51" t="s">
        <v>137</v>
      </c>
      <c r="I140" s="51" t="s">
        <v>138</v>
      </c>
      <c r="J140" s="69" t="str" cm="1">
        <f t="array" ref="J140">_xlfn.LET(_xlpm.cls,A140, _xlpm.ord,IFERROR(B140,"#N/C"), _xlpm.subord,IFERROR(C140,"#N/C"), _xlpm.infr,IFERROR(D140,"#N/C"), _xlpm.sf,IFERROR(E140,"#N/C"), _xlpm.fam,IFERROR(F140,"#N/C"), _xlpm.subfam,IF(TRIM(G140)="-","#N/C",IFERROR(G140,"#N/C")),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_xlpm.fallback,IF(IFERROR(B140,"#N/C")="#N/C",A140,IF(IFERROR(C140,"#N/C")="#N/C",B140,IF(IFERROR(D140,"#N/C")="#N/C",C140,IF(IFERROR(E140,"#N/C")="#N/C",D140,IF(IFERROR(F140,"#N/C")="#N/C",E140,IF(IFERROR(G140,"#N/C")="#N/C",F140,"#N/C")))))), _xlpm.finalResult,IF(OR(_xlpm.computedResult="",_xlpm.computedResult="#N/C"),_xlpm.fallback,_xlpm.computedResult), INDEX(_xlpm.finalResult,1))</f>
        <v>Ichneumonidae</v>
      </c>
      <c r="K140" s="47" t="str">
        <f t="shared" si="2"/>
        <v>Insecta.Hymenoptera.Apocrita.Parasitica.Ichneumonoidea.Ichneumonidae.Pimplinae.Pimpla.rufipes</v>
      </c>
      <c r="L140" s="46">
        <f>+COUNTIF([1]Monitoring!AN:AN,K140)</f>
        <v>0</v>
      </c>
    </row>
    <row r="141" spans="1:12" x14ac:dyDescent="0.3">
      <c r="A141" s="49" t="s">
        <v>37</v>
      </c>
      <c r="B141" s="49" t="s">
        <v>41</v>
      </c>
      <c r="C141" s="49" t="s">
        <v>42</v>
      </c>
      <c r="D141" s="49" t="str">
        <f>+IFERROR(IF(E141="#N/C","#N/C",INDEX([1]ClassificationClasses!D:D,MATCH(E141,[1]ClassificationClasses!E:E,0))),"ERROR")</f>
        <v>Parasitica</v>
      </c>
      <c r="E141" s="49" t="s">
        <v>71</v>
      </c>
      <c r="F141" s="49" t="s">
        <v>72</v>
      </c>
      <c r="G141" s="49" t="s">
        <v>820</v>
      </c>
      <c r="H141" s="51" t="s">
        <v>821</v>
      </c>
      <c r="I141" s="51" t="s">
        <v>35</v>
      </c>
      <c r="J141" s="69" t="str" cm="1">
        <f t="array" ref="J141">_xlfn.LET(_xlpm.cls,A141, _xlpm.ord,IFERROR(B141,"#N/C"), _xlpm.subord,IFERROR(C141,"#N/C"), _xlpm.infr,IFERROR(D141,"#N/C"), _xlpm.sf,IFERROR(E141,"#N/C"), _xlpm.fam,IFERROR(F141,"#N/C"), _xlpm.subfam,IF(TRIM(G141)="-","#N/C",IFERROR(G141,"#N/C")),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_xlpm.fallback,IF(IFERROR(B141,"#N/C")="#N/C",A141,IF(IFERROR(C141,"#N/C")="#N/C",B141,IF(IFERROR(D141,"#N/C")="#N/C",C141,IF(IFERROR(E141,"#N/C")="#N/C",D141,IF(IFERROR(F141,"#N/C")="#N/C",E141,IF(IFERROR(G141,"#N/C")="#N/C",F141,"#N/C")))))), _xlpm.finalResult,IF(OR(_xlpm.computedResult="",_xlpm.computedResult="#N/C"),_xlpm.fallback,_xlpm.computedResult), INDEX(_xlpm.finalResult,1))</f>
        <v>Ichneumonidae</v>
      </c>
      <c r="K141" s="47" t="str">
        <f t="shared" si="2"/>
        <v>Insecta.Hymenoptera.Apocrita.Parasitica.Ichneumonoidea.Ichneumonidae.Xoridinae.Xorides.#N/C</v>
      </c>
      <c r="L141" s="46">
        <f>+COUNTIF([1]Monitoring!AN:AN,K141)</f>
        <v>1</v>
      </c>
    </row>
    <row r="142" spans="1:12" x14ac:dyDescent="0.3">
      <c r="A142" s="48" t="s">
        <v>37</v>
      </c>
      <c r="B142" s="48" t="s">
        <v>41</v>
      </c>
      <c r="C142" s="48" t="s">
        <v>42</v>
      </c>
      <c r="D142" s="49" t="str">
        <f>+IFERROR(IF(E142="#N/C","#N/C",INDEX([1]ClassificationClasses!D:D,MATCH(E142,[1]ClassificationClasses!E:E,0))),"ERROR")</f>
        <v>Parasitica</v>
      </c>
      <c r="E142" s="48" t="s">
        <v>71</v>
      </c>
      <c r="F142" s="48" t="s">
        <v>822</v>
      </c>
      <c r="G142" s="48" t="s">
        <v>35</v>
      </c>
      <c r="H142" s="50" t="s">
        <v>35</v>
      </c>
      <c r="I142" s="50" t="s">
        <v>35</v>
      </c>
      <c r="J142" s="69" t="str" cm="1">
        <f t="array" ref="J142">_xlfn.LET(_xlpm.cls,A142, _xlpm.ord,IFERROR(B142,"#N/C"), _xlpm.subord,IFERROR(C142,"#N/C"), _xlpm.infr,IFERROR(D142,"#N/C"), _xlpm.sf,IFERROR(E142,"#N/C"), _xlpm.fam,IFERROR(F142,"#N/C"), _xlpm.subfam,IF(TRIM(G142)="-","#N/C",IFERROR(G142,"#N/C")),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_xlpm.fallback,IF(IFERROR(B142,"#N/C")="#N/C",A142,IF(IFERROR(C142,"#N/C")="#N/C",B142,IF(IFERROR(D142,"#N/C")="#N/C",C142,IF(IFERROR(E142,"#N/C")="#N/C",D142,IF(IFERROR(F142,"#N/C")="#N/C",E142,IF(IFERROR(G142,"#N/C")="#N/C",F142,"#N/C")))))), _xlpm.finalResult,IF(OR(_xlpm.computedResult="",_xlpm.computedResult="#N/C"),_xlpm.fallback,_xlpm.computedResult), INDEX(_xlpm.finalResult,1))</f>
        <v>Ichneumonoidea</v>
      </c>
      <c r="K142" s="47" t="str">
        <f t="shared" si="2"/>
        <v>Insecta.Hymenoptera.Apocrita.Parasitica.Ichneumonoidea.Ichneumonoidae.#N/C.#N/C.#N/C</v>
      </c>
      <c r="L142" s="46">
        <f>+COUNTIF([1]Monitoring!AN:AN,K142)</f>
        <v>1</v>
      </c>
    </row>
    <row r="143" spans="1:12" x14ac:dyDescent="0.3">
      <c r="A143" s="49" t="s">
        <v>37</v>
      </c>
      <c r="B143" s="49" t="s">
        <v>41</v>
      </c>
      <c r="C143" s="49" t="s">
        <v>42</v>
      </c>
      <c r="D143" s="49" t="str">
        <f>+IFERROR(IF(E143="#N/C","#N/C",INDEX([1]ClassificationClasses!D:D,MATCH(E143,[1]ClassificationClasses!E:E,0))),"ERROR")</f>
        <v>Aculeata</v>
      </c>
      <c r="E143" s="49" t="s">
        <v>904</v>
      </c>
      <c r="F143" s="49" t="s">
        <v>120</v>
      </c>
      <c r="G143" s="49" t="s">
        <v>35</v>
      </c>
      <c r="H143" s="51" t="s">
        <v>35</v>
      </c>
      <c r="I143" s="51" t="s">
        <v>35</v>
      </c>
      <c r="J143" s="69" t="str" cm="1">
        <f t="array" ref="J143">_xlfn.LET(_xlpm.cls,A143, _xlpm.ord,IFERROR(B143,"#N/C"), _xlpm.subord,IFERROR(C143,"#N/C"), _xlpm.infr,IFERROR(D143,"#N/C"), _xlpm.sf,IFERROR(E143,"#N/C"), _xlpm.fam,IFERROR(F143,"#N/C"), _xlpm.subfam,IF(TRIM(G143)="-","#N/C",IFERROR(G143,"#N/C")),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_xlpm.fallback,IF(IFERROR(B143,"#N/C")="#N/C",A143,IF(IFERROR(C143,"#N/C")="#N/C",B143,IF(IFERROR(D143,"#N/C")="#N/C",C143,IF(IFERROR(E143,"#N/C")="#N/C",D143,IF(IFERROR(F143,"#N/C")="#N/C",E143,IF(IFERROR(G143,"#N/C")="#N/C",F143,"#N/C")))))), _xlpm.finalResult,IF(OR(_xlpm.computedResult="",_xlpm.computedResult="#N/C"),_xlpm.fallback,_xlpm.computedResult), INDEX(_xlpm.finalResult,1))</f>
        <v>ant</v>
      </c>
      <c r="K143" s="47" t="str">
        <f t="shared" si="2"/>
        <v>Insecta.Hymenoptera.Apocrita.Aculeata.Formicoidea.Formicidae.#N/C.#N/C.#N/C</v>
      </c>
      <c r="L143" s="46">
        <f>+COUNTIF([1]Monitoring!AN:AN,K143)</f>
        <v>1</v>
      </c>
    </row>
    <row r="144" spans="1:12" x14ac:dyDescent="0.3">
      <c r="A144" s="49" t="s">
        <v>37</v>
      </c>
      <c r="B144" s="49" t="s">
        <v>41</v>
      </c>
      <c r="C144" s="49" t="s">
        <v>42</v>
      </c>
      <c r="D144" s="49" t="str">
        <f>+IFERROR(IF(E144="#N/C","#N/C",INDEX([1]ClassificationClasses!D:D,MATCH(E144,[1]ClassificationClasses!E:E,0))),"ERROR")</f>
        <v>Aculeata</v>
      </c>
      <c r="E144" s="49" t="s">
        <v>904</v>
      </c>
      <c r="F144" s="49" t="s">
        <v>120</v>
      </c>
      <c r="G144" s="49" t="s">
        <v>121</v>
      </c>
      <c r="H144" s="51" t="s">
        <v>35</v>
      </c>
      <c r="I144" s="51" t="s">
        <v>35</v>
      </c>
      <c r="J144" s="69" t="str" cm="1">
        <f t="array" ref="J144">_xlfn.LET(_xlpm.cls,A144, _xlpm.ord,IFERROR(B144,"#N/C"), _xlpm.subord,IFERROR(C144,"#N/C"), _xlpm.infr,IFERROR(D144,"#N/C"), _xlpm.sf,IFERROR(E144,"#N/C"), _xlpm.fam,IFERROR(F144,"#N/C"), _xlpm.subfam,IF(TRIM(G144)="-","#N/C",IFERROR(G144,"#N/C")),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_xlpm.fallback,IF(IFERROR(B144,"#N/C")="#N/C",A144,IF(IFERROR(C144,"#N/C")="#N/C",B144,IF(IFERROR(D144,"#N/C")="#N/C",C144,IF(IFERROR(E144,"#N/C")="#N/C",D144,IF(IFERROR(F144,"#N/C")="#N/C",E144,IF(IFERROR(G144,"#N/C")="#N/C",F144,"#N/C")))))), _xlpm.finalResult,IF(OR(_xlpm.computedResult="",_xlpm.computedResult="#N/C"),_xlpm.fallback,_xlpm.computedResult), INDEX(_xlpm.finalResult,1))</f>
        <v>ant</v>
      </c>
      <c r="K144" s="47" t="str">
        <f t="shared" si="2"/>
        <v>Insecta.Hymenoptera.Apocrita.Aculeata.Formicoidea.Formicidae.Formicinae.#N/C.#N/C</v>
      </c>
      <c r="L144" s="46">
        <f>+COUNTIF([1]Monitoring!AN:AN,K144)</f>
        <v>0</v>
      </c>
    </row>
    <row r="145" spans="1:17" x14ac:dyDescent="0.3">
      <c r="A145" s="49" t="s">
        <v>37</v>
      </c>
      <c r="B145" s="49" t="s">
        <v>41</v>
      </c>
      <c r="C145" s="49" t="s">
        <v>42</v>
      </c>
      <c r="D145" s="49" t="str">
        <f>+IFERROR(IF(E145="#N/C","#N/C",INDEX([1]ClassificationClasses!D:D,MATCH(E145,[1]ClassificationClasses!E:E,0))),"ERROR")</f>
        <v>Aculeata</v>
      </c>
      <c r="E145" s="49" t="s">
        <v>904</v>
      </c>
      <c r="F145" s="49" t="s">
        <v>120</v>
      </c>
      <c r="G145" s="49" t="s">
        <v>121</v>
      </c>
      <c r="H145" s="51" t="s">
        <v>558</v>
      </c>
      <c r="I145" s="51" t="s">
        <v>35</v>
      </c>
      <c r="J145" s="69" t="str" cm="1">
        <f t="array" ref="J145">_xlfn.LET(_xlpm.cls,A145, _xlpm.ord,IFERROR(B145,"#N/C"), _xlpm.subord,IFERROR(C145,"#N/C"), _xlpm.infr,IFERROR(D145,"#N/C"), _xlpm.sf,IFERROR(E145,"#N/C"), _xlpm.fam,IFERROR(F145,"#N/C"), _xlpm.subfam,IF(TRIM(G145)="-","#N/C",IFERROR(G145,"#N/C")),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_xlpm.fallback,IF(IFERROR(B145,"#N/C")="#N/C",A145,IF(IFERROR(C145,"#N/C")="#N/C",B145,IF(IFERROR(D145,"#N/C")="#N/C",C145,IF(IFERROR(E145,"#N/C")="#N/C",D145,IF(IFERROR(F145,"#N/C")="#N/C",E145,IF(IFERROR(G145,"#N/C")="#N/C",F145,"#N/C")))))), _xlpm.finalResult,IF(OR(_xlpm.computedResult="",_xlpm.computedResult="#N/C"),_xlpm.fallback,_xlpm.computedResult), INDEX(_xlpm.finalResult,1))</f>
        <v>ant</v>
      </c>
      <c r="K145" s="47" t="str">
        <f t="shared" si="2"/>
        <v>Insecta.Hymenoptera.Apocrita.Aculeata.Formicoidea.Formicidae.Formicinae.Camponatus.#N/C</v>
      </c>
      <c r="L145" s="46">
        <f>+COUNTIF([1]Monitoring!AN:AN,K145)</f>
        <v>0</v>
      </c>
    </row>
    <row r="146" spans="1:17" x14ac:dyDescent="0.3">
      <c r="A146" s="49" t="s">
        <v>37</v>
      </c>
      <c r="B146" s="49" t="s">
        <v>41</v>
      </c>
      <c r="C146" s="49" t="s">
        <v>42</v>
      </c>
      <c r="D146" s="49" t="str">
        <f>+IFERROR(IF(E146="#N/C","#N/C",INDEX([1]ClassificationClasses!D:D,MATCH(E146,[1]ClassificationClasses!E:E,0))),"ERROR")</f>
        <v>Aculeata</v>
      </c>
      <c r="E146" s="49" t="s">
        <v>904</v>
      </c>
      <c r="F146" s="49" t="s">
        <v>120</v>
      </c>
      <c r="G146" s="49" t="s">
        <v>121</v>
      </c>
      <c r="H146" s="51" t="s">
        <v>321</v>
      </c>
      <c r="I146" s="51" t="s">
        <v>35</v>
      </c>
      <c r="J146" s="69" t="str" cm="1">
        <f t="array" ref="J146">_xlfn.LET(_xlpm.cls,A146, _xlpm.ord,IFERROR(B146,"#N/C"), _xlpm.subord,IFERROR(C146,"#N/C"), _xlpm.infr,IFERROR(D146,"#N/C"), _xlpm.sf,IFERROR(E146,"#N/C"), _xlpm.fam,IFERROR(F146,"#N/C"), _xlpm.subfam,IF(TRIM(G146)="-","#N/C",IFERROR(G146,"#N/C")),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_xlpm.fallback,IF(IFERROR(B146,"#N/C")="#N/C",A146,IF(IFERROR(C146,"#N/C")="#N/C",B146,IF(IFERROR(D146,"#N/C")="#N/C",C146,IF(IFERROR(E146,"#N/C")="#N/C",D146,IF(IFERROR(F146,"#N/C")="#N/C",E146,IF(IFERROR(G146,"#N/C")="#N/C",F146,"#N/C")))))), _xlpm.finalResult,IF(OR(_xlpm.computedResult="",_xlpm.computedResult="#N/C"),_xlpm.fallback,_xlpm.computedResult), INDEX(_xlpm.finalResult,1))</f>
        <v>ant</v>
      </c>
      <c r="K146" s="47" t="str">
        <f t="shared" si="2"/>
        <v>Insecta.Hymenoptera.Apocrita.Aculeata.Formicoidea.Formicidae.Formicinae.Formica.#N/C</v>
      </c>
      <c r="L146" s="46">
        <f>+COUNTIF([1]Monitoring!AN:AN,K146)</f>
        <v>0</v>
      </c>
    </row>
    <row r="147" spans="1:17" x14ac:dyDescent="0.3">
      <c r="A147" s="48" t="s">
        <v>37</v>
      </c>
      <c r="B147" s="48" t="s">
        <v>41</v>
      </c>
      <c r="C147" s="48" t="s">
        <v>42</v>
      </c>
      <c r="D147" s="49" t="str">
        <f>+IFERROR(IF(E147="#N/C","#N/C",INDEX([1]ClassificationClasses!D:D,MATCH(E147,[1]ClassificationClasses!E:E,0))),"ERROR")</f>
        <v>Aculeata</v>
      </c>
      <c r="E147" s="49" t="s">
        <v>904</v>
      </c>
      <c r="F147" s="48" t="s">
        <v>120</v>
      </c>
      <c r="G147" s="48" t="s">
        <v>121</v>
      </c>
      <c r="H147" s="50" t="s">
        <v>179</v>
      </c>
      <c r="I147" s="50" t="s">
        <v>35</v>
      </c>
      <c r="J147" s="69" t="str" cm="1">
        <f t="array" ref="J147">_xlfn.LET(_xlpm.cls,A147, _xlpm.ord,IFERROR(B147,"#N/C"), _xlpm.subord,IFERROR(C147,"#N/C"), _xlpm.infr,IFERROR(D147,"#N/C"), _xlpm.sf,IFERROR(E147,"#N/C"), _xlpm.fam,IFERROR(F147,"#N/C"), _xlpm.subfam,IF(TRIM(G147)="-","#N/C",IFERROR(G147,"#N/C")),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_xlpm.fallback,IF(IFERROR(B147,"#N/C")="#N/C",A147,IF(IFERROR(C147,"#N/C")="#N/C",B147,IF(IFERROR(D147,"#N/C")="#N/C",C147,IF(IFERROR(E147,"#N/C")="#N/C",D147,IF(IFERROR(F147,"#N/C")="#N/C",E147,IF(IFERROR(G147,"#N/C")="#N/C",F147,"#N/C")))))), _xlpm.finalResult,IF(OR(_xlpm.computedResult="",_xlpm.computedResult="#N/C"),_xlpm.fallback,_xlpm.computedResult), INDEX(_xlpm.finalResult,1))</f>
        <v>ant</v>
      </c>
      <c r="K147" s="47" t="str">
        <f t="shared" si="2"/>
        <v>Insecta.Hymenoptera.Apocrita.Aculeata.Formicoidea.Formicidae.Formicinae.Lasius.#N/C</v>
      </c>
      <c r="L147" s="46">
        <f>+COUNTIF([1]Monitoring!AN:AN,K147)</f>
        <v>0</v>
      </c>
    </row>
    <row r="148" spans="1:17" x14ac:dyDescent="0.3">
      <c r="A148" s="49" t="s">
        <v>37</v>
      </c>
      <c r="B148" s="49" t="s">
        <v>41</v>
      </c>
      <c r="C148" s="49" t="s">
        <v>42</v>
      </c>
      <c r="D148" s="49" t="str">
        <f>+IFERROR(IF(E148="#N/C","#N/C",INDEX([1]ClassificationClasses!D:D,MATCH(E148,[1]ClassificationClasses!E:E,0))),"ERROR")</f>
        <v>Aculeata</v>
      </c>
      <c r="E148" s="49" t="s">
        <v>904</v>
      </c>
      <c r="F148" s="49" t="s">
        <v>120</v>
      </c>
      <c r="G148" s="49" t="s">
        <v>121</v>
      </c>
      <c r="H148" s="51" t="s">
        <v>179</v>
      </c>
      <c r="I148" s="51" t="s">
        <v>823</v>
      </c>
      <c r="J148" s="69" t="str" cm="1">
        <f t="array" ref="J148">_xlfn.LET(_xlpm.cls,A148, _xlpm.ord,IFERROR(B148,"#N/C"), _xlpm.subord,IFERROR(C148,"#N/C"), _xlpm.infr,IFERROR(D148,"#N/C"), _xlpm.sf,IFERROR(E148,"#N/C"), _xlpm.fam,IFERROR(F148,"#N/C"), _xlpm.subfam,IF(TRIM(G148)="-","#N/C",IFERROR(G148,"#N/C")),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_xlpm.fallback,IF(IFERROR(B148,"#N/C")="#N/C",A148,IF(IFERROR(C148,"#N/C")="#N/C",B148,IF(IFERROR(D148,"#N/C")="#N/C",C148,IF(IFERROR(E148,"#N/C")="#N/C",D148,IF(IFERROR(F148,"#N/C")="#N/C",E148,IF(IFERROR(G148,"#N/C")="#N/C",F148,"#N/C")))))), _xlpm.finalResult,IF(OR(_xlpm.computedResult="",_xlpm.computedResult="#N/C"),_xlpm.fallback,_xlpm.computedResult), INDEX(_xlpm.finalResult,1))</f>
        <v>ant</v>
      </c>
      <c r="K148" s="47" t="str">
        <f t="shared" si="2"/>
        <v>Insecta.Hymenoptera.Apocrita.Aculeata.Formicoidea.Formicidae.Formicinae.Lasius.niger</v>
      </c>
      <c r="L148" s="46">
        <f>+COUNTIF([1]Monitoring!AN:AN,K148)</f>
        <v>0</v>
      </c>
    </row>
    <row r="149" spans="1:17" x14ac:dyDescent="0.3">
      <c r="A149" s="49" t="s">
        <v>37</v>
      </c>
      <c r="B149" s="49" t="s">
        <v>41</v>
      </c>
      <c r="C149" s="49" t="s">
        <v>42</v>
      </c>
      <c r="D149" s="49" t="str">
        <f>+IFERROR(IF(E149="#N/C","#N/C",INDEX([1]ClassificationClasses!D:D,MATCH(E149,[1]ClassificationClasses!E:E,0))),"ERROR")</f>
        <v>Aculeata</v>
      </c>
      <c r="E149" s="49" t="s">
        <v>906</v>
      </c>
      <c r="F149" s="49" t="s">
        <v>461</v>
      </c>
      <c r="G149" s="49" t="s">
        <v>35</v>
      </c>
      <c r="H149" s="51" t="s">
        <v>35</v>
      </c>
      <c r="I149" s="51" t="s">
        <v>35</v>
      </c>
      <c r="J149" s="69" t="str" cm="1">
        <f t="array" ref="J149">_xlfn.LET(_xlpm.cls,A149, _xlpm.ord,IFERROR(B149,"#N/C"), _xlpm.subord,IFERROR(C149,"#N/C"), _xlpm.infr,IFERROR(D149,"#N/C"), _xlpm.sf,IFERROR(E149,"#N/C"), _xlpm.fam,IFERROR(F149,"#N/C"), _xlpm.subfam,IF(TRIM(G149)="-","#N/C",IFERROR(G149,"#N/C")),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_xlpm.fallback,IF(IFERROR(B149,"#N/C")="#N/C",A149,IF(IFERROR(C149,"#N/C")="#N/C",B149,IF(IFERROR(D149,"#N/C")="#N/C",C149,IF(IFERROR(E149,"#N/C")="#N/C",D149,IF(IFERROR(F149,"#N/C")="#N/C",E149,IF(IFERROR(G149,"#N/C")="#N/C",F149,"#N/C")))))), _xlpm.finalResult,IF(OR(_xlpm.computedResult="",_xlpm.computedResult="#N/C"),_xlpm.fallback,_xlpm.computedResult), INDEX(_xlpm.finalResult,1))</f>
        <v>spider_wasp</v>
      </c>
      <c r="K149" s="47" t="str">
        <f t="shared" si="2"/>
        <v>Insecta.Hymenoptera.Apocrita.Aculeata.Pompiloidea.Pompilidae.#N/C.#N/C.#N/C</v>
      </c>
      <c r="L149" s="46">
        <f>+COUNTIF([1]Monitoring!AN:AN,K149)</f>
        <v>0</v>
      </c>
    </row>
    <row r="150" spans="1:17" x14ac:dyDescent="0.3">
      <c r="A150" s="49" t="s">
        <v>37</v>
      </c>
      <c r="B150" s="49" t="s">
        <v>41</v>
      </c>
      <c r="C150" s="49" t="s">
        <v>42</v>
      </c>
      <c r="D150" s="49" t="str">
        <f>+IFERROR(IF(E150="#N/C","#N/C",INDEX([1]ClassificationClasses!D:D,MATCH(E150,[1]ClassificationClasses!E:E,0))),"ERROR")</f>
        <v>Aculeata</v>
      </c>
      <c r="E150" s="49" t="s">
        <v>906</v>
      </c>
      <c r="F150" s="49" t="s">
        <v>461</v>
      </c>
      <c r="G150" s="49" t="s">
        <v>583</v>
      </c>
      <c r="H150" s="51" t="s">
        <v>824</v>
      </c>
      <c r="I150" s="51" t="s">
        <v>35</v>
      </c>
      <c r="J150" s="69" t="str" cm="1">
        <f t="array" ref="J150">_xlfn.LET(_xlpm.cls,A150, _xlpm.ord,IFERROR(B150,"#N/C"), _xlpm.subord,IFERROR(C150,"#N/C"), _xlpm.infr,IFERROR(D150,"#N/C"), _xlpm.sf,IFERROR(E150,"#N/C"), _xlpm.fam,IFERROR(F150,"#N/C"), _xlpm.subfam,IF(TRIM(G150)="-","#N/C",IFERROR(G150,"#N/C")),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_xlpm.fallback,IF(IFERROR(B150,"#N/C")="#N/C",A150,IF(IFERROR(C150,"#N/C")="#N/C",B150,IF(IFERROR(D150,"#N/C")="#N/C",C150,IF(IFERROR(E150,"#N/C")="#N/C",D150,IF(IFERROR(F150,"#N/C")="#N/C",E150,IF(IFERROR(G150,"#N/C")="#N/C",F150,"#N/C")))))), _xlpm.finalResult,IF(OR(_xlpm.computedResult="",_xlpm.computedResult="#N/C"),_xlpm.fallback,_xlpm.computedResult), INDEX(_xlpm.finalResult,1))</f>
        <v>spider_wasp</v>
      </c>
      <c r="K150" s="47" t="str">
        <f t="shared" si="2"/>
        <v>Insecta.Hymenoptera.Apocrita.Aculeata.Pompiloidea.Pompilidae.Pepsinae.Auplopus.#N/C</v>
      </c>
      <c r="L150" s="46">
        <f>+COUNTIF([1]Monitoring!AN:AN,K150)</f>
        <v>0</v>
      </c>
    </row>
    <row r="151" spans="1:17" x14ac:dyDescent="0.3">
      <c r="A151" s="49" t="s">
        <v>37</v>
      </c>
      <c r="B151" s="49" t="s">
        <v>41</v>
      </c>
      <c r="C151" s="49" t="s">
        <v>42</v>
      </c>
      <c r="D151" s="49" t="str">
        <f>+IFERROR(IF(E151="#N/C","#N/C",INDEX([1]ClassificationClasses!D:D,MATCH(E151,[1]ClassificationClasses!E:E,0))),"ERROR")</f>
        <v>Aculeata</v>
      </c>
      <c r="E151" s="49" t="s">
        <v>131</v>
      </c>
      <c r="F151" s="49" t="s">
        <v>902</v>
      </c>
      <c r="G151" s="49" t="s">
        <v>35</v>
      </c>
      <c r="H151" s="51" t="s">
        <v>35</v>
      </c>
      <c r="I151" s="51" t="s">
        <v>35</v>
      </c>
      <c r="J151" s="69" t="str" cm="1">
        <f t="array" ref="J151">_xlfn.LET(_xlpm.cls,A151, _xlpm.ord,IFERROR(B151,"#N/C"), _xlpm.subord,IFERROR(C151,"#N/C"), _xlpm.infr,IFERROR(D151,"#N/C"), _xlpm.sf,IFERROR(E151,"#N/C"), _xlpm.fam,IFERROR(F151,"#N/C"), _xlpm.subfam,IF(TRIM(G151)="-","#N/C",IFERROR(G151,"#N/C")),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_xlpm.fallback,IF(IFERROR(B151,"#N/C")="#N/C",A151,IF(IFERROR(C151,"#N/C")="#N/C",B151,IF(IFERROR(D151,"#N/C")="#N/C",C151,IF(IFERROR(E151,"#N/C")="#N/C",D151,IF(IFERROR(F151,"#N/C")="#N/C",E151,IF(IFERROR(G151,"#N/C")="#N/C",F151,"#N/C")))))), _xlpm.finalResult,IF(OR(_xlpm.computedResult="",_xlpm.computedResult="#N/C"),_xlpm.fallback,_xlpm.computedResult), INDEX(_xlpm.finalResult,1))</f>
        <v>digger_wasp</v>
      </c>
      <c r="K151" s="47" t="str">
        <f t="shared" si="2"/>
        <v>Insecta.Hymenoptera.Apocrita.Aculeata.Apoidea.Sphecidae.#N/C.#N/C.#N/C</v>
      </c>
      <c r="L151" s="46">
        <f>+COUNTIF([1]Monitoring!AN:AN,K151)</f>
        <v>0</v>
      </c>
    </row>
    <row r="152" spans="1:17" x14ac:dyDescent="0.3">
      <c r="A152" s="48" t="s">
        <v>37</v>
      </c>
      <c r="B152" s="48" t="s">
        <v>41</v>
      </c>
      <c r="C152" s="48" t="s">
        <v>42</v>
      </c>
      <c r="D152" s="49" t="str">
        <f>+IFERROR(IF(E152="#N/C","#N/C",INDEX([1]ClassificationClasses!D:D,MATCH(E152,[1]ClassificationClasses!E:E,0))),"ERROR")</f>
        <v>Aculeata</v>
      </c>
      <c r="E152" s="48" t="s">
        <v>119</v>
      </c>
      <c r="F152" s="48" t="s">
        <v>542</v>
      </c>
      <c r="G152" s="48" t="s">
        <v>825</v>
      </c>
      <c r="H152" s="50" t="s">
        <v>826</v>
      </c>
      <c r="I152" s="50" t="s">
        <v>35</v>
      </c>
      <c r="J152" s="69" t="str" cm="1">
        <f t="array" ref="J152">_xlfn.LET(_xlpm.cls,A152, _xlpm.ord,IFERROR(B152,"#N/C"), _xlpm.subord,IFERROR(C152,"#N/C"), _xlpm.infr,IFERROR(D152,"#N/C"), _xlpm.sf,IFERROR(E152,"#N/C"), _xlpm.fam,IFERROR(F152,"#N/C"), _xlpm.subfam,IF(TRIM(G152)="-","#N/C",IFERROR(G152,"#N/C")),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_xlpm.fallback,IF(IFERROR(B152,"#N/C")="#N/C",A152,IF(IFERROR(C152,"#N/C")="#N/C",B152,IF(IFERROR(D152,"#N/C")="#N/C",C152,IF(IFERROR(E152,"#N/C")="#N/C",D152,IF(IFERROR(F152,"#N/C")="#N/C",E152,IF(IFERROR(G152,"#N/C")="#N/C",F152,"#N/C")))))), _xlpm.finalResult,IF(OR(_xlpm.computedResult="",_xlpm.computedResult="#N/C"),_xlpm.fallback,_xlpm.computedResult), INDEX(_xlpm.finalResult,1))</f>
        <v>wasp</v>
      </c>
      <c r="K152" s="47" t="str">
        <f t="shared" si="2"/>
        <v>Insecta.Hymenoptera.Apocrita.Aculeata.Vespoidea.Vespidae.Eumeninae.Ancistrocerus.#N/C</v>
      </c>
      <c r="L152" s="46">
        <f>+COUNTIF([1]Monitoring!AN:AN,K152)</f>
        <v>1</v>
      </c>
    </row>
    <row r="153" spans="1:17" x14ac:dyDescent="0.3">
      <c r="A153" s="48" t="s">
        <v>37</v>
      </c>
      <c r="B153" s="48" t="s">
        <v>41</v>
      </c>
      <c r="C153" s="48" t="s">
        <v>42</v>
      </c>
      <c r="D153" s="49" t="str">
        <f>+IFERROR(IF(E153="#N/C","#N/C",INDEX([1]ClassificationClasses!D:D,MATCH(E153,[1]ClassificationClasses!E:E,0))),"ERROR")</f>
        <v>Aculeata</v>
      </c>
      <c r="E153" s="48" t="s">
        <v>119</v>
      </c>
      <c r="F153" s="48" t="s">
        <v>542</v>
      </c>
      <c r="G153" s="48" t="s">
        <v>543</v>
      </c>
      <c r="H153" s="50" t="s">
        <v>35</v>
      </c>
      <c r="I153" s="50" t="s">
        <v>35</v>
      </c>
      <c r="J153" s="69" t="str" cm="1">
        <f t="array" ref="J153">_xlfn.LET(_xlpm.cls,A153, _xlpm.ord,IFERROR(B153,"#N/C"), _xlpm.subord,IFERROR(C153,"#N/C"), _xlpm.infr,IFERROR(D153,"#N/C"), _xlpm.sf,IFERROR(E153,"#N/C"), _xlpm.fam,IFERROR(F153,"#N/C"), _xlpm.subfam,IF(TRIM(G153)="-","#N/C",IFERROR(G153,"#N/C")),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_xlpm.fallback,IF(IFERROR(B153,"#N/C")="#N/C",A153,IF(IFERROR(C153,"#N/C")="#N/C",B153,IF(IFERROR(D153,"#N/C")="#N/C",C153,IF(IFERROR(E153,"#N/C")="#N/C",D153,IF(IFERROR(F153,"#N/C")="#N/C",E153,IF(IFERROR(G153,"#N/C")="#N/C",F153,"#N/C")))))), _xlpm.finalResult,IF(OR(_xlpm.computedResult="",_xlpm.computedResult="#N/C"),_xlpm.fallback,_xlpm.computedResult), INDEX(_xlpm.finalResult,1))</f>
        <v>wasp</v>
      </c>
      <c r="K153" s="47" t="str">
        <f t="shared" si="2"/>
        <v>Insecta.Hymenoptera.Apocrita.Aculeata.Vespoidea.Vespidae.Vespinae.#N/C.#N/C</v>
      </c>
      <c r="L153" s="46">
        <f>+COUNTIF([1]Monitoring!AN:AN,K153)</f>
        <v>1</v>
      </c>
      <c r="Q153" s="56"/>
    </row>
    <row r="154" spans="1:17" x14ac:dyDescent="0.3">
      <c r="A154" s="49" t="s">
        <v>37</v>
      </c>
      <c r="B154" s="49" t="s">
        <v>41</v>
      </c>
      <c r="C154" s="49" t="s">
        <v>42</v>
      </c>
      <c r="D154" s="49" t="str">
        <f>+IFERROR(IF(E154="#N/C","#N/C",INDEX([1]ClassificationClasses!D:D,MATCH(E154,[1]ClassificationClasses!E:E,0))),"ERROR")</f>
        <v>Aculeata</v>
      </c>
      <c r="E154" s="49" t="s">
        <v>119</v>
      </c>
      <c r="F154" s="49" t="s">
        <v>542</v>
      </c>
      <c r="G154" s="49" t="s">
        <v>543</v>
      </c>
      <c r="H154" s="51" t="s">
        <v>591</v>
      </c>
      <c r="I154" s="51" t="s">
        <v>592</v>
      </c>
      <c r="J154" s="69" t="str" cm="1">
        <f t="array" ref="J154">_xlfn.LET(_xlpm.cls,A154, _xlpm.ord,IFERROR(B154,"#N/C"), _xlpm.subord,IFERROR(C154,"#N/C"), _xlpm.infr,IFERROR(D154,"#N/C"), _xlpm.sf,IFERROR(E154,"#N/C"), _xlpm.fam,IFERROR(F154,"#N/C"), _xlpm.subfam,IF(TRIM(G154)="-","#N/C",IFERROR(G154,"#N/C")),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_xlpm.fallback,IF(IFERROR(B154,"#N/C")="#N/C",A154,IF(IFERROR(C154,"#N/C")="#N/C",B154,IF(IFERROR(D154,"#N/C")="#N/C",C154,IF(IFERROR(E154,"#N/C")="#N/C",D154,IF(IFERROR(F154,"#N/C")="#N/C",E154,IF(IFERROR(G154,"#N/C")="#N/C",F154,"#N/C")))))), _xlpm.finalResult,IF(OR(_xlpm.computedResult="",_xlpm.computedResult="#N/C"),_xlpm.fallback,_xlpm.computedResult), INDEX(_xlpm.finalResult,1))</f>
        <v>wasp</v>
      </c>
      <c r="K154" s="47" t="str">
        <f t="shared" si="2"/>
        <v>Insecta.Hymenoptera.Apocrita.Aculeata.Vespoidea.Vespidae.Vespinae.Dolichovespula.media</v>
      </c>
      <c r="L154" s="46">
        <f>+COUNTIF([1]Monitoring!AN:AN,K154)</f>
        <v>0</v>
      </c>
    </row>
    <row r="155" spans="1:17" x14ac:dyDescent="0.3">
      <c r="A155" s="49" t="s">
        <v>37</v>
      </c>
      <c r="B155" s="49" t="s">
        <v>41</v>
      </c>
      <c r="C155" s="49" t="s">
        <v>42</v>
      </c>
      <c r="D155" s="49" t="str">
        <f>+IFERROR(IF(E155="#N/C","#N/C",INDEX([1]ClassificationClasses!D:D,MATCH(E155,[1]ClassificationClasses!E:E,0))),"ERROR")</f>
        <v>Aculeata</v>
      </c>
      <c r="E155" s="49" t="s">
        <v>119</v>
      </c>
      <c r="F155" s="49" t="s">
        <v>542</v>
      </c>
      <c r="G155" s="49" t="s">
        <v>543</v>
      </c>
      <c r="H155" s="51" t="s">
        <v>544</v>
      </c>
      <c r="I155" s="51" t="s">
        <v>35</v>
      </c>
      <c r="J155" s="69" t="str" cm="1">
        <f t="array" ref="J155">_xlfn.LET(_xlpm.cls,A155, _xlpm.ord,IFERROR(B155,"#N/C"), _xlpm.subord,IFERROR(C155,"#N/C"), _xlpm.infr,IFERROR(D155,"#N/C"), _xlpm.sf,IFERROR(E155,"#N/C"), _xlpm.fam,IFERROR(F155,"#N/C"), _xlpm.subfam,IF(TRIM(G155)="-","#N/C",IFERROR(G155,"#N/C")),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_xlpm.fallback,IF(IFERROR(B155,"#N/C")="#N/C",A155,IF(IFERROR(C155,"#N/C")="#N/C",B155,IF(IFERROR(D155,"#N/C")="#N/C",C155,IF(IFERROR(E155,"#N/C")="#N/C",D155,IF(IFERROR(F155,"#N/C")="#N/C",E155,IF(IFERROR(G155,"#N/C")="#N/C",F155,"#N/C")))))), _xlpm.finalResult,IF(OR(_xlpm.computedResult="",_xlpm.computedResult="#N/C"),_xlpm.fallback,_xlpm.computedResult), INDEX(_xlpm.finalResult,1))</f>
        <v>wasp</v>
      </c>
      <c r="K155" s="47" t="str">
        <f t="shared" si="2"/>
        <v>Insecta.Hymenoptera.Apocrita.Aculeata.Vespoidea.Vespidae.Vespinae.Vespula.#N/C</v>
      </c>
      <c r="L155" s="46">
        <f>+COUNTIF([1]Monitoring!AN:AN,K155)</f>
        <v>28</v>
      </c>
    </row>
    <row r="156" spans="1:17" x14ac:dyDescent="0.3">
      <c r="A156" s="49" t="s">
        <v>37</v>
      </c>
      <c r="B156" s="49" t="s">
        <v>41</v>
      </c>
      <c r="C156" s="49" t="s">
        <v>42</v>
      </c>
      <c r="D156" s="49" t="str">
        <f>+IFERROR(IF(E156="#N/C","#N/C",INDEX([1]ClassificationClasses!D:D,MATCH(E156,[1]ClassificationClasses!E:E,0))),"ERROR")</f>
        <v>Aculeata</v>
      </c>
      <c r="E156" s="49" t="s">
        <v>119</v>
      </c>
      <c r="F156" s="49" t="s">
        <v>542</v>
      </c>
      <c r="G156" s="49" t="s">
        <v>543</v>
      </c>
      <c r="H156" s="51" t="s">
        <v>544</v>
      </c>
      <c r="I156" s="51" t="s">
        <v>353</v>
      </c>
      <c r="J156" s="69" t="str" cm="1">
        <f t="array" ref="J156">_xlfn.LET(_xlpm.cls,A156, _xlpm.ord,IFERROR(B156,"#N/C"), _xlpm.subord,IFERROR(C156,"#N/C"), _xlpm.infr,IFERROR(D156,"#N/C"), _xlpm.sf,IFERROR(E156,"#N/C"), _xlpm.fam,IFERROR(F156,"#N/C"), _xlpm.subfam,IF(TRIM(G156)="-","#N/C",IFERROR(G156,"#N/C")),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_xlpm.fallback,IF(IFERROR(B156,"#N/C")="#N/C",A156,IF(IFERROR(C156,"#N/C")="#N/C",B156,IF(IFERROR(D156,"#N/C")="#N/C",C156,IF(IFERROR(E156,"#N/C")="#N/C",D156,IF(IFERROR(F156,"#N/C")="#N/C",E156,IF(IFERROR(G156,"#N/C")="#N/C",F156,"#N/C")))))), _xlpm.finalResult,IF(OR(_xlpm.computedResult="",_xlpm.computedResult="#N/C"),_xlpm.fallback,_xlpm.computedResult), INDEX(_xlpm.finalResult,1))</f>
        <v>wasp</v>
      </c>
      <c r="K156" s="47" t="str">
        <f t="shared" si="2"/>
        <v>Insecta.Hymenoptera.Apocrita.Aculeata.Vespoidea.Vespidae.Vespinae.Vespula.vulgaris</v>
      </c>
      <c r="L156" s="46">
        <f>+COUNTIF([1]Monitoring!AN:AN,K156)</f>
        <v>0</v>
      </c>
    </row>
    <row r="157" spans="1:17" x14ac:dyDescent="0.3">
      <c r="A157" s="49" t="s">
        <v>37</v>
      </c>
      <c r="B157" s="49" t="s">
        <v>41</v>
      </c>
      <c r="C157" s="49" t="s">
        <v>827</v>
      </c>
      <c r="D157" s="49"/>
      <c r="E157" s="49" t="s">
        <v>828</v>
      </c>
      <c r="F157" s="49" t="s">
        <v>829</v>
      </c>
      <c r="G157" s="49" t="s">
        <v>830</v>
      </c>
      <c r="H157" s="51" t="s">
        <v>831</v>
      </c>
      <c r="I157" s="51" t="s">
        <v>35</v>
      </c>
      <c r="J157" s="69" t="str" cm="1">
        <f t="array" ref="J157">_xlfn.LET(_xlpm.cls,A157, _xlpm.ord,IFERROR(B157,"#N/C"), _xlpm.subord,IFERROR(C157,"#N/C"), _xlpm.infr,IFERROR(D157,"#N/C"), _xlpm.sf,IFERROR(E157,"#N/C"), _xlpm.fam,IFERROR(F157,"#N/C"), _xlpm.subfam,IF(TRIM(G157)="-","#N/C",IFERROR(G157,"#N/C")),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_xlpm.fallback,IF(IFERROR(B157,"#N/C")="#N/C",A157,IF(IFERROR(C157,"#N/C")="#N/C",B157,IF(IFERROR(D157,"#N/C")="#N/C",C157,IF(IFERROR(E157,"#N/C")="#N/C",D157,IF(IFERROR(F157,"#N/C")="#N/C",E157,IF(IFERROR(G157,"#N/C")="#N/C",F157,"#N/C")))))), _xlpm.finalResult,IF(OR(_xlpm.computedResult="",_xlpm.computedResult="#N/C"),_xlpm.fallback,_xlpm.computedResult), INDEX(_xlpm.finalResult,1))</f>
        <v>saw_fly</v>
      </c>
      <c r="K157" s="47" t="str">
        <f t="shared" si="2"/>
        <v>Insecta.Hymenoptera.Symphyta..Tenthredinoidea.Tenthredinidae.Athaliinae.Athalia.#N/C</v>
      </c>
      <c r="L157" s="46">
        <f>+COUNTIF([1]Monitoring!AN:AN,K157)</f>
        <v>0</v>
      </c>
    </row>
    <row r="158" spans="1:17" x14ac:dyDescent="0.3">
      <c r="A158" s="48" t="s">
        <v>37</v>
      </c>
      <c r="B158" s="48" t="s">
        <v>56</v>
      </c>
      <c r="C158" s="48" t="s">
        <v>57</v>
      </c>
      <c r="D158" s="49" t="str">
        <f>+IFERROR(IF(E158="#N/C","#N/C",INDEX([1]ClassificationClasses!D:D,MATCH(E158,[1]ClassificationClasses!E:E,0))),"ERROR")</f>
        <v>Heterocera</v>
      </c>
      <c r="E158" s="48" t="s">
        <v>698</v>
      </c>
      <c r="F158" s="48" t="s">
        <v>35</v>
      </c>
      <c r="G158" s="48" t="s">
        <v>35</v>
      </c>
      <c r="H158" s="50" t="s">
        <v>35</v>
      </c>
      <c r="I158" s="50" t="s">
        <v>35</v>
      </c>
      <c r="J158" s="69" t="str" cm="1">
        <f t="array" ref="J158">_xlfn.LET(_xlpm.cls,A158, _xlpm.ord,IFERROR(B158,"#N/C"), _xlpm.subord,IFERROR(C158,"#N/C"), _xlpm.infr,IFERROR(D158,"#N/C"), _xlpm.sf,IFERROR(E158,"#N/C"), _xlpm.fam,IFERROR(F158,"#N/C"), _xlpm.subfam,IF(TRIM(G158)="-","#N/C",IFERROR(G158,"#N/C")),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_xlpm.fallback,IF(IFERROR(B158,"#N/C")="#N/C",A158,IF(IFERROR(C158,"#N/C")="#N/C",B158,IF(IFERROR(D158,"#N/C")="#N/C",C158,IF(IFERROR(E158,"#N/C")="#N/C",D158,IF(IFERROR(F158,"#N/C")="#N/C",E158,IF(IFERROR(G158,"#N/C")="#N/C",F158,"#N/C")))))), _xlpm.finalResult,IF(OR(_xlpm.computedResult="",_xlpm.computedResult="#N/C"),_xlpm.fallback,_xlpm.computedResult), INDEX(_xlpm.finalResult,1))</f>
        <v>Noctuoidea</v>
      </c>
      <c r="K158" s="47" t="str">
        <f t="shared" si="2"/>
        <v>Insecta.Lepidoptera.Glossata.Heterocera.Noctuoidea.#N/C.#N/C.#N/C.#N/C</v>
      </c>
      <c r="L158" s="46">
        <f>+COUNTIF([1]Monitoring!AN:AN,K158)</f>
        <v>1</v>
      </c>
    </row>
    <row r="159" spans="1:17" x14ac:dyDescent="0.3">
      <c r="A159" s="49" t="s">
        <v>37</v>
      </c>
      <c r="B159" s="49" t="s">
        <v>56</v>
      </c>
      <c r="C159" s="49" t="s">
        <v>35</v>
      </c>
      <c r="D159" s="49" t="str">
        <f>+IFERROR(IF(E159="#N/C","#N/C",INDEX([1]ClassificationClasses!D:D,MATCH(E159,[1]ClassificationClasses!E:E,0))),"ERROR")</f>
        <v>#N/C</v>
      </c>
      <c r="E159" s="49" t="s">
        <v>35</v>
      </c>
      <c r="F159" s="49" t="s">
        <v>35</v>
      </c>
      <c r="G159" s="49" t="s">
        <v>35</v>
      </c>
      <c r="H159" s="51" t="s">
        <v>35</v>
      </c>
      <c r="I159" s="51" t="s">
        <v>35</v>
      </c>
      <c r="J159" s="69" t="str" cm="1">
        <f t="array" ref="J159">_xlfn.LET(_xlpm.cls,A159, _xlpm.ord,IFERROR(B159,"#N/C"), _xlpm.subord,IFERROR(C159,"#N/C"), _xlpm.infr,IFERROR(D159,"#N/C"), _xlpm.sf,IFERROR(E159,"#N/C"), _xlpm.fam,IFERROR(F159,"#N/C"), _xlpm.subfam,IF(TRIM(G159)="-","#N/C",IFERROR(G159,"#N/C")),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_xlpm.fallback,IF(IFERROR(B159,"#N/C")="#N/C",A159,IF(IFERROR(C159,"#N/C")="#N/C",B159,IF(IFERROR(D159,"#N/C")="#N/C",C159,IF(IFERROR(E159,"#N/C")="#N/C",D159,IF(IFERROR(F159,"#N/C")="#N/C",E159,IF(IFERROR(G159,"#N/C")="#N/C",F159,"#N/C")))))), _xlpm.finalResult,IF(OR(_xlpm.computedResult="",_xlpm.computedResult="#N/C"),_xlpm.fallback,_xlpm.computedResult), INDEX(_xlpm.finalResult,1))</f>
        <v>Lepidoptera</v>
      </c>
      <c r="K159" s="47" t="str">
        <f t="shared" si="2"/>
        <v>Insecta.Lepidoptera.#N/C.#N/C.#N/C.#N/C.#N/C.#N/C.#N/C</v>
      </c>
      <c r="L159" s="46">
        <f>+COUNTIF([1]Monitoring!AN:AN,K159)</f>
        <v>0</v>
      </c>
    </row>
    <row r="160" spans="1:17" x14ac:dyDescent="0.3">
      <c r="A160" s="49" t="s">
        <v>37</v>
      </c>
      <c r="B160" s="49" t="s">
        <v>56</v>
      </c>
      <c r="C160" s="49" t="s">
        <v>57</v>
      </c>
      <c r="D160" s="49" t="str">
        <f>+IFERROR(IF(E160="#N/C","#N/C",INDEX([1]ClassificationClasses!D:D,MATCH(E160,[1]ClassificationClasses!E:E,0))),"ERROR")</f>
        <v>#N/C</v>
      </c>
      <c r="E160" s="49" t="s">
        <v>35</v>
      </c>
      <c r="F160" s="49" t="s">
        <v>35</v>
      </c>
      <c r="G160" s="49" t="s">
        <v>35</v>
      </c>
      <c r="H160" s="51" t="s">
        <v>35</v>
      </c>
      <c r="I160" s="51" t="s">
        <v>35</v>
      </c>
      <c r="J160" s="69" t="str" cm="1">
        <f t="array" ref="J160">_xlfn.LET(_xlpm.cls,A160, _xlpm.ord,IFERROR(B160,"#N/C"), _xlpm.subord,IFERROR(C160,"#N/C"), _xlpm.infr,IFERROR(D160,"#N/C"), _xlpm.sf,IFERROR(E160,"#N/C"), _xlpm.fam,IFERROR(F160,"#N/C"), _xlpm.subfam,IF(TRIM(G160)="-","#N/C",IFERROR(G160,"#N/C")),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_xlpm.fallback,IF(IFERROR(B160,"#N/C")="#N/C",A160,IF(IFERROR(C160,"#N/C")="#N/C",B160,IF(IFERROR(D160,"#N/C")="#N/C",C160,IF(IFERROR(E160,"#N/C")="#N/C",D160,IF(IFERROR(F160,"#N/C")="#N/C",E160,IF(IFERROR(G160,"#N/C")="#N/C",F160,"#N/C")))))), _xlpm.finalResult,IF(OR(_xlpm.computedResult="",_xlpm.computedResult="#N/C"),_xlpm.fallback,_xlpm.computedResult), INDEX(_xlpm.finalResult,1))</f>
        <v>Glossata</v>
      </c>
      <c r="K160" s="47" t="str">
        <f t="shared" si="2"/>
        <v>Insecta.Lepidoptera.Glossata.#N/C.#N/C.#N/C.#N/C.#N/C.#N/C</v>
      </c>
      <c r="L160" s="46">
        <f>+COUNTIF([1]Monitoring!AN:AN,K160)</f>
        <v>0</v>
      </c>
    </row>
    <row r="161" spans="1:12" x14ac:dyDescent="0.3">
      <c r="A161" s="49" t="s">
        <v>37</v>
      </c>
      <c r="B161" s="49" t="s">
        <v>56</v>
      </c>
      <c r="C161" s="49" t="s">
        <v>57</v>
      </c>
      <c r="D161" s="49" t="str">
        <f>+IFERROR(IF(E161="#N/C","#N/C",INDEX([1]ClassificationClasses!D:D,MATCH(E161,[1]ClassificationClasses!E:E,0))),"ERROR")</f>
        <v>Heterocera</v>
      </c>
      <c r="E161" s="49" t="s">
        <v>257</v>
      </c>
      <c r="F161" s="49" t="s">
        <v>35</v>
      </c>
      <c r="G161" s="49" t="s">
        <v>35</v>
      </c>
      <c r="H161" s="51" t="s">
        <v>35</v>
      </c>
      <c r="I161" s="51" t="s">
        <v>35</v>
      </c>
      <c r="J161" s="69" t="str" cm="1">
        <f t="array" ref="J161">_xlfn.LET(_xlpm.cls,A161, _xlpm.ord,IFERROR(B161,"#N/C"), _xlpm.subord,IFERROR(C161,"#N/C"), _xlpm.infr,IFERROR(D161,"#N/C"), _xlpm.sf,IFERROR(E161,"#N/C"), _xlpm.fam,IFERROR(F161,"#N/C"), _xlpm.subfam,IF(TRIM(G161)="-","#N/C",IFERROR(G161,"#N/C")),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_xlpm.fallback,IF(IFERROR(B161,"#N/C")="#N/C",A161,IF(IFERROR(C161,"#N/C")="#N/C",B161,IF(IFERROR(D161,"#N/C")="#N/C",C161,IF(IFERROR(E161,"#N/C")="#N/C",D161,IF(IFERROR(F161,"#N/C")="#N/C",E161,IF(IFERROR(G161,"#N/C")="#N/C",F161,"#N/C")))))), _xlpm.finalResult,IF(OR(_xlpm.computedResult="",_xlpm.computedResult="#N/C"),_xlpm.fallback,_xlpm.computedResult), INDEX(_xlpm.finalResult,1))</f>
        <v>Gelechioidea</v>
      </c>
      <c r="K161" s="47" t="str">
        <f t="shared" si="2"/>
        <v>Insecta.Lepidoptera.Glossata.Heterocera.Gelechioidea.#N/C.#N/C.#N/C.#N/C</v>
      </c>
      <c r="L161" s="46">
        <f>+COUNTIF([1]Monitoring!AN:AN,K161)</f>
        <v>0</v>
      </c>
    </row>
    <row r="162" spans="1:12" x14ac:dyDescent="0.3">
      <c r="A162" s="49" t="s">
        <v>37</v>
      </c>
      <c r="B162" s="49" t="s">
        <v>56</v>
      </c>
      <c r="C162" s="49" t="s">
        <v>57</v>
      </c>
      <c r="D162" s="49" t="str">
        <f>+IFERROR(IF(E162="#N/C","#N/C",INDEX([1]ClassificationClasses!D:D,MATCH(E162,[1]ClassificationClasses!E:E,0))),"ERROR")</f>
        <v>Heterocera</v>
      </c>
      <c r="E162" s="49" t="s">
        <v>257</v>
      </c>
      <c r="F162" s="49" t="s">
        <v>300</v>
      </c>
      <c r="G162" s="49" t="s">
        <v>35</v>
      </c>
      <c r="H162" s="51" t="s">
        <v>35</v>
      </c>
      <c r="I162" s="51" t="s">
        <v>35</v>
      </c>
      <c r="J162" s="69" t="str" cm="1">
        <f t="array" ref="J162">_xlfn.LET(_xlpm.cls,A162, _xlpm.ord,IFERROR(B162,"#N/C"), _xlpm.subord,IFERROR(C162,"#N/C"), _xlpm.infr,IFERROR(D162,"#N/C"), _xlpm.sf,IFERROR(E162,"#N/C"), _xlpm.fam,IFERROR(F162,"#N/C"), _xlpm.subfam,IF(TRIM(G162)="-","#N/C",IFERROR(G162,"#N/C")),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_xlpm.fallback,IF(IFERROR(B162,"#N/C")="#N/C",A162,IF(IFERROR(C162,"#N/C")="#N/C",B162,IF(IFERROR(D162,"#N/C")="#N/C",C162,IF(IFERROR(E162,"#N/C")="#N/C",D162,IF(IFERROR(F162,"#N/C")="#N/C",E162,IF(IFERROR(G162,"#N/C")="#N/C",F162,"#N/C")))))), _xlpm.finalResult,IF(OR(_xlpm.computedResult="",_xlpm.computedResult="#N/C"),_xlpm.fallback,_xlpm.computedResult), INDEX(_xlpm.finalResult,1))</f>
        <v>moth</v>
      </c>
      <c r="K162" s="47" t="str">
        <f t="shared" si="2"/>
        <v>Insecta.Lepidoptera.Glossata.Heterocera.Gelechioidea.Gelechiidae.#N/C.#N/C.#N/C</v>
      </c>
      <c r="L162" s="46">
        <f>+COUNTIF([1]Monitoring!AN:AN,K162)</f>
        <v>0</v>
      </c>
    </row>
    <row r="163" spans="1:12" x14ac:dyDescent="0.3">
      <c r="A163" s="48" t="s">
        <v>37</v>
      </c>
      <c r="B163" s="48" t="s">
        <v>56</v>
      </c>
      <c r="C163" s="48" t="s">
        <v>57</v>
      </c>
      <c r="D163" s="49" t="str">
        <f>+IFERROR(IF(E163="#N/C","#N/C",INDEX([1]ClassificationClasses!D:D,MATCH(E163,[1]ClassificationClasses!E:E,0))),"ERROR")</f>
        <v>Heterocera</v>
      </c>
      <c r="E163" s="48" t="s">
        <v>257</v>
      </c>
      <c r="F163" s="48" t="s">
        <v>832</v>
      </c>
      <c r="G163" s="48" t="s">
        <v>833</v>
      </c>
      <c r="H163" s="50" t="s">
        <v>660</v>
      </c>
      <c r="I163" s="50" t="s">
        <v>35</v>
      </c>
      <c r="J163" s="69" t="str" cm="1">
        <f t="array" ref="J163">_xlfn.LET(_xlpm.cls,A163, _xlpm.ord,IFERROR(B163,"#N/C"), _xlpm.subord,IFERROR(C163,"#N/C"), _xlpm.infr,IFERROR(D163,"#N/C"), _xlpm.sf,IFERROR(E163,"#N/C"), _xlpm.fam,IFERROR(F163,"#N/C"), _xlpm.subfam,IF(TRIM(G163)="-","#N/C",IFERROR(G163,"#N/C")),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_xlpm.fallback,IF(IFERROR(B163,"#N/C")="#N/C",A163,IF(IFERROR(C163,"#N/C")="#N/C",B163,IF(IFERROR(D163,"#N/C")="#N/C",C163,IF(IFERROR(E163,"#N/C")="#N/C",D163,IF(IFERROR(F163,"#N/C")="#N/C",E163,IF(IFERROR(G163,"#N/C")="#N/C",F163,"#N/C")))))), _xlpm.finalResult,IF(OR(_xlpm.computedResult="",_xlpm.computedResult="#N/C"),_xlpm.fallback,_xlpm.computedResult), INDEX(_xlpm.finalResult,1))</f>
        <v>moth</v>
      </c>
      <c r="K163" s="47" t="str">
        <f t="shared" si="2"/>
        <v>Insecta.Lepidoptera.Glossata.Heterocera.Gelechioidea.Oecophoridae.Oecophorinae.Carcina.#N/C</v>
      </c>
      <c r="L163" s="46">
        <f>+COUNTIF([1]Monitoring!AN:AN,K163)</f>
        <v>0</v>
      </c>
    </row>
    <row r="164" spans="1:12" x14ac:dyDescent="0.3">
      <c r="A164" s="49" t="s">
        <v>37</v>
      </c>
      <c r="B164" s="49" t="s">
        <v>56</v>
      </c>
      <c r="C164" s="49" t="s">
        <v>57</v>
      </c>
      <c r="D164" s="49" t="str">
        <f>+IFERROR(IF(E164="#N/C","#N/C",INDEX([1]ClassificationClasses!D:D,MATCH(E164,[1]ClassificationClasses!E:E,0))),"ERROR")</f>
        <v>Heterocera</v>
      </c>
      <c r="E164" s="49" t="s">
        <v>257</v>
      </c>
      <c r="F164" s="49" t="s">
        <v>832</v>
      </c>
      <c r="G164" s="49" t="s">
        <v>833</v>
      </c>
      <c r="H164" s="51" t="s">
        <v>834</v>
      </c>
      <c r="I164" s="51" t="s">
        <v>35</v>
      </c>
      <c r="J164" s="69" t="str" cm="1">
        <f t="array" ref="J164">_xlfn.LET(_xlpm.cls,A164, _xlpm.ord,IFERROR(B164,"#N/C"), _xlpm.subord,IFERROR(C164,"#N/C"), _xlpm.infr,IFERROR(D164,"#N/C"), _xlpm.sf,IFERROR(E164,"#N/C"), _xlpm.fam,IFERROR(F164,"#N/C"), _xlpm.subfam,IF(TRIM(G164)="-","#N/C",IFERROR(G164,"#N/C")),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_xlpm.fallback,IF(IFERROR(B164,"#N/C")="#N/C",A164,IF(IFERROR(C164,"#N/C")="#N/C",B164,IF(IFERROR(D164,"#N/C")="#N/C",C164,IF(IFERROR(E164,"#N/C")="#N/C",D164,IF(IFERROR(F164,"#N/C")="#N/C",E164,IF(IFERROR(G164,"#N/C")="#N/C",F164,"#N/C")))))), _xlpm.finalResult,IF(OR(_xlpm.computedResult="",_xlpm.computedResult="#N/C"),_xlpm.fallback,_xlpm.computedResult), INDEX(_xlpm.finalResult,1))</f>
        <v>moth</v>
      </c>
      <c r="K164" s="47" t="str">
        <f t="shared" si="2"/>
        <v>Insecta.Lepidoptera.Glossata.Heterocera.Gelechioidea.Oecophoridae.Oecophorinae.Hofmannophila.#N/C</v>
      </c>
      <c r="L164" s="46">
        <f>+COUNTIF([1]Monitoring!AN:AN,K164)</f>
        <v>0</v>
      </c>
    </row>
    <row r="165" spans="1:12" x14ac:dyDescent="0.3">
      <c r="A165" s="49" t="s">
        <v>37</v>
      </c>
      <c r="B165" s="49" t="s">
        <v>56</v>
      </c>
      <c r="C165" s="49" t="s">
        <v>57</v>
      </c>
      <c r="D165" s="49" t="str">
        <f>+IFERROR(IF(E165="#N/C","#N/C",INDEX([1]ClassificationClasses!D:D,MATCH(E165,[1]ClassificationClasses!E:E,0))),"ERROR")</f>
        <v>Heterocera</v>
      </c>
      <c r="E165" s="49" t="s">
        <v>518</v>
      </c>
      <c r="F165" s="49" t="s">
        <v>519</v>
      </c>
      <c r="G165" s="49" t="s">
        <v>520</v>
      </c>
      <c r="H165" s="51" t="s">
        <v>688</v>
      </c>
      <c r="I165" s="51" t="s">
        <v>689</v>
      </c>
      <c r="J165" s="69" t="str" cm="1">
        <f t="array" ref="J165">_xlfn.LET(_xlpm.cls,A165, _xlpm.ord,IFERROR(B165,"#N/C"), _xlpm.subord,IFERROR(C165,"#N/C"), _xlpm.infr,IFERROR(D165,"#N/C"), _xlpm.sf,IFERROR(E165,"#N/C"), _xlpm.fam,IFERROR(F165,"#N/C"), _xlpm.subfam,IF(TRIM(G165)="-","#N/C",IFERROR(G165,"#N/C")),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_xlpm.fallback,IF(IFERROR(B165,"#N/C")="#N/C",A165,IF(IFERROR(C165,"#N/C")="#N/C",B165,IF(IFERROR(D165,"#N/C")="#N/C",C165,IF(IFERROR(E165,"#N/C")="#N/C",D165,IF(IFERROR(F165,"#N/C")="#N/C",E165,IF(IFERROR(G165,"#N/C")="#N/C",F165,"#N/C")))))), _xlpm.finalResult,IF(OR(_xlpm.computedResult="",_xlpm.computedResult="#N/C"),_xlpm.fallback,_xlpm.computedResult), INDEX(_xlpm.finalResult,1))</f>
        <v>moth</v>
      </c>
      <c r="K165" s="47" t="str">
        <f t="shared" si="2"/>
        <v>Insecta.Lepidoptera.Glossata.Heterocera.Geometroidea.Geometridae.Larentiinae.Camptogramma.bilineata</v>
      </c>
      <c r="L165" s="46">
        <f>+COUNTIF([1]Monitoring!AN:AN,K165)</f>
        <v>0</v>
      </c>
    </row>
    <row r="166" spans="1:12" x14ac:dyDescent="0.3">
      <c r="A166" s="49" t="s">
        <v>37</v>
      </c>
      <c r="B166" s="49" t="s">
        <v>56</v>
      </c>
      <c r="C166" s="49" t="s">
        <v>57</v>
      </c>
      <c r="D166" s="49" t="str">
        <f>+IFERROR(IF(E166="#N/C","#N/C",INDEX([1]ClassificationClasses!D:D,MATCH(E166,[1]ClassificationClasses!E:E,0))),"ERROR")</f>
        <v>Heterocera</v>
      </c>
      <c r="E166" s="49" t="s">
        <v>518</v>
      </c>
      <c r="F166" s="49" t="s">
        <v>519</v>
      </c>
      <c r="G166" s="49" t="s">
        <v>520</v>
      </c>
      <c r="H166" s="51" t="s">
        <v>521</v>
      </c>
      <c r="I166" s="51" t="s">
        <v>522</v>
      </c>
      <c r="J166" s="69" t="str" cm="1">
        <f t="array" ref="J166">_xlfn.LET(_xlpm.cls,A166, _xlpm.ord,IFERROR(B166,"#N/C"), _xlpm.subord,IFERROR(C166,"#N/C"), _xlpm.infr,IFERROR(D166,"#N/C"), _xlpm.sf,IFERROR(E166,"#N/C"), _xlpm.fam,IFERROR(F166,"#N/C"), _xlpm.subfam,IF(TRIM(G166)="-","#N/C",IFERROR(G166,"#N/C")),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_xlpm.fallback,IF(IFERROR(B166,"#N/C")="#N/C",A166,IF(IFERROR(C166,"#N/C")="#N/C",B166,IF(IFERROR(D166,"#N/C")="#N/C",C166,IF(IFERROR(E166,"#N/C")="#N/C",D166,IF(IFERROR(F166,"#N/C")="#N/C",E166,IF(IFERROR(G166,"#N/C")="#N/C",F166,"#N/C")))))), _xlpm.finalResult,IF(OR(_xlpm.computedResult="",_xlpm.computedResult="#N/C"),_xlpm.fallback,_xlpm.computedResult), INDEX(_xlpm.finalResult,1))</f>
        <v>moth</v>
      </c>
      <c r="K166" s="47" t="str">
        <f t="shared" si="2"/>
        <v>Insecta.Lepidoptera.Glossata.Heterocera.Geometroidea.Geometridae.Larentiinae.Epirrhoe.alternata</v>
      </c>
      <c r="L166" s="46">
        <f>+COUNTIF([1]Monitoring!AN:AN,K166)</f>
        <v>0</v>
      </c>
    </row>
    <row r="167" spans="1:12" x14ac:dyDescent="0.3">
      <c r="A167" s="48" t="s">
        <v>37</v>
      </c>
      <c r="B167" s="48" t="s">
        <v>56</v>
      </c>
      <c r="C167" s="48" t="s">
        <v>57</v>
      </c>
      <c r="D167" s="49" t="str">
        <f>+IFERROR(IF(E167="#N/C","#N/C",INDEX([1]ClassificationClasses!D:D,MATCH(E167,[1]ClassificationClasses!E:E,0))),"ERROR")</f>
        <v>Heterocera</v>
      </c>
      <c r="E167" s="48" t="s">
        <v>698</v>
      </c>
      <c r="F167" s="48" t="s">
        <v>699</v>
      </c>
      <c r="G167" s="48" t="s">
        <v>35</v>
      </c>
      <c r="H167" s="50" t="s">
        <v>35</v>
      </c>
      <c r="I167" s="50" t="s">
        <v>35</v>
      </c>
      <c r="J167" s="69" t="str" cm="1">
        <f t="array" ref="J167">_xlfn.LET(_xlpm.cls,A167, _xlpm.ord,IFERROR(B167,"#N/C"), _xlpm.subord,IFERROR(C167,"#N/C"), _xlpm.infr,IFERROR(D167,"#N/C"), _xlpm.sf,IFERROR(E167,"#N/C"), _xlpm.fam,IFERROR(F167,"#N/C"), _xlpm.subfam,IF(TRIM(G167)="-","#N/C",IFERROR(G167,"#N/C")),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_xlpm.fallback,IF(IFERROR(B167,"#N/C")="#N/C",A167,IF(IFERROR(C167,"#N/C")="#N/C",B167,IF(IFERROR(D167,"#N/C")="#N/C",C167,IF(IFERROR(E167,"#N/C")="#N/C",D167,IF(IFERROR(F167,"#N/C")="#N/C",E167,IF(IFERROR(G167,"#N/C")="#N/C",F167,"#N/C")))))), _xlpm.finalResult,IF(OR(_xlpm.computedResult="",_xlpm.computedResult="#N/C"),_xlpm.fallback,_xlpm.computedResult), INDEX(_xlpm.finalResult,1))</f>
        <v>moth</v>
      </c>
      <c r="K167" s="47" t="str">
        <f t="shared" si="2"/>
        <v>Insecta.Lepidoptera.Glossata.Heterocera.Noctuoidea.Noctuidae.#N/C.#N/C.#N/C</v>
      </c>
      <c r="L167" s="46">
        <f>+COUNTIF([1]Monitoring!AN:AN,K167)</f>
        <v>1</v>
      </c>
    </row>
    <row r="168" spans="1:12" x14ac:dyDescent="0.3">
      <c r="A168" s="49" t="s">
        <v>37</v>
      </c>
      <c r="B168" s="49" t="s">
        <v>56</v>
      </c>
      <c r="C168" s="49" t="s">
        <v>57</v>
      </c>
      <c r="D168" s="49" t="str">
        <f>+IFERROR(IF(E168="#N/C","#N/C",INDEX([1]ClassificationClasses!D:D,MATCH(E168,[1]ClassificationClasses!E:E,0))),"ERROR")</f>
        <v>Heterocera</v>
      </c>
      <c r="E168" s="49" t="s">
        <v>698</v>
      </c>
      <c r="F168" s="49" t="s">
        <v>699</v>
      </c>
      <c r="G168" s="49" t="s">
        <v>708</v>
      </c>
      <c r="H168" s="51" t="s">
        <v>835</v>
      </c>
      <c r="I168" s="51" t="s">
        <v>35</v>
      </c>
      <c r="J168" s="69" t="str" cm="1">
        <f t="array" ref="J168">_xlfn.LET(_xlpm.cls,A168, _xlpm.ord,IFERROR(B168,"#N/C"), _xlpm.subord,IFERROR(C168,"#N/C"), _xlpm.infr,IFERROR(D168,"#N/C"), _xlpm.sf,IFERROR(E168,"#N/C"), _xlpm.fam,IFERROR(F168,"#N/C"), _xlpm.subfam,IF(TRIM(G168)="-","#N/C",IFERROR(G168,"#N/C")),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_xlpm.fallback,IF(IFERROR(B168,"#N/C")="#N/C",A168,IF(IFERROR(C168,"#N/C")="#N/C",B168,IF(IFERROR(D168,"#N/C")="#N/C",C168,IF(IFERROR(E168,"#N/C")="#N/C",D168,IF(IFERROR(F168,"#N/C")="#N/C",E168,IF(IFERROR(G168,"#N/C")="#N/C",F168,"#N/C")))))), _xlpm.finalResult,IF(OR(_xlpm.computedResult="",_xlpm.computedResult="#N/C"),_xlpm.fallback,_xlpm.computedResult), INDEX(_xlpm.finalResult,1))</f>
        <v>moth</v>
      </c>
      <c r="K168" s="47" t="str">
        <f t="shared" si="2"/>
        <v>Insecta.Lepidoptera.Glossata.Heterocera.Noctuoidea.Noctuidae.Noctuinae.Mythimna.#N/C</v>
      </c>
      <c r="L168" s="46">
        <f>+COUNTIF([1]Monitoring!AN:AN,K168)</f>
        <v>1</v>
      </c>
    </row>
    <row r="169" spans="1:12" x14ac:dyDescent="0.3">
      <c r="A169" s="49" t="s">
        <v>37</v>
      </c>
      <c r="B169" s="49" t="s">
        <v>56</v>
      </c>
      <c r="C169" s="49" t="s">
        <v>57</v>
      </c>
      <c r="D169" s="49" t="str">
        <f>+IFERROR(IF(E169="#N/C","#N/C",INDEX([1]ClassificationClasses!D:D,MATCH(E169,[1]ClassificationClasses!E:E,0))),"ERROR")</f>
        <v>Heterocera</v>
      </c>
      <c r="E169" s="49" t="s">
        <v>698</v>
      </c>
      <c r="F169" s="49" t="s">
        <v>699</v>
      </c>
      <c r="G169" s="49" t="s">
        <v>708</v>
      </c>
      <c r="H169" s="51" t="s">
        <v>709</v>
      </c>
      <c r="I169" s="51" t="s">
        <v>710</v>
      </c>
      <c r="J169" s="69" t="str" cm="1">
        <f t="array" ref="J169">_xlfn.LET(_xlpm.cls,A169, _xlpm.ord,IFERROR(B169,"#N/C"), _xlpm.subord,IFERROR(C169,"#N/C"), _xlpm.infr,IFERROR(D169,"#N/C"), _xlpm.sf,IFERROR(E169,"#N/C"), _xlpm.fam,IFERROR(F169,"#N/C"), _xlpm.subfam,IF(TRIM(G169)="-","#N/C",IFERROR(G169,"#N/C")),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_xlpm.fallback,IF(IFERROR(B169,"#N/C")="#N/C",A169,IF(IFERROR(C169,"#N/C")="#N/C",B169,IF(IFERROR(D169,"#N/C")="#N/C",C169,IF(IFERROR(E169,"#N/C")="#N/C",D169,IF(IFERROR(F169,"#N/C")="#N/C",E169,IF(IFERROR(G169,"#N/C")="#N/C",F169,"#N/C")))))), _xlpm.finalResult,IF(OR(_xlpm.computedResult="",_xlpm.computedResult="#N/C"),_xlpm.fallback,_xlpm.computedResult), INDEX(_xlpm.finalResult,1))</f>
        <v>moth</v>
      </c>
      <c r="K169" s="47" t="str">
        <f t="shared" si="2"/>
        <v>Insecta.Lepidoptera.Glossata.Heterocera.Noctuoidea.Noctuidae.Noctuinae.Xestia.xanthographa</v>
      </c>
      <c r="L169" s="46">
        <f>+COUNTIF([1]Monitoring!AN:AN,K169)</f>
        <v>0</v>
      </c>
    </row>
    <row r="170" spans="1:12" x14ac:dyDescent="0.3">
      <c r="A170" s="49" t="s">
        <v>37</v>
      </c>
      <c r="B170" s="49" t="s">
        <v>56</v>
      </c>
      <c r="C170" s="49" t="s">
        <v>57</v>
      </c>
      <c r="D170" s="49" t="str">
        <f>+IFERROR(IF(E170="#N/C","#N/C",INDEX([1]ClassificationClasses!D:D,MATCH(E170,[1]ClassificationClasses!E:E,0))),"ERROR")</f>
        <v>Heterocera</v>
      </c>
      <c r="E170" s="49" t="s">
        <v>698</v>
      </c>
      <c r="F170" s="49" t="s">
        <v>699</v>
      </c>
      <c r="G170" s="49" t="s">
        <v>700</v>
      </c>
      <c r="H170" s="51" t="s">
        <v>701</v>
      </c>
      <c r="I170" s="51" t="s">
        <v>35</v>
      </c>
      <c r="J170" s="69" t="str" cm="1">
        <f t="array" ref="J170">_xlfn.LET(_xlpm.cls,A170, _xlpm.ord,IFERROR(B170,"#N/C"), _xlpm.subord,IFERROR(C170,"#N/C"), _xlpm.infr,IFERROR(D170,"#N/C"), _xlpm.sf,IFERROR(E170,"#N/C"), _xlpm.fam,IFERROR(F170,"#N/C"), _xlpm.subfam,IF(TRIM(G170)="-","#N/C",IFERROR(G170,"#N/C")),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_xlpm.fallback,IF(IFERROR(B170,"#N/C")="#N/C",A170,IF(IFERROR(C170,"#N/C")="#N/C",B170,IF(IFERROR(D170,"#N/C")="#N/C",C170,IF(IFERROR(E170,"#N/C")="#N/C",D170,IF(IFERROR(F170,"#N/C")="#N/C",E170,IF(IFERROR(G170,"#N/C")="#N/C",F170,"#N/C")))))), _xlpm.finalResult,IF(OR(_xlpm.computedResult="",_xlpm.computedResult="#N/C"),_xlpm.fallback,_xlpm.computedResult), INDEX(_xlpm.finalResult,1))</f>
        <v>moth</v>
      </c>
      <c r="K170" s="47" t="str">
        <f t="shared" si="2"/>
        <v>Insecta.Lepidoptera.Glossata.Heterocera.Noctuoidea.Noctuidae.Plusiinae.Autographa.#N/C</v>
      </c>
      <c r="L170" s="46">
        <f>+COUNTIF([1]Monitoring!AN:AN,K170)</f>
        <v>0</v>
      </c>
    </row>
    <row r="171" spans="1:12" x14ac:dyDescent="0.3">
      <c r="A171" s="48" t="s">
        <v>37</v>
      </c>
      <c r="B171" s="48" t="s">
        <v>56</v>
      </c>
      <c r="C171" s="48" t="s">
        <v>57</v>
      </c>
      <c r="D171" s="49" t="str">
        <f>+IFERROR(IF(E171="#N/C","#N/C",INDEX([1]ClassificationClasses!D:D,MATCH(E171,[1]ClassificationClasses!E:E,0))),"ERROR")</f>
        <v>Heterocera</v>
      </c>
      <c r="E171" s="48" t="s">
        <v>698</v>
      </c>
      <c r="F171" s="48" t="s">
        <v>699</v>
      </c>
      <c r="G171" s="48" t="s">
        <v>700</v>
      </c>
      <c r="H171" s="50" t="s">
        <v>701</v>
      </c>
      <c r="I171" s="50" t="s">
        <v>702</v>
      </c>
      <c r="J171" s="69" t="str" cm="1">
        <f t="array" ref="J171">_xlfn.LET(_xlpm.cls,A171, _xlpm.ord,IFERROR(B171,"#N/C"), _xlpm.subord,IFERROR(C171,"#N/C"), _xlpm.infr,IFERROR(D171,"#N/C"), _xlpm.sf,IFERROR(E171,"#N/C"), _xlpm.fam,IFERROR(F171,"#N/C"), _xlpm.subfam,IF(TRIM(G171)="-","#N/C",IFERROR(G171,"#N/C")),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_xlpm.fallback,IF(IFERROR(B171,"#N/C")="#N/C",A171,IF(IFERROR(C171,"#N/C")="#N/C",B171,IF(IFERROR(D171,"#N/C")="#N/C",C171,IF(IFERROR(E171,"#N/C")="#N/C",D171,IF(IFERROR(F171,"#N/C")="#N/C",E171,IF(IFERROR(G171,"#N/C")="#N/C",F171,"#N/C")))))), _xlpm.finalResult,IF(OR(_xlpm.computedResult="",_xlpm.computedResult="#N/C"),_xlpm.fallback,_xlpm.computedResult), INDEX(_xlpm.finalResult,1))</f>
        <v>moth</v>
      </c>
      <c r="K171" s="47" t="str">
        <f t="shared" si="2"/>
        <v>Insecta.Lepidoptera.Glossata.Heterocera.Noctuoidea.Noctuidae.Plusiinae.Autographa.gamma</v>
      </c>
      <c r="L171" s="46">
        <f>+COUNTIF([1]Monitoring!AN:AN,K171)</f>
        <v>0</v>
      </c>
    </row>
    <row r="172" spans="1:12" x14ac:dyDescent="0.3">
      <c r="A172" s="49" t="s">
        <v>37</v>
      </c>
      <c r="B172" s="49" t="s">
        <v>56</v>
      </c>
      <c r="C172" s="49" t="s">
        <v>57</v>
      </c>
      <c r="D172" s="49" t="str">
        <f>+IFERROR(IF(E172="#N/C","#N/C",INDEX([1]ClassificationClasses!D:D,MATCH(E172,[1]ClassificationClasses!E:E,0))),"ERROR")</f>
        <v>Rhopalocera</v>
      </c>
      <c r="E172" s="49" t="s">
        <v>58</v>
      </c>
      <c r="F172" s="49" t="s">
        <v>35</v>
      </c>
      <c r="G172" s="49" t="s">
        <v>35</v>
      </c>
      <c r="H172" s="51" t="s">
        <v>35</v>
      </c>
      <c r="I172" s="51" t="s">
        <v>35</v>
      </c>
      <c r="J172" s="69" t="str" cm="1">
        <f t="array" ref="J172">_xlfn.LET(_xlpm.cls,A172, _xlpm.ord,IFERROR(B172,"#N/C"), _xlpm.subord,IFERROR(C172,"#N/C"), _xlpm.infr,IFERROR(D172,"#N/C"), _xlpm.sf,IFERROR(E172,"#N/C"), _xlpm.fam,IFERROR(F172,"#N/C"), _xlpm.subfam,IF(TRIM(G172)="-","#N/C",IFERROR(G172,"#N/C")),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_xlpm.fallback,IF(IFERROR(B172,"#N/C")="#N/C",A172,IF(IFERROR(C172,"#N/C")="#N/C",B172,IF(IFERROR(D172,"#N/C")="#N/C",C172,IF(IFERROR(E172,"#N/C")="#N/C",D172,IF(IFERROR(F172,"#N/C")="#N/C",E172,IF(IFERROR(G172,"#N/C")="#N/C",F172,"#N/C")))))), _xlpm.finalResult,IF(OR(_xlpm.computedResult="",_xlpm.computedResult="#N/C"),_xlpm.fallback,_xlpm.computedResult), INDEX(_xlpm.finalResult,1))</f>
        <v>Papilionoidea</v>
      </c>
      <c r="K172" s="47" t="str">
        <f t="shared" si="2"/>
        <v>Insecta.Lepidoptera.Glossata.Rhopalocera.Papilionoidea.#N/C.#N/C.#N/C.#N/C</v>
      </c>
      <c r="L172" s="46">
        <f>+COUNTIF([1]Monitoring!AN:AN,K172)</f>
        <v>0</v>
      </c>
    </row>
    <row r="173" spans="1:12" x14ac:dyDescent="0.3">
      <c r="A173" s="49" t="s">
        <v>37</v>
      </c>
      <c r="B173" s="49" t="s">
        <v>56</v>
      </c>
      <c r="C173" s="49" t="s">
        <v>57</v>
      </c>
      <c r="D173" s="49" t="str">
        <f>+IFERROR(IF(E173="#N/C","#N/C",INDEX([1]ClassificationClasses!D:D,MATCH(E173,[1]ClassificationClasses!E:E,0))),"ERROR")</f>
        <v>Rhopalocera</v>
      </c>
      <c r="E173" s="49" t="s">
        <v>58</v>
      </c>
      <c r="F173" s="49" t="s">
        <v>59</v>
      </c>
      <c r="G173" s="49" t="s">
        <v>60</v>
      </c>
      <c r="H173" s="51" t="s">
        <v>61</v>
      </c>
      <c r="I173" s="51" t="s">
        <v>35</v>
      </c>
      <c r="J173" s="69" t="str" cm="1">
        <f t="array" ref="J173">_xlfn.LET(_xlpm.cls,A173, _xlpm.ord,IFERROR(B173,"#N/C"), _xlpm.subord,IFERROR(C173,"#N/C"), _xlpm.infr,IFERROR(D173,"#N/C"), _xlpm.sf,IFERROR(E173,"#N/C"), _xlpm.fam,IFERROR(F173,"#N/C"), _xlpm.subfam,IF(TRIM(G173)="-","#N/C",IFERROR(G173,"#N/C")),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_xlpm.fallback,IF(IFERROR(B173,"#N/C")="#N/C",A173,IF(IFERROR(C173,"#N/C")="#N/C",B173,IF(IFERROR(D173,"#N/C")="#N/C",C173,IF(IFERROR(E173,"#N/C")="#N/C",D173,IF(IFERROR(F173,"#N/C")="#N/C",E173,IF(IFERROR(G173,"#N/C")="#N/C",F173,"#N/C")))))), _xlpm.finalResult,IF(OR(_xlpm.computedResult="",_xlpm.computedResult="#N/C"),_xlpm.fallback,_xlpm.computedResult), INDEX(_xlpm.finalResult,1))</f>
        <v>butterfly</v>
      </c>
      <c r="K173" s="47" t="str">
        <f t="shared" si="2"/>
        <v>Insecta.Lepidoptera.Glossata.Rhopalocera.Papilionoidea.Hesperiidae.Hesperiinae.Thymelicus.#N/C</v>
      </c>
      <c r="L173" s="46">
        <f>+COUNTIF([1]Monitoring!AN:AN,K173)</f>
        <v>0</v>
      </c>
    </row>
    <row r="174" spans="1:12" x14ac:dyDescent="0.3">
      <c r="A174" s="49" t="s">
        <v>37</v>
      </c>
      <c r="B174" s="49" t="s">
        <v>56</v>
      </c>
      <c r="C174" s="49" t="s">
        <v>57</v>
      </c>
      <c r="D174" s="49" t="str">
        <f>+IFERROR(IF(E174="#N/C","#N/C",INDEX([1]ClassificationClasses!D:D,MATCH(E174,[1]ClassificationClasses!E:E,0))),"ERROR")</f>
        <v>Heterocera</v>
      </c>
      <c r="E174" s="49" t="s">
        <v>243</v>
      </c>
      <c r="F174" s="49" t="s">
        <v>265</v>
      </c>
      <c r="G174" s="49" t="s">
        <v>266</v>
      </c>
      <c r="H174" s="51" t="s">
        <v>35</v>
      </c>
      <c r="I174" s="51" t="s">
        <v>35</v>
      </c>
      <c r="J174" s="69" t="str" cm="1">
        <f t="array" ref="J174">_xlfn.LET(_xlpm.cls,A174, _xlpm.ord,IFERROR(B174,"#N/C"), _xlpm.subord,IFERROR(C174,"#N/C"), _xlpm.infr,IFERROR(D174,"#N/C"), _xlpm.sf,IFERROR(E174,"#N/C"), _xlpm.fam,IFERROR(F174,"#N/C"), _xlpm.subfam,IF(TRIM(G174)="-","#N/C",IFERROR(G174,"#N/C")),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_xlpm.fallback,IF(IFERROR(B174,"#N/C")="#N/C",A174,IF(IFERROR(C174,"#N/C")="#N/C",B174,IF(IFERROR(D174,"#N/C")="#N/C",C174,IF(IFERROR(E174,"#N/C")="#N/C",D174,IF(IFERROR(F174,"#N/C")="#N/C",E174,IF(IFERROR(G174,"#N/C")="#N/C",F174,"#N/C")))))), _xlpm.finalResult,IF(OR(_xlpm.computedResult="",_xlpm.computedResult="#N/C"),_xlpm.fallback,_xlpm.computedResult), INDEX(_xlpm.finalResult,1))</f>
        <v>moth</v>
      </c>
      <c r="K174" s="47" t="str">
        <f t="shared" si="2"/>
        <v>Insecta.Lepidoptera.Glossata.Heterocera.Pyraloidea.Crambidae.Crambinae.#N/C.#N/C</v>
      </c>
      <c r="L174" s="46">
        <f>+COUNTIF([1]Monitoring!AN:AN,K174)</f>
        <v>0</v>
      </c>
    </row>
    <row r="175" spans="1:12" x14ac:dyDescent="0.3">
      <c r="A175" s="49" t="s">
        <v>37</v>
      </c>
      <c r="B175" s="49" t="s">
        <v>56</v>
      </c>
      <c r="C175" s="49" t="s">
        <v>57</v>
      </c>
      <c r="D175" s="49" t="str">
        <f>+IFERROR(IF(E175="#N/C","#N/C",INDEX([1]ClassificationClasses!D:D,MATCH(E175,[1]ClassificationClasses!E:E,0))),"ERROR")</f>
        <v>Heterocera</v>
      </c>
      <c r="E175" s="49" t="s">
        <v>243</v>
      </c>
      <c r="F175" s="49" t="s">
        <v>244</v>
      </c>
      <c r="G175" s="49" t="s">
        <v>245</v>
      </c>
      <c r="H175" s="51" t="s">
        <v>246</v>
      </c>
      <c r="I175" s="51" t="s">
        <v>35</v>
      </c>
      <c r="J175" s="69" t="str" cm="1">
        <f t="array" ref="J175">_xlfn.LET(_xlpm.cls,A175, _xlpm.ord,IFERROR(B175,"#N/C"), _xlpm.subord,IFERROR(C175,"#N/C"), _xlpm.infr,IFERROR(D175,"#N/C"), _xlpm.sf,IFERROR(E175,"#N/C"), _xlpm.fam,IFERROR(F175,"#N/C"), _xlpm.subfam,IF(TRIM(G175)="-","#N/C",IFERROR(G175,"#N/C")),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_xlpm.fallback,IF(IFERROR(B175,"#N/C")="#N/C",A175,IF(IFERROR(C175,"#N/C")="#N/C",B175,IF(IFERROR(D175,"#N/C")="#N/C",C175,IF(IFERROR(E175,"#N/C")="#N/C",D175,IF(IFERROR(F175,"#N/C")="#N/C",E175,IF(IFERROR(G175,"#N/C")="#N/C",F175,"#N/C")))))), _xlpm.finalResult,IF(OR(_xlpm.computedResult="",_xlpm.computedResult="#N/C"),_xlpm.fallback,_xlpm.computedResult), INDEX(_xlpm.finalResult,1))</f>
        <v>moth</v>
      </c>
      <c r="K175" s="47" t="str">
        <f t="shared" si="2"/>
        <v>Insecta.Lepidoptera.Glossata.Heterocera.Pyraloidea.Pyralidae.Phycitinae.Ephestia.#N/C</v>
      </c>
      <c r="L175" s="46">
        <f>+COUNTIF([1]Monitoring!AN:AN,K175)</f>
        <v>0</v>
      </c>
    </row>
    <row r="176" spans="1:12" x14ac:dyDescent="0.3">
      <c r="A176" s="49" t="s">
        <v>37</v>
      </c>
      <c r="B176" s="49" t="s">
        <v>56</v>
      </c>
      <c r="C176" s="49" t="s">
        <v>57</v>
      </c>
      <c r="D176" s="49" t="str">
        <f>+IFERROR(IF(E176="#N/C","#N/C",INDEX([1]ClassificationClasses!D:D,MATCH(E176,[1]ClassificationClasses!E:E,0))),"ERROR")</f>
        <v>Heterocera</v>
      </c>
      <c r="E176" s="49" t="s">
        <v>243</v>
      </c>
      <c r="F176" s="49" t="s">
        <v>244</v>
      </c>
      <c r="G176" s="49" t="s">
        <v>260</v>
      </c>
      <c r="H176" s="51" t="s">
        <v>261</v>
      </c>
      <c r="I176" s="51" t="s">
        <v>35</v>
      </c>
      <c r="J176" s="69" t="str" cm="1">
        <f t="array" ref="J176">_xlfn.LET(_xlpm.cls,A176, _xlpm.ord,IFERROR(B176,"#N/C"), _xlpm.subord,IFERROR(C176,"#N/C"), _xlpm.infr,IFERROR(D176,"#N/C"), _xlpm.sf,IFERROR(E176,"#N/C"), _xlpm.fam,IFERROR(F176,"#N/C"), _xlpm.subfam,IF(TRIM(G176)="-","#N/C",IFERROR(G176,"#N/C")),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_xlpm.fallback,IF(IFERROR(B176,"#N/C")="#N/C",A176,IF(IFERROR(C176,"#N/C")="#N/C",B176,IF(IFERROR(D176,"#N/C")="#N/C",C176,IF(IFERROR(E176,"#N/C")="#N/C",D176,IF(IFERROR(F176,"#N/C")="#N/C",E176,IF(IFERROR(G176,"#N/C")="#N/C",F176,"#N/C")))))), _xlpm.finalResult,IF(OR(_xlpm.computedResult="",_xlpm.computedResult="#N/C"),_xlpm.fallback,_xlpm.computedResult), INDEX(_xlpm.finalResult,1))</f>
        <v>moth</v>
      </c>
      <c r="K176" s="47" t="str">
        <f t="shared" si="2"/>
        <v>Insecta.Lepidoptera.Glossata.Heterocera.Pyraloidea.Pyralidae.Pyralinae.Endotricha.#N/C</v>
      </c>
      <c r="L176" s="46">
        <f>+COUNTIF([1]Monitoring!AN:AN,K176)</f>
        <v>0</v>
      </c>
    </row>
    <row r="177" spans="1:12" x14ac:dyDescent="0.3">
      <c r="A177" s="49" t="s">
        <v>37</v>
      </c>
      <c r="B177" s="49" t="s">
        <v>56</v>
      </c>
      <c r="C177" s="49" t="s">
        <v>57</v>
      </c>
      <c r="D177" s="49" t="str">
        <f>+IFERROR(IF(E177="#N/C","#N/C",INDEX([1]ClassificationClasses!D:D,MATCH(E177,[1]ClassificationClasses!E:E,0))),"ERROR")</f>
        <v>Heterocera</v>
      </c>
      <c r="E177" s="49" t="s">
        <v>243</v>
      </c>
      <c r="F177" s="49" t="s">
        <v>244</v>
      </c>
      <c r="G177" s="49" t="s">
        <v>260</v>
      </c>
      <c r="H177" s="51" t="s">
        <v>446</v>
      </c>
      <c r="I177" s="51" t="s">
        <v>447</v>
      </c>
      <c r="J177" s="69" t="str" cm="1">
        <f t="array" ref="J177">_xlfn.LET(_xlpm.cls,A177, _xlpm.ord,IFERROR(B177,"#N/C"), _xlpm.subord,IFERROR(C177,"#N/C"), _xlpm.infr,IFERROR(D177,"#N/C"), _xlpm.sf,IFERROR(E177,"#N/C"), _xlpm.fam,IFERROR(F177,"#N/C"), _xlpm.subfam,IF(TRIM(G177)="-","#N/C",IFERROR(G177,"#N/C")),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_xlpm.fallback,IF(IFERROR(B177,"#N/C")="#N/C",A177,IF(IFERROR(C177,"#N/C")="#N/C",B177,IF(IFERROR(D177,"#N/C")="#N/C",C177,IF(IFERROR(E177,"#N/C")="#N/C",D177,IF(IFERROR(F177,"#N/C")="#N/C",E177,IF(IFERROR(G177,"#N/C")="#N/C",F177,"#N/C")))))), _xlpm.finalResult,IF(OR(_xlpm.computedResult="",_xlpm.computedResult="#N/C"),_xlpm.fallback,_xlpm.computedResult), INDEX(_xlpm.finalResult,1))</f>
        <v>moth</v>
      </c>
      <c r="K177" s="47" t="str">
        <f t="shared" si="2"/>
        <v>Insecta.Lepidoptera.Glossata.Heterocera.Pyraloidea.Pyralidae.Pyralinae.Synaphe.punctalis</v>
      </c>
      <c r="L177" s="46">
        <f>+COUNTIF([1]Monitoring!AN:AN,K177)</f>
        <v>0</v>
      </c>
    </row>
    <row r="178" spans="1:12" x14ac:dyDescent="0.3">
      <c r="A178" s="48" t="s">
        <v>37</v>
      </c>
      <c r="B178" s="48" t="s">
        <v>56</v>
      </c>
      <c r="C178" s="48" t="s">
        <v>57</v>
      </c>
      <c r="D178" s="49" t="str">
        <f>+IFERROR(IF(E178="#N/C","#N/C",INDEX([1]ClassificationClasses!D:D,MATCH(E178,[1]ClassificationClasses!E:E,0))),"ERROR")</f>
        <v>Heterocera</v>
      </c>
      <c r="E178" s="48" t="s">
        <v>836</v>
      </c>
      <c r="F178" s="48" t="s">
        <v>837</v>
      </c>
      <c r="G178" s="48" t="s">
        <v>838</v>
      </c>
      <c r="H178" s="50" t="s">
        <v>839</v>
      </c>
      <c r="I178" s="50" t="s">
        <v>35</v>
      </c>
      <c r="J178" s="69" t="str" cm="1">
        <f t="array" ref="J178">_xlfn.LET(_xlpm.cls,A178, _xlpm.ord,IFERROR(B178,"#N/C"), _xlpm.subord,IFERROR(C178,"#N/C"), _xlpm.infr,IFERROR(D178,"#N/C"), _xlpm.sf,IFERROR(E178,"#N/C"), _xlpm.fam,IFERROR(F178,"#N/C"), _xlpm.subfam,IF(TRIM(G178)="-","#N/C",IFERROR(G178,"#N/C")),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_xlpm.fallback,IF(IFERROR(B178,"#N/C")="#N/C",A178,IF(IFERROR(C178,"#N/C")="#N/C",B178,IF(IFERROR(D178,"#N/C")="#N/C",C178,IF(IFERROR(E178,"#N/C")="#N/C",D178,IF(IFERROR(F178,"#N/C")="#N/C",E178,IF(IFERROR(G178,"#N/C")="#N/C",F178,"#N/C")))))), _xlpm.finalResult,IF(OR(_xlpm.computedResult="",_xlpm.computedResult="#N/C"),_xlpm.fallback,_xlpm.computedResult), INDEX(_xlpm.finalResult,1))</f>
        <v>moth_small</v>
      </c>
      <c r="K178" s="47" t="str">
        <f t="shared" si="2"/>
        <v>Insecta.Lepidoptera.Glossata.Heterocera.Tineoidea.Tineidae.	Nemapogoninae.Nemapogon.#N/C</v>
      </c>
      <c r="L178" s="46">
        <f>+COUNTIF([1]Monitoring!AN:AN,K178)</f>
        <v>0</v>
      </c>
    </row>
    <row r="179" spans="1:12" x14ac:dyDescent="0.3">
      <c r="A179" s="48" t="s">
        <v>37</v>
      </c>
      <c r="B179" s="48" t="s">
        <v>56</v>
      </c>
      <c r="C179" s="48" t="s">
        <v>57</v>
      </c>
      <c r="D179" s="49" t="str">
        <f>+IFERROR(IF(E179="#N/C","#N/C",INDEX([1]ClassificationClasses!D:D,MATCH(E179,[1]ClassificationClasses!E:E,0))),"ERROR")</f>
        <v>Heterocera</v>
      </c>
      <c r="E179" s="48" t="s">
        <v>840</v>
      </c>
      <c r="F179" s="48" t="s">
        <v>841</v>
      </c>
      <c r="G179" s="48" t="s">
        <v>842</v>
      </c>
      <c r="H179" s="50" t="s">
        <v>843</v>
      </c>
      <c r="I179" s="50" t="s">
        <v>844</v>
      </c>
      <c r="J179" s="69" t="str" cm="1">
        <f t="array" ref="J179">_xlfn.LET(_xlpm.cls,A179, _xlpm.ord,IFERROR(B179,"#N/C"), _xlpm.subord,IFERROR(C179,"#N/C"), _xlpm.infr,IFERROR(D179,"#N/C"), _xlpm.sf,IFERROR(E179,"#N/C"), _xlpm.fam,IFERROR(F179,"#N/C"), _xlpm.subfam,IF(TRIM(G179)="-","#N/C",IFERROR(G179,"#N/C")),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_xlpm.fallback,IF(IFERROR(B179,"#N/C")="#N/C",A179,IF(IFERROR(C179,"#N/C")="#N/C",B179,IF(IFERROR(D179,"#N/C")="#N/C",C179,IF(IFERROR(E179,"#N/C")="#N/C",D179,IF(IFERROR(F179,"#N/C")="#N/C",E179,IF(IFERROR(G179,"#N/C")="#N/C",F179,"#N/C")))))), _xlpm.finalResult,IF(OR(_xlpm.computedResult="",_xlpm.computedResult="#N/C"),_xlpm.fallback,_xlpm.computedResult), INDEX(_xlpm.finalResult,1))</f>
        <v>moth_small</v>
      </c>
      <c r="K179" s="47" t="str">
        <f t="shared" si="2"/>
        <v>Insecta.Lepidoptera.Glossata.Heterocera.Yponomeutoidea.Plutellidae.Plutellinae.Plutella.xylostella</v>
      </c>
      <c r="L179" s="46">
        <f>+COUNTIF([1]Monitoring!AN:AN,K179)</f>
        <v>0</v>
      </c>
    </row>
    <row r="180" spans="1:12" x14ac:dyDescent="0.3">
      <c r="A180" s="48" t="s">
        <v>37</v>
      </c>
      <c r="B180" s="48" t="s">
        <v>56</v>
      </c>
      <c r="C180" s="48" t="s">
        <v>57</v>
      </c>
      <c r="D180" s="49" t="str">
        <f>+IFERROR(IF(E180="#N/C","#N/C",INDEX([1]ClassificationClasses!D:D,MATCH(E180,[1]ClassificationClasses!E:E,0))),"ERROR")</f>
        <v>Rhopalocera</v>
      </c>
      <c r="E180" s="48" t="s">
        <v>216</v>
      </c>
      <c r="F180" s="48" t="s">
        <v>217</v>
      </c>
      <c r="G180" s="48" t="s">
        <v>218</v>
      </c>
      <c r="H180" s="50" t="s">
        <v>35</v>
      </c>
      <c r="I180" s="50" t="s">
        <v>35</v>
      </c>
      <c r="J180" s="69" t="str" cm="1">
        <f t="array" ref="J180">_xlfn.LET(_xlpm.cls,A180, _xlpm.ord,IFERROR(B180,"#N/C"), _xlpm.subord,IFERROR(C180,"#N/C"), _xlpm.infr,IFERROR(D180,"#N/C"), _xlpm.sf,IFERROR(E180,"#N/C"), _xlpm.fam,IFERROR(F180,"#N/C"), _xlpm.subfam,IF(TRIM(G180)="-","#N/C",IFERROR(G180,"#N/C")),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_xlpm.fallback,IF(IFERROR(B180,"#N/C")="#N/C",A180,IF(IFERROR(C180,"#N/C")="#N/C",B180,IF(IFERROR(D180,"#N/C")="#N/C",C180,IF(IFERROR(E180,"#N/C")="#N/C",D180,IF(IFERROR(F180,"#N/C")="#N/C",E180,IF(IFERROR(G180,"#N/C")="#N/C",F180,"#N/C")))))), _xlpm.finalResult,IF(OR(_xlpm.computedResult="",_xlpm.computedResult="#N/C"),_xlpm.fallback,_xlpm.computedResult), INDEX(_xlpm.finalResult,1))</f>
        <v>butterfly</v>
      </c>
      <c r="K180" s="47" t="str">
        <f t="shared" si="2"/>
        <v>Insecta.Lepidoptera.Glossata.Rhopalocera.Zygaenoidea.Zygaenidae.Procridinae.#N/C.#N/C</v>
      </c>
      <c r="L180" s="46">
        <f>+COUNTIF([1]Monitoring!AN:AN,K180)</f>
        <v>0</v>
      </c>
    </row>
    <row r="181" spans="1:12" x14ac:dyDescent="0.3">
      <c r="A181" s="48" t="s">
        <v>37</v>
      </c>
      <c r="B181" s="48" t="s">
        <v>110</v>
      </c>
      <c r="D181" s="49"/>
      <c r="E181" s="48" t="s">
        <v>111</v>
      </c>
      <c r="F181" s="48" t="s">
        <v>112</v>
      </c>
      <c r="H181" s="50" t="s">
        <v>113</v>
      </c>
      <c r="I181" s="50" t="s">
        <v>35</v>
      </c>
      <c r="J181" s="69" t="str" cm="1">
        <f t="array" ref="J181">_xlfn.LET(_xlpm.cls,A181, _xlpm.ord,IFERROR(B181,"#N/C"), _xlpm.subord,IFERROR(C181,"#N/C"), _xlpm.infr,IFERROR(D181,"#N/C"), _xlpm.sf,IFERROR(E181,"#N/C"), _xlpm.fam,IFERROR(F181,"#N/C"), _xlpm.subfam,IF(TRIM(G181)="-","#N/C",IFERROR(G181,"#N/C")),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_xlpm.fallback,IF(IFERROR(B181,"#N/C")="#N/C",A181,IF(IFERROR(C181,"#N/C")="#N/C",B181,IF(IFERROR(D181,"#N/C")="#N/C",C181,IF(IFERROR(E181,"#N/C")="#N/C",D181,IF(IFERROR(F181,"#N/C")="#N/C",E181,IF(IFERROR(G181,"#N/C")="#N/C",F181,"#N/C")))))), _xlpm.finalResult,IF(OR(_xlpm.computedResult="",_xlpm.computedResult="#N/C"),_xlpm.fallback,_xlpm.computedResult), INDEX(_xlpm.finalResult,1))</f>
        <v>scorpion_fly</v>
      </c>
      <c r="K181" s="47" t="str">
        <f t="shared" si="2"/>
        <v>Insecta.Mecoptera...Panorpoidea.Panorpidae..Panorpa.#N/C</v>
      </c>
      <c r="L181" s="46">
        <f>+COUNTIF([1]Monitoring!AN:AN,K181)</f>
        <v>0</v>
      </c>
    </row>
    <row r="182" spans="1:12" x14ac:dyDescent="0.3">
      <c r="A182" s="48" t="s">
        <v>37</v>
      </c>
      <c r="B182" s="48" t="s">
        <v>110</v>
      </c>
      <c r="D182" s="49"/>
      <c r="E182" s="48" t="s">
        <v>111</v>
      </c>
      <c r="F182" s="48" t="s">
        <v>112</v>
      </c>
      <c r="H182" s="50" t="s">
        <v>113</v>
      </c>
      <c r="I182" s="50" t="s">
        <v>353</v>
      </c>
      <c r="J182" s="69" t="str" cm="1">
        <f t="array" ref="J182">_xlfn.LET(_xlpm.cls,A182, _xlpm.ord,IFERROR(B182,"#N/C"), _xlpm.subord,IFERROR(C182,"#N/C"), _xlpm.infr,IFERROR(D182,"#N/C"), _xlpm.sf,IFERROR(E182,"#N/C"), _xlpm.fam,IFERROR(F182,"#N/C"), _xlpm.subfam,IF(TRIM(G182)="-","#N/C",IFERROR(G182,"#N/C")),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_xlpm.fallback,IF(IFERROR(B182,"#N/C")="#N/C",A182,IF(IFERROR(C182,"#N/C")="#N/C",B182,IF(IFERROR(D182,"#N/C")="#N/C",C182,IF(IFERROR(E182,"#N/C")="#N/C",D182,IF(IFERROR(F182,"#N/C")="#N/C",E182,IF(IFERROR(G182,"#N/C")="#N/C",F182,"#N/C")))))), _xlpm.finalResult,IF(OR(_xlpm.computedResult="",_xlpm.computedResult="#N/C"),_xlpm.fallback,_xlpm.computedResult), INDEX(_xlpm.finalResult,1))</f>
        <v>scorpion_fly</v>
      </c>
      <c r="K182" s="47" t="str">
        <f t="shared" si="2"/>
        <v>Insecta.Mecoptera...Panorpoidea.Panorpidae..Panorpa.vulgaris</v>
      </c>
      <c r="L182" s="46">
        <f>+COUNTIF([1]Monitoring!AN:AN,K182)</f>
        <v>0</v>
      </c>
    </row>
    <row r="183" spans="1:12" x14ac:dyDescent="0.3">
      <c r="A183" s="48" t="s">
        <v>37</v>
      </c>
      <c r="B183" s="48" t="s">
        <v>360</v>
      </c>
      <c r="C183" s="48" t="s">
        <v>361</v>
      </c>
      <c r="D183" s="49"/>
      <c r="E183" s="48" t="s">
        <v>362</v>
      </c>
      <c r="F183" s="48" t="s">
        <v>363</v>
      </c>
      <c r="G183" s="48" t="s">
        <v>364</v>
      </c>
      <c r="H183" s="50" t="s">
        <v>365</v>
      </c>
      <c r="I183" s="50" t="s">
        <v>35</v>
      </c>
      <c r="J183" s="69" t="str" cm="1">
        <f t="array" ref="J183">_xlfn.LET(_xlpm.cls,A183, _xlpm.ord,IFERROR(B183,"#N/C"), _xlpm.subord,IFERROR(C183,"#N/C"), _xlpm.infr,IFERROR(D183,"#N/C"), _xlpm.sf,IFERROR(E183,"#N/C"), _xlpm.fam,IFERROR(F183,"#N/C"), _xlpm.subfam,IF(TRIM(G183)="-","#N/C",IFERROR(G183,"#N/C")),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_xlpm.fallback,IF(IFERROR(B183,"#N/C")="#N/C",A183,IF(IFERROR(C183,"#N/C")="#N/C",B183,IF(IFERROR(D183,"#N/C")="#N/C",C183,IF(IFERROR(E183,"#N/C")="#N/C",D183,IF(IFERROR(F183,"#N/C")="#N/C",E183,IF(IFERROR(G183,"#N/C")="#N/C",F183,"#N/C")))))), _xlpm.finalResult,IF(OR(_xlpm.computedResult="",_xlpm.computedResult="#N/C"),_xlpm.fallback,_xlpm.computedResult), INDEX(_xlpm.finalResult,1))</f>
        <v>lacewing</v>
      </c>
      <c r="K183" s="47" t="str">
        <f t="shared" si="2"/>
        <v>Insecta.Neuroptera.Hemerobiiformia..Hemerobioidea.Chrysopidae.Chrysopinae.Chrysoperla.#N/C</v>
      </c>
      <c r="L183" s="46">
        <f>+COUNTIF([1]Monitoring!AN:AN,K183)</f>
        <v>0</v>
      </c>
    </row>
    <row r="184" spans="1:12" x14ac:dyDescent="0.3">
      <c r="A184" s="48" t="s">
        <v>37</v>
      </c>
      <c r="B184" s="48" t="s">
        <v>360</v>
      </c>
      <c r="C184" s="48" t="s">
        <v>361</v>
      </c>
      <c r="D184" s="49"/>
      <c r="E184" s="48" t="s">
        <v>362</v>
      </c>
      <c r="F184" s="48" t="s">
        <v>363</v>
      </c>
      <c r="G184" s="48" t="s">
        <v>364</v>
      </c>
      <c r="H184" s="50" t="s">
        <v>365</v>
      </c>
      <c r="I184" s="50" t="s">
        <v>366</v>
      </c>
      <c r="J184" s="69" t="str" cm="1">
        <f t="array" ref="J184">_xlfn.LET(_xlpm.cls,A184, _xlpm.ord,IFERROR(B184,"#N/C"), _xlpm.subord,IFERROR(C184,"#N/C"), _xlpm.infr,IFERROR(D184,"#N/C"), _xlpm.sf,IFERROR(E184,"#N/C"), _xlpm.fam,IFERROR(F184,"#N/C"), _xlpm.subfam,IF(TRIM(G184)="-","#N/C",IFERROR(G184,"#N/C")),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_xlpm.fallback,IF(IFERROR(B184,"#N/C")="#N/C",A184,IF(IFERROR(C184,"#N/C")="#N/C",B184,IF(IFERROR(D184,"#N/C")="#N/C",C184,IF(IFERROR(E184,"#N/C")="#N/C",D184,IF(IFERROR(F184,"#N/C")="#N/C",E184,IF(IFERROR(G184,"#N/C")="#N/C",F184,"#N/C")))))), _xlpm.finalResult,IF(OR(_xlpm.computedResult="",_xlpm.computedResult="#N/C"),_xlpm.fallback,_xlpm.computedResult), INDEX(_xlpm.finalResult,1))</f>
        <v>lacewing</v>
      </c>
      <c r="K184" s="47" t="str">
        <f t="shared" si="2"/>
        <v>Insecta.Neuroptera.Hemerobiiformia..Hemerobioidea.Chrysopidae.Chrysopinae.Chrysoperla.carnea</v>
      </c>
      <c r="L184" s="46">
        <f>+COUNTIF([1]Monitoring!AN:AN,K184)</f>
        <v>0</v>
      </c>
    </row>
    <row r="185" spans="1:12" x14ac:dyDescent="0.3">
      <c r="A185" s="48" t="s">
        <v>37</v>
      </c>
      <c r="B185" s="48" t="s">
        <v>360</v>
      </c>
      <c r="C185" s="48" t="s">
        <v>361</v>
      </c>
      <c r="D185" s="49"/>
      <c r="E185" s="48" t="s">
        <v>362</v>
      </c>
      <c r="F185" s="48" t="s">
        <v>634</v>
      </c>
      <c r="G185" s="48" t="s">
        <v>635</v>
      </c>
      <c r="H185" s="50" t="s">
        <v>636</v>
      </c>
      <c r="I185" s="50" t="s">
        <v>637</v>
      </c>
      <c r="J185" s="69" t="str" cm="1">
        <f t="array" ref="J185">_xlfn.LET(_xlpm.cls,A185, _xlpm.ord,IFERROR(B185,"#N/C"), _xlpm.subord,IFERROR(C185,"#N/C"), _xlpm.infr,IFERROR(D185,"#N/C"), _xlpm.sf,IFERROR(E185,"#N/C"), _xlpm.fam,IFERROR(F185,"#N/C"), _xlpm.subfam,IF(TRIM(G185)="-","#N/C",IFERROR(G185,"#N/C")),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_xlpm.fallback,IF(IFERROR(B185,"#N/C")="#N/C",A185,IF(IFERROR(C185,"#N/C")="#N/C",B185,IF(IFERROR(D185,"#N/C")="#N/C",C185,IF(IFERROR(E185,"#N/C")="#N/C",D185,IF(IFERROR(F185,"#N/C")="#N/C",E185,IF(IFERROR(G185,"#N/C")="#N/C",F185,"#N/C")))))), _xlpm.finalResult,IF(OR(_xlpm.computedResult="",_xlpm.computedResult="#N/C"),_xlpm.fallback,_xlpm.computedResult), INDEX(_xlpm.finalResult,1))</f>
        <v>lacewing</v>
      </c>
      <c r="K185" s="47" t="str">
        <f t="shared" si="2"/>
        <v>Insecta.Neuroptera.Hemerobiiformia..Hemerobioidea.Hemerobiidae.Microminae.Micromus.angulatus</v>
      </c>
      <c r="L185" s="46">
        <f>+COUNTIF([1]Monitoring!AN:AN,K185)</f>
        <v>0</v>
      </c>
    </row>
    <row r="186" spans="1:12" x14ac:dyDescent="0.3">
      <c r="A186" s="48" t="s">
        <v>37</v>
      </c>
      <c r="B186" s="48" t="s">
        <v>123</v>
      </c>
      <c r="C186" s="48" t="s">
        <v>124</v>
      </c>
      <c r="D186" s="49" t="s">
        <v>845</v>
      </c>
      <c r="E186" s="48" t="s">
        <v>125</v>
      </c>
      <c r="F186" s="48" t="s">
        <v>126</v>
      </c>
      <c r="G186" s="48" t="s">
        <v>35</v>
      </c>
      <c r="H186" s="50" t="s">
        <v>35</v>
      </c>
      <c r="I186" s="50" t="s">
        <v>35</v>
      </c>
      <c r="J186" s="69" t="str" cm="1">
        <f t="array" ref="J186">_xlfn.LET(_xlpm.cls,A186, _xlpm.ord,IFERROR(B186,"#N/C"), _xlpm.subord,IFERROR(C186,"#N/C"), _xlpm.infr,IFERROR(D186,"#N/C"), _xlpm.sf,IFERROR(E186,"#N/C"), _xlpm.fam,IFERROR(F186,"#N/C"), _xlpm.subfam,IF(TRIM(G186)="-","#N/C",IFERROR(G186,"#N/C")),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_xlpm.fallback,IF(IFERROR(B186,"#N/C")="#N/C",A186,IF(IFERROR(C186,"#N/C")="#N/C",B186,IF(IFERROR(D186,"#N/C")="#N/C",C186,IF(IFERROR(E186,"#N/C")="#N/C",D186,IF(IFERROR(F186,"#N/C")="#N/C",E186,IF(IFERROR(G186,"#N/C")="#N/C",F186,"#N/C")))))), _xlpm.finalResult,IF(OR(_xlpm.computedResult="",_xlpm.computedResult="#N/C"),_xlpm.fallback,_xlpm.computedResult), INDEX(_xlpm.finalResult,1))</f>
        <v>grasshopper</v>
      </c>
      <c r="K186" s="47" t="str">
        <f t="shared" si="2"/>
        <v>Insecta.Orthoptera.Caelifera.Acrididea.Acridoidea.Acrididae.#N/C.#N/C.#N/C</v>
      </c>
      <c r="L186" s="46">
        <f>+COUNTIF([1]Monitoring!AN:AN,K186)</f>
        <v>0</v>
      </c>
    </row>
    <row r="187" spans="1:12" x14ac:dyDescent="0.3">
      <c r="A187" s="48" t="s">
        <v>37</v>
      </c>
      <c r="B187" s="48" t="s">
        <v>123</v>
      </c>
      <c r="C187" s="48" t="s">
        <v>124</v>
      </c>
      <c r="D187" s="49" t="s">
        <v>845</v>
      </c>
      <c r="E187" s="48" t="s">
        <v>125</v>
      </c>
      <c r="F187" s="48" t="s">
        <v>126</v>
      </c>
      <c r="G187" s="48" t="s">
        <v>173</v>
      </c>
      <c r="H187" s="50" t="s">
        <v>35</v>
      </c>
      <c r="I187" s="50" t="s">
        <v>35</v>
      </c>
      <c r="J187" s="69" t="str" cm="1">
        <f t="array" ref="J187">_xlfn.LET(_xlpm.cls,A187, _xlpm.ord,IFERROR(B187,"#N/C"), _xlpm.subord,IFERROR(C187,"#N/C"), _xlpm.infr,IFERROR(D187,"#N/C"), _xlpm.sf,IFERROR(E187,"#N/C"), _xlpm.fam,IFERROR(F187,"#N/C"), _xlpm.subfam,IF(TRIM(G187)="-","#N/C",IFERROR(G187,"#N/C")),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_xlpm.fallback,IF(IFERROR(B187,"#N/C")="#N/C",A187,IF(IFERROR(C187,"#N/C")="#N/C",B187,IF(IFERROR(D187,"#N/C")="#N/C",C187,IF(IFERROR(E187,"#N/C")="#N/C",D187,IF(IFERROR(F187,"#N/C")="#N/C",E187,IF(IFERROR(G187,"#N/C")="#N/C",F187,"#N/C")))))), _xlpm.finalResult,IF(OR(_xlpm.computedResult="",_xlpm.computedResult="#N/C"),_xlpm.fallback,_xlpm.computedResult), INDEX(_xlpm.finalResult,1))</f>
        <v>grasshopper</v>
      </c>
      <c r="K187" s="47" t="str">
        <f t="shared" si="2"/>
        <v>Insecta.Orthoptera.Caelifera.Acrididea.Acridoidea.Acrididae.Gomphocerinae.#N/C.#N/C</v>
      </c>
      <c r="L187" s="46">
        <f>+COUNTIF([1]Monitoring!AN:AN,K187)</f>
        <v>0</v>
      </c>
    </row>
    <row r="188" spans="1:12" x14ac:dyDescent="0.3">
      <c r="A188" s="48" t="s">
        <v>37</v>
      </c>
      <c r="B188" s="48" t="s">
        <v>123</v>
      </c>
      <c r="C188" s="48" t="s">
        <v>124</v>
      </c>
      <c r="D188" s="49" t="s">
        <v>845</v>
      </c>
      <c r="E188" s="48" t="s">
        <v>125</v>
      </c>
      <c r="F188" s="48" t="s">
        <v>126</v>
      </c>
      <c r="G188" s="48" t="s">
        <v>173</v>
      </c>
      <c r="H188" s="50" t="s">
        <v>174</v>
      </c>
      <c r="I188" s="50" t="s">
        <v>35</v>
      </c>
      <c r="J188" s="69" t="str" cm="1">
        <f t="array" ref="J188">_xlfn.LET(_xlpm.cls,A188, _xlpm.ord,IFERROR(B188,"#N/C"), _xlpm.subord,IFERROR(C188,"#N/C"), _xlpm.infr,IFERROR(D188,"#N/C"), _xlpm.sf,IFERROR(E188,"#N/C"), _xlpm.fam,IFERROR(F188,"#N/C"), _xlpm.subfam,IF(TRIM(G188)="-","#N/C",IFERROR(G188,"#N/C")),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_xlpm.fallback,IF(IFERROR(B188,"#N/C")="#N/C",A188,IF(IFERROR(C188,"#N/C")="#N/C",B188,IF(IFERROR(D188,"#N/C")="#N/C",C188,IF(IFERROR(E188,"#N/C")="#N/C",D188,IF(IFERROR(F188,"#N/C")="#N/C",E188,IF(IFERROR(G188,"#N/C")="#N/C",F188,"#N/C")))))), _xlpm.finalResult,IF(OR(_xlpm.computedResult="",_xlpm.computedResult="#N/C"),_xlpm.fallback,_xlpm.computedResult), INDEX(_xlpm.finalResult,1))</f>
        <v>grasshopper</v>
      </c>
      <c r="K188" s="47" t="str">
        <f t="shared" si="2"/>
        <v>Insecta.Orthoptera.Caelifera.Acrididea.Acridoidea.Acrididae.Gomphocerinae.Chorthippus.#N/C</v>
      </c>
      <c r="L188" s="46">
        <f>+COUNTIF([1]Monitoring!AN:AN,K188)</f>
        <v>0</v>
      </c>
    </row>
    <row r="189" spans="1:12" x14ac:dyDescent="0.3">
      <c r="A189" s="48" t="s">
        <v>37</v>
      </c>
      <c r="B189" s="48" t="s">
        <v>123</v>
      </c>
      <c r="C189" s="48" t="s">
        <v>124</v>
      </c>
      <c r="D189" s="49" t="s">
        <v>845</v>
      </c>
      <c r="E189" s="48" t="s">
        <v>125</v>
      </c>
      <c r="F189" s="48" t="s">
        <v>126</v>
      </c>
      <c r="G189" s="48" t="s">
        <v>173</v>
      </c>
      <c r="H189" s="50" t="s">
        <v>174</v>
      </c>
      <c r="I189" s="50" t="s">
        <v>492</v>
      </c>
      <c r="J189" s="69" t="str" cm="1">
        <f t="array" ref="J189">_xlfn.LET(_xlpm.cls,A189, _xlpm.ord,IFERROR(B189,"#N/C"), _xlpm.subord,IFERROR(C189,"#N/C"), _xlpm.infr,IFERROR(D189,"#N/C"), _xlpm.sf,IFERROR(E189,"#N/C"), _xlpm.fam,IFERROR(F189,"#N/C"), _xlpm.subfam,IF(TRIM(G189)="-","#N/C",IFERROR(G189,"#N/C")),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_xlpm.fallback,IF(IFERROR(B189,"#N/C")="#N/C",A189,IF(IFERROR(C189,"#N/C")="#N/C",B189,IF(IFERROR(D189,"#N/C")="#N/C",C189,IF(IFERROR(E189,"#N/C")="#N/C",D189,IF(IFERROR(F189,"#N/C")="#N/C",E189,IF(IFERROR(G189,"#N/C")="#N/C",F189,"#N/C")))))), _xlpm.finalResult,IF(OR(_xlpm.computedResult="",_xlpm.computedResult="#N/C"),_xlpm.fallback,_xlpm.computedResult), INDEX(_xlpm.finalResult,1))</f>
        <v>grasshopper</v>
      </c>
      <c r="K189" s="47" t="str">
        <f t="shared" si="2"/>
        <v>Insecta.Orthoptera.Caelifera.Acrididea.Acridoidea.Acrididae.Gomphocerinae.Chorthippus.biguttulus</v>
      </c>
      <c r="L189" s="46">
        <f>+COUNTIF([1]Monitoring!AN:AN,K189)</f>
        <v>0</v>
      </c>
    </row>
    <row r="190" spans="1:12" x14ac:dyDescent="0.3">
      <c r="A190" s="48" t="s">
        <v>37</v>
      </c>
      <c r="B190" s="48" t="s">
        <v>123</v>
      </c>
      <c r="C190" s="48" t="s">
        <v>124</v>
      </c>
      <c r="D190" s="49" t="s">
        <v>845</v>
      </c>
      <c r="E190" s="48" t="s">
        <v>125</v>
      </c>
      <c r="F190" s="48" t="s">
        <v>126</v>
      </c>
      <c r="G190" s="48" t="s">
        <v>173</v>
      </c>
      <c r="H190" s="50" t="s">
        <v>174</v>
      </c>
      <c r="I190" s="50" t="s">
        <v>663</v>
      </c>
      <c r="J190" s="69" t="str" cm="1">
        <f t="array" ref="J190">_xlfn.LET(_xlpm.cls,A190, _xlpm.ord,IFERROR(B190,"#N/C"), _xlpm.subord,IFERROR(C190,"#N/C"), _xlpm.infr,IFERROR(D190,"#N/C"), _xlpm.sf,IFERROR(E190,"#N/C"), _xlpm.fam,IFERROR(F190,"#N/C"), _xlpm.subfam,IF(TRIM(G190)="-","#N/C",IFERROR(G190,"#N/C")),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_xlpm.fallback,IF(IFERROR(B190,"#N/C")="#N/C",A190,IF(IFERROR(C190,"#N/C")="#N/C",B190,IF(IFERROR(D190,"#N/C")="#N/C",C190,IF(IFERROR(E190,"#N/C")="#N/C",D190,IF(IFERROR(F190,"#N/C")="#N/C",E190,IF(IFERROR(G190,"#N/C")="#N/C",F190,"#N/C")))))), _xlpm.finalResult,IF(OR(_xlpm.computedResult="",_xlpm.computedResult="#N/C"),_xlpm.fallback,_xlpm.computedResult), INDEX(_xlpm.finalResult,1))</f>
        <v>grasshopper</v>
      </c>
      <c r="K190" s="47" t="str">
        <f t="shared" si="2"/>
        <v>Insecta.Orthoptera.Caelifera.Acrididea.Acridoidea.Acrididae.Gomphocerinae.Chorthippus.dorsatus</v>
      </c>
      <c r="L190" s="46">
        <f>+COUNTIF([1]Monitoring!AN:AN,K190)</f>
        <v>0</v>
      </c>
    </row>
    <row r="191" spans="1:12" x14ac:dyDescent="0.3">
      <c r="A191" s="48" t="s">
        <v>37</v>
      </c>
      <c r="B191" s="48" t="s">
        <v>123</v>
      </c>
      <c r="C191" s="48" t="s">
        <v>124</v>
      </c>
      <c r="D191" s="49" t="s">
        <v>845</v>
      </c>
      <c r="E191" s="48" t="s">
        <v>125</v>
      </c>
      <c r="F191" s="48" t="s">
        <v>126</v>
      </c>
      <c r="G191" s="48" t="s">
        <v>173</v>
      </c>
      <c r="H191" s="50" t="s">
        <v>271</v>
      </c>
      <c r="I191" s="50" t="s">
        <v>35</v>
      </c>
      <c r="J191" s="69" t="str" cm="1">
        <f t="array" ref="J191">_xlfn.LET(_xlpm.cls,A191, _xlpm.ord,IFERROR(B191,"#N/C"), _xlpm.subord,IFERROR(C191,"#N/C"), _xlpm.infr,IFERROR(D191,"#N/C"), _xlpm.sf,IFERROR(E191,"#N/C"), _xlpm.fam,IFERROR(F191,"#N/C"), _xlpm.subfam,IF(TRIM(G191)="-","#N/C",IFERROR(G191,"#N/C")),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_xlpm.fallback,IF(IFERROR(B191,"#N/C")="#N/C",A191,IF(IFERROR(C191,"#N/C")="#N/C",B191,IF(IFERROR(D191,"#N/C")="#N/C",C191,IF(IFERROR(E191,"#N/C")="#N/C",D191,IF(IFERROR(F191,"#N/C")="#N/C",E191,IF(IFERROR(G191,"#N/C")="#N/C",F191,"#N/C")))))), _xlpm.finalResult,IF(OR(_xlpm.computedResult="",_xlpm.computedResult="#N/C"),_xlpm.fallback,_xlpm.computedResult), INDEX(_xlpm.finalResult,1))</f>
        <v>grasshopper</v>
      </c>
      <c r="K191" s="47" t="str">
        <f t="shared" si="2"/>
        <v>Insecta.Orthoptera.Caelifera.Acrididea.Acridoidea.Acrididae.Gomphocerinae.Pseudochorthippus.#N/C</v>
      </c>
      <c r="L191" s="46">
        <f>+COUNTIF([1]Monitoring!AN:AN,K191)</f>
        <v>0</v>
      </c>
    </row>
    <row r="192" spans="1:12" x14ac:dyDescent="0.3">
      <c r="A192" s="48" t="s">
        <v>37</v>
      </c>
      <c r="B192" s="48" t="s">
        <v>123</v>
      </c>
      <c r="C192" s="48" t="s">
        <v>124</v>
      </c>
      <c r="D192" s="49" t="s">
        <v>845</v>
      </c>
      <c r="E192" s="48" t="s">
        <v>125</v>
      </c>
      <c r="F192" s="48" t="s">
        <v>126</v>
      </c>
      <c r="G192" s="48" t="s">
        <v>173</v>
      </c>
      <c r="H192" s="50" t="s">
        <v>271</v>
      </c>
      <c r="I192" s="50" t="s">
        <v>272</v>
      </c>
      <c r="J192" s="69" t="str" cm="1">
        <f t="array" ref="J192">_xlfn.LET(_xlpm.cls,A192, _xlpm.ord,IFERROR(B192,"#N/C"), _xlpm.subord,IFERROR(C192,"#N/C"), _xlpm.infr,IFERROR(D192,"#N/C"), _xlpm.sf,IFERROR(E192,"#N/C"), _xlpm.fam,IFERROR(F192,"#N/C"), _xlpm.subfam,IF(TRIM(G192)="-","#N/C",IFERROR(G192,"#N/C")),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_xlpm.fallback,IF(IFERROR(B192,"#N/C")="#N/C",A192,IF(IFERROR(C192,"#N/C")="#N/C",B192,IF(IFERROR(D192,"#N/C")="#N/C",C192,IF(IFERROR(E192,"#N/C")="#N/C",D192,IF(IFERROR(F192,"#N/C")="#N/C",E192,IF(IFERROR(G192,"#N/C")="#N/C",F192,"#N/C")))))), _xlpm.finalResult,IF(OR(_xlpm.computedResult="",_xlpm.computedResult="#N/C"),_xlpm.fallback,_xlpm.computedResult), INDEX(_xlpm.finalResult,1))</f>
        <v>grasshopper</v>
      </c>
      <c r="K192" s="47" t="str">
        <f t="shared" si="2"/>
        <v>Insecta.Orthoptera.Caelifera.Acrididea.Acridoidea.Acrididae.Gomphocerinae.Pseudochorthippus.parallelus</v>
      </c>
      <c r="L192" s="46">
        <f>+COUNTIF([1]Monitoring!AN:AN,K192)</f>
        <v>0</v>
      </c>
    </row>
    <row r="193" spans="1:12" x14ac:dyDescent="0.3">
      <c r="A193" s="48" t="s">
        <v>37</v>
      </c>
      <c r="B193" s="48" t="s">
        <v>123</v>
      </c>
      <c r="C193" s="48" t="s">
        <v>287</v>
      </c>
      <c r="D193" s="49" t="s">
        <v>846</v>
      </c>
      <c r="E193" s="48" t="s">
        <v>288</v>
      </c>
      <c r="F193" s="48" t="s">
        <v>289</v>
      </c>
      <c r="G193" s="48" t="s">
        <v>487</v>
      </c>
      <c r="H193" s="50" t="s">
        <v>488</v>
      </c>
      <c r="I193" s="50" t="s">
        <v>35</v>
      </c>
      <c r="J193" s="69" t="str" cm="1">
        <f t="array" ref="J193">_xlfn.LET(_xlpm.cls,A193, _xlpm.ord,IFERROR(B193,"#N/C"), _xlpm.subord,IFERROR(C193,"#N/C"), _xlpm.infr,IFERROR(D193,"#N/C"), _xlpm.sf,IFERROR(E193,"#N/C"), _xlpm.fam,IFERROR(F193,"#N/C"), _xlpm.subfam,IF(TRIM(G193)="-","#N/C",IFERROR(G193,"#N/C")),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_xlpm.fallback,IF(IFERROR(B193,"#N/C")="#N/C",A193,IF(IFERROR(C193,"#N/C")="#N/C",B193,IF(IFERROR(D193,"#N/C")="#N/C",C193,IF(IFERROR(E193,"#N/C")="#N/C",D193,IF(IFERROR(F193,"#N/C")="#N/C",E193,IF(IFERROR(G193,"#N/C")="#N/C",F193,"#N/C")))))), _xlpm.finalResult,IF(OR(_xlpm.computedResult="",_xlpm.computedResult="#N/C"),_xlpm.fallback,_xlpm.computedResult), INDEX(_xlpm.finalResult,1))</f>
        <v>grasshopper</v>
      </c>
      <c r="K193" s="47" t="str">
        <f t="shared" si="2"/>
        <v>Insecta.Orthoptera.Ensifera.Tettigoniidea.Tettigonioidea.Tettigoniidae.Conocephalinae.Conocephalus.#N/C</v>
      </c>
      <c r="L193" s="46">
        <f>+COUNTIF([1]Monitoring!AN:AN,K193)</f>
        <v>0</v>
      </c>
    </row>
    <row r="194" spans="1:12" x14ac:dyDescent="0.3">
      <c r="A194" s="48" t="s">
        <v>37</v>
      </c>
      <c r="B194" s="48" t="s">
        <v>123</v>
      </c>
      <c r="C194" s="48" t="s">
        <v>287</v>
      </c>
      <c r="D194" s="49" t="s">
        <v>846</v>
      </c>
      <c r="E194" s="48" t="s">
        <v>288</v>
      </c>
      <c r="F194" s="48" t="s">
        <v>289</v>
      </c>
      <c r="G194" s="48" t="s">
        <v>487</v>
      </c>
      <c r="H194" s="50" t="s">
        <v>488</v>
      </c>
      <c r="I194" s="50" t="s">
        <v>489</v>
      </c>
      <c r="J194" s="69" t="str" cm="1">
        <f t="array" ref="J194">_xlfn.LET(_xlpm.cls,A194, _xlpm.ord,IFERROR(B194,"#N/C"), _xlpm.subord,IFERROR(C194,"#N/C"), _xlpm.infr,IFERROR(D194,"#N/C"), _xlpm.sf,IFERROR(E194,"#N/C"), _xlpm.fam,IFERROR(F194,"#N/C"), _xlpm.subfam,IF(TRIM(G194)="-","#N/C",IFERROR(G194,"#N/C")),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_xlpm.fallback,IF(IFERROR(B194,"#N/C")="#N/C",A194,IF(IFERROR(C194,"#N/C")="#N/C",B194,IF(IFERROR(D194,"#N/C")="#N/C",C194,IF(IFERROR(E194,"#N/C")="#N/C",D194,IF(IFERROR(F194,"#N/C")="#N/C",E194,IF(IFERROR(G194,"#N/C")="#N/C",F194,"#N/C")))))), _xlpm.finalResult,IF(OR(_xlpm.computedResult="",_xlpm.computedResult="#N/C"),_xlpm.fallback,_xlpm.computedResult), INDEX(_xlpm.finalResult,1))</f>
        <v>grasshopper</v>
      </c>
      <c r="K194" s="47" t="str">
        <f t="shared" si="2"/>
        <v>Insecta.Orthoptera.Ensifera.Tettigoniidea.Tettigonioidea.Tettigoniidae.Conocephalinae.Conocephalus.fuscus</v>
      </c>
      <c r="L194" s="46">
        <f>+COUNTIF([1]Monitoring!AN:AN,K194)</f>
        <v>0</v>
      </c>
    </row>
    <row r="195" spans="1:12" x14ac:dyDescent="0.3">
      <c r="A195" s="48" t="s">
        <v>37</v>
      </c>
      <c r="B195" s="48" t="s">
        <v>123</v>
      </c>
      <c r="C195" s="48" t="s">
        <v>287</v>
      </c>
      <c r="D195" s="49" t="s">
        <v>846</v>
      </c>
      <c r="E195" s="48" t="s">
        <v>288</v>
      </c>
      <c r="F195" s="48" t="s">
        <v>289</v>
      </c>
      <c r="G195" s="48" t="s">
        <v>290</v>
      </c>
      <c r="H195" s="50" t="s">
        <v>291</v>
      </c>
      <c r="I195" s="50" t="s">
        <v>292</v>
      </c>
      <c r="J195" s="69" t="str" cm="1">
        <f t="array" ref="J195">_xlfn.LET(_xlpm.cls,A195, _xlpm.ord,IFERROR(B195,"#N/C"), _xlpm.subord,IFERROR(C195,"#N/C"), _xlpm.infr,IFERROR(D195,"#N/C"), _xlpm.sf,IFERROR(E195,"#N/C"), _xlpm.fam,IFERROR(F195,"#N/C"), _xlpm.subfam,IF(TRIM(G195)="-","#N/C",IFERROR(G195,"#N/C")),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_xlpm.fallback,IF(IFERROR(B195,"#N/C")="#N/C",A195,IF(IFERROR(C195,"#N/C")="#N/C",B195,IF(IFERROR(D195,"#N/C")="#N/C",C195,IF(IFERROR(E195,"#N/C")="#N/C",D195,IF(IFERROR(F195,"#N/C")="#N/C",E195,IF(IFERROR(G195,"#N/C")="#N/C",F195,"#N/C")))))), _xlpm.finalResult,IF(OR(_xlpm.computedResult="",_xlpm.computedResult="#N/C"),_xlpm.fallback,_xlpm.computedResult), INDEX(_xlpm.finalResult,1))</f>
        <v>grasshopper</v>
      </c>
      <c r="K195" s="47" t="str">
        <f t="shared" si="2"/>
        <v>Insecta.Orthoptera.Ensifera.Tettigoniidea.Tettigonioidea.Tettigoniidae.Phaneropterinae.Leptophyes.punctatissima</v>
      </c>
      <c r="L195" s="46">
        <f>+COUNTIF([1]Monitoring!AN:AN,K195)</f>
        <v>0</v>
      </c>
    </row>
    <row r="196" spans="1:12" x14ac:dyDescent="0.3">
      <c r="A196" s="48" t="s">
        <v>37</v>
      </c>
      <c r="B196" s="48" t="s">
        <v>123</v>
      </c>
      <c r="C196" s="48" t="s">
        <v>287</v>
      </c>
      <c r="D196" s="49" t="s">
        <v>846</v>
      </c>
      <c r="E196" s="48" t="s">
        <v>288</v>
      </c>
      <c r="F196" s="48" t="s">
        <v>289</v>
      </c>
      <c r="G196" s="48" t="s">
        <v>847</v>
      </c>
      <c r="H196" s="50" t="s">
        <v>848</v>
      </c>
      <c r="I196" s="50" t="s">
        <v>35</v>
      </c>
      <c r="J196" s="69" t="str" cm="1">
        <f t="array" ref="J196">_xlfn.LET(_xlpm.cls,A196, _xlpm.ord,IFERROR(B196,"#N/C"), _xlpm.subord,IFERROR(C196,"#N/C"), _xlpm.infr,IFERROR(D196,"#N/C"), _xlpm.sf,IFERROR(E196,"#N/C"), _xlpm.fam,IFERROR(F196,"#N/C"), _xlpm.subfam,IF(TRIM(G196)="-","#N/C",IFERROR(G196,"#N/C")),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_xlpm.fallback,IF(IFERROR(B196,"#N/C")="#N/C",A196,IF(IFERROR(C196,"#N/C")="#N/C",B196,IF(IFERROR(D196,"#N/C")="#N/C",C196,IF(IFERROR(E196,"#N/C")="#N/C",D196,IF(IFERROR(F196,"#N/C")="#N/C",E196,IF(IFERROR(G196,"#N/C")="#N/C",F196,"#N/C")))))), _xlpm.finalResult,IF(OR(_xlpm.computedResult="",_xlpm.computedResult="#N/C"),_xlpm.fallback,_xlpm.computedResult), INDEX(_xlpm.finalResult,1))</f>
        <v>grasshopper</v>
      </c>
      <c r="K196" s="47" t="str">
        <f t="shared" ref="K196:K197" si="3">+CONCATENATE(A196,".",B196,".",C196,".",D196,".",E196,".",F196,".",G196,".",H196,".",I196)</f>
        <v>Insecta.Orthoptera.Ensifera.Tettigoniidea.Tettigonioidea.Tettigoniidae.Tettigoniinae.Tettigonia.#N/C</v>
      </c>
      <c r="L196" s="46">
        <f>+COUNTIF([1]Monitoring!AN:AN,K196)</f>
        <v>1</v>
      </c>
    </row>
    <row r="197" spans="1:12" x14ac:dyDescent="0.3">
      <c r="A197" s="48" t="s">
        <v>37</v>
      </c>
      <c r="B197" s="48" t="s">
        <v>849</v>
      </c>
      <c r="C197" s="48" t="s">
        <v>850</v>
      </c>
      <c r="D197" s="49" t="s">
        <v>851</v>
      </c>
      <c r="E197" s="48" t="s">
        <v>852</v>
      </c>
      <c r="F197" s="48" t="s">
        <v>853</v>
      </c>
      <c r="G197" s="48" t="s">
        <v>854</v>
      </c>
      <c r="H197" s="50" t="s">
        <v>35</v>
      </c>
      <c r="I197" s="50" t="s">
        <v>35</v>
      </c>
      <c r="J197" s="69" t="str" cm="1">
        <f t="array" ref="J197">_xlfn.LET(_xlpm.cls,A197, _xlpm.ord,IFERROR(B197,"#N/C"), _xlpm.subord,IFERROR(C197,"#N/C"), _xlpm.infr,IFERROR(D197,"#N/C"), _xlpm.sf,IFERROR(E197,"#N/C"), _xlpm.fam,IFERROR(F197,"#N/C"), _xlpm.subfam,IF(TRIM(G197)="-","#N/C",IFERROR(G197,"#N/C")), _xlpm.subfamMatch,IFERROR(_xlfn._xlws.FILTER(ClassificationClasses[Classification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*(ClassificationClasses[Subfamily]=_xlpm.subfam),""),""), _xlpm.uniqueSubfam,IF(_xlpm.subfamMatch="","",_xlfn.UNIQUE(_xlpm.subfamMatch)), _xlpm.numUniqueSubfam,IF(_xlpm.uniqueSubfam="",0,ROWS(_xlpm.uniqueSubfam)), _xlpm.resultSubfam,IF(_xlpm.numUniqueSubfam=1,INDEX(_xlpm.uniqueSubfam,1),IF(_xlpm.numUniqueSubfam&gt;=1,_xlpm.subfam,"")), _xlpm.famMatch,IFERROR(_xlfn._xlws.FILTER(ClassificationClasses[Classification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Class],(ClassificationClasses[Class]=_xlpm.cls)*(ClassificationClasses[Order]=_xlpm.ord)*(ClassificationClasses[Suborder]=_xlpm.subord)*(ClassificationClasses[Infraorder]=_xlpm.infr)*(ClassificationClasses[Superfamily]=_xlpm.sf)*(ClassificationClasses[Family]=_xlpm.fam),""),""), _xlpm.uniqueFam,IF(_xlpm.famMatch="","",_xlfn.UNIQUE(_xlpm.famMatch)), _xlpm.numUniqueFam,IF(_xlpm.uniqueFam="",0,ROWS(_xlpm.uniqueFam)), _xlpm.resultFam,IF(_xlpm.numUniqueFam=1,INDEX(_xlpm.uniqueFam,1),IF(_xlpm.numUniqueFam&gt;=1,_xlpm.fam,"")), _xlpm.sfMatch,IFERROR(_xlfn._xlws.FILTER(ClassificationClasses[Classification Class],(ClassificationClasses[Class]=_xlpm.cls)*(ClassificationClasses[Order]=_xlpm.ord)*(ClassificationClasses[Suborder]=_xlpm.subord)*(ClassificationClasses[Infraorder]=_xlpm.infr)*(ClassificationClasses[Superfamily]=_xlpm.sf),""),""), _xlpm.uniqueSf,IF(_xlpm.sfMatch="","",_xlfn.UNIQUE(_xlpm.sfMatch)), _xlpm.numUniqueSf,IF(_xlpm.uniqueSf="",0,ROWS(_xlpm.uniqueSf)), _xlpm.resultSf,IF(_xlpm.numUniqueSf=1,INDEX(_xlpm.uniqueSf,1),IF(_xlpm.numUniqueSf&gt;=1,_xlpm.sf,"")), _xlpm.computedResult,IF(AND(_xlpm.fam="#N/C",_xlpm.subfam="#N/C"),_xlpm.sf,IF(_xlpm.resultSubfam&lt;&gt;"",_xlpm.resultSubfam,IF(_xlpm.resultFam&lt;&gt;"",_xlpm.resultFam,IF(_xlpm.resultSf&lt;&gt;"",_xlpm.resultSf,"")))), _xlpm.fallback,IF(IFERROR(B197,"#N/C")="#N/C",A197,IF(IFERROR(C197,"#N/C")="#N/C",B197,IF(IFERROR(D197,"#N/C")="#N/C",C197,IF(IFERROR(E197,"#N/C")="#N/C",D197,IF(IFERROR(F197,"#N/C")="#N/C",E197,IF(IFERROR(G197,"#N/C")="#N/C",F197,"#N/C")))))), _xlpm.finalResult,IF(OR(_xlpm.computedResult="",_xlpm.computedResult="#N/C"),_xlpm.fallback,_xlpm.computedResult), INDEX(_xlpm.finalResult,1))</f>
        <v>caddisfly</v>
      </c>
      <c r="K197" s="47" t="str">
        <f t="shared" si="3"/>
        <v>Insecta.Trichoptera.Integripalpia.Plenitentoria.Limnephiloidea.Limnephilidae.Limnephilinae.#N/C.#N/C</v>
      </c>
      <c r="L197" s="46">
        <f>+COUNTIF([1]Monitoring!AN:AN,K197)</f>
        <v>1</v>
      </c>
    </row>
  </sheetData>
  <autoFilter ref="A1:L196" xr:uid="{00000000-0001-0000-0200-000000000000}"/>
  <conditionalFormatting sqref="A1:K1 A2:I197 A198:J65359">
    <cfRule type="cellIs" dxfId="10" priority="3" operator="equal">
      <formula>"#N/C"</formula>
    </cfRule>
  </conditionalFormatting>
  <conditionalFormatting sqref="D1:D1048576">
    <cfRule type="cellIs" dxfId="9" priority="2" operator="equal">
      <formula>"ERROR"</formula>
    </cfRule>
  </conditionalFormatting>
  <conditionalFormatting sqref="K1:K1048576">
    <cfRule type="duplicateValues" dxfId="8" priority="1"/>
  </conditionalFormatting>
  <conditionalFormatting sqref="K2:K1048576">
    <cfRule type="duplicateValues" dxfId="7" priority="4"/>
  </conditionalFormatting>
  <conditionalFormatting sqref="N1:N1048576">
    <cfRule type="cellIs" dxfId="6" priority="5" operator="equal">
      <formula>"no"</formula>
    </cfRule>
  </conditionalFormatting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01E13-287A-43DF-9C97-F2AEAC0B3554}">
  <dimension ref="A1:K70"/>
  <sheetViews>
    <sheetView workbookViewId="0">
      <pane ySplit="1" topLeftCell="A44" activePane="bottomLeft" state="frozen"/>
      <selection pane="bottomLeft" activeCell="H21" sqref="H21"/>
    </sheetView>
  </sheetViews>
  <sheetFormatPr baseColWidth="10" defaultColWidth="9.109375" defaultRowHeight="14.4" x14ac:dyDescent="0.3"/>
  <cols>
    <col min="1" max="1" width="8.109375" style="67" customWidth="1"/>
    <col min="2" max="2" width="12.6640625" style="67" bestFit="1" customWidth="1"/>
    <col min="3" max="3" width="16.109375" style="67" bestFit="1" customWidth="1"/>
    <col min="4" max="4" width="17.6640625" style="67" bestFit="1" customWidth="1"/>
    <col min="5" max="5" width="16.109375" style="67" bestFit="1" customWidth="1"/>
    <col min="6" max="6" width="15.44140625" style="67" bestFit="1" customWidth="1"/>
    <col min="7" max="7" width="16.44140625" style="67" bestFit="1" customWidth="1"/>
    <col min="8" max="8" width="18.6640625" style="67" bestFit="1" customWidth="1"/>
    <col min="9" max="9" width="22" style="67" bestFit="1" customWidth="1"/>
    <col min="10" max="10" width="85.6640625" style="59" bestFit="1" customWidth="1"/>
    <col min="11" max="16384" width="9.109375" style="60"/>
  </cols>
  <sheetData>
    <row r="1" spans="1:11" x14ac:dyDescent="0.3">
      <c r="A1" s="57" t="s">
        <v>14</v>
      </c>
      <c r="B1" s="58" t="s">
        <v>15</v>
      </c>
      <c r="C1" s="58" t="s">
        <v>16</v>
      </c>
      <c r="D1" s="58" t="s">
        <v>17</v>
      </c>
      <c r="E1" s="58" t="s">
        <v>18</v>
      </c>
      <c r="F1" s="58" t="s">
        <v>19</v>
      </c>
      <c r="G1" s="58" t="s">
        <v>20</v>
      </c>
      <c r="H1" s="58" t="s">
        <v>855</v>
      </c>
      <c r="I1" s="58" t="s">
        <v>856</v>
      </c>
      <c r="J1" s="59" t="s">
        <v>29</v>
      </c>
    </row>
    <row r="2" spans="1:11" x14ac:dyDescent="0.3">
      <c r="A2" s="61" t="s">
        <v>724</v>
      </c>
      <c r="B2" s="62" t="s">
        <v>725</v>
      </c>
      <c r="C2" s="62" t="s">
        <v>726</v>
      </c>
      <c r="D2" s="63" t="s">
        <v>857</v>
      </c>
      <c r="E2" s="62" t="s">
        <v>727</v>
      </c>
      <c r="F2" s="64"/>
      <c r="G2" s="64"/>
      <c r="H2" s="64"/>
      <c r="I2" s="64" t="s">
        <v>858</v>
      </c>
      <c r="J2" s="59" t="str">
        <f>+_xlfn.CONCAT(A2,".",B2,".",C2,".",D2,".",E2,".",F2,".",G2)</f>
        <v>Arachnida.Araneae.Arneomorphae.Araneomorphae.Araneoidea..</v>
      </c>
      <c r="K2" s="46"/>
    </row>
    <row r="3" spans="1:11" x14ac:dyDescent="0.3">
      <c r="A3" s="61" t="s">
        <v>724</v>
      </c>
      <c r="B3" s="62" t="s">
        <v>725</v>
      </c>
      <c r="C3" s="62" t="s">
        <v>726</v>
      </c>
      <c r="D3" s="63" t="s">
        <v>857</v>
      </c>
      <c r="E3" s="64" t="s">
        <v>731</v>
      </c>
      <c r="F3" s="64"/>
      <c r="G3" s="64"/>
      <c r="H3" s="64"/>
      <c r="I3" s="64" t="s">
        <v>858</v>
      </c>
      <c r="J3" s="59" t="str">
        <f t="shared" ref="J3:J66" si="0">+_xlfn.CONCAT(A3,".",B3,".",C3,".",D3,".",E3,".",F3,".",G3)</f>
        <v>Arachnida.Araneae.Arneomorphae.Araneomorphae.Dictynoidea..</v>
      </c>
    </row>
    <row r="4" spans="1:11" x14ac:dyDescent="0.3">
      <c r="A4" s="65" t="s">
        <v>37</v>
      </c>
      <c r="B4" s="64" t="s">
        <v>76</v>
      </c>
      <c r="C4" s="64" t="s">
        <v>77</v>
      </c>
      <c r="D4" s="64" t="s">
        <v>861</v>
      </c>
      <c r="E4" s="64" t="s">
        <v>143</v>
      </c>
      <c r="F4" s="64" t="s">
        <v>250</v>
      </c>
      <c r="G4" s="64"/>
      <c r="H4" s="64"/>
      <c r="I4" s="64" t="s">
        <v>1425</v>
      </c>
      <c r="J4" s="59" t="str">
        <f t="shared" si="0"/>
        <v>Insecta.Coleoptera.Polyphaga.Cucujiformia.Tenebrionoidea.Anthicidae.</v>
      </c>
    </row>
    <row r="5" spans="1:11" x14ac:dyDescent="0.3">
      <c r="A5" s="65" t="s">
        <v>37</v>
      </c>
      <c r="B5" s="64" t="s">
        <v>76</v>
      </c>
      <c r="C5" s="64"/>
      <c r="D5" s="64"/>
      <c r="E5" s="64"/>
      <c r="F5" s="64"/>
      <c r="G5" s="64"/>
      <c r="H5" s="64"/>
      <c r="I5" s="64" t="s">
        <v>865</v>
      </c>
      <c r="J5" s="59" t="str">
        <f t="shared" si="0"/>
        <v>Insecta.Coleoptera.....</v>
      </c>
    </row>
    <row r="6" spans="1:11" x14ac:dyDescent="0.3">
      <c r="A6" s="66" t="s">
        <v>37</v>
      </c>
      <c r="B6" s="63" t="s">
        <v>76</v>
      </c>
      <c r="C6" s="63" t="s">
        <v>77</v>
      </c>
      <c r="D6" s="64" t="s">
        <v>861</v>
      </c>
      <c r="E6" s="64" t="s">
        <v>78</v>
      </c>
      <c r="F6" s="64"/>
      <c r="G6" s="64"/>
      <c r="H6" s="64"/>
      <c r="I6" s="64" t="s">
        <v>862</v>
      </c>
      <c r="J6" s="59" t="str">
        <f t="shared" si="0"/>
        <v>Insecta.Coleoptera.Polyphaga.Cucujiformia.Coccinelloidea..</v>
      </c>
    </row>
    <row r="7" spans="1:11" x14ac:dyDescent="0.3">
      <c r="A7" s="66" t="s">
        <v>37</v>
      </c>
      <c r="B7" s="63" t="s">
        <v>76</v>
      </c>
      <c r="C7" s="63" t="s">
        <v>77</v>
      </c>
      <c r="D7" s="64" t="s">
        <v>861</v>
      </c>
      <c r="E7" s="67" t="s">
        <v>421</v>
      </c>
      <c r="F7" s="64" t="s">
        <v>422</v>
      </c>
      <c r="G7" s="64"/>
      <c r="H7" s="64"/>
      <c r="I7" s="64" t="s">
        <v>1423</v>
      </c>
      <c r="J7" s="59" t="str">
        <f t="shared" si="0"/>
        <v>Insecta.Coleoptera.Polyphaga.Cucujiformia.Chrysomeloidea.Chrysomelidae.</v>
      </c>
    </row>
    <row r="8" spans="1:11" x14ac:dyDescent="0.3">
      <c r="A8" s="66" t="s">
        <v>37</v>
      </c>
      <c r="B8" s="63" t="s">
        <v>76</v>
      </c>
      <c r="C8" s="63" t="s">
        <v>77</v>
      </c>
      <c r="D8" s="64" t="s">
        <v>861</v>
      </c>
      <c r="E8" s="64" t="s">
        <v>143</v>
      </c>
      <c r="F8" s="64" t="s">
        <v>144</v>
      </c>
      <c r="G8" s="64"/>
      <c r="H8" s="64"/>
      <c r="I8" s="64" t="s">
        <v>864</v>
      </c>
      <c r="J8" s="59" t="str">
        <f t="shared" si="0"/>
        <v>Insecta.Coleoptera.Polyphaga.Cucujiformia.Tenebrionoidea.Oedemeridae.</v>
      </c>
    </row>
    <row r="9" spans="1:11" x14ac:dyDescent="0.3">
      <c r="A9" s="65" t="s">
        <v>37</v>
      </c>
      <c r="B9" s="64" t="s">
        <v>76</v>
      </c>
      <c r="C9" s="64" t="s">
        <v>77</v>
      </c>
      <c r="D9" s="64" t="s">
        <v>861</v>
      </c>
      <c r="E9" s="64" t="s">
        <v>428</v>
      </c>
      <c r="F9" s="64"/>
      <c r="G9" s="64"/>
      <c r="H9" s="64"/>
      <c r="I9" s="64" t="s">
        <v>863</v>
      </c>
      <c r="J9" s="59" t="str">
        <f t="shared" si="0"/>
        <v>Insecta.Coleoptera.Polyphaga.Cucujiformia.Curculionoidea..</v>
      </c>
    </row>
    <row r="10" spans="1:11" x14ac:dyDescent="0.3">
      <c r="A10" s="65" t="s">
        <v>37</v>
      </c>
      <c r="B10" s="64" t="s">
        <v>205</v>
      </c>
      <c r="C10" s="64" t="s">
        <v>206</v>
      </c>
      <c r="D10" s="64"/>
      <c r="E10" s="64" t="s">
        <v>207</v>
      </c>
      <c r="F10" s="64"/>
      <c r="G10" s="64"/>
      <c r="H10" s="64"/>
      <c r="I10" s="64" t="s">
        <v>866</v>
      </c>
      <c r="J10" s="59" t="str">
        <f t="shared" si="0"/>
        <v>Insecta.Dermaptera.Forficulina..Forficuloidea..</v>
      </c>
    </row>
    <row r="11" spans="1:11" x14ac:dyDescent="0.3">
      <c r="A11" s="65" t="s">
        <v>37</v>
      </c>
      <c r="B11" s="64" t="s">
        <v>38</v>
      </c>
      <c r="C11" s="64" t="s">
        <v>185</v>
      </c>
      <c r="D11" s="64" t="s">
        <v>893</v>
      </c>
      <c r="E11" s="64" t="s">
        <v>236</v>
      </c>
      <c r="F11" s="64"/>
      <c r="G11" s="64"/>
      <c r="H11" s="64"/>
      <c r="I11" s="64" t="s">
        <v>894</v>
      </c>
      <c r="J11" s="59" t="str">
        <f t="shared" si="0"/>
        <v>Insecta.Diptera.Nematocera.Tipulomorpha.Tipuloidea..</v>
      </c>
    </row>
    <row r="12" spans="1:11" x14ac:dyDescent="0.3">
      <c r="A12" s="65" t="s">
        <v>37</v>
      </c>
      <c r="B12" s="64" t="s">
        <v>38</v>
      </c>
      <c r="C12" s="64" t="s">
        <v>39</v>
      </c>
      <c r="D12" s="64" t="s">
        <v>867</v>
      </c>
      <c r="E12" s="64" t="s">
        <v>439</v>
      </c>
      <c r="F12" s="64"/>
      <c r="G12" s="64"/>
      <c r="H12" s="64"/>
      <c r="I12" s="64" t="s">
        <v>869</v>
      </c>
      <c r="J12" s="59" t="str">
        <f t="shared" si="0"/>
        <v>Insecta.Diptera.Brachycera.Asilomorpha.Empidoidea..</v>
      </c>
    </row>
    <row r="13" spans="1:11" x14ac:dyDescent="0.3">
      <c r="A13" s="65" t="s">
        <v>37</v>
      </c>
      <c r="B13" s="64" t="s">
        <v>38</v>
      </c>
      <c r="C13" s="64" t="s">
        <v>39</v>
      </c>
      <c r="D13" s="64" t="s">
        <v>870</v>
      </c>
      <c r="E13" s="64" t="s">
        <v>175</v>
      </c>
      <c r="F13" s="64" t="s">
        <v>757</v>
      </c>
      <c r="G13" s="64"/>
      <c r="H13" s="64"/>
      <c r="I13" s="64" t="s">
        <v>873</v>
      </c>
      <c r="J13" s="59" t="str">
        <f t="shared" si="0"/>
        <v>Insecta.Diptera.Brachycera.Muscomorpha.Muscoidea.Scathophagidae.</v>
      </c>
    </row>
    <row r="14" spans="1:11" x14ac:dyDescent="0.3">
      <c r="A14" s="65" t="s">
        <v>37</v>
      </c>
      <c r="B14" s="64" t="s">
        <v>38</v>
      </c>
      <c r="C14" s="64" t="s">
        <v>185</v>
      </c>
      <c r="D14" s="64" t="s">
        <v>883</v>
      </c>
      <c r="E14" s="64" t="s">
        <v>794</v>
      </c>
      <c r="F14" s="64" t="s">
        <v>887</v>
      </c>
      <c r="G14" s="64"/>
      <c r="H14" s="64"/>
      <c r="I14" s="64" t="s">
        <v>888</v>
      </c>
      <c r="J14" s="59" t="str">
        <f t="shared" si="0"/>
        <v>Insecta.Diptera.Nematocera.Bibionomorpha.Bibionoidea.Bibionidae.</v>
      </c>
    </row>
    <row r="15" spans="1:11" x14ac:dyDescent="0.3">
      <c r="A15" s="65" t="s">
        <v>37</v>
      </c>
      <c r="B15" s="64" t="s">
        <v>38</v>
      </c>
      <c r="C15" s="64" t="s">
        <v>39</v>
      </c>
      <c r="D15" s="64" t="s">
        <v>870</v>
      </c>
      <c r="E15" s="64" t="s">
        <v>335</v>
      </c>
      <c r="F15" s="64" t="s">
        <v>760</v>
      </c>
      <c r="G15" s="64"/>
      <c r="H15" s="64"/>
      <c r="I15" s="64" t="s">
        <v>874</v>
      </c>
      <c r="J15" s="59" t="str">
        <f t="shared" si="0"/>
        <v>Insecta.Diptera.Brachycera.Muscomorpha.Oestroidea.Calliphoridae.</v>
      </c>
    </row>
    <row r="16" spans="1:11" x14ac:dyDescent="0.3">
      <c r="A16" s="65" t="s">
        <v>37</v>
      </c>
      <c r="B16" s="64" t="s">
        <v>38</v>
      </c>
      <c r="C16" s="64" t="s">
        <v>39</v>
      </c>
      <c r="D16" s="64" t="s">
        <v>870</v>
      </c>
      <c r="E16" s="64" t="s">
        <v>335</v>
      </c>
      <c r="F16" s="64" t="s">
        <v>763</v>
      </c>
      <c r="G16" s="64"/>
      <c r="H16" s="64"/>
      <c r="I16" s="64" t="s">
        <v>874</v>
      </c>
      <c r="J16" s="59" t="str">
        <f t="shared" si="0"/>
        <v>Insecta.Diptera.Brachycera.Muscomorpha.Oestroidea.Rhinophoridae.</v>
      </c>
    </row>
    <row r="17" spans="1:10" x14ac:dyDescent="0.3">
      <c r="A17" s="65" t="s">
        <v>37</v>
      </c>
      <c r="B17" s="64" t="s">
        <v>38</v>
      </c>
      <c r="C17" s="64" t="s">
        <v>39</v>
      </c>
      <c r="D17" s="64" t="s">
        <v>870</v>
      </c>
      <c r="E17" s="64" t="s">
        <v>335</v>
      </c>
      <c r="F17" s="64" t="s">
        <v>375</v>
      </c>
      <c r="G17" s="64"/>
      <c r="H17" s="64"/>
      <c r="I17" s="64" t="s">
        <v>874</v>
      </c>
      <c r="J17" s="59" t="str">
        <f t="shared" si="0"/>
        <v>Insecta.Diptera.Brachycera.Muscomorpha.Oestroidea.Sarcophagidae.</v>
      </c>
    </row>
    <row r="18" spans="1:10" x14ac:dyDescent="0.3">
      <c r="A18" s="65" t="s">
        <v>37</v>
      </c>
      <c r="B18" s="64" t="s">
        <v>38</v>
      </c>
      <c r="C18" s="64" t="s">
        <v>39</v>
      </c>
      <c r="D18" s="64" t="s">
        <v>870</v>
      </c>
      <c r="E18" s="64" t="s">
        <v>335</v>
      </c>
      <c r="F18" s="64" t="s">
        <v>525</v>
      </c>
      <c r="G18" s="64"/>
      <c r="H18" s="64"/>
      <c r="I18" s="64" t="s">
        <v>874</v>
      </c>
      <c r="J18" s="59" t="str">
        <f t="shared" si="0"/>
        <v>Insecta.Diptera.Brachycera.Muscomorpha.Oestroidea.Tachinidae.</v>
      </c>
    </row>
    <row r="19" spans="1:10" x14ac:dyDescent="0.3">
      <c r="A19" s="65" t="s">
        <v>37</v>
      </c>
      <c r="B19" s="64" t="s">
        <v>38</v>
      </c>
      <c r="C19" s="64" t="s">
        <v>39</v>
      </c>
      <c r="D19" s="64" t="s">
        <v>870</v>
      </c>
      <c r="E19" s="64" t="s">
        <v>745</v>
      </c>
      <c r="F19" s="64"/>
      <c r="G19" s="64"/>
      <c r="H19" s="64"/>
      <c r="I19" s="64" t="s">
        <v>871</v>
      </c>
      <c r="J19" s="59" t="str">
        <f t="shared" si="0"/>
        <v>Insecta.Diptera.Brachycera.Muscomorpha.Carnoidea..</v>
      </c>
    </row>
    <row r="20" spans="1:10" x14ac:dyDescent="0.3">
      <c r="A20" s="65" t="s">
        <v>37</v>
      </c>
      <c r="B20" s="64" t="s">
        <v>38</v>
      </c>
      <c r="C20" s="64" t="s">
        <v>39</v>
      </c>
      <c r="D20" s="64" t="s">
        <v>870</v>
      </c>
      <c r="E20" s="64" t="s">
        <v>175</v>
      </c>
      <c r="F20" s="64" t="s">
        <v>612</v>
      </c>
      <c r="G20" s="64"/>
      <c r="H20" s="64"/>
      <c r="I20" s="64" t="s">
        <v>871</v>
      </c>
      <c r="J20" s="59" t="str">
        <f t="shared" si="0"/>
        <v>Insecta.Diptera.Brachycera.Muscomorpha.Muscoidea.Anthomyiidae.</v>
      </c>
    </row>
    <row r="21" spans="1:10" x14ac:dyDescent="0.3">
      <c r="A21" s="65" t="s">
        <v>37</v>
      </c>
      <c r="B21" s="64" t="s">
        <v>38</v>
      </c>
      <c r="C21" s="64" t="s">
        <v>39</v>
      </c>
      <c r="D21" s="64" t="s">
        <v>870</v>
      </c>
      <c r="E21" s="64" t="s">
        <v>175</v>
      </c>
      <c r="F21" s="64" t="s">
        <v>176</v>
      </c>
      <c r="G21" s="64"/>
      <c r="H21" s="64"/>
      <c r="I21" s="64" t="s">
        <v>871</v>
      </c>
      <c r="J21" s="59" t="str">
        <f t="shared" si="0"/>
        <v>Insecta.Diptera.Brachycera.Muscomorpha.Muscoidea.Fanniidae.</v>
      </c>
    </row>
    <row r="22" spans="1:10" x14ac:dyDescent="0.3">
      <c r="A22" s="65" t="s">
        <v>37</v>
      </c>
      <c r="B22" s="64" t="s">
        <v>38</v>
      </c>
      <c r="C22" s="64" t="s">
        <v>39</v>
      </c>
      <c r="D22" s="64" t="s">
        <v>870</v>
      </c>
      <c r="E22" s="64" t="s">
        <v>175</v>
      </c>
      <c r="F22" s="64" t="s">
        <v>495</v>
      </c>
      <c r="G22" s="64"/>
      <c r="H22" s="64"/>
      <c r="I22" s="64" t="s">
        <v>871</v>
      </c>
      <c r="J22" s="59" t="str">
        <f t="shared" si="0"/>
        <v>Insecta.Diptera.Brachycera.Muscomorpha.Muscoidea.Muscidae.</v>
      </c>
    </row>
    <row r="23" spans="1:10" x14ac:dyDescent="0.3">
      <c r="A23" s="65" t="s">
        <v>37</v>
      </c>
      <c r="B23" s="64" t="s">
        <v>38</v>
      </c>
      <c r="C23" s="64" t="s">
        <v>39</v>
      </c>
      <c r="D23" s="64" t="s">
        <v>870</v>
      </c>
      <c r="E23" s="64" t="s">
        <v>233</v>
      </c>
      <c r="F23" s="64"/>
      <c r="G23" s="64"/>
      <c r="H23" s="64"/>
      <c r="I23" s="64" t="s">
        <v>871</v>
      </c>
      <c r="J23" s="59" t="str">
        <f t="shared" si="0"/>
        <v>Insecta.Diptera.Brachycera.Muscomorpha.Opomyzoidea..</v>
      </c>
    </row>
    <row r="24" spans="1:10" x14ac:dyDescent="0.3">
      <c r="A24" s="65" t="s">
        <v>37</v>
      </c>
      <c r="B24" s="64" t="s">
        <v>38</v>
      </c>
      <c r="C24" s="64" t="s">
        <v>39</v>
      </c>
      <c r="D24" s="64" t="s">
        <v>870</v>
      </c>
      <c r="E24" s="64" t="s">
        <v>771</v>
      </c>
      <c r="F24" s="64"/>
      <c r="G24" s="64"/>
      <c r="H24" s="64"/>
      <c r="I24" s="64" t="s">
        <v>871</v>
      </c>
      <c r="J24" s="59" t="str">
        <f t="shared" si="0"/>
        <v>Insecta.Diptera.Brachycera.Muscomorpha.Phoroidea..</v>
      </c>
    </row>
    <row r="25" spans="1:10" x14ac:dyDescent="0.3">
      <c r="A25" s="65" t="s">
        <v>37</v>
      </c>
      <c r="B25" s="64" t="s">
        <v>38</v>
      </c>
      <c r="C25" s="64" t="s">
        <v>39</v>
      </c>
      <c r="D25" s="64" t="s">
        <v>870</v>
      </c>
      <c r="E25" s="64" t="s">
        <v>778</v>
      </c>
      <c r="F25" s="64"/>
      <c r="G25" s="64"/>
      <c r="H25" s="64"/>
      <c r="I25" s="64" t="s">
        <v>871</v>
      </c>
      <c r="J25" s="59" t="str">
        <f t="shared" si="0"/>
        <v>Insecta.Diptera.Brachycera.Muscomorpha.Sphaeroceroidea..</v>
      </c>
    </row>
    <row r="26" spans="1:10" x14ac:dyDescent="0.3">
      <c r="A26" s="65" t="s">
        <v>37</v>
      </c>
      <c r="B26" s="64" t="s">
        <v>38</v>
      </c>
      <c r="C26" s="64" t="s">
        <v>39</v>
      </c>
      <c r="D26" s="64" t="s">
        <v>870</v>
      </c>
      <c r="E26" s="64" t="s">
        <v>63</v>
      </c>
      <c r="F26" s="64" t="s">
        <v>64</v>
      </c>
      <c r="G26" s="64"/>
      <c r="H26" s="64"/>
      <c r="I26" s="64" t="s">
        <v>872</v>
      </c>
      <c r="J26" s="59" t="str">
        <f t="shared" si="0"/>
        <v>Insecta.Diptera.Brachycera.Muscomorpha.Ephydroidea.Drosophilidae.</v>
      </c>
    </row>
    <row r="27" spans="1:10" x14ac:dyDescent="0.3">
      <c r="A27" s="65" t="s">
        <v>37</v>
      </c>
      <c r="B27" s="64" t="s">
        <v>38</v>
      </c>
      <c r="C27" s="64" t="s">
        <v>39</v>
      </c>
      <c r="D27" s="64" t="s">
        <v>870</v>
      </c>
      <c r="E27" s="64" t="s">
        <v>63</v>
      </c>
      <c r="F27" s="64" t="s">
        <v>752</v>
      </c>
      <c r="G27" s="64"/>
      <c r="H27" s="64"/>
      <c r="I27" s="64" t="s">
        <v>872</v>
      </c>
      <c r="J27" s="59" t="str">
        <f t="shared" si="0"/>
        <v>Insecta.Diptera.Brachycera.Muscomorpha.Ephydroidea.Ephydroidae.</v>
      </c>
    </row>
    <row r="28" spans="1:10" x14ac:dyDescent="0.3">
      <c r="A28" s="65" t="s">
        <v>37</v>
      </c>
      <c r="B28" s="64" t="s">
        <v>38</v>
      </c>
      <c r="C28" s="64" t="s">
        <v>39</v>
      </c>
      <c r="D28" s="64" t="s">
        <v>870</v>
      </c>
      <c r="E28" s="64" t="s">
        <v>330</v>
      </c>
      <c r="F28" s="64"/>
      <c r="G28" s="64"/>
      <c r="H28" s="64"/>
      <c r="I28" s="64" t="s">
        <v>872</v>
      </c>
      <c r="J28" s="59" t="str">
        <f t="shared" si="0"/>
        <v>Insecta.Diptera.Brachycera.Muscomorpha.Lauxanioidea..</v>
      </c>
    </row>
    <row r="29" spans="1:10" x14ac:dyDescent="0.3">
      <c r="A29" s="65" t="s">
        <v>37</v>
      </c>
      <c r="B29" s="64" t="s">
        <v>38</v>
      </c>
      <c r="C29" s="64" t="s">
        <v>39</v>
      </c>
      <c r="D29" s="64" t="s">
        <v>870</v>
      </c>
      <c r="E29" s="68" t="s">
        <v>452</v>
      </c>
      <c r="F29" s="64" t="s">
        <v>453</v>
      </c>
      <c r="G29" s="64"/>
      <c r="H29" s="64"/>
      <c r="I29" s="64" t="s">
        <v>872</v>
      </c>
      <c r="J29" s="59" t="str">
        <f t="shared" si="0"/>
        <v>Insecta.Diptera.Brachycera.Muscomorpha.Tephritoidea.Pallopteridae.</v>
      </c>
    </row>
    <row r="30" spans="1:10" x14ac:dyDescent="0.3">
      <c r="A30" s="65" t="s">
        <v>37</v>
      </c>
      <c r="B30" s="64" t="s">
        <v>38</v>
      </c>
      <c r="C30" s="64" t="s">
        <v>39</v>
      </c>
      <c r="D30" s="64" t="s">
        <v>870</v>
      </c>
      <c r="E30" s="64" t="s">
        <v>452</v>
      </c>
      <c r="F30" s="64" t="s">
        <v>789</v>
      </c>
      <c r="G30" s="64"/>
      <c r="H30" s="64"/>
      <c r="I30" s="64" t="s">
        <v>872</v>
      </c>
      <c r="J30" s="59" t="str">
        <f t="shared" si="0"/>
        <v>Insecta.Diptera.Brachycera.Muscomorpha.Tephritoidea.Tephritidae.</v>
      </c>
    </row>
    <row r="31" spans="1:10" x14ac:dyDescent="0.3">
      <c r="A31" s="65" t="s">
        <v>37</v>
      </c>
      <c r="B31" s="64" t="s">
        <v>38</v>
      </c>
      <c r="C31" s="64" t="s">
        <v>185</v>
      </c>
      <c r="D31" s="64" t="s">
        <v>883</v>
      </c>
      <c r="E31" s="64" t="s">
        <v>884</v>
      </c>
      <c r="F31" s="64" t="s">
        <v>885</v>
      </c>
      <c r="G31" s="64"/>
      <c r="H31" s="64"/>
      <c r="I31" s="64" t="s">
        <v>886</v>
      </c>
      <c r="J31" s="59" t="str">
        <f t="shared" si="0"/>
        <v>Insecta.Diptera.Nematocera.Bibionomorpha.Anisopodoidea. Anisopodidae.</v>
      </c>
    </row>
    <row r="32" spans="1:10" x14ac:dyDescent="0.3">
      <c r="A32" s="65" t="s">
        <v>37</v>
      </c>
      <c r="B32" s="64" t="s">
        <v>38</v>
      </c>
      <c r="C32" s="64" t="s">
        <v>185</v>
      </c>
      <c r="D32" s="64" t="s">
        <v>883</v>
      </c>
      <c r="E32" s="64" t="s">
        <v>186</v>
      </c>
      <c r="F32" s="64" t="s">
        <v>889</v>
      </c>
      <c r="G32" s="64"/>
      <c r="H32" s="64"/>
      <c r="I32" s="64" t="s">
        <v>886</v>
      </c>
      <c r="J32" s="59" t="str">
        <f t="shared" si="0"/>
        <v>Insecta.Diptera.Nematocera.Bibionomorpha.Sciaroidea. Mycetophilidae.</v>
      </c>
    </row>
    <row r="33" spans="1:10" x14ac:dyDescent="0.3">
      <c r="A33" s="65" t="s">
        <v>37</v>
      </c>
      <c r="B33" s="64" t="s">
        <v>38</v>
      </c>
      <c r="C33" s="64" t="s">
        <v>185</v>
      </c>
      <c r="D33" s="64" t="s">
        <v>883</v>
      </c>
      <c r="E33" s="64" t="s">
        <v>186</v>
      </c>
      <c r="F33" s="64" t="s">
        <v>890</v>
      </c>
      <c r="G33" s="64"/>
      <c r="H33" s="64"/>
      <c r="I33" s="64" t="s">
        <v>886</v>
      </c>
      <c r="J33" s="59" t="str">
        <f t="shared" si="0"/>
        <v>Insecta.Diptera.Nematocera.Bibionomorpha.Sciaroidea.Sciaridae.</v>
      </c>
    </row>
    <row r="34" spans="1:10" x14ac:dyDescent="0.3">
      <c r="A34" s="65" t="s">
        <v>37</v>
      </c>
      <c r="B34" s="64" t="s">
        <v>38</v>
      </c>
      <c r="C34" s="64" t="s">
        <v>39</v>
      </c>
      <c r="D34" s="64" t="s">
        <v>870</v>
      </c>
      <c r="E34" s="64" t="s">
        <v>46</v>
      </c>
      <c r="F34" s="64" t="s">
        <v>47</v>
      </c>
      <c r="G34" s="64"/>
      <c r="H34" s="64"/>
      <c r="I34" s="64" t="s">
        <v>877</v>
      </c>
      <c r="J34" s="59" t="str">
        <f t="shared" si="0"/>
        <v>Insecta.Diptera.Brachycera.Muscomorpha.Syrphoidea.Syrphidae.</v>
      </c>
    </row>
    <row r="35" spans="1:10" x14ac:dyDescent="0.3">
      <c r="A35" s="65" t="s">
        <v>37</v>
      </c>
      <c r="B35" s="64" t="s">
        <v>38</v>
      </c>
      <c r="C35" s="64" t="s">
        <v>39</v>
      </c>
      <c r="D35" s="64" t="s">
        <v>870</v>
      </c>
      <c r="E35" s="64" t="s">
        <v>161</v>
      </c>
      <c r="F35" s="64" t="s">
        <v>639</v>
      </c>
      <c r="G35" s="64"/>
      <c r="H35" s="64"/>
      <c r="I35" s="64" t="s">
        <v>875</v>
      </c>
      <c r="J35" s="59" t="str">
        <f t="shared" si="0"/>
        <v>Insecta.Diptera.Brachycera.Muscomorpha.Sciomyzoidea.Sciomyzidae.</v>
      </c>
    </row>
    <row r="36" spans="1:10" x14ac:dyDescent="0.3">
      <c r="A36" s="65" t="s">
        <v>37</v>
      </c>
      <c r="B36" s="64" t="s">
        <v>38</v>
      </c>
      <c r="C36" s="64" t="s">
        <v>185</v>
      </c>
      <c r="D36" s="64" t="s">
        <v>891</v>
      </c>
      <c r="E36" s="64" t="s">
        <v>797</v>
      </c>
      <c r="F36" s="64"/>
      <c r="G36" s="64"/>
      <c r="H36" s="64"/>
      <c r="I36" s="64" t="s">
        <v>892</v>
      </c>
      <c r="J36" s="59" t="str">
        <f t="shared" si="0"/>
        <v>Insecta.Diptera.Nematocera.Culicomorpha.Chironomoidea..</v>
      </c>
    </row>
    <row r="37" spans="1:10" x14ac:dyDescent="0.3">
      <c r="A37" s="65" t="s">
        <v>37</v>
      </c>
      <c r="B37" s="64" t="s">
        <v>38</v>
      </c>
      <c r="C37" s="64" t="s">
        <v>185</v>
      </c>
      <c r="D37" s="64" t="s">
        <v>891</v>
      </c>
      <c r="E37" s="64" t="s">
        <v>311</v>
      </c>
      <c r="F37" s="64"/>
      <c r="G37" s="64"/>
      <c r="H37" s="64"/>
      <c r="I37" s="64" t="s">
        <v>892</v>
      </c>
      <c r="J37" s="59" t="str">
        <f t="shared" si="0"/>
        <v>Insecta.Diptera.Nematocera.Culicomorpha.Culicoidea..</v>
      </c>
    </row>
    <row r="38" spans="1:10" x14ac:dyDescent="0.3">
      <c r="A38" s="65" t="s">
        <v>37</v>
      </c>
      <c r="B38" s="64" t="s">
        <v>38</v>
      </c>
      <c r="C38" s="64" t="s">
        <v>39</v>
      </c>
      <c r="D38" s="64" t="s">
        <v>867</v>
      </c>
      <c r="E38" s="64" t="s">
        <v>149</v>
      </c>
      <c r="F38" s="64"/>
      <c r="G38" s="64"/>
      <c r="H38" s="64"/>
      <c r="I38" s="64" t="s">
        <v>868</v>
      </c>
      <c r="J38" s="59" t="str">
        <f t="shared" si="0"/>
        <v>Insecta.Diptera.Brachycera.Asilomorpha.Asiloidea..</v>
      </c>
    </row>
    <row r="39" spans="1:10" x14ac:dyDescent="0.3">
      <c r="A39" s="65" t="s">
        <v>37</v>
      </c>
      <c r="B39" s="64" t="s">
        <v>38</v>
      </c>
      <c r="C39" s="64" t="s">
        <v>39</v>
      </c>
      <c r="D39" s="64" t="s">
        <v>870</v>
      </c>
      <c r="E39" s="64" t="s">
        <v>161</v>
      </c>
      <c r="F39" s="64" t="s">
        <v>162</v>
      </c>
      <c r="G39" s="64"/>
      <c r="H39" s="64"/>
      <c r="I39" s="64" t="s">
        <v>876</v>
      </c>
      <c r="J39" s="59" t="str">
        <f t="shared" si="0"/>
        <v>Insecta.Diptera.Brachycera.Muscomorpha.Sciomyzoidea.Sepsidae.</v>
      </c>
    </row>
    <row r="40" spans="1:10" x14ac:dyDescent="0.3">
      <c r="A40" s="65" t="s">
        <v>37</v>
      </c>
      <c r="B40" s="64" t="s">
        <v>38</v>
      </c>
      <c r="C40" s="64" t="s">
        <v>39</v>
      </c>
      <c r="D40" s="64" t="s">
        <v>881</v>
      </c>
      <c r="E40" s="64" t="s">
        <v>642</v>
      </c>
      <c r="F40" s="64" t="s">
        <v>643</v>
      </c>
      <c r="G40" s="64"/>
      <c r="H40" s="64"/>
      <c r="I40" s="64" t="s">
        <v>882</v>
      </c>
      <c r="J40" s="59" t="str">
        <f t="shared" si="0"/>
        <v>Insecta.Diptera.Brachycera.Tabanomorpha.Rhagionoidea.Rhagionidae.</v>
      </c>
    </row>
    <row r="41" spans="1:10" x14ac:dyDescent="0.3">
      <c r="A41" s="65" t="s">
        <v>37</v>
      </c>
      <c r="B41" s="64" t="s">
        <v>38</v>
      </c>
      <c r="C41" s="64" t="s">
        <v>39</v>
      </c>
      <c r="D41" s="64" t="s">
        <v>878</v>
      </c>
      <c r="E41" s="64" t="s">
        <v>405</v>
      </c>
      <c r="F41" s="64" t="s">
        <v>879</v>
      </c>
      <c r="G41" s="64"/>
      <c r="H41" s="64"/>
      <c r="I41" s="64" t="s">
        <v>880</v>
      </c>
      <c r="J41" s="59" t="str">
        <f t="shared" si="0"/>
        <v>Insecta.Diptera.Brachycera.Stratiomyomorpha.Stratiomyoidea.Stratiomyidae.</v>
      </c>
    </row>
    <row r="42" spans="1:10" x14ac:dyDescent="0.3">
      <c r="A42" s="65" t="s">
        <v>37</v>
      </c>
      <c r="B42" s="64" t="s">
        <v>274</v>
      </c>
      <c r="C42" s="64" t="s">
        <v>275</v>
      </c>
      <c r="D42" s="64" t="s">
        <v>806</v>
      </c>
      <c r="E42" s="64" t="s">
        <v>807</v>
      </c>
      <c r="F42" s="64"/>
      <c r="G42" s="64"/>
      <c r="H42" s="64"/>
      <c r="I42" s="64" t="s">
        <v>899</v>
      </c>
      <c r="J42" s="59" t="str">
        <f t="shared" si="0"/>
        <v>Insecta.Hemiptera.Heteroptera.Pentatomomorpha.Lygaeoidea..</v>
      </c>
    </row>
    <row r="43" spans="1:10" x14ac:dyDescent="0.3">
      <c r="A43" s="65" t="s">
        <v>37</v>
      </c>
      <c r="B43" s="64" t="s">
        <v>274</v>
      </c>
      <c r="C43" s="64" t="s">
        <v>275</v>
      </c>
      <c r="D43" s="64" t="s">
        <v>806</v>
      </c>
      <c r="E43" s="64" t="s">
        <v>276</v>
      </c>
      <c r="F43" s="64"/>
      <c r="G43" s="64"/>
      <c r="H43" s="64"/>
      <c r="I43" s="64" t="s">
        <v>899</v>
      </c>
      <c r="J43" s="59" t="str">
        <f t="shared" si="0"/>
        <v>Insecta.Hemiptera.Heteroptera.Pentatomomorpha.Miroidea..</v>
      </c>
    </row>
    <row r="44" spans="1:10" x14ac:dyDescent="0.3">
      <c r="A44" s="65" t="s">
        <v>37</v>
      </c>
      <c r="B44" s="64" t="s">
        <v>274</v>
      </c>
      <c r="C44" s="64" t="s">
        <v>341</v>
      </c>
      <c r="D44" s="64" t="s">
        <v>895</v>
      </c>
      <c r="E44" s="64" t="s">
        <v>896</v>
      </c>
      <c r="F44" s="64"/>
      <c r="G44" s="64"/>
      <c r="H44" s="64"/>
      <c r="I44" s="64" t="s">
        <v>897</v>
      </c>
      <c r="J44" s="59" t="str">
        <f t="shared" si="0"/>
        <v>Insecta.Hemiptera.Auchenorrhyncha.Cicadomorpha.Cicadoidea..</v>
      </c>
    </row>
    <row r="45" spans="1:10" x14ac:dyDescent="0.3">
      <c r="A45" s="65" t="s">
        <v>37</v>
      </c>
      <c r="B45" s="64" t="s">
        <v>274</v>
      </c>
      <c r="C45" s="64" t="s">
        <v>341</v>
      </c>
      <c r="D45" s="64" t="s">
        <v>895</v>
      </c>
      <c r="E45" s="64" t="s">
        <v>802</v>
      </c>
      <c r="F45" s="64"/>
      <c r="G45" s="64"/>
      <c r="H45" s="64"/>
      <c r="I45" s="64" t="s">
        <v>898</v>
      </c>
      <c r="J45" s="59" t="str">
        <f t="shared" si="0"/>
        <v>Insecta.Hemiptera.Auchenorrhyncha.Cicadomorpha.Membracoidea..</v>
      </c>
    </row>
    <row r="46" spans="1:10" x14ac:dyDescent="0.3">
      <c r="A46" s="65" t="s">
        <v>37</v>
      </c>
      <c r="B46" s="64" t="s">
        <v>41</v>
      </c>
      <c r="C46" s="64" t="s">
        <v>42</v>
      </c>
      <c r="D46" s="64" t="s">
        <v>900</v>
      </c>
      <c r="E46" s="64" t="s">
        <v>904</v>
      </c>
      <c r="F46" s="64" t="s">
        <v>120</v>
      </c>
      <c r="G46" s="64"/>
      <c r="H46" s="64"/>
      <c r="I46" s="64" t="s">
        <v>905</v>
      </c>
      <c r="J46" s="59" t="str">
        <f t="shared" si="0"/>
        <v>Insecta.Hymenoptera.Apocrita.Aculeata.Formicoidea.Formicidae.</v>
      </c>
    </row>
    <row r="47" spans="1:10" x14ac:dyDescent="0.3">
      <c r="A47" s="65" t="s">
        <v>37</v>
      </c>
      <c r="B47" s="64" t="s">
        <v>41</v>
      </c>
      <c r="C47" s="64" t="s">
        <v>42</v>
      </c>
      <c r="D47" s="64" t="s">
        <v>900</v>
      </c>
      <c r="E47" s="64" t="s">
        <v>131</v>
      </c>
      <c r="F47" s="64" t="s">
        <v>132</v>
      </c>
      <c r="G47" s="64"/>
      <c r="H47" s="64"/>
      <c r="I47" s="64" t="s">
        <v>901</v>
      </c>
      <c r="J47" s="59" t="str">
        <f t="shared" si="0"/>
        <v>Insecta.Hymenoptera.Apocrita.Aculeata.Apoidea.Apidae.</v>
      </c>
    </row>
    <row r="48" spans="1:10" x14ac:dyDescent="0.3">
      <c r="A48" s="65" t="s">
        <v>37</v>
      </c>
      <c r="B48" s="64" t="s">
        <v>41</v>
      </c>
      <c r="C48" s="64" t="s">
        <v>42</v>
      </c>
      <c r="D48" s="64" t="s">
        <v>900</v>
      </c>
      <c r="E48" s="64" t="s">
        <v>131</v>
      </c>
      <c r="F48" s="64" t="s">
        <v>902</v>
      </c>
      <c r="G48" s="64"/>
      <c r="H48" s="64"/>
      <c r="I48" s="64" t="s">
        <v>903</v>
      </c>
      <c r="J48" s="59" t="str">
        <f t="shared" si="0"/>
        <v>Insecta.Hymenoptera.Apocrita.Aculeata.Apoidea.Sphecidae.</v>
      </c>
    </row>
    <row r="49" spans="1:10" x14ac:dyDescent="0.3">
      <c r="A49" s="65" t="s">
        <v>37</v>
      </c>
      <c r="B49" s="64" t="s">
        <v>41</v>
      </c>
      <c r="C49" s="64" t="s">
        <v>42</v>
      </c>
      <c r="D49" s="64" t="s">
        <v>909</v>
      </c>
      <c r="E49" s="64" t="s">
        <v>71</v>
      </c>
      <c r="F49" s="64" t="s">
        <v>72</v>
      </c>
      <c r="G49" s="64"/>
      <c r="H49" s="64"/>
      <c r="I49" s="64" t="s">
        <v>911</v>
      </c>
      <c r="J49" s="59" t="str">
        <f t="shared" si="0"/>
        <v>Insecta.Hymenoptera.Apocrita.Parasitica.Ichneumonoidea.Ichneumonidae.</v>
      </c>
    </row>
    <row r="50" spans="1:10" x14ac:dyDescent="0.3">
      <c r="A50" s="65" t="s">
        <v>37</v>
      </c>
      <c r="B50" s="64" t="s">
        <v>41</v>
      </c>
      <c r="C50" s="64" t="s">
        <v>42</v>
      </c>
      <c r="D50" s="64" t="s">
        <v>909</v>
      </c>
      <c r="E50" s="64" t="s">
        <v>816</v>
      </c>
      <c r="F50" s="64" t="s">
        <v>817</v>
      </c>
      <c r="G50" s="64"/>
      <c r="H50" s="64"/>
      <c r="I50" s="64" t="s">
        <v>910</v>
      </c>
      <c r="J50" s="59" t="str">
        <f t="shared" si="0"/>
        <v>Insecta.Hymenoptera.Apocrita.Parasitica.Chalcidoidea.Eulophidae.</v>
      </c>
    </row>
    <row r="51" spans="1:10" x14ac:dyDescent="0.3">
      <c r="A51" s="65" t="s">
        <v>37</v>
      </c>
      <c r="B51" s="64" t="s">
        <v>41</v>
      </c>
      <c r="C51" s="64" t="s">
        <v>42</v>
      </c>
      <c r="D51" s="64" t="s">
        <v>909</v>
      </c>
      <c r="E51" s="64" t="s">
        <v>71</v>
      </c>
      <c r="F51" s="64" t="s">
        <v>72</v>
      </c>
      <c r="G51" s="64" t="s">
        <v>325</v>
      </c>
      <c r="H51" s="64"/>
      <c r="I51" s="64" t="s">
        <v>910</v>
      </c>
      <c r="J51" s="59" t="str">
        <f t="shared" si="0"/>
        <v>Insecta.Hymenoptera.Apocrita.Parasitica.Ichneumonoidea.Ichneumonidae.Phygadeuontinae</v>
      </c>
    </row>
    <row r="52" spans="1:10" x14ac:dyDescent="0.3">
      <c r="A52" s="65" t="s">
        <v>37</v>
      </c>
      <c r="B52" s="64" t="s">
        <v>41</v>
      </c>
      <c r="C52" s="64" t="s">
        <v>827</v>
      </c>
      <c r="D52" s="64"/>
      <c r="E52" s="64" t="s">
        <v>828</v>
      </c>
      <c r="F52" s="64" t="s">
        <v>829</v>
      </c>
      <c r="G52" s="64"/>
      <c r="H52" s="64"/>
      <c r="I52" s="64" t="s">
        <v>912</v>
      </c>
      <c r="J52" s="59" t="str">
        <f t="shared" si="0"/>
        <v>Insecta.Hymenoptera.Symphyta..Tenthredinoidea.Tenthredinidae.</v>
      </c>
    </row>
    <row r="53" spans="1:10" x14ac:dyDescent="0.3">
      <c r="A53" s="65" t="s">
        <v>37</v>
      </c>
      <c r="B53" s="64" t="s">
        <v>41</v>
      </c>
      <c r="C53" s="64" t="s">
        <v>42</v>
      </c>
      <c r="D53" s="64" t="s">
        <v>900</v>
      </c>
      <c r="E53" s="64" t="s">
        <v>906</v>
      </c>
      <c r="F53" s="64" t="s">
        <v>461</v>
      </c>
      <c r="G53" s="64"/>
      <c r="H53" s="64"/>
      <c r="I53" s="64" t="s">
        <v>907</v>
      </c>
      <c r="J53" s="59" t="str">
        <f t="shared" si="0"/>
        <v>Insecta.Hymenoptera.Apocrita.Aculeata.Pompiloidea.Pompilidae.</v>
      </c>
    </row>
    <row r="54" spans="1:10" x14ac:dyDescent="0.3">
      <c r="A54" s="65" t="s">
        <v>37</v>
      </c>
      <c r="B54" s="64" t="s">
        <v>41</v>
      </c>
      <c r="C54" s="64" t="s">
        <v>42</v>
      </c>
      <c r="D54" s="64" t="s">
        <v>900</v>
      </c>
      <c r="E54" s="64" t="s">
        <v>119</v>
      </c>
      <c r="F54" s="64" t="s">
        <v>542</v>
      </c>
      <c r="G54" s="64"/>
      <c r="H54" s="64"/>
      <c r="I54" s="64" t="s">
        <v>908</v>
      </c>
      <c r="J54" s="59" t="str">
        <f t="shared" si="0"/>
        <v>Insecta.Hymenoptera.Apocrita.Aculeata.Vespoidea.Vespidae.</v>
      </c>
    </row>
    <row r="55" spans="1:10" x14ac:dyDescent="0.3">
      <c r="A55" s="65" t="s">
        <v>37</v>
      </c>
      <c r="B55" s="64" t="s">
        <v>56</v>
      </c>
      <c r="C55" s="64" t="s">
        <v>57</v>
      </c>
      <c r="D55" s="64" t="s">
        <v>917</v>
      </c>
      <c r="E55" s="64" t="s">
        <v>58</v>
      </c>
      <c r="F55" s="64"/>
      <c r="G55" s="64"/>
      <c r="H55" s="64"/>
      <c r="I55" s="64" t="s">
        <v>918</v>
      </c>
      <c r="J55" s="59" t="str">
        <f t="shared" si="0"/>
        <v>Insecta.Lepidoptera.Glossata.Rhopalocera.Papilionoidea..</v>
      </c>
    </row>
    <row r="56" spans="1:10" x14ac:dyDescent="0.3">
      <c r="A56" s="65" t="s">
        <v>37</v>
      </c>
      <c r="B56" s="64" t="s">
        <v>56</v>
      </c>
      <c r="C56" s="64" t="s">
        <v>57</v>
      </c>
      <c r="D56" s="64" t="s">
        <v>917</v>
      </c>
      <c r="E56" s="64" t="s">
        <v>216</v>
      </c>
      <c r="F56" s="64"/>
      <c r="G56" s="64"/>
      <c r="H56" s="64"/>
      <c r="I56" s="64" t="s">
        <v>918</v>
      </c>
      <c r="J56" s="59" t="str">
        <f t="shared" si="0"/>
        <v>Insecta.Lepidoptera.Glossata.Rhopalocera.Zygaenoidea..</v>
      </c>
    </row>
    <row r="57" spans="1:10" x14ac:dyDescent="0.3">
      <c r="A57" s="65" t="s">
        <v>37</v>
      </c>
      <c r="B57" s="64" t="s">
        <v>56</v>
      </c>
      <c r="C57" s="64" t="s">
        <v>57</v>
      </c>
      <c r="D57" s="64" t="s">
        <v>913</v>
      </c>
      <c r="E57" s="64" t="s">
        <v>257</v>
      </c>
      <c r="F57" s="64"/>
      <c r="G57" s="64"/>
      <c r="H57" s="64"/>
      <c r="I57" s="64" t="s">
        <v>914</v>
      </c>
      <c r="J57" s="59" t="str">
        <f t="shared" si="0"/>
        <v>Insecta.Lepidoptera.Glossata.Heterocera.Gelechioidea..</v>
      </c>
    </row>
    <row r="58" spans="1:10" x14ac:dyDescent="0.3">
      <c r="A58" s="65" t="s">
        <v>37</v>
      </c>
      <c r="B58" s="64" t="s">
        <v>56</v>
      </c>
      <c r="C58" s="64" t="s">
        <v>57</v>
      </c>
      <c r="D58" s="64" t="s">
        <v>913</v>
      </c>
      <c r="E58" s="64" t="s">
        <v>518</v>
      </c>
      <c r="F58" s="64"/>
      <c r="G58" s="64"/>
      <c r="H58" s="64"/>
      <c r="I58" s="64" t="s">
        <v>914</v>
      </c>
      <c r="J58" s="59" t="str">
        <f t="shared" si="0"/>
        <v>Insecta.Lepidoptera.Glossata.Heterocera.Geometroidea..</v>
      </c>
    </row>
    <row r="59" spans="1:10" x14ac:dyDescent="0.3">
      <c r="A59" s="65" t="s">
        <v>37</v>
      </c>
      <c r="B59" s="64" t="s">
        <v>56</v>
      </c>
      <c r="C59" s="64" t="s">
        <v>57</v>
      </c>
      <c r="D59" s="64" t="s">
        <v>913</v>
      </c>
      <c r="E59" s="64" t="s">
        <v>698</v>
      </c>
      <c r="F59" s="64"/>
      <c r="G59" s="64"/>
      <c r="H59" s="64"/>
      <c r="I59" s="64" t="s">
        <v>914</v>
      </c>
      <c r="J59" s="59" t="str">
        <f t="shared" si="0"/>
        <v>Insecta.Lepidoptera.Glossata.Heterocera.Noctuoidea..</v>
      </c>
    </row>
    <row r="60" spans="1:10" x14ac:dyDescent="0.3">
      <c r="A60" s="65" t="s">
        <v>37</v>
      </c>
      <c r="B60" s="64" t="s">
        <v>56</v>
      </c>
      <c r="C60" s="64" t="s">
        <v>57</v>
      </c>
      <c r="D60" s="64" t="s">
        <v>913</v>
      </c>
      <c r="E60" s="64" t="s">
        <v>243</v>
      </c>
      <c r="F60" s="64"/>
      <c r="G60" s="64"/>
      <c r="H60" s="64"/>
      <c r="I60" s="64" t="s">
        <v>914</v>
      </c>
      <c r="J60" s="59" t="str">
        <f t="shared" si="0"/>
        <v>Insecta.Lepidoptera.Glossata.Heterocera.Pyraloidea..</v>
      </c>
    </row>
    <row r="61" spans="1:10" x14ac:dyDescent="0.3">
      <c r="A61" s="65" t="s">
        <v>37</v>
      </c>
      <c r="B61" s="64" t="s">
        <v>56</v>
      </c>
      <c r="C61" s="64" t="s">
        <v>57</v>
      </c>
      <c r="D61" s="64" t="s">
        <v>913</v>
      </c>
      <c r="E61" s="64" t="s">
        <v>836</v>
      </c>
      <c r="F61" s="64"/>
      <c r="G61" s="64"/>
      <c r="H61" s="64" t="s">
        <v>915</v>
      </c>
      <c r="I61" s="64" t="s">
        <v>916</v>
      </c>
      <c r="J61" s="59" t="str">
        <f t="shared" si="0"/>
        <v>Insecta.Lepidoptera.Glossata.Heterocera.Tineoidea..</v>
      </c>
    </row>
    <row r="62" spans="1:10" x14ac:dyDescent="0.3">
      <c r="A62" s="65" t="s">
        <v>37</v>
      </c>
      <c r="B62" s="64" t="s">
        <v>56</v>
      </c>
      <c r="C62" s="64" t="s">
        <v>57</v>
      </c>
      <c r="D62" s="64" t="s">
        <v>913</v>
      </c>
      <c r="E62" s="64" t="s">
        <v>840</v>
      </c>
      <c r="F62" s="64"/>
      <c r="G62" s="64"/>
      <c r="H62" s="64" t="s">
        <v>915</v>
      </c>
      <c r="I62" s="64" t="s">
        <v>916</v>
      </c>
      <c r="J62" s="59" t="str">
        <f t="shared" si="0"/>
        <v>Insecta.Lepidoptera.Glossata.Heterocera.Yponomeutoidea..</v>
      </c>
    </row>
    <row r="63" spans="1:10" x14ac:dyDescent="0.3">
      <c r="A63" s="65" t="s">
        <v>37</v>
      </c>
      <c r="B63" s="64" t="s">
        <v>110</v>
      </c>
      <c r="C63" s="64"/>
      <c r="D63" s="64"/>
      <c r="E63" s="64" t="s">
        <v>111</v>
      </c>
      <c r="F63" s="64" t="s">
        <v>112</v>
      </c>
      <c r="G63" s="64"/>
      <c r="H63" s="64"/>
      <c r="I63" s="64" t="s">
        <v>919</v>
      </c>
      <c r="J63" s="59" t="str">
        <f t="shared" si="0"/>
        <v>Insecta.Mecoptera...Panorpoidea.Panorpidae.</v>
      </c>
    </row>
    <row r="64" spans="1:10" x14ac:dyDescent="0.3">
      <c r="A64" s="65" t="s">
        <v>37</v>
      </c>
      <c r="B64" s="64" t="s">
        <v>360</v>
      </c>
      <c r="C64" s="64" t="s">
        <v>361</v>
      </c>
      <c r="D64" s="64"/>
      <c r="E64" s="64" t="s">
        <v>362</v>
      </c>
      <c r="F64" s="64"/>
      <c r="G64" s="64"/>
      <c r="H64" s="64"/>
      <c r="I64" s="64" t="s">
        <v>1424</v>
      </c>
      <c r="J64" s="59" t="str">
        <f t="shared" si="0"/>
        <v>Insecta.Neuroptera.Hemerobiiformia..Hemerobioidea..</v>
      </c>
    </row>
    <row r="65" spans="1:10" x14ac:dyDescent="0.3">
      <c r="A65" s="65" t="s">
        <v>37</v>
      </c>
      <c r="B65" s="64" t="s">
        <v>360</v>
      </c>
      <c r="C65" s="64" t="s">
        <v>361</v>
      </c>
      <c r="D65" s="64"/>
      <c r="E65" s="64" t="s">
        <v>920</v>
      </c>
      <c r="F65" s="64"/>
      <c r="G65" s="64"/>
      <c r="H65" s="64"/>
      <c r="I65" s="64" t="s">
        <v>1424</v>
      </c>
      <c r="J65" s="59" t="str">
        <f t="shared" si="0"/>
        <v>Insecta.Neuroptera.Hemerobiiformia..Chrysopoidea..</v>
      </c>
    </row>
    <row r="66" spans="1:10" x14ac:dyDescent="0.3">
      <c r="A66" s="65" t="s">
        <v>37</v>
      </c>
      <c r="B66" s="64" t="s">
        <v>123</v>
      </c>
      <c r="C66" s="64" t="s">
        <v>124</v>
      </c>
      <c r="D66" s="64" t="s">
        <v>845</v>
      </c>
      <c r="E66" s="64" t="s">
        <v>125</v>
      </c>
      <c r="F66" s="64"/>
      <c r="G66" s="64"/>
      <c r="H66" s="64"/>
      <c r="I66" s="64" t="s">
        <v>921</v>
      </c>
      <c r="J66" s="59" t="str">
        <f t="shared" si="0"/>
        <v>Insecta.Orthoptera.Caelifera.Acrididea.Acridoidea..</v>
      </c>
    </row>
    <row r="67" spans="1:10" x14ac:dyDescent="0.3">
      <c r="A67" s="65" t="s">
        <v>37</v>
      </c>
      <c r="B67" s="64" t="s">
        <v>123</v>
      </c>
      <c r="C67" s="64" t="s">
        <v>287</v>
      </c>
      <c r="D67" s="64" t="s">
        <v>846</v>
      </c>
      <c r="E67" s="64" t="s">
        <v>288</v>
      </c>
      <c r="F67" s="64"/>
      <c r="G67" s="64"/>
      <c r="H67" s="64"/>
      <c r="I67" s="64" t="s">
        <v>921</v>
      </c>
      <c r="J67" s="59" t="str">
        <f t="shared" ref="J67:J70" si="1">+_xlfn.CONCAT(A67,".",B67,".",C67,".",D67,".",E67,".",F67,".",G67)</f>
        <v>Insecta.Orthoptera.Ensifera.Tettigoniidea.Tettigonioidea..</v>
      </c>
    </row>
    <row r="68" spans="1:10" x14ac:dyDescent="0.3">
      <c r="A68" s="65" t="s">
        <v>37</v>
      </c>
      <c r="B68" s="64" t="s">
        <v>849</v>
      </c>
      <c r="C68" s="64" t="s">
        <v>850</v>
      </c>
      <c r="D68" s="64" t="s">
        <v>851</v>
      </c>
      <c r="E68" s="64" t="s">
        <v>852</v>
      </c>
      <c r="F68" s="64"/>
      <c r="G68" s="64"/>
      <c r="H68" s="64"/>
      <c r="I68" s="64" t="s">
        <v>922</v>
      </c>
      <c r="J68" s="59" t="str">
        <f t="shared" si="1"/>
        <v>Insecta.Trichoptera.Integripalpia.Plenitentoria.Limnephiloidea..</v>
      </c>
    </row>
    <row r="69" spans="1:10" x14ac:dyDescent="0.3">
      <c r="A69" s="65" t="s">
        <v>37</v>
      </c>
      <c r="B69" s="64"/>
      <c r="C69" s="64"/>
      <c r="D69" s="64"/>
      <c r="E69" s="64"/>
      <c r="F69" s="64"/>
      <c r="G69" s="64"/>
      <c r="H69" s="64" t="s">
        <v>859</v>
      </c>
      <c r="I69" s="64" t="s">
        <v>860</v>
      </c>
      <c r="J69" s="59" t="str">
        <f t="shared" si="1"/>
        <v>Insecta......</v>
      </c>
    </row>
    <row r="70" spans="1:10" x14ac:dyDescent="0.3">
      <c r="A70" s="65" t="s">
        <v>37</v>
      </c>
      <c r="B70" s="64"/>
      <c r="C70" s="64"/>
      <c r="D70" s="64"/>
      <c r="E70" s="64"/>
      <c r="F70" s="64"/>
      <c r="G70" s="64"/>
      <c r="H70" s="64" t="s">
        <v>859</v>
      </c>
      <c r="I70" s="64" t="s">
        <v>860</v>
      </c>
      <c r="J70" s="59" t="str">
        <f t="shared" si="1"/>
        <v>Insecta......</v>
      </c>
    </row>
  </sheetData>
  <conditionalFormatting sqref="A68:C70">
    <cfRule type="cellIs" dxfId="5" priority="1" operator="equal">
      <formula>"#N/C"</formula>
    </cfRule>
  </conditionalFormatting>
  <conditionalFormatting sqref="A66:E66 A67:D67">
    <cfRule type="cellIs" dxfId="4" priority="3" operator="equal">
      <formula>"#N/C"</formula>
    </cfRule>
  </conditionalFormatting>
  <conditionalFormatting sqref="A1:G2 F3:G4 A3:E6 F5:F7 G5:G40 A7:D7 A8:F40 A41:G59 A60:E65 F60:F68 G60:G70 E67 D68:E68 D69:F70 A71:G1048576">
    <cfRule type="cellIs" dxfId="3" priority="4" operator="equal">
      <formula>"#N/C"</formula>
    </cfRule>
  </conditionalFormatting>
  <conditionalFormatting sqref="D66:D67">
    <cfRule type="cellIs" dxfId="2" priority="2" operator="equal">
      <formula>"ERROR"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72"/>
  <sheetViews>
    <sheetView topLeftCell="A474" workbookViewId="0">
      <selection activeCell="K493" sqref="K493"/>
    </sheetView>
  </sheetViews>
  <sheetFormatPr baseColWidth="10" defaultColWidth="11.44140625" defaultRowHeight="14.4" x14ac:dyDescent="0.3"/>
  <cols>
    <col min="1" max="1" width="10.109375" style="1" bestFit="1" customWidth="1"/>
    <col min="2" max="4" width="10.109375" style="1" customWidth="1"/>
    <col min="5" max="6" width="23.88671875" style="3" customWidth="1"/>
    <col min="7" max="16384" width="11.44140625" style="3"/>
  </cols>
  <sheetData>
    <row r="1" spans="1:10" x14ac:dyDescent="0.3">
      <c r="A1" s="35" t="s">
        <v>1</v>
      </c>
      <c r="B1" s="35" t="s">
        <v>923</v>
      </c>
      <c r="C1" s="35" t="s">
        <v>924</v>
      </c>
      <c r="D1" s="70" t="s">
        <v>925</v>
      </c>
      <c r="E1" s="21" t="s">
        <v>926</v>
      </c>
      <c r="F1" s="21" t="s">
        <v>927</v>
      </c>
      <c r="G1" s="38" t="s">
        <v>9</v>
      </c>
      <c r="H1" s="38" t="s">
        <v>928</v>
      </c>
      <c r="I1" s="21" t="s">
        <v>929</v>
      </c>
      <c r="J1" s="21" t="s">
        <v>930</v>
      </c>
    </row>
    <row r="2" spans="1:10" x14ac:dyDescent="0.3">
      <c r="A2" s="1">
        <f>VALUE(MID(F2,1,10))</f>
        <v>44389</v>
      </c>
      <c r="B2" s="36">
        <f>IF(ISBLANK(F2),"",TIME(LEFT(RIGHT(F2,8),2),LEFT(RIGHT(F2,5),2),RIGHT(F2,2)))</f>
        <v>0.5846527777777778</v>
      </c>
      <c r="C2" s="36">
        <f t="shared" ref="C2" si="0">+A2+B2</f>
        <v>44389.584652777776</v>
      </c>
      <c r="D2" s="71" t="str">
        <f>+_xlfn.CONCAT(YEAR(A2),"-",TEXT(MONTH(A2),"00"),"-",TEXT(DAY(A2),"00"))</f>
        <v>2021-07-12</v>
      </c>
      <c r="E2" s="38" t="s">
        <v>931</v>
      </c>
      <c r="F2" s="37" t="str">
        <f t="shared" ref="F2:F65" si="1">+LEFT(E2,19)</f>
        <v>2021-07-12_14-01-54</v>
      </c>
      <c r="G2" s="39">
        <v>5896484</v>
      </c>
      <c r="H2" s="40">
        <v>7042916</v>
      </c>
      <c r="I2" s="21" t="str">
        <f>IF(OR(COUNTIF(Monitoring!C:C, F2) &gt; 0, COUNTIF(Monitoring!F:F, F2) &gt; 0), "yes", "no")</f>
        <v>yes</v>
      </c>
      <c r="J2" s="72" t="str">
        <f t="shared" ref="J2:J65" si="2">HYPERLINK(_xlfn.CONCAT("Z:\FAIR_Device_data\Experiment_JulAug_2021","\","Video_captures","\",D2,"\",E2))</f>
        <v>Z:\FAIR_Device_data\Experiment_JulAug_2021\Video_captures\2021-07-12\2021-07-12_14-01-54.mp4</v>
      </c>
    </row>
    <row r="3" spans="1:10" x14ac:dyDescent="0.3">
      <c r="A3" s="1">
        <f t="shared" ref="A3:A66" si="3">VALUE(MID(F3,1,10))</f>
        <v>44389</v>
      </c>
      <c r="B3" s="36">
        <f t="shared" ref="B3:B66" si="4">IF(ISBLANK(F3),"",TIME(LEFT(RIGHT(F3,8),2),LEFT(RIGHT(F3,5),2),RIGHT(F3,2)))</f>
        <v>0.58528935185185182</v>
      </c>
      <c r="C3" s="36">
        <f t="shared" ref="C3:C66" si="5">+A3+B3</f>
        <v>44389.585289351853</v>
      </c>
      <c r="D3" s="71" t="str">
        <f t="shared" ref="D3:D66" si="6">+_xlfn.CONCAT(YEAR(A3),"-",TEXT(MONTH(A3),"00"),"-",TEXT(DAY(A3),"00"))</f>
        <v>2021-07-12</v>
      </c>
      <c r="E3" s="38" t="s">
        <v>932</v>
      </c>
      <c r="F3" s="37" t="str">
        <f t="shared" si="1"/>
        <v>2021-07-12_14-02-49</v>
      </c>
      <c r="G3" s="39">
        <v>7532682</v>
      </c>
      <c r="H3" s="40">
        <v>9211275</v>
      </c>
      <c r="I3" s="21" t="str">
        <f>IF(OR(COUNTIF(Monitoring!C:C, F3) &gt; 0, COUNTIF(Monitoring!F:F, F3) &gt; 0), "yes", "no")</f>
        <v>no</v>
      </c>
      <c r="J3" s="72" t="str">
        <f t="shared" si="2"/>
        <v>Z:\FAIR_Device_data\Experiment_JulAug_2021\Video_captures\2021-07-12\2021-07-12_14-02-49.mp4</v>
      </c>
    </row>
    <row r="4" spans="1:10" x14ac:dyDescent="0.3">
      <c r="A4" s="1">
        <f t="shared" si="3"/>
        <v>44389</v>
      </c>
      <c r="B4" s="36">
        <f t="shared" si="4"/>
        <v>0.58597222222222223</v>
      </c>
      <c r="C4" s="36">
        <f t="shared" si="5"/>
        <v>44389.585972222223</v>
      </c>
      <c r="D4" s="71" t="str">
        <f t="shared" si="6"/>
        <v>2021-07-12</v>
      </c>
      <c r="E4" s="38" t="s">
        <v>933</v>
      </c>
      <c r="F4" s="37" t="str">
        <f t="shared" si="1"/>
        <v>2021-07-12_14-03-48</v>
      </c>
      <c r="G4" s="39">
        <v>5563607</v>
      </c>
      <c r="H4" s="40">
        <v>6703183</v>
      </c>
      <c r="I4" s="21" t="str">
        <f>IF(OR(COUNTIF(Monitoring!C:C, F4) &gt; 0, COUNTIF(Monitoring!F:F, F4) &gt; 0), "yes", "no")</f>
        <v>yes</v>
      </c>
      <c r="J4" s="72" t="str">
        <f t="shared" si="2"/>
        <v>Z:\FAIR_Device_data\Experiment_JulAug_2021\Video_captures\2021-07-12\2021-07-12_14-03-48.mp4</v>
      </c>
    </row>
    <row r="5" spans="1:10" x14ac:dyDescent="0.3">
      <c r="A5" s="1">
        <f t="shared" si="3"/>
        <v>44389</v>
      </c>
      <c r="B5" s="36">
        <f t="shared" si="4"/>
        <v>0.62450231481481477</v>
      </c>
      <c r="C5" s="36">
        <f t="shared" si="5"/>
        <v>44389.624502314815</v>
      </c>
      <c r="D5" s="71" t="str">
        <f t="shared" si="6"/>
        <v>2021-07-12</v>
      </c>
      <c r="E5" s="38" t="s">
        <v>934</v>
      </c>
      <c r="F5" s="37" t="str">
        <f t="shared" si="1"/>
        <v>2021-07-12_14-59-17</v>
      </c>
      <c r="G5" s="39">
        <v>4621549</v>
      </c>
      <c r="H5" s="40">
        <v>5333515</v>
      </c>
      <c r="I5" s="21" t="str">
        <f>IF(OR(COUNTIF(Monitoring!C:C, F5) &gt; 0, COUNTIF(Monitoring!F:F, F5) &gt; 0), "yes", "no")</f>
        <v>yes</v>
      </c>
      <c r="J5" s="72" t="str">
        <f t="shared" si="2"/>
        <v>Z:\FAIR_Device_data\Experiment_JulAug_2021\Video_captures\2021-07-12\2021-07-12_14-59-17.mp4</v>
      </c>
    </row>
    <row r="6" spans="1:10" x14ac:dyDescent="0.3">
      <c r="A6" s="1">
        <f t="shared" si="3"/>
        <v>44389</v>
      </c>
      <c r="B6" s="36">
        <f t="shared" si="4"/>
        <v>0.62876157407407407</v>
      </c>
      <c r="C6" s="36">
        <f t="shared" si="5"/>
        <v>44389.628761574073</v>
      </c>
      <c r="D6" s="71" t="str">
        <f t="shared" si="6"/>
        <v>2021-07-12</v>
      </c>
      <c r="E6" s="38" t="s">
        <v>935</v>
      </c>
      <c r="F6" s="37" t="str">
        <f t="shared" si="1"/>
        <v>2021-07-12_15-05-25</v>
      </c>
      <c r="G6" s="39">
        <v>19913607</v>
      </c>
      <c r="H6" s="40">
        <v>23708787</v>
      </c>
      <c r="I6" s="21" t="str">
        <f>IF(OR(COUNTIF(Monitoring!C:C, F6) &gt; 0, COUNTIF(Monitoring!F:F, F6) &gt; 0), "yes", "no")</f>
        <v>yes</v>
      </c>
      <c r="J6" s="72" t="str">
        <f t="shared" si="2"/>
        <v>Z:\FAIR_Device_data\Experiment_JulAug_2021\Video_captures\2021-07-12\2021-07-12_15-05-25.mp4</v>
      </c>
    </row>
    <row r="7" spans="1:10" x14ac:dyDescent="0.3">
      <c r="A7" s="1">
        <f t="shared" si="3"/>
        <v>44389</v>
      </c>
      <c r="B7" s="36">
        <f t="shared" si="4"/>
        <v>0.63880787037037035</v>
      </c>
      <c r="C7" s="36">
        <f t="shared" si="5"/>
        <v>44389.638807870368</v>
      </c>
      <c r="D7" s="71" t="str">
        <f t="shared" si="6"/>
        <v>2021-07-12</v>
      </c>
      <c r="E7" s="38" t="s">
        <v>936</v>
      </c>
      <c r="F7" s="37" t="str">
        <f t="shared" si="1"/>
        <v>2021-07-12_15-19-53</v>
      </c>
      <c r="G7" s="39">
        <v>4903971</v>
      </c>
      <c r="H7" s="40">
        <v>5834986</v>
      </c>
      <c r="I7" s="21" t="str">
        <f>IF(OR(COUNTIF(Monitoring!C:C, F7) &gt; 0, COUNTIF(Monitoring!F:F, F7) &gt; 0), "yes", "no")</f>
        <v>yes</v>
      </c>
      <c r="J7" s="72" t="str">
        <f t="shared" si="2"/>
        <v>Z:\FAIR_Device_data\Experiment_JulAug_2021\Video_captures\2021-07-12\2021-07-12_15-19-53.mp4</v>
      </c>
    </row>
    <row r="8" spans="1:10" x14ac:dyDescent="0.3">
      <c r="A8" s="1">
        <f t="shared" si="3"/>
        <v>44389</v>
      </c>
      <c r="B8" s="36">
        <f t="shared" si="4"/>
        <v>0.65008101851851852</v>
      </c>
      <c r="C8" s="36">
        <f t="shared" si="5"/>
        <v>44389.650081018517</v>
      </c>
      <c r="D8" s="71" t="str">
        <f t="shared" si="6"/>
        <v>2021-07-12</v>
      </c>
      <c r="E8" s="38" t="s">
        <v>937</v>
      </c>
      <c r="F8" s="37" t="str">
        <f t="shared" si="1"/>
        <v>2021-07-12_15-36-07</v>
      </c>
      <c r="G8" s="39">
        <v>10867578</v>
      </c>
      <c r="H8" s="40">
        <v>13066759</v>
      </c>
      <c r="I8" s="21" t="str">
        <f>IF(OR(COUNTIF(Monitoring!C:C, F8) &gt; 0, COUNTIF(Monitoring!F:F, F8) &gt; 0), "yes", "no")</f>
        <v>yes</v>
      </c>
      <c r="J8" s="72" t="str">
        <f t="shared" si="2"/>
        <v>Z:\FAIR_Device_data\Experiment_JulAug_2021\Video_captures\2021-07-12\2021-07-12_15-36-07.mp4</v>
      </c>
    </row>
    <row r="9" spans="1:10" x14ac:dyDescent="0.3">
      <c r="A9" s="1">
        <f t="shared" si="3"/>
        <v>44389</v>
      </c>
      <c r="B9" s="36">
        <f t="shared" si="4"/>
        <v>0.65494212962962961</v>
      </c>
      <c r="C9" s="36">
        <f t="shared" si="5"/>
        <v>44389.654942129629</v>
      </c>
      <c r="D9" s="71" t="str">
        <f t="shared" si="6"/>
        <v>2021-07-12</v>
      </c>
      <c r="E9" s="38" t="s">
        <v>938</v>
      </c>
      <c r="F9" s="37" t="str">
        <f t="shared" si="1"/>
        <v>2021-07-12_15-43-07</v>
      </c>
      <c r="G9" s="39">
        <v>5565365</v>
      </c>
      <c r="H9" s="40">
        <v>6644701</v>
      </c>
      <c r="I9" s="21" t="str">
        <f>IF(OR(COUNTIF(Monitoring!C:C, F9) &gt; 0, COUNTIF(Monitoring!F:F, F9) &gt; 0), "yes", "no")</f>
        <v>yes</v>
      </c>
      <c r="J9" s="72" t="str">
        <f t="shared" si="2"/>
        <v>Z:\FAIR_Device_data\Experiment_JulAug_2021\Video_captures\2021-07-12\2021-07-12_15-43-07.mp4</v>
      </c>
    </row>
    <row r="10" spans="1:10" x14ac:dyDescent="0.3">
      <c r="A10" s="1">
        <f t="shared" si="3"/>
        <v>44389</v>
      </c>
      <c r="B10" s="36">
        <f t="shared" si="4"/>
        <v>0.65586805555555561</v>
      </c>
      <c r="C10" s="36">
        <f t="shared" si="5"/>
        <v>44389.655868055554</v>
      </c>
      <c r="D10" s="71" t="str">
        <f t="shared" si="6"/>
        <v>2021-07-12</v>
      </c>
      <c r="E10" s="38" t="s">
        <v>939</v>
      </c>
      <c r="F10" s="37" t="str">
        <f t="shared" si="1"/>
        <v>2021-07-12_15-44-27</v>
      </c>
      <c r="G10" s="39">
        <v>4557943</v>
      </c>
      <c r="H10" s="40">
        <v>5440487</v>
      </c>
      <c r="I10" s="21" t="str">
        <f>IF(OR(COUNTIF(Monitoring!C:C, F10) &gt; 0, COUNTIF(Monitoring!F:F, F10) &gt; 0), "yes", "no")</f>
        <v>yes</v>
      </c>
      <c r="J10" s="72" t="str">
        <f t="shared" si="2"/>
        <v>Z:\FAIR_Device_data\Experiment_JulAug_2021\Video_captures\2021-07-12\2021-07-12_15-44-27.mp4</v>
      </c>
    </row>
    <row r="11" spans="1:10" x14ac:dyDescent="0.3">
      <c r="A11" s="1">
        <f t="shared" si="3"/>
        <v>44389</v>
      </c>
      <c r="B11" s="36">
        <f t="shared" si="4"/>
        <v>0.66810185185185189</v>
      </c>
      <c r="C11" s="36">
        <f t="shared" si="5"/>
        <v>44389.66810185185</v>
      </c>
      <c r="D11" s="71" t="str">
        <f t="shared" si="6"/>
        <v>2021-07-12</v>
      </c>
      <c r="E11" s="38" t="s">
        <v>940</v>
      </c>
      <c r="F11" s="37" t="str">
        <f t="shared" si="1"/>
        <v>2021-07-12_16-02-04</v>
      </c>
      <c r="G11" s="39">
        <v>4904297</v>
      </c>
      <c r="H11" s="40">
        <v>5846543</v>
      </c>
      <c r="I11" s="21" t="str">
        <f>IF(OR(COUNTIF(Monitoring!C:C, F11) &gt; 0, COUNTIF(Monitoring!F:F, F11) &gt; 0), "yes", "no")</f>
        <v>yes</v>
      </c>
      <c r="J11" s="72" t="str">
        <f t="shared" si="2"/>
        <v>Z:\FAIR_Device_data\Experiment_JulAug_2021\Video_captures\2021-07-12\2021-07-12_16-02-04.mp4</v>
      </c>
    </row>
    <row r="12" spans="1:10" x14ac:dyDescent="0.3">
      <c r="A12" s="1">
        <f t="shared" si="3"/>
        <v>44389</v>
      </c>
      <c r="B12" s="36">
        <f t="shared" si="4"/>
        <v>0.66858796296296297</v>
      </c>
      <c r="C12" s="36">
        <f t="shared" si="5"/>
        <v>44389.668587962966</v>
      </c>
      <c r="D12" s="71" t="str">
        <f t="shared" si="6"/>
        <v>2021-07-12</v>
      </c>
      <c r="E12" s="38" t="s">
        <v>941</v>
      </c>
      <c r="F12" s="37" t="str">
        <f t="shared" si="1"/>
        <v>2021-07-12_16-02-46</v>
      </c>
      <c r="G12" s="39">
        <v>150109961</v>
      </c>
      <c r="H12" s="40">
        <v>179019283</v>
      </c>
      <c r="I12" s="21" t="str">
        <f>IF(OR(COUNTIF(Monitoring!C:C, F12) &gt; 0, COUNTIF(Monitoring!F:F, F12) &gt; 0), "yes", "no")</f>
        <v>yes</v>
      </c>
      <c r="J12" s="72" t="str">
        <f t="shared" si="2"/>
        <v>Z:\FAIR_Device_data\Experiment_JulAug_2021\Video_captures\2021-07-12\2021-07-12_16-02-46.mp4</v>
      </c>
    </row>
    <row r="13" spans="1:10" x14ac:dyDescent="0.3">
      <c r="A13" s="1">
        <f t="shared" si="3"/>
        <v>44389</v>
      </c>
      <c r="B13" s="36">
        <f t="shared" si="4"/>
        <v>0.70534722222222224</v>
      </c>
      <c r="C13" s="36">
        <f t="shared" si="5"/>
        <v>44389.705347222225</v>
      </c>
      <c r="D13" s="71" t="str">
        <f t="shared" si="6"/>
        <v>2021-07-12</v>
      </c>
      <c r="E13" s="38" t="s">
        <v>942</v>
      </c>
      <c r="F13" s="37" t="str">
        <f t="shared" si="1"/>
        <v>2021-07-12_16-55-42</v>
      </c>
      <c r="G13" s="39">
        <v>14204427</v>
      </c>
      <c r="H13" s="40">
        <v>16984086</v>
      </c>
      <c r="I13" s="21" t="str">
        <f>IF(OR(COUNTIF(Monitoring!C:C, F13) &gt; 0, COUNTIF(Monitoring!F:F, F13) &gt; 0), "yes", "no")</f>
        <v>yes</v>
      </c>
      <c r="J13" s="72" t="str">
        <f t="shared" si="2"/>
        <v>Z:\FAIR_Device_data\Experiment_JulAug_2021\Video_captures\2021-07-12\2021-07-12_16-55-42.mp4</v>
      </c>
    </row>
    <row r="14" spans="1:10" x14ac:dyDescent="0.3">
      <c r="A14" s="1">
        <f t="shared" si="3"/>
        <v>44389</v>
      </c>
      <c r="B14" s="36">
        <f t="shared" si="4"/>
        <v>0.71104166666666668</v>
      </c>
      <c r="C14" s="36">
        <f t="shared" si="5"/>
        <v>44389.711041666669</v>
      </c>
      <c r="D14" s="71" t="str">
        <f t="shared" si="6"/>
        <v>2021-07-12</v>
      </c>
      <c r="E14" s="38" t="s">
        <v>943</v>
      </c>
      <c r="F14" s="37" t="str">
        <f t="shared" si="1"/>
        <v>2021-07-12_17-03-54</v>
      </c>
      <c r="G14" s="39">
        <v>14150195</v>
      </c>
      <c r="H14" s="40">
        <v>16891120</v>
      </c>
      <c r="I14" s="21" t="str">
        <f>IF(OR(COUNTIF(Monitoring!C:C, F14) &gt; 0, COUNTIF(Monitoring!F:F, F14) &gt; 0), "yes", "no")</f>
        <v>yes</v>
      </c>
      <c r="J14" s="72" t="str">
        <f t="shared" si="2"/>
        <v>Z:\FAIR_Device_data\Experiment_JulAug_2021\Video_captures\2021-07-12\2021-07-12_17-03-54.mp4</v>
      </c>
    </row>
    <row r="15" spans="1:10" x14ac:dyDescent="0.3">
      <c r="A15" s="1">
        <f t="shared" si="3"/>
        <v>44389</v>
      </c>
      <c r="B15" s="36">
        <f t="shared" si="4"/>
        <v>0.71851851851851856</v>
      </c>
      <c r="C15" s="36">
        <f t="shared" si="5"/>
        <v>44389.718518518515</v>
      </c>
      <c r="D15" s="71" t="str">
        <f t="shared" si="6"/>
        <v>2021-07-12</v>
      </c>
      <c r="E15" s="38" t="s">
        <v>944</v>
      </c>
      <c r="F15" s="37" t="str">
        <f t="shared" si="1"/>
        <v>2021-07-12_17-14-40</v>
      </c>
      <c r="G15" s="39">
        <v>10559701</v>
      </c>
      <c r="H15" s="40">
        <v>12588511</v>
      </c>
      <c r="I15" s="21" t="str">
        <f>IF(OR(COUNTIF(Monitoring!C:C, F15) &gt; 0, COUNTIF(Monitoring!F:F, F15) &gt; 0), "yes", "no")</f>
        <v>yes</v>
      </c>
      <c r="J15" s="72" t="str">
        <f t="shared" si="2"/>
        <v>Z:\FAIR_Device_data\Experiment_JulAug_2021\Video_captures\2021-07-12\2021-07-12_17-14-40.mp4</v>
      </c>
    </row>
    <row r="16" spans="1:10" x14ac:dyDescent="0.3">
      <c r="A16" s="1">
        <f t="shared" si="3"/>
        <v>44389</v>
      </c>
      <c r="B16" s="36">
        <f t="shared" si="4"/>
        <v>0.72137731481481482</v>
      </c>
      <c r="C16" s="36">
        <f t="shared" si="5"/>
        <v>44389.721377314818</v>
      </c>
      <c r="D16" s="71" t="str">
        <f t="shared" si="6"/>
        <v>2021-07-12</v>
      </c>
      <c r="E16" s="38" t="s">
        <v>945</v>
      </c>
      <c r="F16" s="37" t="str">
        <f t="shared" si="1"/>
        <v>2021-07-12_17-18-47</v>
      </c>
      <c r="G16" s="39">
        <v>6563086</v>
      </c>
      <c r="H16" s="40">
        <v>7701569</v>
      </c>
      <c r="I16" s="21" t="str">
        <f>IF(OR(COUNTIF(Monitoring!C:C, F16) &gt; 0, COUNTIF(Monitoring!F:F, F16) &gt; 0), "yes", "no")</f>
        <v>yes</v>
      </c>
      <c r="J16" s="72" t="str">
        <f t="shared" si="2"/>
        <v>Z:\FAIR_Device_data\Experiment_JulAug_2021\Video_captures\2021-07-12\2021-07-12_17-18-47.mp4</v>
      </c>
    </row>
    <row r="17" spans="1:10" x14ac:dyDescent="0.3">
      <c r="A17" s="1">
        <f t="shared" si="3"/>
        <v>44389</v>
      </c>
      <c r="B17" s="36">
        <f t="shared" si="4"/>
        <v>0.72921296296296301</v>
      </c>
      <c r="C17" s="36">
        <f t="shared" si="5"/>
        <v>44389.729212962964</v>
      </c>
      <c r="D17" s="71" t="str">
        <f t="shared" si="6"/>
        <v>2021-07-12</v>
      </c>
      <c r="E17" s="38" t="s">
        <v>946</v>
      </c>
      <c r="F17" s="37" t="str">
        <f t="shared" si="1"/>
        <v>2021-07-12_17-30-04</v>
      </c>
      <c r="G17" s="39">
        <v>4330990</v>
      </c>
      <c r="H17" s="40">
        <v>5136351</v>
      </c>
      <c r="I17" s="21" t="str">
        <f>IF(OR(COUNTIF(Monitoring!C:C, F17) &gt; 0, COUNTIF(Monitoring!F:F, F17) &gt; 0), "yes", "no")</f>
        <v>yes</v>
      </c>
      <c r="J17" s="72" t="str">
        <f t="shared" si="2"/>
        <v>Z:\FAIR_Device_data\Experiment_JulAug_2021\Video_captures\2021-07-12\2021-07-12_17-30-04.mp4</v>
      </c>
    </row>
    <row r="18" spans="1:10" x14ac:dyDescent="0.3">
      <c r="A18" s="1">
        <f t="shared" si="3"/>
        <v>44389</v>
      </c>
      <c r="B18" s="36">
        <f t="shared" si="4"/>
        <v>0.72980324074074077</v>
      </c>
      <c r="C18" s="36">
        <f t="shared" si="5"/>
        <v>44389.729803240742</v>
      </c>
      <c r="D18" s="71" t="str">
        <f t="shared" si="6"/>
        <v>2021-07-12</v>
      </c>
      <c r="E18" s="38" t="s">
        <v>947</v>
      </c>
      <c r="F18" s="37" t="str">
        <f t="shared" si="1"/>
        <v>2021-07-12_17-30-55</v>
      </c>
      <c r="G18" s="39">
        <v>4895247</v>
      </c>
      <c r="H18" s="40">
        <v>5910495</v>
      </c>
      <c r="I18" s="21" t="str">
        <f>IF(OR(COUNTIF(Monitoring!C:C, F18) &gt; 0, COUNTIF(Monitoring!F:F, F18) &gt; 0), "yes", "no")</f>
        <v>yes</v>
      </c>
      <c r="J18" s="72" t="str">
        <f t="shared" si="2"/>
        <v>Z:\FAIR_Device_data\Experiment_JulAug_2021\Video_captures\2021-07-12\2021-07-12_17-30-55.mp4</v>
      </c>
    </row>
    <row r="19" spans="1:10" x14ac:dyDescent="0.3">
      <c r="A19" s="1">
        <f t="shared" si="3"/>
        <v>44389</v>
      </c>
      <c r="B19" s="36">
        <f t="shared" si="4"/>
        <v>0.73932870370370374</v>
      </c>
      <c r="C19" s="36">
        <f t="shared" si="5"/>
        <v>44389.739328703705</v>
      </c>
      <c r="D19" s="71" t="str">
        <f t="shared" si="6"/>
        <v>2021-07-12</v>
      </c>
      <c r="E19" s="38" t="s">
        <v>948</v>
      </c>
      <c r="F19" s="37" t="str">
        <f t="shared" si="1"/>
        <v>2021-07-12_17-44-38</v>
      </c>
      <c r="G19" s="39">
        <v>5531250</v>
      </c>
      <c r="H19" s="40">
        <v>6529160</v>
      </c>
      <c r="I19" s="21" t="str">
        <f>IF(OR(COUNTIF(Monitoring!C:C, F19) &gt; 0, COUNTIF(Monitoring!F:F, F19) &gt; 0), "yes", "no")</f>
        <v>yes</v>
      </c>
      <c r="J19" s="72" t="str">
        <f t="shared" si="2"/>
        <v>Z:\FAIR_Device_data\Experiment_JulAug_2021\Video_captures\2021-07-12\2021-07-12_17-44-38.mp4</v>
      </c>
    </row>
    <row r="20" spans="1:10" x14ac:dyDescent="0.3">
      <c r="A20" s="1">
        <f t="shared" si="3"/>
        <v>44389</v>
      </c>
      <c r="B20" s="36">
        <f t="shared" si="4"/>
        <v>0.73979166666666663</v>
      </c>
      <c r="C20" s="36">
        <f t="shared" si="5"/>
        <v>44389.739791666667</v>
      </c>
      <c r="D20" s="71" t="str">
        <f t="shared" si="6"/>
        <v>2021-07-12</v>
      </c>
      <c r="E20" s="38" t="s">
        <v>949</v>
      </c>
      <c r="F20" s="37" t="str">
        <f t="shared" si="1"/>
        <v>2021-07-12_17-45-18</v>
      </c>
      <c r="G20" s="39">
        <v>4900195</v>
      </c>
      <c r="H20" s="40">
        <v>5847833</v>
      </c>
      <c r="I20" s="21" t="str">
        <f>IF(OR(COUNTIF(Monitoring!C:C, F20) &gt; 0, COUNTIF(Monitoring!F:F, F20) &gt; 0), "yes", "no")</f>
        <v>yes</v>
      </c>
      <c r="J20" s="72" t="str">
        <f t="shared" si="2"/>
        <v>Z:\FAIR_Device_data\Experiment_JulAug_2021\Video_captures\2021-07-12\2021-07-12_17-45-18.mp4</v>
      </c>
    </row>
    <row r="21" spans="1:10" x14ac:dyDescent="0.3">
      <c r="A21" s="1">
        <f t="shared" si="3"/>
        <v>44389</v>
      </c>
      <c r="B21" s="36">
        <f t="shared" si="4"/>
        <v>0.74068287037037039</v>
      </c>
      <c r="C21" s="36">
        <f t="shared" si="5"/>
        <v>44389.740682870368</v>
      </c>
      <c r="D21" s="71" t="str">
        <f t="shared" si="6"/>
        <v>2021-07-12</v>
      </c>
      <c r="E21" s="38" t="s">
        <v>950</v>
      </c>
      <c r="F21" s="37" t="str">
        <f t="shared" si="1"/>
        <v>2021-07-12_17-46-35</v>
      </c>
      <c r="G21" s="39">
        <v>5232813</v>
      </c>
      <c r="H21" s="40">
        <v>6331475</v>
      </c>
      <c r="I21" s="21" t="str">
        <f>IF(OR(COUNTIF(Monitoring!C:C, F21) &gt; 0, COUNTIF(Monitoring!F:F, F21) &gt; 0), "yes", "no")</f>
        <v>yes</v>
      </c>
      <c r="J21" s="72" t="str">
        <f t="shared" si="2"/>
        <v>Z:\FAIR_Device_data\Experiment_JulAug_2021\Video_captures\2021-07-12\2021-07-12_17-46-35.mp4</v>
      </c>
    </row>
    <row r="22" spans="1:10" x14ac:dyDescent="0.3">
      <c r="A22" s="1">
        <f t="shared" si="3"/>
        <v>44389</v>
      </c>
      <c r="B22" s="36">
        <f t="shared" si="4"/>
        <v>0.75814814814814813</v>
      </c>
      <c r="C22" s="36">
        <f t="shared" si="5"/>
        <v>44389.758148148147</v>
      </c>
      <c r="D22" s="71" t="str">
        <f t="shared" si="6"/>
        <v>2021-07-12</v>
      </c>
      <c r="E22" s="38" t="s">
        <v>951</v>
      </c>
      <c r="F22" s="37" t="str">
        <f t="shared" si="1"/>
        <v>2021-07-12_18-11-44</v>
      </c>
      <c r="G22" s="39">
        <v>6175391</v>
      </c>
      <c r="H22" s="40">
        <v>6926421</v>
      </c>
      <c r="I22" s="21" t="str">
        <f>IF(OR(COUNTIF(Monitoring!C:C, F22) &gt; 0, COUNTIF(Monitoring!F:F, F22) &gt; 0), "yes", "no")</f>
        <v>yes</v>
      </c>
      <c r="J22" s="72" t="str">
        <f t="shared" si="2"/>
        <v>Z:\FAIR_Device_data\Experiment_JulAug_2021\Video_captures\2021-07-12\2021-07-12_18-11-44.mp4</v>
      </c>
    </row>
    <row r="23" spans="1:10" x14ac:dyDescent="0.3">
      <c r="A23" s="1">
        <f t="shared" si="3"/>
        <v>44389</v>
      </c>
      <c r="B23" s="36">
        <f t="shared" si="4"/>
        <v>0.76056712962962958</v>
      </c>
      <c r="C23" s="36">
        <f t="shared" si="5"/>
        <v>44389.760567129626</v>
      </c>
      <c r="D23" s="71" t="str">
        <f t="shared" si="6"/>
        <v>2021-07-12</v>
      </c>
      <c r="E23" s="38" t="s">
        <v>952</v>
      </c>
      <c r="F23" s="37" t="str">
        <f t="shared" si="1"/>
        <v>2021-07-12_18-15-13</v>
      </c>
      <c r="G23" s="39">
        <v>4498633</v>
      </c>
      <c r="H23" s="40">
        <v>5086416</v>
      </c>
      <c r="I23" s="21" t="str">
        <f>IF(OR(COUNTIF(Monitoring!C:C, F23) &gt; 0, COUNTIF(Monitoring!F:F, F23) &gt; 0), "yes", "no")</f>
        <v>yes</v>
      </c>
      <c r="J23" s="72" t="str">
        <f t="shared" si="2"/>
        <v>Z:\FAIR_Device_data\Experiment_JulAug_2021\Video_captures\2021-07-12\2021-07-12_18-15-13.mp4</v>
      </c>
    </row>
    <row r="24" spans="1:10" x14ac:dyDescent="0.3">
      <c r="A24" s="1">
        <f t="shared" si="3"/>
        <v>44389</v>
      </c>
      <c r="B24" s="36">
        <f t="shared" si="4"/>
        <v>0.77012731481481478</v>
      </c>
      <c r="C24" s="36">
        <f t="shared" si="5"/>
        <v>44389.770127314812</v>
      </c>
      <c r="D24" s="71" t="str">
        <f t="shared" si="6"/>
        <v>2021-07-12</v>
      </c>
      <c r="E24" s="38" t="s">
        <v>953</v>
      </c>
      <c r="F24" s="37" t="str">
        <f t="shared" si="1"/>
        <v>2021-07-12_18-28-59</v>
      </c>
      <c r="G24" s="39">
        <v>11444661</v>
      </c>
      <c r="H24" s="40">
        <v>12626085</v>
      </c>
      <c r="I24" s="21" t="str">
        <f>IF(OR(COUNTIF(Monitoring!C:C, F24) &gt; 0, COUNTIF(Monitoring!F:F, F24) &gt; 0), "yes", "no")</f>
        <v>yes</v>
      </c>
      <c r="J24" s="72" t="str">
        <f t="shared" si="2"/>
        <v>Z:\FAIR_Device_data\Experiment_JulAug_2021\Video_captures\2021-07-12\2021-07-12_18-28-59.mp4</v>
      </c>
    </row>
    <row r="25" spans="1:10" x14ac:dyDescent="0.3">
      <c r="A25" s="1">
        <f t="shared" si="3"/>
        <v>44389</v>
      </c>
      <c r="B25" s="36">
        <f t="shared" si="4"/>
        <v>0.77162037037037035</v>
      </c>
      <c r="C25" s="36">
        <f t="shared" si="5"/>
        <v>44389.771620370368</v>
      </c>
      <c r="D25" s="71" t="str">
        <f t="shared" si="6"/>
        <v>2021-07-12</v>
      </c>
      <c r="E25" s="38" t="s">
        <v>954</v>
      </c>
      <c r="F25" s="37" t="str">
        <f t="shared" si="1"/>
        <v>2021-07-12_18-31-08</v>
      </c>
      <c r="G25" s="39">
        <v>7792773</v>
      </c>
      <c r="H25" s="40">
        <v>8840139</v>
      </c>
      <c r="I25" s="21" t="str">
        <f>IF(OR(COUNTIF(Monitoring!C:C, F25) &gt; 0, COUNTIF(Monitoring!F:F, F25) &gt; 0), "yes", "no")</f>
        <v>yes</v>
      </c>
      <c r="J25" s="72" t="str">
        <f t="shared" si="2"/>
        <v>Z:\FAIR_Device_data\Experiment_JulAug_2021\Video_captures\2021-07-12\2021-07-12_18-31-08.mp4</v>
      </c>
    </row>
    <row r="26" spans="1:10" x14ac:dyDescent="0.3">
      <c r="A26" s="1">
        <f t="shared" si="3"/>
        <v>44389</v>
      </c>
      <c r="B26" s="36">
        <f t="shared" si="4"/>
        <v>0.77440972222222226</v>
      </c>
      <c r="C26" s="36">
        <f t="shared" si="5"/>
        <v>44389.774409722224</v>
      </c>
      <c r="D26" s="71" t="str">
        <f t="shared" si="6"/>
        <v>2021-07-12</v>
      </c>
      <c r="E26" s="38" t="s">
        <v>955</v>
      </c>
      <c r="F26" s="37" t="str">
        <f t="shared" si="1"/>
        <v>2021-07-12_18-35-09</v>
      </c>
      <c r="G26" s="39">
        <v>4502088</v>
      </c>
      <c r="H26" s="40">
        <v>5090117</v>
      </c>
      <c r="I26" s="21" t="str">
        <f>IF(OR(COUNTIF(Monitoring!C:C, F26) &gt; 0, COUNTIF(Monitoring!F:F, F26) &gt; 0), "yes", "no")</f>
        <v>no</v>
      </c>
      <c r="J26" s="72" t="str">
        <f t="shared" si="2"/>
        <v>Z:\FAIR_Device_data\Experiment_JulAug_2021\Video_captures\2021-07-12\2021-07-12_18-35-09.mp4</v>
      </c>
    </row>
    <row r="27" spans="1:10" x14ac:dyDescent="0.3">
      <c r="A27" s="1">
        <f t="shared" si="3"/>
        <v>44389</v>
      </c>
      <c r="B27" s="36">
        <f t="shared" si="4"/>
        <v>0.77593749999999995</v>
      </c>
      <c r="C27" s="36">
        <f t="shared" si="5"/>
        <v>44389.775937500002</v>
      </c>
      <c r="D27" s="71" t="str">
        <f t="shared" si="6"/>
        <v>2021-07-12</v>
      </c>
      <c r="E27" s="38" t="s">
        <v>956</v>
      </c>
      <c r="F27" s="37" t="str">
        <f t="shared" si="1"/>
        <v>2021-07-12_18-37-21</v>
      </c>
      <c r="G27" s="39">
        <v>4629818</v>
      </c>
      <c r="H27" s="40">
        <v>5233161</v>
      </c>
      <c r="I27" s="21" t="str">
        <f>IF(OR(COUNTIF(Monitoring!C:C, F27) &gt; 0, COUNTIF(Monitoring!F:F, F27) &gt; 0), "yes", "no")</f>
        <v>no</v>
      </c>
      <c r="J27" s="72" t="str">
        <f t="shared" si="2"/>
        <v>Z:\FAIR_Device_data\Experiment_JulAug_2021\Video_captures\2021-07-12\2021-07-12_18-37-21.mp4</v>
      </c>
    </row>
    <row r="28" spans="1:10" x14ac:dyDescent="0.3">
      <c r="A28" s="1">
        <f t="shared" si="3"/>
        <v>44389</v>
      </c>
      <c r="B28" s="36">
        <f t="shared" si="4"/>
        <v>0.77652777777777782</v>
      </c>
      <c r="C28" s="36">
        <f t="shared" si="5"/>
        <v>44389.77652777778</v>
      </c>
      <c r="D28" s="71" t="str">
        <f t="shared" si="6"/>
        <v>2021-07-12</v>
      </c>
      <c r="E28" s="38" t="s">
        <v>957</v>
      </c>
      <c r="F28" s="37" t="str">
        <f t="shared" si="1"/>
        <v>2021-07-12_18-38-12</v>
      </c>
      <c r="G28" s="39">
        <v>4855859</v>
      </c>
      <c r="H28" s="40">
        <v>5398088</v>
      </c>
      <c r="I28" s="21" t="str">
        <f>IF(OR(COUNTIF(Monitoring!C:C, F28) &gt; 0, COUNTIF(Monitoring!F:F, F28) &gt; 0), "yes", "no")</f>
        <v>no</v>
      </c>
      <c r="J28" s="72" t="str">
        <f t="shared" si="2"/>
        <v>Z:\FAIR_Device_data\Experiment_JulAug_2021\Video_captures\2021-07-12\2021-07-12_18-38-12.mp4</v>
      </c>
    </row>
    <row r="29" spans="1:10" x14ac:dyDescent="0.3">
      <c r="A29" s="1">
        <f t="shared" si="3"/>
        <v>44389</v>
      </c>
      <c r="B29" s="36">
        <f t="shared" si="4"/>
        <v>0.77975694444444443</v>
      </c>
      <c r="C29" s="36">
        <f t="shared" si="5"/>
        <v>44389.779756944445</v>
      </c>
      <c r="D29" s="71" t="str">
        <f t="shared" si="6"/>
        <v>2021-07-12</v>
      </c>
      <c r="E29" s="38" t="s">
        <v>958</v>
      </c>
      <c r="F29" s="37" t="str">
        <f t="shared" si="1"/>
        <v>2021-07-12_18-42-51</v>
      </c>
      <c r="G29" s="39">
        <v>13444792</v>
      </c>
      <c r="H29" s="40">
        <v>15150556</v>
      </c>
      <c r="I29" s="21" t="str">
        <f>IF(OR(COUNTIF(Monitoring!C:C, F29) &gt; 0, COUNTIF(Monitoring!F:F, F29) &gt; 0), "yes", "no")</f>
        <v>yes</v>
      </c>
      <c r="J29" s="72" t="str">
        <f t="shared" si="2"/>
        <v>Z:\FAIR_Device_data\Experiment_JulAug_2021\Video_captures\2021-07-12\2021-07-12_18-42-51.mp4</v>
      </c>
    </row>
    <row r="30" spans="1:10" x14ac:dyDescent="0.3">
      <c r="A30" s="1">
        <f t="shared" si="3"/>
        <v>44389</v>
      </c>
      <c r="B30" s="36">
        <f t="shared" si="4"/>
        <v>0.78629629629629627</v>
      </c>
      <c r="C30" s="36">
        <f t="shared" si="5"/>
        <v>44389.786296296297</v>
      </c>
      <c r="D30" s="71" t="str">
        <f t="shared" si="6"/>
        <v>2021-07-12</v>
      </c>
      <c r="E30" s="38" t="s">
        <v>959</v>
      </c>
      <c r="F30" s="37" t="str">
        <f t="shared" si="1"/>
        <v>2021-07-12_18-52-16</v>
      </c>
      <c r="G30" s="39">
        <v>18240039</v>
      </c>
      <c r="H30" s="40">
        <v>19832589</v>
      </c>
      <c r="I30" s="21" t="str">
        <f>IF(OR(COUNTIF(Monitoring!C:C, F30) &gt; 0, COUNTIF(Monitoring!F:F, F30) &gt; 0), "yes", "no")</f>
        <v>yes</v>
      </c>
      <c r="J30" s="72" t="str">
        <f t="shared" si="2"/>
        <v>Z:\FAIR_Device_data\Experiment_JulAug_2021\Video_captures\2021-07-12\2021-07-12_18-52-16.mp4</v>
      </c>
    </row>
    <row r="31" spans="1:10" x14ac:dyDescent="0.3">
      <c r="A31" s="1">
        <f t="shared" si="3"/>
        <v>44389</v>
      </c>
      <c r="B31" s="36">
        <f t="shared" si="4"/>
        <v>0.78739583333333329</v>
      </c>
      <c r="C31" s="36">
        <f t="shared" si="5"/>
        <v>44389.787395833337</v>
      </c>
      <c r="D31" s="71" t="str">
        <f t="shared" si="6"/>
        <v>2021-07-12</v>
      </c>
      <c r="E31" s="38" t="s">
        <v>960</v>
      </c>
      <c r="F31" s="37" t="str">
        <f t="shared" si="1"/>
        <v>2021-07-12_18-53-51</v>
      </c>
      <c r="G31" s="39">
        <v>10294857</v>
      </c>
      <c r="H31" s="40">
        <v>10007024</v>
      </c>
      <c r="I31" s="21" t="str">
        <f>IF(OR(COUNTIF(Monitoring!C:C, F31) &gt; 0, COUNTIF(Monitoring!F:F, F31) &gt; 0), "yes", "no")</f>
        <v>yes</v>
      </c>
      <c r="J31" s="72" t="str">
        <f t="shared" si="2"/>
        <v>Z:\FAIR_Device_data\Experiment_JulAug_2021\Video_captures\2021-07-12\2021-07-12_18-53-51.mp4</v>
      </c>
    </row>
    <row r="32" spans="1:10" x14ac:dyDescent="0.3">
      <c r="A32" s="1">
        <f t="shared" si="3"/>
        <v>44389</v>
      </c>
      <c r="B32" s="36">
        <f t="shared" si="4"/>
        <v>0.7973958333333333</v>
      </c>
      <c r="C32" s="36">
        <f t="shared" si="5"/>
        <v>44389.797395833331</v>
      </c>
      <c r="D32" s="71" t="str">
        <f t="shared" si="6"/>
        <v>2021-07-12</v>
      </c>
      <c r="E32" s="38" t="s">
        <v>961</v>
      </c>
      <c r="F32" s="37" t="str">
        <f t="shared" si="1"/>
        <v>2021-07-12_19-08-15</v>
      </c>
      <c r="G32" s="39">
        <v>17935742</v>
      </c>
      <c r="H32" s="40">
        <v>20272969</v>
      </c>
      <c r="I32" s="21" t="str">
        <f>IF(OR(COUNTIF(Monitoring!C:C, F32) &gt; 0, COUNTIF(Monitoring!F:F, F32) &gt; 0), "yes", "no")</f>
        <v>yes</v>
      </c>
      <c r="J32" s="72" t="str">
        <f t="shared" si="2"/>
        <v>Z:\FAIR_Device_data\Experiment_JulAug_2021\Video_captures\2021-07-12\2021-07-12_19-08-15.mp4</v>
      </c>
    </row>
    <row r="33" spans="1:10" x14ac:dyDescent="0.3">
      <c r="A33" s="1">
        <f t="shared" si="3"/>
        <v>44389</v>
      </c>
      <c r="B33" s="36">
        <f t="shared" si="4"/>
        <v>0.79859953703703701</v>
      </c>
      <c r="C33" s="36">
        <f t="shared" si="5"/>
        <v>44389.79859953704</v>
      </c>
      <c r="D33" s="71" t="str">
        <f t="shared" si="6"/>
        <v>2021-07-12</v>
      </c>
      <c r="E33" s="38" t="s">
        <v>962</v>
      </c>
      <c r="F33" s="37" t="str">
        <f t="shared" si="1"/>
        <v>2021-07-12_19-09-59</v>
      </c>
      <c r="G33" s="39">
        <v>15221224</v>
      </c>
      <c r="H33" s="40">
        <v>17183760</v>
      </c>
      <c r="I33" s="21" t="str">
        <f>IF(OR(COUNTIF(Monitoring!C:C, F33) &gt; 0, COUNTIF(Monitoring!F:F, F33) &gt; 0), "yes", "no")</f>
        <v>yes</v>
      </c>
      <c r="J33" s="72" t="str">
        <f t="shared" si="2"/>
        <v>Z:\FAIR_Device_data\Experiment_JulAug_2021\Video_captures\2021-07-12\2021-07-12_19-09-59.mp4</v>
      </c>
    </row>
    <row r="34" spans="1:10" x14ac:dyDescent="0.3">
      <c r="A34" s="1">
        <f t="shared" si="3"/>
        <v>44389</v>
      </c>
      <c r="B34" s="36">
        <f t="shared" si="4"/>
        <v>0.79964120370370373</v>
      </c>
      <c r="C34" s="36">
        <f t="shared" si="5"/>
        <v>44389.799641203703</v>
      </c>
      <c r="D34" s="71" t="str">
        <f t="shared" si="6"/>
        <v>2021-07-12</v>
      </c>
      <c r="E34" s="38" t="s">
        <v>963</v>
      </c>
      <c r="F34" s="37" t="str">
        <f t="shared" si="1"/>
        <v>2021-07-12_19-11-29</v>
      </c>
      <c r="G34" s="39">
        <v>12034375</v>
      </c>
      <c r="H34" s="40">
        <v>13062669</v>
      </c>
      <c r="I34" s="21" t="str">
        <f>IF(OR(COUNTIF(Monitoring!C:C, F34) &gt; 0, COUNTIF(Monitoring!F:F, F34) &gt; 0), "yes", "no")</f>
        <v>yes</v>
      </c>
      <c r="J34" s="72" t="str">
        <f t="shared" si="2"/>
        <v>Z:\FAIR_Device_data\Experiment_JulAug_2021\Video_captures\2021-07-12\2021-07-12_19-11-29.mp4</v>
      </c>
    </row>
    <row r="35" spans="1:10" x14ac:dyDescent="0.3">
      <c r="A35" s="1">
        <f t="shared" si="3"/>
        <v>44389</v>
      </c>
      <c r="B35" s="36">
        <f t="shared" si="4"/>
        <v>0.80471064814814819</v>
      </c>
      <c r="C35" s="36">
        <f t="shared" si="5"/>
        <v>44389.804710648146</v>
      </c>
      <c r="D35" s="71" t="str">
        <f t="shared" si="6"/>
        <v>2021-07-12</v>
      </c>
      <c r="E35" s="38" t="s">
        <v>964</v>
      </c>
      <c r="F35" s="37" t="str">
        <f t="shared" si="1"/>
        <v>2021-07-12_19-18-47</v>
      </c>
      <c r="G35" s="39">
        <v>19628451</v>
      </c>
      <c r="H35" s="40">
        <v>21930260</v>
      </c>
      <c r="I35" s="21" t="str">
        <f>IF(OR(COUNTIF(Monitoring!C:C, F35) &gt; 0, COUNTIF(Monitoring!F:F, F35) &gt; 0), "yes", "no")</f>
        <v>yes</v>
      </c>
      <c r="J35" s="72" t="str">
        <f t="shared" si="2"/>
        <v>Z:\FAIR_Device_data\Experiment_JulAug_2021\Video_captures\2021-07-12\2021-07-12_19-18-47.mp4</v>
      </c>
    </row>
    <row r="36" spans="1:10" x14ac:dyDescent="0.3">
      <c r="A36" s="1">
        <f t="shared" si="3"/>
        <v>44389</v>
      </c>
      <c r="B36" s="36">
        <f t="shared" si="4"/>
        <v>0.80804398148148149</v>
      </c>
      <c r="C36" s="36">
        <f t="shared" si="5"/>
        <v>44389.80804398148</v>
      </c>
      <c r="D36" s="71" t="str">
        <f t="shared" si="6"/>
        <v>2021-07-12</v>
      </c>
      <c r="E36" s="38" t="s">
        <v>965</v>
      </c>
      <c r="F36" s="37" t="str">
        <f t="shared" si="1"/>
        <v>2021-07-12_19-23-35</v>
      </c>
      <c r="G36" s="39">
        <v>9111523</v>
      </c>
      <c r="H36" s="40">
        <v>10291479</v>
      </c>
      <c r="I36" s="21" t="str">
        <f>IF(OR(COUNTIF(Monitoring!C:C, F36) &gt; 0, COUNTIF(Monitoring!F:F, F36) &gt; 0), "yes", "no")</f>
        <v>yes</v>
      </c>
      <c r="J36" s="72" t="str">
        <f t="shared" si="2"/>
        <v>Z:\FAIR_Device_data\Experiment_JulAug_2021\Video_captures\2021-07-12\2021-07-12_19-23-35.mp4</v>
      </c>
    </row>
    <row r="37" spans="1:10" x14ac:dyDescent="0.3">
      <c r="A37" s="1">
        <f t="shared" si="3"/>
        <v>44389</v>
      </c>
      <c r="B37" s="36">
        <f t="shared" si="4"/>
        <v>0.81456018518518514</v>
      </c>
      <c r="C37" s="36">
        <f t="shared" si="5"/>
        <v>44389.814560185187</v>
      </c>
      <c r="D37" s="71" t="str">
        <f t="shared" si="6"/>
        <v>2021-07-12</v>
      </c>
      <c r="E37" s="38" t="s">
        <v>966</v>
      </c>
      <c r="F37" s="37" t="str">
        <f t="shared" si="1"/>
        <v>2021-07-12_19-32-58</v>
      </c>
      <c r="G37" s="39">
        <v>9713672</v>
      </c>
      <c r="H37" s="40">
        <v>11614329</v>
      </c>
      <c r="I37" s="21" t="str">
        <f>IF(OR(COUNTIF(Monitoring!C:C, F37) &gt; 0, COUNTIF(Monitoring!F:F, F37) &gt; 0), "yes", "no")</f>
        <v>yes</v>
      </c>
      <c r="J37" s="72" t="str">
        <f t="shared" si="2"/>
        <v>Z:\FAIR_Device_data\Experiment_JulAug_2021\Video_captures\2021-07-12\2021-07-12_19-32-58.mp4</v>
      </c>
    </row>
    <row r="38" spans="1:10" x14ac:dyDescent="0.3">
      <c r="A38" s="1">
        <f t="shared" si="3"/>
        <v>44389</v>
      </c>
      <c r="B38" s="36">
        <f t="shared" si="4"/>
        <v>0.81721064814814814</v>
      </c>
      <c r="C38" s="36">
        <f t="shared" si="5"/>
        <v>44389.817210648151</v>
      </c>
      <c r="D38" s="71" t="str">
        <f t="shared" si="6"/>
        <v>2021-07-12</v>
      </c>
      <c r="E38" s="38" t="s">
        <v>967</v>
      </c>
      <c r="F38" s="37" t="str">
        <f t="shared" si="1"/>
        <v>2021-07-12_19-36-47</v>
      </c>
      <c r="G38" s="39">
        <v>4600000</v>
      </c>
      <c r="H38" s="40">
        <v>5209497</v>
      </c>
      <c r="I38" s="21" t="str">
        <f>IF(OR(COUNTIF(Monitoring!C:C, F38) &gt; 0, COUNTIF(Monitoring!F:F, F38) &gt; 0), "yes", "no")</f>
        <v>yes</v>
      </c>
      <c r="J38" s="72" t="str">
        <f t="shared" si="2"/>
        <v>Z:\FAIR_Device_data\Experiment_JulAug_2021\Video_captures\2021-07-12\2021-07-12_19-36-47.mp4</v>
      </c>
    </row>
    <row r="39" spans="1:10" x14ac:dyDescent="0.3">
      <c r="A39" s="1">
        <f t="shared" si="3"/>
        <v>44389</v>
      </c>
      <c r="B39" s="36">
        <f t="shared" si="4"/>
        <v>0.81910879629629629</v>
      </c>
      <c r="C39" s="36">
        <f t="shared" si="5"/>
        <v>44389.819108796299</v>
      </c>
      <c r="D39" s="71" t="str">
        <f t="shared" si="6"/>
        <v>2021-07-12</v>
      </c>
      <c r="E39" s="38" t="s">
        <v>968</v>
      </c>
      <c r="F39" s="37" t="str">
        <f t="shared" si="1"/>
        <v>2021-07-12_19-39-31</v>
      </c>
      <c r="G39" s="39">
        <v>13396289</v>
      </c>
      <c r="H39" s="40">
        <v>14406588</v>
      </c>
      <c r="I39" s="21" t="str">
        <f>IF(OR(COUNTIF(Monitoring!C:C, F39) &gt; 0, COUNTIF(Monitoring!F:F, F39) &gt; 0), "yes", "no")</f>
        <v>yes</v>
      </c>
      <c r="J39" s="72" t="str">
        <f t="shared" si="2"/>
        <v>Z:\FAIR_Device_data\Experiment_JulAug_2021\Video_captures\2021-07-12\2021-07-12_19-39-31.mp4</v>
      </c>
    </row>
    <row r="40" spans="1:10" x14ac:dyDescent="0.3">
      <c r="A40" s="1">
        <f t="shared" si="3"/>
        <v>44389</v>
      </c>
      <c r="B40" s="36">
        <f t="shared" si="4"/>
        <v>0.84130787037037036</v>
      </c>
      <c r="C40" s="36">
        <f t="shared" si="5"/>
        <v>44389.841307870367</v>
      </c>
      <c r="D40" s="71" t="str">
        <f t="shared" si="6"/>
        <v>2021-07-12</v>
      </c>
      <c r="E40" s="38" t="s">
        <v>969</v>
      </c>
      <c r="F40" s="37" t="str">
        <f t="shared" si="1"/>
        <v>2021-07-12_20-11-29</v>
      </c>
      <c r="G40" s="39">
        <v>4789714</v>
      </c>
      <c r="H40" s="40">
        <v>5648046</v>
      </c>
      <c r="I40" s="21" t="str">
        <f>IF(OR(COUNTIF(Monitoring!C:C, F40) &gt; 0, COUNTIF(Monitoring!F:F, F40) &gt; 0), "yes", "no")</f>
        <v>yes</v>
      </c>
      <c r="J40" s="72" t="str">
        <f t="shared" si="2"/>
        <v>Z:\FAIR_Device_data\Experiment_JulAug_2021\Video_captures\2021-07-12\2021-07-12_20-11-29.mp4</v>
      </c>
    </row>
    <row r="41" spans="1:10" x14ac:dyDescent="0.3">
      <c r="A41" s="1">
        <f t="shared" si="3"/>
        <v>44389</v>
      </c>
      <c r="B41" s="36">
        <f t="shared" si="4"/>
        <v>0.85354166666666664</v>
      </c>
      <c r="C41" s="36">
        <f t="shared" si="5"/>
        <v>44389.853541666664</v>
      </c>
      <c r="D41" s="71" t="str">
        <f t="shared" si="6"/>
        <v>2021-07-12</v>
      </c>
      <c r="E41" s="38" t="s">
        <v>970</v>
      </c>
      <c r="F41" s="37" t="str">
        <f t="shared" si="1"/>
        <v>2021-07-12_20-29-06</v>
      </c>
      <c r="G41" s="39">
        <v>4933529</v>
      </c>
      <c r="H41" s="40">
        <v>6059446</v>
      </c>
      <c r="I41" s="21" t="str">
        <f>IF(OR(COUNTIF(Monitoring!C:C, F41) &gt; 0, COUNTIF(Monitoring!F:F, F41) &gt; 0), "yes", "no")</f>
        <v>yes</v>
      </c>
      <c r="J41" s="72" t="str">
        <f t="shared" si="2"/>
        <v>Z:\FAIR_Device_data\Experiment_JulAug_2021\Video_captures\2021-07-12\2021-07-12_20-29-06.mp4</v>
      </c>
    </row>
    <row r="42" spans="1:10" x14ac:dyDescent="0.3">
      <c r="A42" s="1">
        <f t="shared" si="3"/>
        <v>44389</v>
      </c>
      <c r="B42" s="36">
        <f t="shared" si="4"/>
        <v>0.86662037037037032</v>
      </c>
      <c r="C42" s="36">
        <f t="shared" si="5"/>
        <v>44389.866620370369</v>
      </c>
      <c r="D42" s="71" t="str">
        <f t="shared" si="6"/>
        <v>2021-07-12</v>
      </c>
      <c r="E42" s="38" t="s">
        <v>971</v>
      </c>
      <c r="F42" s="37" t="str">
        <f t="shared" si="1"/>
        <v>2021-07-12_20-47-56</v>
      </c>
      <c r="G42" s="39">
        <v>17738594</v>
      </c>
      <c r="H42" s="40">
        <v>20626615</v>
      </c>
      <c r="I42" s="21" t="str">
        <f>IF(OR(COUNTIF(Monitoring!C:C, F42) &gt; 0, COUNTIF(Monitoring!F:F, F42) &gt; 0), "yes", "no")</f>
        <v>yes</v>
      </c>
      <c r="J42" s="72" t="str">
        <f t="shared" si="2"/>
        <v>Z:\FAIR_Device_data\Experiment_JulAug_2021\Video_captures\2021-07-12\2021-07-12_20-47-56.mp4</v>
      </c>
    </row>
    <row r="43" spans="1:10" x14ac:dyDescent="0.3">
      <c r="A43" s="1">
        <f t="shared" si="3"/>
        <v>44389</v>
      </c>
      <c r="B43" s="36">
        <f t="shared" si="4"/>
        <v>0.87076388888888889</v>
      </c>
      <c r="C43" s="36">
        <f t="shared" si="5"/>
        <v>44389.870763888888</v>
      </c>
      <c r="D43" s="71" t="str">
        <f t="shared" si="6"/>
        <v>2021-07-12</v>
      </c>
      <c r="E43" s="38" t="s">
        <v>972</v>
      </c>
      <c r="F43" s="37" t="str">
        <f t="shared" si="1"/>
        <v>2021-07-12_20-53-54</v>
      </c>
      <c r="G43" s="39">
        <v>5610156</v>
      </c>
      <c r="H43" s="40">
        <v>6491731</v>
      </c>
      <c r="I43" s="21" t="str">
        <f>IF(OR(COUNTIF(Monitoring!C:C, F43) &gt; 0, COUNTIF(Monitoring!F:F, F43) &gt; 0), "yes", "no")</f>
        <v>yes</v>
      </c>
      <c r="J43" s="72" t="str">
        <f t="shared" si="2"/>
        <v>Z:\FAIR_Device_data\Experiment_JulAug_2021\Video_captures\2021-07-12\2021-07-12_20-53-54.mp4</v>
      </c>
    </row>
    <row r="44" spans="1:10" x14ac:dyDescent="0.3">
      <c r="A44" s="1">
        <f t="shared" si="3"/>
        <v>44390</v>
      </c>
      <c r="B44" s="36">
        <f t="shared" si="4"/>
        <v>0.29799768518518521</v>
      </c>
      <c r="C44" s="36">
        <f t="shared" si="5"/>
        <v>44390.297997685186</v>
      </c>
      <c r="D44" s="71" t="str">
        <f t="shared" si="6"/>
        <v>2021-07-13</v>
      </c>
      <c r="E44" s="38" t="s">
        <v>973</v>
      </c>
      <c r="F44" s="37" t="str">
        <f t="shared" si="1"/>
        <v>2021-07-13_07-09-07</v>
      </c>
      <c r="G44" s="39">
        <v>7745833</v>
      </c>
      <c r="H44" s="40">
        <v>8740757</v>
      </c>
      <c r="I44" s="21" t="str">
        <f>IF(OR(COUNTIF(Monitoring!C:C, F44) &gt; 0, COUNTIF(Monitoring!F:F, F44) &gt; 0), "yes", "no")</f>
        <v>yes</v>
      </c>
      <c r="J44" s="72" t="str">
        <f t="shared" si="2"/>
        <v>Z:\FAIR_Device_data\Experiment_JulAug_2021\Video_captures\2021-07-13\2021-07-13_07-09-07.mp4</v>
      </c>
    </row>
    <row r="45" spans="1:10" x14ac:dyDescent="0.3">
      <c r="A45" s="1">
        <f t="shared" si="3"/>
        <v>44390</v>
      </c>
      <c r="B45" s="36">
        <f t="shared" si="4"/>
        <v>0.31247685185185187</v>
      </c>
      <c r="C45" s="36">
        <f t="shared" si="5"/>
        <v>44390.312476851854</v>
      </c>
      <c r="D45" s="71" t="str">
        <f t="shared" si="6"/>
        <v>2021-07-13</v>
      </c>
      <c r="E45" s="38" t="s">
        <v>974</v>
      </c>
      <c r="F45" s="37" t="str">
        <f t="shared" si="1"/>
        <v>2021-07-13_07-29-58</v>
      </c>
      <c r="G45" s="39">
        <v>183137956</v>
      </c>
      <c r="H45" s="40">
        <v>191564138</v>
      </c>
      <c r="I45" s="21" t="str">
        <f>IF(OR(COUNTIF(Monitoring!C:C, F45) &gt; 0, COUNTIF(Monitoring!F:F, F45) &gt; 0), "yes", "no")</f>
        <v>yes</v>
      </c>
      <c r="J45" s="72" t="str">
        <f t="shared" si="2"/>
        <v>Z:\FAIR_Device_data\Experiment_JulAug_2021\Video_captures\2021-07-13\2021-07-13_07-29-58.mp4</v>
      </c>
    </row>
    <row r="46" spans="1:10" x14ac:dyDescent="0.3">
      <c r="A46" s="1">
        <f t="shared" si="3"/>
        <v>44390</v>
      </c>
      <c r="B46" s="36">
        <f t="shared" si="4"/>
        <v>0.32971064814814816</v>
      </c>
      <c r="C46" s="36">
        <f t="shared" si="5"/>
        <v>44390.329710648148</v>
      </c>
      <c r="D46" s="71" t="str">
        <f t="shared" si="6"/>
        <v>2021-07-13</v>
      </c>
      <c r="E46" s="38" t="s">
        <v>975</v>
      </c>
      <c r="F46" s="37" t="str">
        <f t="shared" si="1"/>
        <v>2021-07-13_07-54-47</v>
      </c>
      <c r="G46" s="39">
        <v>9279557</v>
      </c>
      <c r="H46" s="40">
        <v>10620721</v>
      </c>
      <c r="I46" s="21" t="str">
        <f>IF(OR(COUNTIF(Monitoring!C:C, F46) &gt; 0, COUNTIF(Monitoring!F:F, F46) &gt; 0), "yes", "no")</f>
        <v>yes</v>
      </c>
      <c r="J46" s="72" t="str">
        <f t="shared" si="2"/>
        <v>Z:\FAIR_Device_data\Experiment_JulAug_2021\Video_captures\2021-07-13\2021-07-13_07-54-47.mp4</v>
      </c>
    </row>
    <row r="47" spans="1:10" x14ac:dyDescent="0.3">
      <c r="A47" s="1">
        <f t="shared" si="3"/>
        <v>44390</v>
      </c>
      <c r="B47" s="36">
        <f t="shared" si="4"/>
        <v>0.40612268518518518</v>
      </c>
      <c r="C47" s="36">
        <f t="shared" si="5"/>
        <v>44390.406122685185</v>
      </c>
      <c r="D47" s="71" t="str">
        <f t="shared" si="6"/>
        <v>2021-07-13</v>
      </c>
      <c r="E47" s="38" t="s">
        <v>976</v>
      </c>
      <c r="F47" s="37" t="str">
        <f t="shared" si="1"/>
        <v>2021-07-13_09-44-49</v>
      </c>
      <c r="G47" s="39">
        <v>6268164</v>
      </c>
      <c r="H47" s="40">
        <v>6455857</v>
      </c>
      <c r="I47" s="21" t="str">
        <f>IF(OR(COUNTIF(Monitoring!C:C, F47) &gt; 0, COUNTIF(Monitoring!F:F, F47) &gt; 0), "yes", "no")</f>
        <v>yes</v>
      </c>
      <c r="J47" s="72" t="str">
        <f t="shared" si="2"/>
        <v>Z:\FAIR_Device_data\Experiment_JulAug_2021\Video_captures\2021-07-13\2021-07-13_09-44-49.mp4</v>
      </c>
    </row>
    <row r="48" spans="1:10" x14ac:dyDescent="0.3">
      <c r="A48" s="1">
        <f t="shared" si="3"/>
        <v>44390</v>
      </c>
      <c r="B48" s="36">
        <f t="shared" si="4"/>
        <v>0.41166666666666668</v>
      </c>
      <c r="C48" s="36">
        <f t="shared" si="5"/>
        <v>44390.411666666667</v>
      </c>
      <c r="D48" s="71" t="str">
        <f t="shared" si="6"/>
        <v>2021-07-13</v>
      </c>
      <c r="E48" s="38" t="s">
        <v>977</v>
      </c>
      <c r="F48" s="37" t="str">
        <f t="shared" si="1"/>
        <v>2021-07-13_09-52-48</v>
      </c>
      <c r="G48" s="39">
        <v>8747917</v>
      </c>
      <c r="H48" s="40">
        <v>9773802</v>
      </c>
      <c r="I48" s="21" t="str">
        <f>IF(OR(COUNTIF(Monitoring!C:C, F48) &gt; 0, COUNTIF(Monitoring!F:F, F48) &gt; 0), "yes", "no")</f>
        <v>yes</v>
      </c>
      <c r="J48" s="72" t="str">
        <f t="shared" si="2"/>
        <v>Z:\FAIR_Device_data\Experiment_JulAug_2021\Video_captures\2021-07-13\2021-07-13_09-52-48.mp4</v>
      </c>
    </row>
    <row r="49" spans="1:10" x14ac:dyDescent="0.3">
      <c r="A49" s="1">
        <f t="shared" si="3"/>
        <v>44390</v>
      </c>
      <c r="B49" s="36">
        <f t="shared" si="4"/>
        <v>0.41650462962962964</v>
      </c>
      <c r="C49" s="36">
        <f t="shared" si="5"/>
        <v>44390.416504629633</v>
      </c>
      <c r="D49" s="71" t="str">
        <f t="shared" si="6"/>
        <v>2021-07-13</v>
      </c>
      <c r="E49" s="38" t="s">
        <v>978</v>
      </c>
      <c r="F49" s="37" t="str">
        <f t="shared" si="1"/>
        <v>2021-07-13_09-59-46</v>
      </c>
      <c r="G49" s="39">
        <v>9605990</v>
      </c>
      <c r="H49" s="40">
        <v>10724909</v>
      </c>
      <c r="I49" s="21" t="str">
        <f>IF(OR(COUNTIF(Monitoring!C:C, F49) &gt; 0, COUNTIF(Monitoring!F:F, F49) &gt; 0), "yes", "no")</f>
        <v>yes</v>
      </c>
      <c r="J49" s="72" t="str">
        <f t="shared" si="2"/>
        <v>Z:\FAIR_Device_data\Experiment_JulAug_2021\Video_captures\2021-07-13\2021-07-13_09-59-46.mp4</v>
      </c>
    </row>
    <row r="50" spans="1:10" x14ac:dyDescent="0.3">
      <c r="A50" s="1">
        <f t="shared" si="3"/>
        <v>44390</v>
      </c>
      <c r="B50" s="36">
        <f t="shared" si="4"/>
        <v>0.43410879629629628</v>
      </c>
      <c r="C50" s="36">
        <f t="shared" si="5"/>
        <v>44390.434108796297</v>
      </c>
      <c r="D50" s="71" t="str">
        <f t="shared" si="6"/>
        <v>2021-07-13</v>
      </c>
      <c r="E50" s="38" t="s">
        <v>979</v>
      </c>
      <c r="F50" s="37" t="str">
        <f t="shared" si="1"/>
        <v>2021-07-13_10-25-07</v>
      </c>
      <c r="G50" s="39">
        <v>10686849</v>
      </c>
      <c r="H50" s="40">
        <v>10906581</v>
      </c>
      <c r="I50" s="21" t="str">
        <f>IF(OR(COUNTIF(Monitoring!C:C, F50) &gt; 0, COUNTIF(Monitoring!F:F, F50) &gt; 0), "yes", "no")</f>
        <v>yes</v>
      </c>
      <c r="J50" s="72" t="str">
        <f t="shared" si="2"/>
        <v>Z:\FAIR_Device_data\Experiment_JulAug_2021\Video_captures\2021-07-13\2021-07-13_10-25-07.mp4</v>
      </c>
    </row>
    <row r="51" spans="1:10" x14ac:dyDescent="0.3">
      <c r="A51" s="1">
        <f t="shared" si="3"/>
        <v>44390</v>
      </c>
      <c r="B51" s="36">
        <f t="shared" si="4"/>
        <v>0.46083333333333332</v>
      </c>
      <c r="C51" s="36">
        <f t="shared" si="5"/>
        <v>44390.460833333331</v>
      </c>
      <c r="D51" s="71" t="str">
        <f t="shared" si="6"/>
        <v>2021-07-13</v>
      </c>
      <c r="E51" s="38" t="s">
        <v>980</v>
      </c>
      <c r="F51" s="37" t="str">
        <f t="shared" si="1"/>
        <v>2021-07-13_11-03-36</v>
      </c>
      <c r="G51" s="39">
        <v>464728906</v>
      </c>
      <c r="H51" s="40">
        <v>356703990</v>
      </c>
      <c r="I51" s="21" t="str">
        <f>IF(OR(COUNTIF(Monitoring!C:C, F51) &gt; 0, COUNTIF(Monitoring!F:F, F51) &gt; 0), "yes", "no")</f>
        <v>yes</v>
      </c>
      <c r="J51" s="72" t="str">
        <f t="shared" si="2"/>
        <v>Z:\FAIR_Device_data\Experiment_JulAug_2021\Video_captures\2021-07-13\2021-07-13_11-03-36.mp4</v>
      </c>
    </row>
    <row r="52" spans="1:10" x14ac:dyDescent="0.3">
      <c r="A52" s="1">
        <f t="shared" si="3"/>
        <v>44390</v>
      </c>
      <c r="B52" s="36">
        <f t="shared" si="4"/>
        <v>0.46663194444444445</v>
      </c>
      <c r="C52" s="36">
        <f t="shared" si="5"/>
        <v>44390.466631944444</v>
      </c>
      <c r="D52" s="71" t="str">
        <f t="shared" si="6"/>
        <v>2021-07-13</v>
      </c>
      <c r="E52" s="38" t="s">
        <v>981</v>
      </c>
      <c r="F52" s="37" t="str">
        <f t="shared" si="1"/>
        <v>2021-07-13_11-11-57</v>
      </c>
      <c r="G52" s="39">
        <v>2060938802</v>
      </c>
      <c r="H52" s="40">
        <v>1293278218</v>
      </c>
      <c r="I52" s="21" t="str">
        <f>IF(OR(COUNTIF(Monitoring!C:C, F52) &gt; 0, COUNTIF(Monitoring!F:F, F52) &gt; 0), "yes", "no")</f>
        <v>yes</v>
      </c>
      <c r="J52" s="72" t="str">
        <f t="shared" si="2"/>
        <v>Z:\FAIR_Device_data\Experiment_JulAug_2021\Video_captures\2021-07-13\2021-07-13_11-11-57.mp4</v>
      </c>
    </row>
    <row r="53" spans="1:10" x14ac:dyDescent="0.3">
      <c r="A53" s="1">
        <f t="shared" si="3"/>
        <v>44390</v>
      </c>
      <c r="B53" s="36">
        <f t="shared" si="4"/>
        <v>0.49105324074074075</v>
      </c>
      <c r="C53" s="36">
        <f t="shared" si="5"/>
        <v>44390.491053240738</v>
      </c>
      <c r="D53" s="71" t="str">
        <f t="shared" si="6"/>
        <v>2021-07-13</v>
      </c>
      <c r="E53" s="38" t="s">
        <v>982</v>
      </c>
      <c r="F53" s="37" t="str">
        <f t="shared" si="1"/>
        <v>2021-07-13_11-47-07</v>
      </c>
      <c r="G53" s="39">
        <v>92592122</v>
      </c>
      <c r="H53" s="40">
        <v>100676297</v>
      </c>
      <c r="I53" s="21" t="str">
        <f>IF(OR(COUNTIF(Monitoring!C:C, F53) &gt; 0, COUNTIF(Monitoring!F:F, F53) &gt; 0), "yes", "no")</f>
        <v>no</v>
      </c>
      <c r="J53" s="72" t="str">
        <f t="shared" si="2"/>
        <v>Z:\FAIR_Device_data\Experiment_JulAug_2021\Video_captures\2021-07-13\2021-07-13_11-47-07.mp4</v>
      </c>
    </row>
    <row r="54" spans="1:10" x14ac:dyDescent="0.3">
      <c r="A54" s="1">
        <f t="shared" si="3"/>
        <v>44390</v>
      </c>
      <c r="B54" s="36">
        <f t="shared" si="4"/>
        <v>0.49359953703703702</v>
      </c>
      <c r="C54" s="36">
        <f t="shared" si="5"/>
        <v>44390.49359953704</v>
      </c>
      <c r="D54" s="71" t="str">
        <f t="shared" si="6"/>
        <v>2021-07-13</v>
      </c>
      <c r="E54" s="38" t="s">
        <v>983</v>
      </c>
      <c r="F54" s="37" t="str">
        <f t="shared" si="1"/>
        <v>2021-07-13_11-50-47</v>
      </c>
      <c r="G54" s="39">
        <v>797603971</v>
      </c>
      <c r="H54" s="40">
        <v>597818602</v>
      </c>
      <c r="I54" s="21" t="str">
        <f>IF(OR(COUNTIF(Monitoring!C:C, F54) &gt; 0, COUNTIF(Monitoring!F:F, F54) &gt; 0), "yes", "no")</f>
        <v>yes</v>
      </c>
      <c r="J54" s="72" t="str">
        <f t="shared" si="2"/>
        <v>Z:\FAIR_Device_data\Experiment_JulAug_2021\Video_captures\2021-07-13\2021-07-13_11-50-47.mp4</v>
      </c>
    </row>
    <row r="55" spans="1:10" x14ac:dyDescent="0.3">
      <c r="A55" s="1">
        <f t="shared" si="3"/>
        <v>44390</v>
      </c>
      <c r="B55" s="36">
        <f t="shared" si="4"/>
        <v>0.5153240740740741</v>
      </c>
      <c r="C55" s="36">
        <f t="shared" si="5"/>
        <v>44390.515324074076</v>
      </c>
      <c r="D55" s="71" t="str">
        <f t="shared" si="6"/>
        <v>2021-07-13</v>
      </c>
      <c r="E55" s="38" t="s">
        <v>984</v>
      </c>
      <c r="F55" s="37" t="str">
        <f t="shared" si="1"/>
        <v>2021-07-13_12-22-04</v>
      </c>
      <c r="G55" s="39">
        <v>7440495</v>
      </c>
      <c r="H55" s="40">
        <v>7107824</v>
      </c>
      <c r="I55" s="21" t="str">
        <f>IF(OR(COUNTIF(Monitoring!C:C, F55) &gt; 0, COUNTIF(Monitoring!F:F, F55) &gt; 0), "yes", "no")</f>
        <v>yes</v>
      </c>
      <c r="J55" s="72" t="str">
        <f t="shared" si="2"/>
        <v>Z:\FAIR_Device_data\Experiment_JulAug_2021\Video_captures\2021-07-13\2021-07-13_12-22-04.mp4</v>
      </c>
    </row>
    <row r="56" spans="1:10" x14ac:dyDescent="0.3">
      <c r="A56" s="1">
        <f t="shared" si="3"/>
        <v>44390</v>
      </c>
      <c r="B56" s="36">
        <f t="shared" si="4"/>
        <v>0.51854166666666668</v>
      </c>
      <c r="C56" s="36">
        <f t="shared" si="5"/>
        <v>44390.518541666665</v>
      </c>
      <c r="D56" s="71" t="str">
        <f t="shared" si="6"/>
        <v>2021-07-13</v>
      </c>
      <c r="E56" s="38" t="s">
        <v>985</v>
      </c>
      <c r="F56" s="37" t="str">
        <f t="shared" si="1"/>
        <v>2021-07-13_12-26-42</v>
      </c>
      <c r="G56" s="39">
        <v>5136849</v>
      </c>
      <c r="H56" s="40">
        <v>5758340</v>
      </c>
      <c r="I56" s="21" t="str">
        <f>IF(OR(COUNTIF(Monitoring!C:C, F56) &gt; 0, COUNTIF(Monitoring!F:F, F56) &gt; 0), "yes", "no")</f>
        <v>yes</v>
      </c>
      <c r="J56" s="72" t="str">
        <f t="shared" si="2"/>
        <v>Z:\FAIR_Device_data\Experiment_JulAug_2021\Video_captures\2021-07-13\2021-07-13_12-26-42.mp4</v>
      </c>
    </row>
    <row r="57" spans="1:10" x14ac:dyDescent="0.3">
      <c r="A57" s="1">
        <f t="shared" si="3"/>
        <v>44390</v>
      </c>
      <c r="B57" s="36">
        <f t="shared" si="4"/>
        <v>0.52716435185185184</v>
      </c>
      <c r="C57" s="36">
        <f t="shared" si="5"/>
        <v>44390.52716435185</v>
      </c>
      <c r="D57" s="71" t="str">
        <f t="shared" si="6"/>
        <v>2021-07-13</v>
      </c>
      <c r="E57" s="38" t="s">
        <v>986</v>
      </c>
      <c r="F57" s="37" t="str">
        <f t="shared" si="1"/>
        <v>2021-07-13_12-39-07</v>
      </c>
      <c r="G57" s="39">
        <v>7659375</v>
      </c>
      <c r="H57" s="40">
        <v>8334815</v>
      </c>
      <c r="I57" s="21" t="str">
        <f>IF(OR(COUNTIF(Monitoring!C:C, F57) &gt; 0, COUNTIF(Monitoring!F:F, F57) &gt; 0), "yes", "no")</f>
        <v>yes</v>
      </c>
      <c r="J57" s="72" t="str">
        <f t="shared" si="2"/>
        <v>Z:\FAIR_Device_data\Experiment_JulAug_2021\Video_captures\2021-07-13\2021-07-13_12-39-07.mp4</v>
      </c>
    </row>
    <row r="58" spans="1:10" x14ac:dyDescent="0.3">
      <c r="A58" s="1">
        <f t="shared" si="3"/>
        <v>44390</v>
      </c>
      <c r="B58" s="36">
        <f t="shared" si="4"/>
        <v>0.5466550925925926</v>
      </c>
      <c r="C58" s="36">
        <f t="shared" si="5"/>
        <v>44390.546655092592</v>
      </c>
      <c r="D58" s="71" t="str">
        <f t="shared" si="6"/>
        <v>2021-07-13</v>
      </c>
      <c r="E58" s="38" t="s">
        <v>987</v>
      </c>
      <c r="F58" s="37" t="str">
        <f t="shared" si="1"/>
        <v>2021-07-13_13-07-11</v>
      </c>
      <c r="G58" s="39">
        <v>4607943</v>
      </c>
      <c r="H58" s="40">
        <v>5219212</v>
      </c>
      <c r="I58" s="21" t="str">
        <f>IF(OR(COUNTIF(Monitoring!C:C, F58) &gt; 0, COUNTIF(Monitoring!F:F, F58) &gt; 0), "yes", "no")</f>
        <v>yes</v>
      </c>
      <c r="J58" s="72" t="str">
        <f t="shared" si="2"/>
        <v>Z:\FAIR_Device_data\Experiment_JulAug_2021\Video_captures\2021-07-13\2021-07-13_13-07-11.mp4</v>
      </c>
    </row>
    <row r="59" spans="1:10" x14ac:dyDescent="0.3">
      <c r="A59" s="1">
        <f t="shared" si="3"/>
        <v>44390</v>
      </c>
      <c r="B59" s="36">
        <f t="shared" si="4"/>
        <v>0.55600694444444443</v>
      </c>
      <c r="C59" s="36">
        <f t="shared" si="5"/>
        <v>44390.556006944447</v>
      </c>
      <c r="D59" s="71" t="str">
        <f t="shared" si="6"/>
        <v>2021-07-13</v>
      </c>
      <c r="E59" s="38" t="s">
        <v>988</v>
      </c>
      <c r="F59" s="37" t="str">
        <f t="shared" si="1"/>
        <v>2021-07-13_13-20-39</v>
      </c>
      <c r="G59" s="39">
        <v>10723893</v>
      </c>
      <c r="H59" s="40">
        <v>10791779</v>
      </c>
      <c r="I59" s="21" t="str">
        <f>IF(OR(COUNTIF(Monitoring!C:C, F59) &gt; 0, COUNTIF(Monitoring!F:F, F59) &gt; 0), "yes", "no")</f>
        <v>yes</v>
      </c>
      <c r="J59" s="72" t="str">
        <f t="shared" si="2"/>
        <v>Z:\FAIR_Device_data\Experiment_JulAug_2021\Video_captures\2021-07-13\2021-07-13_13-20-39.mp4</v>
      </c>
    </row>
    <row r="60" spans="1:10" x14ac:dyDescent="0.3">
      <c r="A60" s="1">
        <f t="shared" si="3"/>
        <v>44390</v>
      </c>
      <c r="B60" s="36">
        <f t="shared" si="4"/>
        <v>0.56077546296296299</v>
      </c>
      <c r="C60" s="36">
        <f t="shared" si="5"/>
        <v>44390.56077546296</v>
      </c>
      <c r="D60" s="71" t="str">
        <f t="shared" si="6"/>
        <v>2021-07-13</v>
      </c>
      <c r="E60" s="38" t="s">
        <v>989</v>
      </c>
      <c r="F60" s="37" t="str">
        <f t="shared" si="1"/>
        <v>2021-07-13_13-27-31</v>
      </c>
      <c r="G60" s="39">
        <v>4528451</v>
      </c>
      <c r="H60" s="40">
        <v>5115049</v>
      </c>
      <c r="I60" s="21" t="str">
        <f>IF(OR(COUNTIF(Monitoring!C:C, F60) &gt; 0, COUNTIF(Monitoring!F:F, F60) &gt; 0), "yes", "no")</f>
        <v>yes</v>
      </c>
      <c r="J60" s="72" t="str">
        <f t="shared" si="2"/>
        <v>Z:\FAIR_Device_data\Experiment_JulAug_2021\Video_captures\2021-07-13\2021-07-13_13-27-31.mp4</v>
      </c>
    </row>
    <row r="61" spans="1:10" x14ac:dyDescent="0.3">
      <c r="A61" s="1">
        <f t="shared" si="3"/>
        <v>44390</v>
      </c>
      <c r="B61" s="36">
        <f t="shared" si="4"/>
        <v>0.58339120370370368</v>
      </c>
      <c r="C61" s="36">
        <f t="shared" si="5"/>
        <v>44390.583391203705</v>
      </c>
      <c r="D61" s="71" t="str">
        <f t="shared" si="6"/>
        <v>2021-07-13</v>
      </c>
      <c r="E61" s="38" t="s">
        <v>990</v>
      </c>
      <c r="F61" s="37" t="str">
        <f t="shared" si="1"/>
        <v>2021-07-13_14-00-05</v>
      </c>
      <c r="G61" s="39">
        <v>4582747</v>
      </c>
      <c r="H61" s="40">
        <v>5258815</v>
      </c>
      <c r="I61" s="21" t="str">
        <f>IF(OR(COUNTIF(Monitoring!C:C, F61) &gt; 0, COUNTIF(Monitoring!F:F, F61) &gt; 0), "yes", "no")</f>
        <v>no</v>
      </c>
      <c r="J61" s="72" t="str">
        <f t="shared" si="2"/>
        <v>Z:\FAIR_Device_data\Experiment_JulAug_2021\Video_captures\2021-07-13\2021-07-13_14-00-05.mp4</v>
      </c>
    </row>
    <row r="62" spans="1:10" x14ac:dyDescent="0.3">
      <c r="A62" s="1">
        <f t="shared" si="3"/>
        <v>44390</v>
      </c>
      <c r="B62" s="36">
        <f t="shared" si="4"/>
        <v>0.59578703703703706</v>
      </c>
      <c r="C62" s="36">
        <f t="shared" si="5"/>
        <v>44390.59578703704</v>
      </c>
      <c r="D62" s="71" t="str">
        <f t="shared" si="6"/>
        <v>2021-07-13</v>
      </c>
      <c r="E62" s="38" t="s">
        <v>991</v>
      </c>
      <c r="F62" s="37" t="str">
        <f t="shared" si="1"/>
        <v>2021-07-13_14-17-56</v>
      </c>
      <c r="G62" s="39">
        <v>49994792</v>
      </c>
      <c r="H62" s="40">
        <v>53205789</v>
      </c>
      <c r="I62" s="21" t="str">
        <f>IF(OR(COUNTIF(Monitoring!C:C, F62) &gt; 0, COUNTIF(Monitoring!F:F, F62) &gt; 0), "yes", "no")</f>
        <v>yes</v>
      </c>
      <c r="J62" s="72" t="str">
        <f t="shared" si="2"/>
        <v>Z:\FAIR_Device_data\Experiment_JulAug_2021\Video_captures\2021-07-13\2021-07-13_14-17-56.mp4</v>
      </c>
    </row>
    <row r="63" spans="1:10" x14ac:dyDescent="0.3">
      <c r="A63" s="1">
        <f t="shared" si="3"/>
        <v>44390</v>
      </c>
      <c r="B63" s="36">
        <f t="shared" si="4"/>
        <v>0.60024305555555557</v>
      </c>
      <c r="C63" s="36">
        <f t="shared" si="5"/>
        <v>44390.600243055553</v>
      </c>
      <c r="D63" s="71" t="str">
        <f t="shared" si="6"/>
        <v>2021-07-13</v>
      </c>
      <c r="E63" s="38" t="s">
        <v>992</v>
      </c>
      <c r="F63" s="37" t="str">
        <f t="shared" si="1"/>
        <v>2021-07-13_14-24-21</v>
      </c>
      <c r="G63" s="39">
        <v>27716406</v>
      </c>
      <c r="H63" s="40">
        <v>30346326</v>
      </c>
      <c r="I63" s="21" t="str">
        <f>IF(OR(COUNTIF(Monitoring!C:C, F63) &gt; 0, COUNTIF(Monitoring!F:F, F63) &gt; 0), "yes", "no")</f>
        <v>yes</v>
      </c>
      <c r="J63" s="72" t="str">
        <f t="shared" si="2"/>
        <v>Z:\FAIR_Device_data\Experiment_JulAug_2021\Video_captures\2021-07-13\2021-07-13_14-24-21.mp4</v>
      </c>
    </row>
    <row r="64" spans="1:10" x14ac:dyDescent="0.3">
      <c r="A64" s="1">
        <f t="shared" si="3"/>
        <v>44390</v>
      </c>
      <c r="B64" s="36">
        <f t="shared" si="4"/>
        <v>0.60122685185185187</v>
      </c>
      <c r="C64" s="36">
        <f t="shared" si="5"/>
        <v>44390.601226851853</v>
      </c>
      <c r="D64" s="71" t="str">
        <f t="shared" si="6"/>
        <v>2021-07-13</v>
      </c>
      <c r="E64" s="38" t="s">
        <v>993</v>
      </c>
      <c r="F64" s="37" t="str">
        <f t="shared" si="1"/>
        <v>2021-07-13_14-25-46</v>
      </c>
      <c r="G64" s="39">
        <v>9517708</v>
      </c>
      <c r="H64" s="40">
        <v>10852506</v>
      </c>
      <c r="I64" s="21" t="str">
        <f>IF(OR(COUNTIF(Monitoring!C:C, F64) &gt; 0, COUNTIF(Monitoring!F:F, F64) &gt; 0), "yes", "no")</f>
        <v>yes</v>
      </c>
      <c r="J64" s="72" t="str">
        <f t="shared" si="2"/>
        <v>Z:\FAIR_Device_data\Experiment_JulAug_2021\Video_captures\2021-07-13\2021-07-13_14-25-46.mp4</v>
      </c>
    </row>
    <row r="65" spans="1:10" x14ac:dyDescent="0.3">
      <c r="A65" s="1">
        <f t="shared" si="3"/>
        <v>44390</v>
      </c>
      <c r="B65" s="36">
        <f t="shared" si="4"/>
        <v>0.60445601851851849</v>
      </c>
      <c r="C65" s="36">
        <f t="shared" si="5"/>
        <v>44390.604456018518</v>
      </c>
      <c r="D65" s="71" t="str">
        <f t="shared" si="6"/>
        <v>2021-07-13</v>
      </c>
      <c r="E65" s="38" t="s">
        <v>994</v>
      </c>
      <c r="F65" s="37" t="str">
        <f t="shared" si="1"/>
        <v>2021-07-13_14-30-25</v>
      </c>
      <c r="G65" s="39">
        <v>9791016</v>
      </c>
      <c r="H65" s="40">
        <v>11084359</v>
      </c>
      <c r="I65" s="21" t="str">
        <f>IF(OR(COUNTIF(Monitoring!C:C, F65) &gt; 0, COUNTIF(Monitoring!F:F, F65) &gt; 0), "yes", "no")</f>
        <v>yes</v>
      </c>
      <c r="J65" s="72" t="str">
        <f t="shared" si="2"/>
        <v>Z:\FAIR_Device_data\Experiment_JulAug_2021\Video_captures\2021-07-13\2021-07-13_14-30-25.mp4</v>
      </c>
    </row>
    <row r="66" spans="1:10" x14ac:dyDescent="0.3">
      <c r="A66" s="1">
        <f t="shared" si="3"/>
        <v>44390</v>
      </c>
      <c r="B66" s="36">
        <f t="shared" si="4"/>
        <v>0.61020833333333335</v>
      </c>
      <c r="C66" s="36">
        <f t="shared" si="5"/>
        <v>44390.610208333332</v>
      </c>
      <c r="D66" s="71" t="str">
        <f t="shared" si="6"/>
        <v>2021-07-13</v>
      </c>
      <c r="E66" s="38" t="s">
        <v>995</v>
      </c>
      <c r="F66" s="37" t="str">
        <f t="shared" ref="F66:F129" si="7">+LEFT(E66,19)</f>
        <v>2021-07-13_14-38-42</v>
      </c>
      <c r="G66" s="39">
        <v>43431439</v>
      </c>
      <c r="H66" s="40">
        <v>39493967</v>
      </c>
      <c r="I66" s="21" t="str">
        <f>IF(OR(COUNTIF(Monitoring!C:C, F66) &gt; 0, COUNTIF(Monitoring!F:F, F66) &gt; 0), "yes", "no")</f>
        <v>yes</v>
      </c>
      <c r="J66" s="72" t="str">
        <f t="shared" ref="J66:J129" si="8">HYPERLINK(_xlfn.CONCAT("Z:\FAIR_Device_data\Experiment_JulAug_2021","\","Video_captures","\",D66,"\",E66))</f>
        <v>Z:\FAIR_Device_data\Experiment_JulAug_2021\Video_captures\2021-07-13\2021-07-13_14-38-42.mp4</v>
      </c>
    </row>
    <row r="67" spans="1:10" x14ac:dyDescent="0.3">
      <c r="A67" s="1">
        <f t="shared" ref="A67:A130" si="9">VALUE(MID(F67,1,10))</f>
        <v>44390</v>
      </c>
      <c r="B67" s="36">
        <f t="shared" ref="B67:B130" si="10">IF(ISBLANK(F67),"",TIME(LEFT(RIGHT(F67,8),2),LEFT(RIGHT(F67,5),2),RIGHT(F67,2)))</f>
        <v>0.6111226851851852</v>
      </c>
      <c r="C67" s="36">
        <f t="shared" ref="C67:C130" si="11">+A67+B67</f>
        <v>44390.611122685186</v>
      </c>
      <c r="D67" s="71" t="str">
        <f t="shared" ref="D67:D130" si="12">+_xlfn.CONCAT(YEAR(A67),"-",TEXT(MONTH(A67),"00"),"-",TEXT(DAY(A67),"00"))</f>
        <v>2021-07-13</v>
      </c>
      <c r="E67" s="38" t="s">
        <v>996</v>
      </c>
      <c r="F67" s="37" t="str">
        <f t="shared" si="7"/>
        <v>2021-07-13_14-40-01</v>
      </c>
      <c r="G67" s="39">
        <v>4594987</v>
      </c>
      <c r="H67" s="40">
        <v>5133242</v>
      </c>
      <c r="I67" s="21" t="str">
        <f>IF(OR(COUNTIF(Monitoring!C:C, F67) &gt; 0, COUNTIF(Monitoring!F:F, F67) &gt; 0), "yes", "no")</f>
        <v>no</v>
      </c>
      <c r="J67" s="72" t="str">
        <f t="shared" si="8"/>
        <v>Z:\FAIR_Device_data\Experiment_JulAug_2021\Video_captures\2021-07-13\2021-07-13_14-40-01.mp4</v>
      </c>
    </row>
    <row r="68" spans="1:10" x14ac:dyDescent="0.3">
      <c r="A68" s="1">
        <f t="shared" si="9"/>
        <v>44390</v>
      </c>
      <c r="B68" s="36">
        <f t="shared" si="10"/>
        <v>0.61290509259259263</v>
      </c>
      <c r="C68" s="36">
        <f t="shared" si="11"/>
        <v>44390.612905092596</v>
      </c>
      <c r="D68" s="71" t="str">
        <f t="shared" si="12"/>
        <v>2021-07-13</v>
      </c>
      <c r="E68" s="38" t="s">
        <v>997</v>
      </c>
      <c r="F68" s="37" t="str">
        <f t="shared" si="7"/>
        <v>2021-07-13_14-42-35</v>
      </c>
      <c r="G68" s="39">
        <v>18397266</v>
      </c>
      <c r="H68" s="40">
        <v>21158550</v>
      </c>
      <c r="I68" s="21" t="str">
        <f>IF(OR(COUNTIF(Monitoring!C:C, F68) &gt; 0, COUNTIF(Monitoring!F:F, F68) &gt; 0), "yes", "no")</f>
        <v>no</v>
      </c>
      <c r="J68" s="72" t="str">
        <f t="shared" si="8"/>
        <v>Z:\FAIR_Device_data\Experiment_JulAug_2021\Video_captures\2021-07-13\2021-07-13_14-42-35.mp4</v>
      </c>
    </row>
    <row r="69" spans="1:10" x14ac:dyDescent="0.3">
      <c r="A69" s="1">
        <f t="shared" si="9"/>
        <v>44390</v>
      </c>
      <c r="B69" s="36">
        <f t="shared" si="10"/>
        <v>0.6146759259259259</v>
      </c>
      <c r="C69" s="36">
        <f t="shared" si="11"/>
        <v>44390.614675925928</v>
      </c>
      <c r="D69" s="71" t="str">
        <f t="shared" si="12"/>
        <v>2021-07-13</v>
      </c>
      <c r="E69" s="38" t="s">
        <v>998</v>
      </c>
      <c r="F69" s="37" t="str">
        <f t="shared" si="7"/>
        <v>2021-07-13_14-45-08</v>
      </c>
      <c r="G69" s="39">
        <v>12823047</v>
      </c>
      <c r="H69" s="40">
        <v>14394833</v>
      </c>
      <c r="I69" s="21" t="str">
        <f>IF(OR(COUNTIF(Monitoring!C:C, F69) &gt; 0, COUNTIF(Monitoring!F:F, F69) &gt; 0), "yes", "no")</f>
        <v>no</v>
      </c>
      <c r="J69" s="72" t="str">
        <f t="shared" si="8"/>
        <v>Z:\FAIR_Device_data\Experiment_JulAug_2021\Video_captures\2021-07-13\2021-07-13_14-45-08.mp4</v>
      </c>
    </row>
    <row r="70" spans="1:10" x14ac:dyDescent="0.3">
      <c r="A70" s="1">
        <f t="shared" si="9"/>
        <v>44390</v>
      </c>
      <c r="B70" s="36">
        <f t="shared" si="10"/>
        <v>0.61547453703703703</v>
      </c>
      <c r="C70" s="36">
        <f t="shared" si="11"/>
        <v>44390.615474537037</v>
      </c>
      <c r="D70" s="71" t="str">
        <f t="shared" si="12"/>
        <v>2021-07-13</v>
      </c>
      <c r="E70" s="38" t="s">
        <v>999</v>
      </c>
      <c r="F70" s="37" t="str">
        <f t="shared" si="7"/>
        <v>2021-07-13_14-46-17</v>
      </c>
      <c r="G70" s="39">
        <v>8111263</v>
      </c>
      <c r="H70" s="40">
        <v>8909575</v>
      </c>
      <c r="I70" s="21" t="str">
        <f>IF(OR(COUNTIF(Monitoring!C:C, F70) &gt; 0, COUNTIF(Monitoring!F:F, F70) &gt; 0), "yes", "no")</f>
        <v>yes</v>
      </c>
      <c r="J70" s="72" t="str">
        <f t="shared" si="8"/>
        <v>Z:\FAIR_Device_data\Experiment_JulAug_2021\Video_captures\2021-07-13\2021-07-13_14-46-17.mp4</v>
      </c>
    </row>
    <row r="71" spans="1:10" x14ac:dyDescent="0.3">
      <c r="A71" s="1">
        <f t="shared" si="9"/>
        <v>44390</v>
      </c>
      <c r="B71" s="36">
        <f t="shared" si="10"/>
        <v>0.61592592592592588</v>
      </c>
      <c r="C71" s="36">
        <f t="shared" si="11"/>
        <v>44390.615925925929</v>
      </c>
      <c r="D71" s="71" t="str">
        <f t="shared" si="12"/>
        <v>2021-07-13</v>
      </c>
      <c r="E71" s="38" t="s">
        <v>1000</v>
      </c>
      <c r="F71" s="37" t="str">
        <f t="shared" si="7"/>
        <v>2021-07-13_14-46-56</v>
      </c>
      <c r="G71" s="39">
        <v>8137305</v>
      </c>
      <c r="H71" s="40">
        <v>9065516</v>
      </c>
      <c r="I71" s="21" t="str">
        <f>IF(OR(COUNTIF(Monitoring!C:C, F71) &gt; 0, COUNTIF(Monitoring!F:F, F71) &gt; 0), "yes", "no")</f>
        <v>yes</v>
      </c>
      <c r="J71" s="72" t="str">
        <f t="shared" si="8"/>
        <v>Z:\FAIR_Device_data\Experiment_JulAug_2021\Video_captures\2021-07-13\2021-07-13_14-46-56.mp4</v>
      </c>
    </row>
    <row r="72" spans="1:10" x14ac:dyDescent="0.3">
      <c r="A72" s="1">
        <f t="shared" si="9"/>
        <v>44390</v>
      </c>
      <c r="B72" s="36">
        <f t="shared" si="10"/>
        <v>0.62103009259259256</v>
      </c>
      <c r="C72" s="36">
        <f t="shared" si="11"/>
        <v>44390.621030092596</v>
      </c>
      <c r="D72" s="71" t="str">
        <f t="shared" si="12"/>
        <v>2021-07-13</v>
      </c>
      <c r="E72" s="38" t="s">
        <v>1001</v>
      </c>
      <c r="F72" s="37" t="str">
        <f t="shared" si="7"/>
        <v>2021-07-13_14-54-17</v>
      </c>
      <c r="G72" s="39">
        <v>5780599</v>
      </c>
      <c r="H72" s="40">
        <v>6151971</v>
      </c>
      <c r="I72" s="21" t="str">
        <f>IF(OR(COUNTIF(Monitoring!C:C, F72) &gt; 0, COUNTIF(Monitoring!F:F, F72) &gt; 0), "yes", "no")</f>
        <v>yes</v>
      </c>
      <c r="J72" s="72" t="str">
        <f t="shared" si="8"/>
        <v>Z:\FAIR_Device_data\Experiment_JulAug_2021\Video_captures\2021-07-13\2021-07-13_14-54-17.mp4</v>
      </c>
    </row>
    <row r="73" spans="1:10" x14ac:dyDescent="0.3">
      <c r="A73" s="1">
        <f t="shared" si="9"/>
        <v>44390</v>
      </c>
      <c r="B73" s="36">
        <f t="shared" si="10"/>
        <v>0.64222222222222225</v>
      </c>
      <c r="C73" s="36">
        <f t="shared" si="11"/>
        <v>44390.642222222225</v>
      </c>
      <c r="D73" s="71" t="str">
        <f t="shared" si="12"/>
        <v>2021-07-13</v>
      </c>
      <c r="E73" s="38" t="s">
        <v>1002</v>
      </c>
      <c r="F73" s="37" t="str">
        <f t="shared" si="7"/>
        <v>2021-07-13_15-24-48</v>
      </c>
      <c r="G73" s="39">
        <v>5366081</v>
      </c>
      <c r="H73" s="40">
        <v>5869479</v>
      </c>
      <c r="I73" s="21" t="str">
        <f>IF(OR(COUNTIF(Monitoring!C:C, F73) &gt; 0, COUNTIF(Monitoring!F:F, F73) &gt; 0), "yes", "no")</f>
        <v>yes</v>
      </c>
      <c r="J73" s="72" t="str">
        <f t="shared" si="8"/>
        <v>Z:\FAIR_Device_data\Experiment_JulAug_2021\Video_captures\2021-07-13\2021-07-13_15-24-48.mp4</v>
      </c>
    </row>
    <row r="74" spans="1:10" x14ac:dyDescent="0.3">
      <c r="A74" s="1">
        <f t="shared" si="9"/>
        <v>44390</v>
      </c>
      <c r="B74" s="36">
        <f t="shared" si="10"/>
        <v>0.65268518518518515</v>
      </c>
      <c r="C74" s="36">
        <f t="shared" si="11"/>
        <v>44390.652685185189</v>
      </c>
      <c r="D74" s="71" t="str">
        <f t="shared" si="12"/>
        <v>2021-07-13</v>
      </c>
      <c r="E74" s="38" t="s">
        <v>1003</v>
      </c>
      <c r="F74" s="37" t="str">
        <f t="shared" si="7"/>
        <v>2021-07-13_15-39-52</v>
      </c>
      <c r="G74" s="39">
        <v>5726823</v>
      </c>
      <c r="H74" s="40">
        <v>6205935</v>
      </c>
      <c r="I74" s="21" t="str">
        <f>IF(OR(COUNTIF(Monitoring!C:C, F74) &gt; 0, COUNTIF(Monitoring!F:F, F74) &gt; 0), "yes", "no")</f>
        <v>yes</v>
      </c>
      <c r="J74" s="72" t="str">
        <f t="shared" si="8"/>
        <v>Z:\FAIR_Device_data\Experiment_JulAug_2021\Video_captures\2021-07-13\2021-07-13_15-39-52.mp4</v>
      </c>
    </row>
    <row r="75" spans="1:10" x14ac:dyDescent="0.3">
      <c r="A75" s="1">
        <f t="shared" si="9"/>
        <v>44390</v>
      </c>
      <c r="B75" s="36">
        <f t="shared" si="10"/>
        <v>0.66282407407407407</v>
      </c>
      <c r="C75" s="36">
        <f t="shared" si="11"/>
        <v>44390.662824074076</v>
      </c>
      <c r="D75" s="71" t="str">
        <f t="shared" si="12"/>
        <v>2021-07-13</v>
      </c>
      <c r="E75" s="38" t="s">
        <v>1004</v>
      </c>
      <c r="F75" s="37" t="str">
        <f t="shared" si="7"/>
        <v>2021-07-13_15-54-28</v>
      </c>
      <c r="G75" s="39">
        <v>343789844</v>
      </c>
      <c r="H75" s="40">
        <v>316187195</v>
      </c>
      <c r="I75" s="21" t="str">
        <f>IF(OR(COUNTIF(Monitoring!C:C, F75) &gt; 0, COUNTIF(Monitoring!F:F, F75) &gt; 0), "yes", "no")</f>
        <v>yes</v>
      </c>
      <c r="J75" s="72" t="str">
        <f t="shared" si="8"/>
        <v>Z:\FAIR_Device_data\Experiment_JulAug_2021\Video_captures\2021-07-13\2021-07-13_15-54-28.mp4</v>
      </c>
    </row>
    <row r="76" spans="1:10" x14ac:dyDescent="0.3">
      <c r="A76" s="1">
        <f t="shared" si="9"/>
        <v>44390</v>
      </c>
      <c r="B76" s="36">
        <f t="shared" si="10"/>
        <v>0.66965277777777776</v>
      </c>
      <c r="C76" s="36">
        <f t="shared" si="11"/>
        <v>44390.669652777775</v>
      </c>
      <c r="D76" s="71" t="str">
        <f t="shared" si="12"/>
        <v>2021-07-13</v>
      </c>
      <c r="E76" s="38" t="s">
        <v>1005</v>
      </c>
      <c r="F76" s="37" t="str">
        <f t="shared" si="7"/>
        <v>2021-07-13_16-04-18</v>
      </c>
      <c r="G76" s="39">
        <v>10370313</v>
      </c>
      <c r="H76" s="40">
        <v>11575527</v>
      </c>
      <c r="I76" s="21" t="str">
        <f>IF(OR(COUNTIF(Monitoring!C:C, F76) &gt; 0, COUNTIF(Monitoring!F:F, F76) &gt; 0), "yes", "no")</f>
        <v>yes</v>
      </c>
      <c r="J76" s="72" t="str">
        <f t="shared" si="8"/>
        <v>Z:\FAIR_Device_data\Experiment_JulAug_2021\Video_captures\2021-07-13\2021-07-13_16-04-18.mp4</v>
      </c>
    </row>
    <row r="77" spans="1:10" x14ac:dyDescent="0.3">
      <c r="A77" s="1">
        <f t="shared" si="9"/>
        <v>44390</v>
      </c>
      <c r="B77" s="36">
        <f t="shared" si="10"/>
        <v>0.69055555555555559</v>
      </c>
      <c r="C77" s="36">
        <f t="shared" si="11"/>
        <v>44390.690555555557</v>
      </c>
      <c r="D77" s="71" t="str">
        <f t="shared" si="12"/>
        <v>2021-07-13</v>
      </c>
      <c r="E77" s="38" t="s">
        <v>1006</v>
      </c>
      <c r="F77" s="37" t="str">
        <f t="shared" si="7"/>
        <v>2021-07-13_16-34-24</v>
      </c>
      <c r="G77" s="39">
        <v>5844661</v>
      </c>
      <c r="H77" s="40">
        <v>6353654</v>
      </c>
      <c r="I77" s="21" t="str">
        <f>IF(OR(COUNTIF(Monitoring!C:C, F77) &gt; 0, COUNTIF(Monitoring!F:F, F77) &gt; 0), "yes", "no")</f>
        <v>yes</v>
      </c>
      <c r="J77" s="72" t="str">
        <f t="shared" si="8"/>
        <v>Z:\FAIR_Device_data\Experiment_JulAug_2021\Video_captures\2021-07-13\2021-07-13_16-34-24.mp4</v>
      </c>
    </row>
    <row r="78" spans="1:10" x14ac:dyDescent="0.3">
      <c r="A78" s="1">
        <f t="shared" si="9"/>
        <v>44390</v>
      </c>
      <c r="B78" s="36">
        <f t="shared" si="10"/>
        <v>0.69510416666666663</v>
      </c>
      <c r="C78" s="36">
        <f t="shared" si="11"/>
        <v>44390.695104166669</v>
      </c>
      <c r="D78" s="71" t="str">
        <f t="shared" si="12"/>
        <v>2021-07-13</v>
      </c>
      <c r="E78" s="38" t="s">
        <v>1007</v>
      </c>
      <c r="F78" s="37" t="str">
        <f t="shared" si="7"/>
        <v>2021-07-13_16-40-57</v>
      </c>
      <c r="G78" s="39">
        <v>6455924</v>
      </c>
      <c r="H78" s="40">
        <v>6946839</v>
      </c>
      <c r="I78" s="21" t="str">
        <f>IF(OR(COUNTIF(Monitoring!C:C, F78) &gt; 0, COUNTIF(Monitoring!F:F, F78) &gt; 0), "yes", "no")</f>
        <v>yes</v>
      </c>
      <c r="J78" s="72" t="str">
        <f t="shared" si="8"/>
        <v>Z:\FAIR_Device_data\Experiment_JulAug_2021\Video_captures\2021-07-13\2021-07-13_16-40-57.mp4</v>
      </c>
    </row>
    <row r="79" spans="1:10" x14ac:dyDescent="0.3">
      <c r="A79" s="1">
        <f t="shared" si="9"/>
        <v>44390</v>
      </c>
      <c r="B79" s="36">
        <f t="shared" si="10"/>
        <v>0.69853009259259258</v>
      </c>
      <c r="C79" s="36">
        <f t="shared" si="11"/>
        <v>44390.698530092595</v>
      </c>
      <c r="D79" s="71" t="str">
        <f t="shared" si="12"/>
        <v>2021-07-13</v>
      </c>
      <c r="E79" s="38" t="s">
        <v>1008</v>
      </c>
      <c r="F79" s="37" t="str">
        <f t="shared" si="7"/>
        <v>2021-07-13_16-45-53</v>
      </c>
      <c r="G79" s="39">
        <v>6458529</v>
      </c>
      <c r="H79" s="40">
        <v>7096832</v>
      </c>
      <c r="I79" s="21" t="str">
        <f>IF(OR(COUNTIF(Monitoring!C:C, F79) &gt; 0, COUNTIF(Monitoring!F:F, F79) &gt; 0), "yes", "no")</f>
        <v>yes</v>
      </c>
      <c r="J79" s="72" t="str">
        <f t="shared" si="8"/>
        <v>Z:\FAIR_Device_data\Experiment_JulAug_2021\Video_captures\2021-07-13\2021-07-13_16-45-53.mp4</v>
      </c>
    </row>
    <row r="80" spans="1:10" x14ac:dyDescent="0.3">
      <c r="A80" s="1">
        <f t="shared" si="9"/>
        <v>44390</v>
      </c>
      <c r="B80" s="36">
        <f t="shared" si="10"/>
        <v>0.70170138888888889</v>
      </c>
      <c r="C80" s="36">
        <f t="shared" si="11"/>
        <v>44390.701701388891</v>
      </c>
      <c r="D80" s="71" t="str">
        <f t="shared" si="12"/>
        <v>2021-07-13</v>
      </c>
      <c r="E80" s="38" t="s">
        <v>1009</v>
      </c>
      <c r="F80" s="37" t="str">
        <f t="shared" si="7"/>
        <v>2021-07-13_16-50-27</v>
      </c>
      <c r="G80" s="39">
        <v>11409896</v>
      </c>
      <c r="H80" s="40">
        <v>12121776</v>
      </c>
      <c r="I80" s="21" t="str">
        <f>IF(OR(COUNTIF(Monitoring!C:C, F80) &gt; 0, COUNTIF(Monitoring!F:F, F80) &gt; 0), "yes", "no")</f>
        <v>no</v>
      </c>
      <c r="J80" s="72" t="str">
        <f t="shared" si="8"/>
        <v>Z:\FAIR_Device_data\Experiment_JulAug_2021\Video_captures\2021-07-13\2021-07-13_16-50-27.mp4</v>
      </c>
    </row>
    <row r="81" spans="1:10" x14ac:dyDescent="0.3">
      <c r="A81" s="1">
        <f t="shared" si="9"/>
        <v>44390</v>
      </c>
      <c r="B81" s="36">
        <f t="shared" si="10"/>
        <v>0.70225694444444442</v>
      </c>
      <c r="C81" s="36">
        <f t="shared" si="11"/>
        <v>44390.702256944445</v>
      </c>
      <c r="D81" s="71" t="str">
        <f t="shared" si="12"/>
        <v>2021-07-13</v>
      </c>
      <c r="E81" s="38" t="s">
        <v>1010</v>
      </c>
      <c r="F81" s="37" t="str">
        <f t="shared" si="7"/>
        <v>2021-07-13_16-51-15</v>
      </c>
      <c r="G81" s="39">
        <v>11186719</v>
      </c>
      <c r="H81" s="40">
        <v>12443310</v>
      </c>
      <c r="I81" s="21" t="str">
        <f>IF(OR(COUNTIF(Monitoring!C:C, F81) &gt; 0, COUNTIF(Monitoring!F:F, F81) &gt; 0), "yes", "no")</f>
        <v>yes</v>
      </c>
      <c r="J81" s="72" t="str">
        <f t="shared" si="8"/>
        <v>Z:\FAIR_Device_data\Experiment_JulAug_2021\Video_captures\2021-07-13\2021-07-13_16-51-15.mp4</v>
      </c>
    </row>
    <row r="82" spans="1:10" x14ac:dyDescent="0.3">
      <c r="A82" s="1">
        <f t="shared" si="9"/>
        <v>44390</v>
      </c>
      <c r="B82" s="36">
        <f t="shared" si="10"/>
        <v>0.70384259259259263</v>
      </c>
      <c r="C82" s="36">
        <f t="shared" si="11"/>
        <v>44390.703842592593</v>
      </c>
      <c r="D82" s="71" t="str">
        <f t="shared" si="12"/>
        <v>2021-07-13</v>
      </c>
      <c r="E82" s="38" t="s">
        <v>1011</v>
      </c>
      <c r="F82" s="37" t="str">
        <f t="shared" si="7"/>
        <v>2021-07-13_16-53-32</v>
      </c>
      <c r="G82" s="39">
        <v>4919585</v>
      </c>
      <c r="H82" s="40">
        <v>5481927</v>
      </c>
      <c r="I82" s="21" t="str">
        <f>IF(OR(COUNTIF(Monitoring!C:C, F82) &gt; 0, COUNTIF(Monitoring!F:F, F82) &gt; 0), "yes", "no")</f>
        <v>yes</v>
      </c>
      <c r="J82" s="72" t="str">
        <f t="shared" si="8"/>
        <v>Z:\FAIR_Device_data\Experiment_JulAug_2021\Video_captures\2021-07-13\2021-07-13_16-53-32.mp4</v>
      </c>
    </row>
    <row r="83" spans="1:10" x14ac:dyDescent="0.3">
      <c r="A83" s="1">
        <f t="shared" si="9"/>
        <v>44390</v>
      </c>
      <c r="B83" s="36">
        <f t="shared" si="10"/>
        <v>0.70489583333333339</v>
      </c>
      <c r="C83" s="36">
        <f t="shared" si="11"/>
        <v>44390.704895833333</v>
      </c>
      <c r="D83" s="71" t="str">
        <f t="shared" si="12"/>
        <v>2021-07-13</v>
      </c>
      <c r="E83" s="38" t="s">
        <v>1012</v>
      </c>
      <c r="F83" s="37" t="str">
        <f t="shared" si="7"/>
        <v>2021-07-13_16-55-03</v>
      </c>
      <c r="G83" s="39">
        <v>4524935</v>
      </c>
      <c r="H83" s="40">
        <v>5130853</v>
      </c>
      <c r="I83" s="21" t="str">
        <f>IF(OR(COUNTIF(Monitoring!C:C, F83) &gt; 0, COUNTIF(Monitoring!F:F, F83) &gt; 0), "yes", "no")</f>
        <v>yes</v>
      </c>
      <c r="J83" s="72" t="str">
        <f t="shared" si="8"/>
        <v>Z:\FAIR_Device_data\Experiment_JulAug_2021\Video_captures\2021-07-13\2021-07-13_16-55-03.mp4</v>
      </c>
    </row>
    <row r="84" spans="1:10" x14ac:dyDescent="0.3">
      <c r="A84" s="1">
        <f t="shared" si="9"/>
        <v>44390</v>
      </c>
      <c r="B84" s="36">
        <f t="shared" si="10"/>
        <v>0.70634259259259258</v>
      </c>
      <c r="C84" s="36">
        <f t="shared" si="11"/>
        <v>44390.706342592595</v>
      </c>
      <c r="D84" s="71" t="str">
        <f t="shared" si="12"/>
        <v>2021-07-13</v>
      </c>
      <c r="E84" s="38" t="s">
        <v>1013</v>
      </c>
      <c r="F84" s="37" t="str">
        <f t="shared" si="7"/>
        <v>2021-07-13_16-57-08</v>
      </c>
      <c r="G84" s="39">
        <v>21197331</v>
      </c>
      <c r="H84" s="40">
        <v>23893085</v>
      </c>
      <c r="I84" s="21" t="str">
        <f>IF(OR(COUNTIF(Monitoring!C:C, F84) &gt; 0, COUNTIF(Monitoring!F:F, F84) &gt; 0), "yes", "no")</f>
        <v>yes</v>
      </c>
      <c r="J84" s="72" t="str">
        <f t="shared" si="8"/>
        <v>Z:\FAIR_Device_data\Experiment_JulAug_2021\Video_captures\2021-07-13\2021-07-13_16-57-08.mp4</v>
      </c>
    </row>
    <row r="85" spans="1:10" x14ac:dyDescent="0.3">
      <c r="A85" s="1">
        <f t="shared" si="9"/>
        <v>44390</v>
      </c>
      <c r="B85" s="36">
        <f t="shared" si="10"/>
        <v>0.71572916666666664</v>
      </c>
      <c r="C85" s="36">
        <f t="shared" si="11"/>
        <v>44390.715729166666</v>
      </c>
      <c r="D85" s="71" t="str">
        <f t="shared" si="12"/>
        <v>2021-07-13</v>
      </c>
      <c r="E85" s="38" t="s">
        <v>1014</v>
      </c>
      <c r="F85" s="37" t="str">
        <f t="shared" si="7"/>
        <v>2021-07-13_17-10-39</v>
      </c>
      <c r="G85" s="39">
        <v>5232943</v>
      </c>
      <c r="H85" s="40">
        <v>5938396</v>
      </c>
      <c r="I85" s="21" t="str">
        <f>IF(OR(COUNTIF(Monitoring!C:C, F85) &gt; 0, COUNTIF(Monitoring!F:F, F85) &gt; 0), "yes", "no")</f>
        <v>yes</v>
      </c>
      <c r="J85" s="72" t="str">
        <f t="shared" si="8"/>
        <v>Z:\FAIR_Device_data\Experiment_JulAug_2021\Video_captures\2021-07-13\2021-07-13_17-10-39.mp4</v>
      </c>
    </row>
    <row r="86" spans="1:10" x14ac:dyDescent="0.3">
      <c r="A86" s="1">
        <f t="shared" si="9"/>
        <v>44390</v>
      </c>
      <c r="B86" s="36">
        <f t="shared" si="10"/>
        <v>0.71799768518518514</v>
      </c>
      <c r="C86" s="36">
        <f t="shared" si="11"/>
        <v>44390.717997685184</v>
      </c>
      <c r="D86" s="71" t="str">
        <f t="shared" si="12"/>
        <v>2021-07-13</v>
      </c>
      <c r="E86" s="38" t="s">
        <v>1015</v>
      </c>
      <c r="F86" s="37" t="str">
        <f t="shared" si="7"/>
        <v>2021-07-13_17-13-55</v>
      </c>
      <c r="G86" s="39">
        <v>4590885</v>
      </c>
      <c r="H86" s="40">
        <v>5191975</v>
      </c>
      <c r="I86" s="21" t="str">
        <f>IF(OR(COUNTIF(Monitoring!C:C, F86) &gt; 0, COUNTIF(Monitoring!F:F, F86) &gt; 0), "yes", "no")</f>
        <v>yes</v>
      </c>
      <c r="J86" s="72" t="str">
        <f t="shared" si="8"/>
        <v>Z:\FAIR_Device_data\Experiment_JulAug_2021\Video_captures\2021-07-13\2021-07-13_17-13-55.mp4</v>
      </c>
    </row>
    <row r="87" spans="1:10" x14ac:dyDescent="0.3">
      <c r="A87" s="1">
        <f t="shared" si="9"/>
        <v>44390</v>
      </c>
      <c r="B87" s="36">
        <f t="shared" si="10"/>
        <v>0.73061342592592593</v>
      </c>
      <c r="C87" s="36">
        <f t="shared" si="11"/>
        <v>44390.730613425927</v>
      </c>
      <c r="D87" s="71" t="str">
        <f t="shared" si="12"/>
        <v>2021-07-13</v>
      </c>
      <c r="E87" s="38" t="s">
        <v>1016</v>
      </c>
      <c r="F87" s="37" t="str">
        <f t="shared" si="7"/>
        <v>2021-07-13_17-32-05</v>
      </c>
      <c r="G87" s="39">
        <v>8990299</v>
      </c>
      <c r="H87" s="40">
        <v>9993627</v>
      </c>
      <c r="I87" s="21" t="str">
        <f>IF(OR(COUNTIF(Monitoring!C:C, F87) &gt; 0, COUNTIF(Monitoring!F:F, F87) &gt; 0), "yes", "no")</f>
        <v>yes</v>
      </c>
      <c r="J87" s="72" t="str">
        <f t="shared" si="8"/>
        <v>Z:\FAIR_Device_data\Experiment_JulAug_2021\Video_captures\2021-07-13\2021-07-13_17-32-05.mp4</v>
      </c>
    </row>
    <row r="88" spans="1:10" x14ac:dyDescent="0.3">
      <c r="A88" s="1">
        <f t="shared" si="9"/>
        <v>44390</v>
      </c>
      <c r="B88" s="36">
        <f t="shared" si="10"/>
        <v>0.73995370370370372</v>
      </c>
      <c r="C88" s="36">
        <f t="shared" si="11"/>
        <v>44390.739953703705</v>
      </c>
      <c r="D88" s="71" t="str">
        <f t="shared" si="12"/>
        <v>2021-07-13</v>
      </c>
      <c r="E88" s="38" t="s">
        <v>1017</v>
      </c>
      <c r="F88" s="37" t="str">
        <f t="shared" si="7"/>
        <v>2021-07-13_17-45-32</v>
      </c>
      <c r="G88" s="39">
        <v>4560938</v>
      </c>
      <c r="H88" s="40">
        <v>5169277</v>
      </c>
      <c r="I88" s="21" t="str">
        <f>IF(OR(COUNTIF(Monitoring!C:C, F88) &gt; 0, COUNTIF(Monitoring!F:F, F88) &gt; 0), "yes", "no")</f>
        <v>yes</v>
      </c>
      <c r="J88" s="72" t="str">
        <f t="shared" si="8"/>
        <v>Z:\FAIR_Device_data\Experiment_JulAug_2021\Video_captures\2021-07-13\2021-07-13_17-45-32.mp4</v>
      </c>
    </row>
    <row r="89" spans="1:10" x14ac:dyDescent="0.3">
      <c r="A89" s="1">
        <f t="shared" si="9"/>
        <v>44390</v>
      </c>
      <c r="B89" s="36">
        <f t="shared" si="10"/>
        <v>0.74782407407407403</v>
      </c>
      <c r="C89" s="36">
        <f t="shared" si="11"/>
        <v>44390.747824074075</v>
      </c>
      <c r="D89" s="71" t="str">
        <f t="shared" si="12"/>
        <v>2021-07-13</v>
      </c>
      <c r="E89" s="38" t="s">
        <v>1018</v>
      </c>
      <c r="F89" s="37" t="str">
        <f t="shared" si="7"/>
        <v>2021-07-13_17-56-52</v>
      </c>
      <c r="G89" s="39">
        <v>9167969</v>
      </c>
      <c r="H89" s="40">
        <v>10039228</v>
      </c>
      <c r="I89" s="21" t="str">
        <f>IF(OR(COUNTIF(Monitoring!C:C, F89) &gt; 0, COUNTIF(Monitoring!F:F, F89) &gt; 0), "yes", "no")</f>
        <v>yes</v>
      </c>
      <c r="J89" s="72" t="str">
        <f t="shared" si="8"/>
        <v>Z:\FAIR_Device_data\Experiment_JulAug_2021\Video_captures\2021-07-13\2021-07-13_17-56-52.mp4</v>
      </c>
    </row>
    <row r="90" spans="1:10" x14ac:dyDescent="0.3">
      <c r="A90" s="1">
        <f t="shared" si="9"/>
        <v>44390</v>
      </c>
      <c r="B90" s="36">
        <f t="shared" si="10"/>
        <v>0.749537037037037</v>
      </c>
      <c r="C90" s="36">
        <f t="shared" si="11"/>
        <v>44390.749537037038</v>
      </c>
      <c r="D90" s="71" t="str">
        <f t="shared" si="12"/>
        <v>2021-07-13</v>
      </c>
      <c r="E90" s="38" t="s">
        <v>1019</v>
      </c>
      <c r="F90" s="37" t="str">
        <f t="shared" si="7"/>
        <v>2021-07-13_17-59-20</v>
      </c>
      <c r="G90" s="39">
        <v>7145541</v>
      </c>
      <c r="H90" s="40">
        <v>7220422</v>
      </c>
      <c r="I90" s="21" t="str">
        <f>IF(OR(COUNTIF(Monitoring!C:C, F90) &gt; 0, COUNTIF(Monitoring!F:F, F90) &gt; 0), "yes", "no")</f>
        <v>yes</v>
      </c>
      <c r="J90" s="72" t="str">
        <f t="shared" si="8"/>
        <v>Z:\FAIR_Device_data\Experiment_JulAug_2021\Video_captures\2021-07-13\2021-07-13_17-59-20.mp4</v>
      </c>
    </row>
    <row r="91" spans="1:10" x14ac:dyDescent="0.3">
      <c r="A91" s="1">
        <f t="shared" si="9"/>
        <v>44390</v>
      </c>
      <c r="B91" s="36">
        <f t="shared" si="10"/>
        <v>0.75217592592592597</v>
      </c>
      <c r="C91" s="36">
        <f t="shared" si="11"/>
        <v>44390.752175925925</v>
      </c>
      <c r="D91" s="71" t="str">
        <f t="shared" si="12"/>
        <v>2021-07-13</v>
      </c>
      <c r="E91" s="38" t="s">
        <v>1020</v>
      </c>
      <c r="F91" s="37" t="str">
        <f t="shared" si="7"/>
        <v>2021-07-13_18-03-08</v>
      </c>
      <c r="G91" s="39">
        <v>9468685</v>
      </c>
      <c r="H91" s="40">
        <v>10558293</v>
      </c>
      <c r="I91" s="21" t="str">
        <f>IF(OR(COUNTIF(Monitoring!C:C, F91) &gt; 0, COUNTIF(Monitoring!F:F, F91) &gt; 0), "yes", "no")</f>
        <v>yes</v>
      </c>
      <c r="J91" s="72" t="str">
        <f t="shared" si="8"/>
        <v>Z:\FAIR_Device_data\Experiment_JulAug_2021\Video_captures\2021-07-13\2021-07-13_18-03-08.mp4</v>
      </c>
    </row>
    <row r="92" spans="1:10" x14ac:dyDescent="0.3">
      <c r="A92" s="1">
        <f t="shared" si="9"/>
        <v>44390</v>
      </c>
      <c r="B92" s="36">
        <f t="shared" si="10"/>
        <v>0.77981481481481485</v>
      </c>
      <c r="C92" s="36">
        <f t="shared" si="11"/>
        <v>44390.779814814814</v>
      </c>
      <c r="D92" s="71" t="str">
        <f t="shared" si="12"/>
        <v>2021-07-13</v>
      </c>
      <c r="E92" s="38" t="s">
        <v>1021</v>
      </c>
      <c r="F92" s="37" t="str">
        <f t="shared" si="7"/>
        <v>2021-07-13_18-42-56</v>
      </c>
      <c r="G92" s="39">
        <v>9153320</v>
      </c>
      <c r="H92" s="40">
        <v>9557213</v>
      </c>
      <c r="I92" s="21" t="str">
        <f>IF(OR(COUNTIF(Monitoring!C:C, F92) &gt; 0, COUNTIF(Monitoring!F:F, F92) &gt; 0), "yes", "no")</f>
        <v>yes</v>
      </c>
      <c r="J92" s="72" t="str">
        <f t="shared" si="8"/>
        <v>Z:\FAIR_Device_data\Experiment_JulAug_2021\Video_captures\2021-07-13\2021-07-13_18-42-56.mp4</v>
      </c>
    </row>
    <row r="93" spans="1:10" x14ac:dyDescent="0.3">
      <c r="A93" s="1">
        <f t="shared" si="9"/>
        <v>44390</v>
      </c>
      <c r="B93" s="36">
        <f t="shared" si="10"/>
        <v>0.78228009259259257</v>
      </c>
      <c r="C93" s="36">
        <f t="shared" si="11"/>
        <v>44390.782280092593</v>
      </c>
      <c r="D93" s="71" t="str">
        <f t="shared" si="12"/>
        <v>2021-07-13</v>
      </c>
      <c r="E93" s="38" t="s">
        <v>1022</v>
      </c>
      <c r="F93" s="37" t="str">
        <f t="shared" si="7"/>
        <v>2021-07-13_18-46-29</v>
      </c>
      <c r="G93" s="39">
        <v>4596484</v>
      </c>
      <c r="H93" s="40">
        <v>5230126</v>
      </c>
      <c r="I93" s="21" t="str">
        <f>IF(OR(COUNTIF(Monitoring!C:C, F93) &gt; 0, COUNTIF(Monitoring!F:F, F93) &gt; 0), "yes", "no")</f>
        <v>yes</v>
      </c>
      <c r="J93" s="72" t="str">
        <f t="shared" si="8"/>
        <v>Z:\FAIR_Device_data\Experiment_JulAug_2021\Video_captures\2021-07-13\2021-07-13_18-46-29.mp4</v>
      </c>
    </row>
    <row r="94" spans="1:10" x14ac:dyDescent="0.3">
      <c r="A94" s="1">
        <f t="shared" si="9"/>
        <v>44390</v>
      </c>
      <c r="B94" s="36">
        <f t="shared" si="10"/>
        <v>0.78322916666666664</v>
      </c>
      <c r="C94" s="36">
        <f t="shared" si="11"/>
        <v>44390.783229166664</v>
      </c>
      <c r="D94" s="71" t="str">
        <f t="shared" si="12"/>
        <v>2021-07-13</v>
      </c>
      <c r="E94" s="38" t="s">
        <v>1023</v>
      </c>
      <c r="F94" s="37" t="str">
        <f t="shared" si="7"/>
        <v>2021-07-13_18-47-51</v>
      </c>
      <c r="G94" s="39">
        <v>7009115</v>
      </c>
      <c r="H94" s="40">
        <v>7638685</v>
      </c>
      <c r="I94" s="21" t="str">
        <f>IF(OR(COUNTIF(Monitoring!C:C, F94) &gt; 0, COUNTIF(Monitoring!F:F, F94) &gt; 0), "yes", "no")</f>
        <v>yes</v>
      </c>
      <c r="J94" s="72" t="str">
        <f t="shared" si="8"/>
        <v>Z:\FAIR_Device_data\Experiment_JulAug_2021\Video_captures\2021-07-13\2021-07-13_18-47-51.mp4</v>
      </c>
    </row>
    <row r="95" spans="1:10" x14ac:dyDescent="0.3">
      <c r="A95" s="1">
        <f t="shared" si="9"/>
        <v>44390</v>
      </c>
      <c r="B95" s="36">
        <f t="shared" si="10"/>
        <v>0.79484953703703709</v>
      </c>
      <c r="C95" s="36">
        <f t="shared" si="11"/>
        <v>44390.794849537036</v>
      </c>
      <c r="D95" s="71" t="str">
        <f t="shared" si="12"/>
        <v>2021-07-13</v>
      </c>
      <c r="E95" s="38" t="s">
        <v>1024</v>
      </c>
      <c r="F95" s="37" t="str">
        <f t="shared" si="7"/>
        <v>2021-07-13_19-04-35</v>
      </c>
      <c r="G95" s="39">
        <v>9085286</v>
      </c>
      <c r="H95" s="40">
        <v>9700915</v>
      </c>
      <c r="I95" s="21" t="str">
        <f>IF(OR(COUNTIF(Monitoring!C:C, F95) &gt; 0, COUNTIF(Monitoring!F:F, F95) &gt; 0), "yes", "no")</f>
        <v>yes</v>
      </c>
      <c r="J95" s="72" t="str">
        <f t="shared" si="8"/>
        <v>Z:\FAIR_Device_data\Experiment_JulAug_2021\Video_captures\2021-07-13\2021-07-13_19-04-35.mp4</v>
      </c>
    </row>
    <row r="96" spans="1:10" x14ac:dyDescent="0.3">
      <c r="A96" s="1">
        <f t="shared" si="9"/>
        <v>44390</v>
      </c>
      <c r="B96" s="36">
        <f t="shared" si="10"/>
        <v>0.79672453703703705</v>
      </c>
      <c r="C96" s="36">
        <f t="shared" si="11"/>
        <v>44390.796724537038</v>
      </c>
      <c r="D96" s="71" t="str">
        <f t="shared" si="12"/>
        <v>2021-07-13</v>
      </c>
      <c r="E96" s="38" t="s">
        <v>1025</v>
      </c>
      <c r="F96" s="37" t="str">
        <f t="shared" si="7"/>
        <v>2021-07-13_19-07-17</v>
      </c>
      <c r="G96" s="39">
        <v>4607096</v>
      </c>
      <c r="H96" s="40">
        <v>5247959</v>
      </c>
      <c r="I96" s="21" t="str">
        <f>IF(OR(COUNTIF(Monitoring!C:C, F96) &gt; 0, COUNTIF(Monitoring!F:F, F96) &gt; 0), "yes", "no")</f>
        <v>yes</v>
      </c>
      <c r="J96" s="72" t="str">
        <f t="shared" si="8"/>
        <v>Z:\FAIR_Device_data\Experiment_JulAug_2021\Video_captures\2021-07-13\2021-07-13_19-07-17.mp4</v>
      </c>
    </row>
    <row r="97" spans="1:10" x14ac:dyDescent="0.3">
      <c r="A97" s="1">
        <f t="shared" si="9"/>
        <v>44390</v>
      </c>
      <c r="B97" s="36">
        <f t="shared" si="10"/>
        <v>0.80475694444444446</v>
      </c>
      <c r="C97" s="36">
        <f t="shared" si="11"/>
        <v>44390.804756944446</v>
      </c>
      <c r="D97" s="71" t="str">
        <f t="shared" si="12"/>
        <v>2021-07-13</v>
      </c>
      <c r="E97" s="38" t="s">
        <v>1026</v>
      </c>
      <c r="F97" s="37" t="str">
        <f t="shared" si="7"/>
        <v>2021-07-13_19-18-51</v>
      </c>
      <c r="G97" s="39">
        <v>4973633</v>
      </c>
      <c r="H97" s="40">
        <v>5854003</v>
      </c>
      <c r="I97" s="21" t="str">
        <f>IF(OR(COUNTIF(Monitoring!C:C, F97) &gt; 0, COUNTIF(Monitoring!F:F, F97) &gt; 0), "yes", "no")</f>
        <v>yes</v>
      </c>
      <c r="J97" s="72" t="str">
        <f t="shared" si="8"/>
        <v>Z:\FAIR_Device_data\Experiment_JulAug_2021\Video_captures\2021-07-13\2021-07-13_19-18-51.mp4</v>
      </c>
    </row>
    <row r="98" spans="1:10" x14ac:dyDescent="0.3">
      <c r="A98" s="1">
        <f t="shared" si="9"/>
        <v>44390</v>
      </c>
      <c r="B98" s="36">
        <f t="shared" si="10"/>
        <v>0.82436342592592593</v>
      </c>
      <c r="C98" s="36">
        <f t="shared" si="11"/>
        <v>44390.824363425927</v>
      </c>
      <c r="D98" s="71" t="str">
        <f t="shared" si="12"/>
        <v>2021-07-13</v>
      </c>
      <c r="E98" s="38" t="s">
        <v>1027</v>
      </c>
      <c r="F98" s="37" t="str">
        <f t="shared" si="7"/>
        <v>2021-07-13_19-47-05</v>
      </c>
      <c r="G98" s="39">
        <v>4847526</v>
      </c>
      <c r="H98" s="40">
        <v>5723655</v>
      </c>
      <c r="I98" s="21" t="str">
        <f>IF(OR(COUNTIF(Monitoring!C:C, F98) &gt; 0, COUNTIF(Monitoring!F:F, F98) &gt; 0), "yes", "no")</f>
        <v>yes</v>
      </c>
      <c r="J98" s="72" t="str">
        <f t="shared" si="8"/>
        <v>Z:\FAIR_Device_data\Experiment_JulAug_2021\Video_captures\2021-07-13\2021-07-13_19-47-05.mp4</v>
      </c>
    </row>
    <row r="99" spans="1:10" x14ac:dyDescent="0.3">
      <c r="A99" s="1">
        <f t="shared" si="9"/>
        <v>44390</v>
      </c>
      <c r="B99" s="36">
        <f t="shared" si="10"/>
        <v>0.84180555555555558</v>
      </c>
      <c r="C99" s="36">
        <f t="shared" si="11"/>
        <v>44390.841805555552</v>
      </c>
      <c r="D99" s="71" t="str">
        <f t="shared" si="12"/>
        <v>2021-07-13</v>
      </c>
      <c r="E99" s="38" t="s">
        <v>1028</v>
      </c>
      <c r="F99" s="37" t="str">
        <f t="shared" si="7"/>
        <v>2021-07-13_20-12-12</v>
      </c>
      <c r="G99" s="39">
        <v>11928646</v>
      </c>
      <c r="H99" s="40">
        <v>13998048</v>
      </c>
      <c r="I99" s="21" t="str">
        <f>IF(OR(COUNTIF(Monitoring!C:C, F99) &gt; 0, COUNTIF(Monitoring!F:F, F99) &gt; 0), "yes", "no")</f>
        <v>yes</v>
      </c>
      <c r="J99" s="72" t="str">
        <f t="shared" si="8"/>
        <v>Z:\FAIR_Device_data\Experiment_JulAug_2021\Video_captures\2021-07-13\2021-07-13_20-12-12.mp4</v>
      </c>
    </row>
    <row r="100" spans="1:10" x14ac:dyDescent="0.3">
      <c r="A100" s="1">
        <f t="shared" si="9"/>
        <v>44390</v>
      </c>
      <c r="B100" s="36">
        <f t="shared" si="10"/>
        <v>0.85416666666666663</v>
      </c>
      <c r="C100" s="36">
        <f t="shared" si="11"/>
        <v>44390.854166666664</v>
      </c>
      <c r="D100" s="71" t="str">
        <f t="shared" si="12"/>
        <v>2021-07-13</v>
      </c>
      <c r="E100" s="38" t="s">
        <v>1029</v>
      </c>
      <c r="F100" s="37" t="str">
        <f t="shared" si="7"/>
        <v>2021-07-13_20-30-00</v>
      </c>
      <c r="G100" s="39">
        <v>4530990</v>
      </c>
      <c r="H100" s="40">
        <v>5693298</v>
      </c>
      <c r="I100" s="21" t="str">
        <f>IF(OR(COUNTIF(Monitoring!C:C, F100) &gt; 0, COUNTIF(Monitoring!F:F, F100) &gt; 0), "yes", "no")</f>
        <v>yes</v>
      </c>
      <c r="J100" s="72" t="str">
        <f t="shared" si="8"/>
        <v>Z:\FAIR_Device_data\Experiment_JulAug_2021\Video_captures\2021-07-13\2021-07-13_20-30-00.mp4</v>
      </c>
    </row>
    <row r="101" spans="1:10" x14ac:dyDescent="0.3">
      <c r="A101" s="1">
        <f t="shared" si="9"/>
        <v>44390</v>
      </c>
      <c r="B101" s="36">
        <f t="shared" si="10"/>
        <v>0.85943287037037042</v>
      </c>
      <c r="C101" s="36">
        <f t="shared" si="11"/>
        <v>44390.859432870369</v>
      </c>
      <c r="D101" s="71" t="str">
        <f t="shared" si="12"/>
        <v>2021-07-13</v>
      </c>
      <c r="E101" s="38" t="s">
        <v>1030</v>
      </c>
      <c r="F101" s="37" t="str">
        <f t="shared" si="7"/>
        <v>2021-07-13_20-37-35</v>
      </c>
      <c r="G101" s="39">
        <v>84969922</v>
      </c>
      <c r="H101" s="40">
        <v>78321960</v>
      </c>
      <c r="I101" s="21" t="str">
        <f>IF(OR(COUNTIF(Monitoring!C:C, F101) &gt; 0, COUNTIF(Monitoring!F:F, F101) &gt; 0), "yes", "no")</f>
        <v>yes</v>
      </c>
      <c r="J101" s="72" t="str">
        <f t="shared" si="8"/>
        <v>Z:\FAIR_Device_data\Experiment_JulAug_2021\Video_captures\2021-07-13\2021-07-13_20-37-35.mp4</v>
      </c>
    </row>
    <row r="102" spans="1:10" x14ac:dyDescent="0.3">
      <c r="A102" s="1">
        <f t="shared" si="9"/>
        <v>44390</v>
      </c>
      <c r="B102" s="36">
        <f t="shared" si="10"/>
        <v>0.867650462962963</v>
      </c>
      <c r="C102" s="36">
        <f t="shared" si="11"/>
        <v>44390.867650462962</v>
      </c>
      <c r="D102" s="71" t="str">
        <f t="shared" si="12"/>
        <v>2021-07-13</v>
      </c>
      <c r="E102" s="38" t="s">
        <v>1031</v>
      </c>
      <c r="F102" s="37" t="str">
        <f t="shared" si="7"/>
        <v>2021-07-13_20-49-25</v>
      </c>
      <c r="G102" s="39">
        <v>10000781</v>
      </c>
      <c r="H102" s="40">
        <v>10888789</v>
      </c>
      <c r="I102" s="21" t="str">
        <f>IF(OR(COUNTIF(Monitoring!C:C, F102) &gt; 0, COUNTIF(Monitoring!F:F, F102) &gt; 0), "yes", "no")</f>
        <v>yes</v>
      </c>
      <c r="J102" s="72" t="str">
        <f t="shared" si="8"/>
        <v>Z:\FAIR_Device_data\Experiment_JulAug_2021\Video_captures\2021-07-13\2021-07-13_20-49-25.mp4</v>
      </c>
    </row>
    <row r="103" spans="1:10" x14ac:dyDescent="0.3">
      <c r="A103" s="1">
        <f t="shared" si="9"/>
        <v>44391</v>
      </c>
      <c r="B103" s="36">
        <f t="shared" si="10"/>
        <v>0.31678240740740743</v>
      </c>
      <c r="C103" s="36">
        <f t="shared" si="11"/>
        <v>44391.316782407404</v>
      </c>
      <c r="D103" s="71" t="str">
        <f t="shared" si="12"/>
        <v>2021-07-14</v>
      </c>
      <c r="E103" s="38" t="s">
        <v>1032</v>
      </c>
      <c r="F103" s="37" t="str">
        <f t="shared" si="7"/>
        <v>2021-07-14_07-36-10</v>
      </c>
      <c r="G103" s="39">
        <v>4589388</v>
      </c>
      <c r="H103" s="40">
        <v>5429022</v>
      </c>
      <c r="I103" s="21" t="str">
        <f>IF(OR(COUNTIF(Monitoring!C:C, F103) &gt; 0, COUNTIF(Monitoring!F:F, F103) &gt; 0), "yes", "no")</f>
        <v>yes</v>
      </c>
      <c r="J103" s="72" t="str">
        <f t="shared" si="8"/>
        <v>Z:\FAIR_Device_data\Experiment_JulAug_2021\Video_captures\2021-07-14\2021-07-14_07-36-10.mp4</v>
      </c>
    </row>
    <row r="104" spans="1:10" x14ac:dyDescent="0.3">
      <c r="A104" s="1">
        <f t="shared" si="9"/>
        <v>44391</v>
      </c>
      <c r="B104" s="36">
        <f t="shared" si="10"/>
        <v>0.35890046296296296</v>
      </c>
      <c r="C104" s="36">
        <f t="shared" si="11"/>
        <v>44391.358900462961</v>
      </c>
      <c r="D104" s="71" t="str">
        <f t="shared" si="12"/>
        <v>2021-07-14</v>
      </c>
      <c r="E104" s="38" t="s">
        <v>1033</v>
      </c>
      <c r="F104" s="37" t="str">
        <f t="shared" si="7"/>
        <v>2021-07-14_08-36-49</v>
      </c>
      <c r="G104" s="39">
        <v>4468615</v>
      </c>
      <c r="H104" s="40">
        <v>5195281</v>
      </c>
      <c r="I104" s="21" t="str">
        <f>IF(OR(COUNTIF(Monitoring!C:C, F104) &gt; 0, COUNTIF(Monitoring!F:F, F104) &gt; 0), "yes", "no")</f>
        <v>yes</v>
      </c>
      <c r="J104" s="72" t="str">
        <f t="shared" si="8"/>
        <v>Z:\FAIR_Device_data\Experiment_JulAug_2021\Video_captures\2021-07-14\2021-07-14_08-36-49.mp4</v>
      </c>
    </row>
    <row r="105" spans="1:10" x14ac:dyDescent="0.3">
      <c r="A105" s="1">
        <f t="shared" si="9"/>
        <v>44391</v>
      </c>
      <c r="B105" s="36">
        <f t="shared" si="10"/>
        <v>0.38616898148148149</v>
      </c>
      <c r="C105" s="36">
        <f t="shared" si="11"/>
        <v>44391.38616898148</v>
      </c>
      <c r="D105" s="71" t="str">
        <f t="shared" si="12"/>
        <v>2021-07-14</v>
      </c>
      <c r="E105" s="38" t="s">
        <v>1034</v>
      </c>
      <c r="F105" s="37" t="str">
        <f t="shared" si="7"/>
        <v>2021-07-14_09-16-05</v>
      </c>
      <c r="G105" s="39">
        <v>4492969</v>
      </c>
      <c r="H105" s="40">
        <v>5007223</v>
      </c>
      <c r="I105" s="21" t="str">
        <f>IF(OR(COUNTIF(Monitoring!C:C, F105) &gt; 0, COUNTIF(Monitoring!F:F, F105) &gt; 0), "yes", "no")</f>
        <v>yes</v>
      </c>
      <c r="J105" s="72" t="str">
        <f t="shared" si="8"/>
        <v>Z:\FAIR_Device_data\Experiment_JulAug_2021\Video_captures\2021-07-14\2021-07-14_09-16-05.mp4</v>
      </c>
    </row>
    <row r="106" spans="1:10" x14ac:dyDescent="0.3">
      <c r="A106" s="1">
        <f t="shared" si="9"/>
        <v>44392</v>
      </c>
      <c r="B106" s="36">
        <f t="shared" si="10"/>
        <v>0.76960648148148147</v>
      </c>
      <c r="C106" s="36">
        <f t="shared" si="11"/>
        <v>44392.769606481481</v>
      </c>
      <c r="D106" s="71" t="str">
        <f t="shared" si="12"/>
        <v>2021-07-15</v>
      </c>
      <c r="E106" s="38" t="s">
        <v>1035</v>
      </c>
      <c r="F106" s="37" t="str">
        <f t="shared" si="7"/>
        <v>2021-07-15_18-28-14</v>
      </c>
      <c r="G106" s="39">
        <v>98651888</v>
      </c>
      <c r="H106" s="40">
        <v>64670841</v>
      </c>
      <c r="I106" s="21" t="str">
        <f>IF(OR(COUNTIF(Monitoring!C:C, F106) &gt; 0, COUNTIF(Monitoring!F:F, F106) &gt; 0), "yes", "no")</f>
        <v>yes</v>
      </c>
      <c r="J106" s="72" t="str">
        <f t="shared" si="8"/>
        <v>Z:\FAIR_Device_data\Experiment_JulAug_2021\Video_captures\2021-07-15\2021-07-15_18-28-14.mp4</v>
      </c>
    </row>
    <row r="107" spans="1:10" x14ac:dyDescent="0.3">
      <c r="A107" s="1">
        <f t="shared" si="9"/>
        <v>44392</v>
      </c>
      <c r="B107" s="36">
        <f t="shared" si="10"/>
        <v>0.7712268518518518</v>
      </c>
      <c r="C107" s="36">
        <f t="shared" si="11"/>
        <v>44392.771226851852</v>
      </c>
      <c r="D107" s="71" t="str">
        <f t="shared" si="12"/>
        <v>2021-07-15</v>
      </c>
      <c r="E107" s="38" t="s">
        <v>1036</v>
      </c>
      <c r="F107" s="37" t="str">
        <f t="shared" si="7"/>
        <v>2021-07-15_18-30-34</v>
      </c>
      <c r="G107" s="39">
        <v>70061230</v>
      </c>
      <c r="H107" s="40">
        <v>46947158</v>
      </c>
      <c r="I107" s="21" t="str">
        <f>IF(OR(COUNTIF(Monitoring!C:C, F107) &gt; 0, COUNTIF(Monitoring!F:F, F107) &gt; 0), "yes", "no")</f>
        <v>yes</v>
      </c>
      <c r="J107" s="72" t="str">
        <f t="shared" si="8"/>
        <v>Z:\FAIR_Device_data\Experiment_JulAug_2021\Video_captures\2021-07-15\2021-07-15_18-30-34.mp4</v>
      </c>
    </row>
    <row r="108" spans="1:10" x14ac:dyDescent="0.3">
      <c r="A108" s="1">
        <f t="shared" si="9"/>
        <v>44392</v>
      </c>
      <c r="B108" s="36">
        <f t="shared" si="10"/>
        <v>0.78696759259259264</v>
      </c>
      <c r="C108" s="36">
        <f t="shared" si="11"/>
        <v>44392.78696759259</v>
      </c>
      <c r="D108" s="71" t="str">
        <f t="shared" si="12"/>
        <v>2021-07-15</v>
      </c>
      <c r="E108" s="38" t="s">
        <v>1037</v>
      </c>
      <c r="F108" s="37" t="str">
        <f t="shared" si="7"/>
        <v>2021-07-15_18-53-14</v>
      </c>
      <c r="G108" s="39">
        <v>23504818</v>
      </c>
      <c r="H108" s="40">
        <v>23435324</v>
      </c>
      <c r="I108" s="21" t="str">
        <f>IF(OR(COUNTIF(Monitoring!C:C, F108) &gt; 0, COUNTIF(Monitoring!F:F, F108) &gt; 0), "yes", "no")</f>
        <v>yes</v>
      </c>
      <c r="J108" s="72" t="str">
        <f t="shared" si="8"/>
        <v>Z:\FAIR_Device_data\Experiment_JulAug_2021\Video_captures\2021-07-15\2021-07-15_18-53-14.mp4</v>
      </c>
    </row>
    <row r="109" spans="1:10" x14ac:dyDescent="0.3">
      <c r="A109" s="1">
        <f t="shared" si="9"/>
        <v>44392</v>
      </c>
      <c r="B109" s="36">
        <f t="shared" si="10"/>
        <v>0.7989236111111111</v>
      </c>
      <c r="C109" s="36">
        <f t="shared" si="11"/>
        <v>44392.79892361111</v>
      </c>
      <c r="D109" s="71" t="str">
        <f t="shared" si="12"/>
        <v>2021-07-15</v>
      </c>
      <c r="E109" s="38" t="s">
        <v>1038</v>
      </c>
      <c r="F109" s="37" t="str">
        <f t="shared" si="7"/>
        <v>2021-07-15_19-10-27</v>
      </c>
      <c r="G109" s="39">
        <v>9612240</v>
      </c>
      <c r="H109" s="40">
        <v>9313672</v>
      </c>
      <c r="I109" s="21" t="str">
        <f>IF(OR(COUNTIF(Monitoring!C:C, F109) &gt; 0, COUNTIF(Monitoring!F:F, F109) &gt; 0), "yes", "no")</f>
        <v>yes</v>
      </c>
      <c r="J109" s="72" t="str">
        <f t="shared" si="8"/>
        <v>Z:\FAIR_Device_data\Experiment_JulAug_2021\Video_captures\2021-07-15\2021-07-15_19-10-27.mp4</v>
      </c>
    </row>
    <row r="110" spans="1:10" x14ac:dyDescent="0.3">
      <c r="A110" s="1">
        <f t="shared" si="9"/>
        <v>44392</v>
      </c>
      <c r="B110" s="36">
        <f t="shared" si="10"/>
        <v>0.80210648148148145</v>
      </c>
      <c r="C110" s="36">
        <f t="shared" si="11"/>
        <v>44392.802106481482</v>
      </c>
      <c r="D110" s="71" t="str">
        <f t="shared" si="12"/>
        <v>2021-07-15</v>
      </c>
      <c r="E110" s="38" t="s">
        <v>1039</v>
      </c>
      <c r="F110" s="37" t="str">
        <f t="shared" si="7"/>
        <v>2021-07-15_19-15-02</v>
      </c>
      <c r="G110" s="39">
        <v>27061328</v>
      </c>
      <c r="H110" s="40">
        <v>29298942</v>
      </c>
      <c r="I110" s="21" t="str">
        <f>IF(OR(COUNTIF(Monitoring!C:C, F110) &gt; 0, COUNTIF(Monitoring!F:F, F110) &gt; 0), "yes", "no")</f>
        <v>yes</v>
      </c>
      <c r="J110" s="72" t="str">
        <f t="shared" si="8"/>
        <v>Z:\FAIR_Device_data\Experiment_JulAug_2021\Video_captures\2021-07-15\2021-07-15_19-15-02.mp4</v>
      </c>
    </row>
    <row r="111" spans="1:10" x14ac:dyDescent="0.3">
      <c r="A111" s="1">
        <f t="shared" si="9"/>
        <v>44392</v>
      </c>
      <c r="B111" s="36">
        <f t="shared" si="10"/>
        <v>0.80589120370370371</v>
      </c>
      <c r="C111" s="36">
        <f t="shared" si="11"/>
        <v>44392.805891203701</v>
      </c>
      <c r="D111" s="71" t="str">
        <f t="shared" si="12"/>
        <v>2021-07-15</v>
      </c>
      <c r="E111" s="38" t="s">
        <v>1040</v>
      </c>
      <c r="F111" s="37" t="str">
        <f t="shared" si="7"/>
        <v>2021-07-15_19-20-29</v>
      </c>
      <c r="G111" s="39">
        <v>8122721</v>
      </c>
      <c r="H111" s="40">
        <v>7706120</v>
      </c>
      <c r="I111" s="21" t="str">
        <f>IF(OR(COUNTIF(Monitoring!C:C, F111) &gt; 0, COUNTIF(Monitoring!F:F, F111) &gt; 0), "yes", "no")</f>
        <v>yes</v>
      </c>
      <c r="J111" s="72" t="str">
        <f t="shared" si="8"/>
        <v>Z:\FAIR_Device_data\Experiment_JulAug_2021\Video_captures\2021-07-15\2021-07-15_19-20-29.mp4</v>
      </c>
    </row>
    <row r="112" spans="1:10" x14ac:dyDescent="0.3">
      <c r="A112" s="1">
        <f t="shared" si="9"/>
        <v>44392</v>
      </c>
      <c r="B112" s="36">
        <f t="shared" si="10"/>
        <v>0.81171296296296291</v>
      </c>
      <c r="C112" s="36">
        <f t="shared" si="11"/>
        <v>44392.811712962961</v>
      </c>
      <c r="D112" s="71" t="str">
        <f t="shared" si="12"/>
        <v>2021-07-15</v>
      </c>
      <c r="E112" s="38" t="s">
        <v>1041</v>
      </c>
      <c r="F112" s="37" t="str">
        <f t="shared" si="7"/>
        <v>2021-07-15_19-28-52</v>
      </c>
      <c r="G112" s="39">
        <v>40942643</v>
      </c>
      <c r="H112" s="40">
        <v>44659163</v>
      </c>
      <c r="I112" s="21" t="str">
        <f>IF(OR(COUNTIF(Monitoring!C:C, F112) &gt; 0, COUNTIF(Monitoring!F:F, F112) &gt; 0), "yes", "no")</f>
        <v>yes</v>
      </c>
      <c r="J112" s="72" t="str">
        <f t="shared" si="8"/>
        <v>Z:\FAIR_Device_data\Experiment_JulAug_2021\Video_captures\2021-07-15\2021-07-15_19-28-52.mp4</v>
      </c>
    </row>
    <row r="113" spans="1:10" x14ac:dyDescent="0.3">
      <c r="A113" s="1">
        <f t="shared" si="9"/>
        <v>44392</v>
      </c>
      <c r="B113" s="36">
        <f t="shared" si="10"/>
        <v>0.8131828703703704</v>
      </c>
      <c r="C113" s="36">
        <f t="shared" si="11"/>
        <v>44392.81318287037</v>
      </c>
      <c r="D113" s="71" t="str">
        <f t="shared" si="12"/>
        <v>2021-07-15</v>
      </c>
      <c r="E113" s="38" t="s">
        <v>1042</v>
      </c>
      <c r="F113" s="37" t="str">
        <f t="shared" si="7"/>
        <v>2021-07-15_19-30-59</v>
      </c>
      <c r="G113" s="39">
        <v>8123503</v>
      </c>
      <c r="H113" s="40">
        <v>7533698</v>
      </c>
      <c r="I113" s="21" t="str">
        <f>IF(OR(COUNTIF(Monitoring!C:C, F113) &gt; 0, COUNTIF(Monitoring!F:F, F113) &gt; 0), "yes", "no")</f>
        <v>yes</v>
      </c>
      <c r="J113" s="72" t="str">
        <f t="shared" si="8"/>
        <v>Z:\FAIR_Device_data\Experiment_JulAug_2021\Video_captures\2021-07-15\2021-07-15_19-30-59.mp4</v>
      </c>
    </row>
    <row r="114" spans="1:10" x14ac:dyDescent="0.3">
      <c r="A114" s="1">
        <f t="shared" si="9"/>
        <v>44392</v>
      </c>
      <c r="B114" s="36">
        <f t="shared" si="10"/>
        <v>0.82894675925925931</v>
      </c>
      <c r="C114" s="36">
        <f t="shared" si="11"/>
        <v>44392.828946759262</v>
      </c>
      <c r="D114" s="71" t="str">
        <f t="shared" si="12"/>
        <v>2021-07-15</v>
      </c>
      <c r="E114" s="38" t="s">
        <v>1043</v>
      </c>
      <c r="F114" s="37" t="str">
        <f t="shared" si="7"/>
        <v>2021-07-15_19-53-41</v>
      </c>
      <c r="G114" s="39">
        <v>38759896</v>
      </c>
      <c r="H114" s="40">
        <v>44115616</v>
      </c>
      <c r="I114" s="21" t="str">
        <f>IF(OR(COUNTIF(Monitoring!C:C, F114) &gt; 0, COUNTIF(Monitoring!F:F, F114) &gt; 0), "yes", "no")</f>
        <v>yes</v>
      </c>
      <c r="J114" s="72" t="str">
        <f t="shared" si="8"/>
        <v>Z:\FAIR_Device_data\Experiment_JulAug_2021\Video_captures\2021-07-15\2021-07-15_19-53-41.mp4</v>
      </c>
    </row>
    <row r="115" spans="1:10" x14ac:dyDescent="0.3">
      <c r="A115" s="1">
        <f t="shared" si="9"/>
        <v>44392</v>
      </c>
      <c r="B115" s="36">
        <f t="shared" si="10"/>
        <v>0.83474537037037033</v>
      </c>
      <c r="C115" s="36">
        <f t="shared" si="11"/>
        <v>44392.834745370368</v>
      </c>
      <c r="D115" s="71" t="str">
        <f t="shared" si="12"/>
        <v>2021-07-15</v>
      </c>
      <c r="E115" s="38" t="s">
        <v>1044</v>
      </c>
      <c r="F115" s="37" t="str">
        <f t="shared" si="7"/>
        <v>2021-07-15_20-02-02</v>
      </c>
      <c r="G115" s="39">
        <v>8201758</v>
      </c>
      <c r="H115" s="40">
        <v>7503153</v>
      </c>
      <c r="I115" s="21" t="str">
        <f>IF(OR(COUNTIF(Monitoring!C:C, F115) &gt; 0, COUNTIF(Monitoring!F:F, F115) &gt; 0), "yes", "no")</f>
        <v>yes</v>
      </c>
      <c r="J115" s="72" t="str">
        <f t="shared" si="8"/>
        <v>Z:\FAIR_Device_data\Experiment_JulAug_2021\Video_captures\2021-07-15\2021-07-15_20-02-02.mp4</v>
      </c>
    </row>
    <row r="116" spans="1:10" x14ac:dyDescent="0.3">
      <c r="A116" s="1">
        <f t="shared" si="9"/>
        <v>44392</v>
      </c>
      <c r="B116" s="36">
        <f t="shared" si="10"/>
        <v>0.85288194444444443</v>
      </c>
      <c r="C116" s="36">
        <f t="shared" si="11"/>
        <v>44392.852881944447</v>
      </c>
      <c r="D116" s="71" t="str">
        <f t="shared" si="12"/>
        <v>2021-07-15</v>
      </c>
      <c r="E116" s="38" t="s">
        <v>1045</v>
      </c>
      <c r="F116" s="37" t="str">
        <f t="shared" si="7"/>
        <v>2021-07-15_20-28-09</v>
      </c>
      <c r="G116" s="39">
        <v>9209570</v>
      </c>
      <c r="H116" s="40">
        <v>9160590</v>
      </c>
      <c r="I116" s="21" t="str">
        <f>IF(OR(COUNTIF(Monitoring!C:C, F116) &gt; 0, COUNTIF(Monitoring!F:F, F116) &gt; 0), "yes", "no")</f>
        <v>yes</v>
      </c>
      <c r="J116" s="72" t="str">
        <f t="shared" si="8"/>
        <v>Z:\FAIR_Device_data\Experiment_JulAug_2021\Video_captures\2021-07-15\2021-07-15_20-28-09.mp4</v>
      </c>
    </row>
    <row r="117" spans="1:10" x14ac:dyDescent="0.3">
      <c r="A117" s="1">
        <f t="shared" si="9"/>
        <v>44392</v>
      </c>
      <c r="B117" s="36">
        <f t="shared" si="10"/>
        <v>0.86537037037037035</v>
      </c>
      <c r="C117" s="36">
        <f t="shared" si="11"/>
        <v>44392.865370370368</v>
      </c>
      <c r="D117" s="71" t="str">
        <f t="shared" si="12"/>
        <v>2021-07-15</v>
      </c>
      <c r="E117" s="38" t="s">
        <v>1046</v>
      </c>
      <c r="F117" s="37" t="str">
        <f t="shared" si="7"/>
        <v>2021-07-15_20-46-08</v>
      </c>
      <c r="G117" s="39">
        <v>9575911</v>
      </c>
      <c r="H117" s="40">
        <v>9733986</v>
      </c>
      <c r="I117" s="21" t="str">
        <f>IF(OR(COUNTIF(Monitoring!C:C, F117) &gt; 0, COUNTIF(Monitoring!F:F, F117) &gt; 0), "yes", "no")</f>
        <v>yes</v>
      </c>
      <c r="J117" s="72" t="str">
        <f t="shared" si="8"/>
        <v>Z:\FAIR_Device_data\Experiment_JulAug_2021\Video_captures\2021-07-15\2021-07-15_20-46-08.mp4</v>
      </c>
    </row>
    <row r="118" spans="1:10" x14ac:dyDescent="0.3">
      <c r="A118" s="1">
        <f t="shared" si="9"/>
        <v>44392</v>
      </c>
      <c r="B118" s="36">
        <f t="shared" si="10"/>
        <v>0.87526620370370367</v>
      </c>
      <c r="C118" s="36">
        <f t="shared" si="11"/>
        <v>44392.8752662037</v>
      </c>
      <c r="D118" s="71" t="str">
        <f t="shared" si="12"/>
        <v>2021-07-15</v>
      </c>
      <c r="E118" s="38" t="s">
        <v>1047</v>
      </c>
      <c r="F118" s="37" t="str">
        <f t="shared" si="7"/>
        <v>2021-07-15_21-00-23</v>
      </c>
      <c r="G118" s="39">
        <v>29577474</v>
      </c>
      <c r="H118" s="40">
        <v>33640679</v>
      </c>
      <c r="I118" s="21" t="str">
        <f>IF(OR(COUNTIF(Monitoring!C:C, F118) &gt; 0, COUNTIF(Monitoring!F:F, F118) &gt; 0), "yes", "no")</f>
        <v>yes</v>
      </c>
      <c r="J118" s="72" t="str">
        <f t="shared" si="8"/>
        <v>Z:\FAIR_Device_data\Experiment_JulAug_2021\Video_captures\2021-07-15\2021-07-15_21-00-23.mp4</v>
      </c>
    </row>
    <row r="119" spans="1:10" x14ac:dyDescent="0.3">
      <c r="A119" s="1">
        <f t="shared" si="9"/>
        <v>44392</v>
      </c>
      <c r="B119" s="36">
        <f t="shared" si="10"/>
        <v>0.87619212962962967</v>
      </c>
      <c r="C119" s="36">
        <f t="shared" si="11"/>
        <v>44392.876192129632</v>
      </c>
      <c r="D119" s="71" t="str">
        <f t="shared" si="12"/>
        <v>2021-07-15</v>
      </c>
      <c r="E119" s="38" t="s">
        <v>1048</v>
      </c>
      <c r="F119" s="37" t="str">
        <f t="shared" si="7"/>
        <v>2021-07-15_21-01-43</v>
      </c>
      <c r="G119" s="39">
        <v>14717513</v>
      </c>
      <c r="H119" s="40">
        <v>15460681</v>
      </c>
      <c r="I119" s="21" t="str">
        <f>IF(OR(COUNTIF(Monitoring!C:C, F119) &gt; 0, COUNTIF(Monitoring!F:F, F119) &gt; 0), "yes", "no")</f>
        <v>no</v>
      </c>
      <c r="J119" s="72" t="str">
        <f t="shared" si="8"/>
        <v>Z:\FAIR_Device_data\Experiment_JulAug_2021\Video_captures\2021-07-15\2021-07-15_21-01-43.mp4</v>
      </c>
    </row>
    <row r="120" spans="1:10" x14ac:dyDescent="0.3">
      <c r="A120" s="1">
        <f t="shared" si="9"/>
        <v>44392</v>
      </c>
      <c r="B120" s="36">
        <f t="shared" si="10"/>
        <v>0.87907407407407412</v>
      </c>
      <c r="C120" s="36">
        <f t="shared" si="11"/>
        <v>44392.879074074073</v>
      </c>
      <c r="D120" s="71" t="str">
        <f t="shared" si="12"/>
        <v>2021-07-15</v>
      </c>
      <c r="E120" s="38" t="s">
        <v>1049</v>
      </c>
      <c r="F120" s="37" t="str">
        <f t="shared" si="7"/>
        <v>2021-07-15_21-05-52</v>
      </c>
      <c r="G120" s="39">
        <v>43818499</v>
      </c>
      <c r="H120" s="40">
        <v>46394957</v>
      </c>
      <c r="I120" s="21" t="str">
        <f>IF(OR(COUNTIF(Monitoring!C:C, F120) &gt; 0, COUNTIF(Monitoring!F:F, F120) &gt; 0), "yes", "no")</f>
        <v>yes</v>
      </c>
      <c r="J120" s="72" t="str">
        <f t="shared" si="8"/>
        <v>Z:\FAIR_Device_data\Experiment_JulAug_2021\Video_captures\2021-07-15\2021-07-15_21-05-52.mp4</v>
      </c>
    </row>
    <row r="121" spans="1:10" x14ac:dyDescent="0.3">
      <c r="A121" s="1">
        <f t="shared" si="9"/>
        <v>44392</v>
      </c>
      <c r="B121" s="36">
        <f t="shared" si="10"/>
        <v>0.88130787037037039</v>
      </c>
      <c r="C121" s="36">
        <f t="shared" si="11"/>
        <v>44392.881307870368</v>
      </c>
      <c r="D121" s="71" t="str">
        <f t="shared" si="12"/>
        <v>2021-07-15</v>
      </c>
      <c r="E121" s="38" t="s">
        <v>1050</v>
      </c>
      <c r="F121" s="37" t="str">
        <f t="shared" si="7"/>
        <v>2021-07-15_21-09-05</v>
      </c>
      <c r="G121" s="39">
        <v>8044466</v>
      </c>
      <c r="H121" s="40">
        <v>8026049</v>
      </c>
      <c r="I121" s="21" t="str">
        <f>IF(OR(COUNTIF(Monitoring!C:C, F121) &gt; 0, COUNTIF(Monitoring!F:F, F121) &gt; 0), "yes", "no")</f>
        <v>yes</v>
      </c>
      <c r="J121" s="72" t="str">
        <f t="shared" si="8"/>
        <v>Z:\FAIR_Device_data\Experiment_JulAug_2021\Video_captures\2021-07-15\2021-07-15_21-09-05.mp4</v>
      </c>
    </row>
    <row r="122" spans="1:10" x14ac:dyDescent="0.3">
      <c r="A122" s="1">
        <f t="shared" si="9"/>
        <v>44392</v>
      </c>
      <c r="B122" s="36">
        <f t="shared" si="10"/>
        <v>0.88803240740740741</v>
      </c>
      <c r="C122" s="36">
        <f t="shared" si="11"/>
        <v>44392.888032407405</v>
      </c>
      <c r="D122" s="71" t="str">
        <f t="shared" si="12"/>
        <v>2021-07-15</v>
      </c>
      <c r="E122" s="38" t="s">
        <v>1051</v>
      </c>
      <c r="F122" s="37" t="str">
        <f t="shared" si="7"/>
        <v>2021-07-15_21-18-46</v>
      </c>
      <c r="G122" s="39">
        <v>29447201</v>
      </c>
      <c r="H122" s="40">
        <v>34311436</v>
      </c>
      <c r="I122" s="21" t="str">
        <f>IF(OR(COUNTIF(Monitoring!C:C, F122) &gt; 0, COUNTIF(Monitoring!F:F, F122) &gt; 0), "yes", "no")</f>
        <v>yes</v>
      </c>
      <c r="J122" s="72" t="str">
        <f t="shared" si="8"/>
        <v>Z:\FAIR_Device_data\Experiment_JulAug_2021\Video_captures\2021-07-15\2021-07-15_21-18-46.mp4</v>
      </c>
    </row>
    <row r="123" spans="1:10" x14ac:dyDescent="0.3">
      <c r="A123" s="1">
        <f t="shared" si="9"/>
        <v>44392</v>
      </c>
      <c r="B123" s="36">
        <f t="shared" si="10"/>
        <v>0.89516203703703701</v>
      </c>
      <c r="C123" s="36">
        <f t="shared" si="11"/>
        <v>44392.895162037035</v>
      </c>
      <c r="D123" s="71" t="str">
        <f t="shared" si="12"/>
        <v>2021-07-15</v>
      </c>
      <c r="E123" s="38" t="s">
        <v>1052</v>
      </c>
      <c r="F123" s="37" t="str">
        <f t="shared" si="7"/>
        <v>2021-07-15_21-29-02</v>
      </c>
      <c r="G123" s="39">
        <v>8134635</v>
      </c>
      <c r="H123" s="40">
        <v>8279982</v>
      </c>
      <c r="I123" s="21" t="str">
        <f>IF(OR(COUNTIF(Monitoring!C:C, F123) &gt; 0, COUNTIF(Monitoring!F:F, F123) &gt; 0), "yes", "no")</f>
        <v>yes</v>
      </c>
      <c r="J123" s="72" t="str">
        <f t="shared" si="8"/>
        <v>Z:\FAIR_Device_data\Experiment_JulAug_2021\Video_captures\2021-07-15\2021-07-15_21-29-02.mp4</v>
      </c>
    </row>
    <row r="124" spans="1:10" x14ac:dyDescent="0.3">
      <c r="A124" s="1">
        <f t="shared" si="9"/>
        <v>44392</v>
      </c>
      <c r="B124" s="36">
        <f t="shared" si="10"/>
        <v>0.89565972222222223</v>
      </c>
      <c r="C124" s="36">
        <f t="shared" si="11"/>
        <v>44392.89565972222</v>
      </c>
      <c r="D124" s="71" t="str">
        <f t="shared" si="12"/>
        <v>2021-07-15</v>
      </c>
      <c r="E124" s="38" t="s">
        <v>1053</v>
      </c>
      <c r="F124" s="37" t="str">
        <f t="shared" si="7"/>
        <v>2021-07-15_21-29-45</v>
      </c>
      <c r="G124" s="39">
        <v>13479492</v>
      </c>
      <c r="H124" s="40">
        <v>9816160</v>
      </c>
      <c r="I124" s="21" t="str">
        <f>IF(OR(COUNTIF(Monitoring!C:C, F124) &gt; 0, COUNTIF(Monitoring!F:F, F124) &gt; 0), "yes", "no")</f>
        <v>yes</v>
      </c>
      <c r="J124" s="72" t="str">
        <f t="shared" si="8"/>
        <v>Z:\FAIR_Device_data\Experiment_JulAug_2021\Video_captures\2021-07-15\2021-07-15_21-29-45.mp4</v>
      </c>
    </row>
    <row r="125" spans="1:10" x14ac:dyDescent="0.3">
      <c r="A125" s="1">
        <f t="shared" si="9"/>
        <v>44392</v>
      </c>
      <c r="B125" s="36">
        <f t="shared" si="10"/>
        <v>0.89805555555555561</v>
      </c>
      <c r="C125" s="36">
        <f t="shared" si="11"/>
        <v>44392.898055555554</v>
      </c>
      <c r="D125" s="71" t="str">
        <f t="shared" si="12"/>
        <v>2021-07-15</v>
      </c>
      <c r="E125" s="38" t="s">
        <v>1054</v>
      </c>
      <c r="F125" s="37" t="str">
        <f t="shared" si="7"/>
        <v>2021-07-15_21-33-12</v>
      </c>
      <c r="G125" s="39">
        <v>8409440</v>
      </c>
      <c r="H125" s="40">
        <v>8751747</v>
      </c>
      <c r="I125" s="21" t="str">
        <f>IF(OR(COUNTIF(Monitoring!C:C, F125) &gt; 0, COUNTIF(Monitoring!F:F, F125) &gt; 0), "yes", "no")</f>
        <v>no</v>
      </c>
      <c r="J125" s="72" t="str">
        <f t="shared" si="8"/>
        <v>Z:\FAIR_Device_data\Experiment_JulAug_2021\Video_captures\2021-07-15\2021-07-15_21-33-12.mp4</v>
      </c>
    </row>
    <row r="126" spans="1:10" x14ac:dyDescent="0.3">
      <c r="A126" s="1">
        <f t="shared" si="9"/>
        <v>44392</v>
      </c>
      <c r="B126" s="36">
        <f t="shared" si="10"/>
        <v>0.90054398148148151</v>
      </c>
      <c r="C126" s="36">
        <f t="shared" si="11"/>
        <v>44392.900543981479</v>
      </c>
      <c r="D126" s="71" t="str">
        <f t="shared" si="12"/>
        <v>2021-07-15</v>
      </c>
      <c r="E126" s="38" t="s">
        <v>1055</v>
      </c>
      <c r="F126" s="37" t="str">
        <f t="shared" si="7"/>
        <v>2021-07-15_21-36-47</v>
      </c>
      <c r="G126" s="39">
        <v>25067448</v>
      </c>
      <c r="H126" s="40">
        <v>30331015</v>
      </c>
      <c r="I126" s="21" t="str">
        <f>IF(OR(COUNTIF(Monitoring!C:C, F126) &gt; 0, COUNTIF(Monitoring!F:F, F126) &gt; 0), "yes", "no")</f>
        <v>yes</v>
      </c>
      <c r="J126" s="72" t="str">
        <f t="shared" si="8"/>
        <v>Z:\FAIR_Device_data\Experiment_JulAug_2021\Video_captures\2021-07-15\2021-07-15_21-36-47.mp4</v>
      </c>
    </row>
    <row r="127" spans="1:10" x14ac:dyDescent="0.3">
      <c r="A127" s="1">
        <f t="shared" si="9"/>
        <v>44392</v>
      </c>
      <c r="B127" s="36">
        <f t="shared" si="10"/>
        <v>0.90475694444444443</v>
      </c>
      <c r="C127" s="36">
        <f t="shared" si="11"/>
        <v>44392.904756944445</v>
      </c>
      <c r="D127" s="71" t="str">
        <f t="shared" si="12"/>
        <v>2021-07-15</v>
      </c>
      <c r="E127" s="38" t="s">
        <v>1056</v>
      </c>
      <c r="F127" s="37" t="str">
        <f t="shared" si="7"/>
        <v>2021-07-15_21-42-51</v>
      </c>
      <c r="G127" s="39">
        <v>24613411</v>
      </c>
      <c r="H127" s="40">
        <v>28474100</v>
      </c>
      <c r="I127" s="21" t="str">
        <f>IF(OR(COUNTIF(Monitoring!C:C, F127) &gt; 0, COUNTIF(Monitoring!F:F, F127) &gt; 0), "yes", "no")</f>
        <v>yes</v>
      </c>
      <c r="J127" s="72" t="str">
        <f t="shared" si="8"/>
        <v>Z:\FAIR_Device_data\Experiment_JulAug_2021\Video_captures\2021-07-15\2021-07-15_21-42-51.mp4</v>
      </c>
    </row>
    <row r="128" spans="1:10" x14ac:dyDescent="0.3">
      <c r="A128" s="1">
        <f t="shared" si="9"/>
        <v>44392</v>
      </c>
      <c r="B128" s="36">
        <f t="shared" si="10"/>
        <v>0.90726851851851853</v>
      </c>
      <c r="C128" s="36">
        <f t="shared" si="11"/>
        <v>44392.907268518517</v>
      </c>
      <c r="D128" s="71" t="str">
        <f t="shared" si="12"/>
        <v>2021-07-15</v>
      </c>
      <c r="E128" s="38" t="s">
        <v>1057</v>
      </c>
      <c r="F128" s="37" t="str">
        <f t="shared" si="7"/>
        <v>2021-07-15_21-46-28</v>
      </c>
      <c r="G128" s="39">
        <v>11663021</v>
      </c>
      <c r="H128" s="40">
        <v>13072088</v>
      </c>
      <c r="I128" s="21" t="str">
        <f>IF(OR(COUNTIF(Monitoring!C:C, F128) &gt; 0, COUNTIF(Monitoring!F:F, F128) &gt; 0), "yes", "no")</f>
        <v>yes</v>
      </c>
      <c r="J128" s="72" t="str">
        <f t="shared" si="8"/>
        <v>Z:\FAIR_Device_data\Experiment_JulAug_2021\Video_captures\2021-07-15\2021-07-15_21-46-28.mp4</v>
      </c>
    </row>
    <row r="129" spans="1:10" x14ac:dyDescent="0.3">
      <c r="A129" s="1">
        <f t="shared" si="9"/>
        <v>44392</v>
      </c>
      <c r="B129" s="36">
        <f t="shared" si="10"/>
        <v>0.90924768518518517</v>
      </c>
      <c r="C129" s="36">
        <f t="shared" si="11"/>
        <v>44392.909247685187</v>
      </c>
      <c r="D129" s="71" t="str">
        <f t="shared" si="12"/>
        <v>2021-07-15</v>
      </c>
      <c r="E129" s="38" t="s">
        <v>1058</v>
      </c>
      <c r="F129" s="37" t="str">
        <f t="shared" si="7"/>
        <v>2021-07-15_21-49-19</v>
      </c>
      <c r="G129" s="39">
        <v>28155599</v>
      </c>
      <c r="H129" s="40">
        <v>31693441</v>
      </c>
      <c r="I129" s="21" t="str">
        <f>IF(OR(COUNTIF(Monitoring!C:C, F129) &gt; 0, COUNTIF(Monitoring!F:F, F129) &gt; 0), "yes", "no")</f>
        <v>yes</v>
      </c>
      <c r="J129" s="72" t="str">
        <f t="shared" si="8"/>
        <v>Z:\FAIR_Device_data\Experiment_JulAug_2021\Video_captures\2021-07-15\2021-07-15_21-49-19.mp4</v>
      </c>
    </row>
    <row r="130" spans="1:10" x14ac:dyDescent="0.3">
      <c r="A130" s="1">
        <f t="shared" si="9"/>
        <v>44392</v>
      </c>
      <c r="B130" s="36">
        <f t="shared" si="10"/>
        <v>0.91260416666666666</v>
      </c>
      <c r="C130" s="36">
        <f t="shared" si="11"/>
        <v>44392.912604166668</v>
      </c>
      <c r="D130" s="71" t="str">
        <f t="shared" si="12"/>
        <v>2021-07-15</v>
      </c>
      <c r="E130" s="38" t="s">
        <v>1059</v>
      </c>
      <c r="F130" s="37" t="str">
        <f t="shared" ref="F130:F193" si="13">+LEFT(E130,19)</f>
        <v>2021-07-15_21-54-09</v>
      </c>
      <c r="G130" s="39">
        <v>25847396</v>
      </c>
      <c r="H130" s="40">
        <v>30010593</v>
      </c>
      <c r="I130" s="21" t="str">
        <f>IF(OR(COUNTIF(Monitoring!C:C, F130) &gt; 0, COUNTIF(Monitoring!F:F, F130) &gt; 0), "yes", "no")</f>
        <v>yes</v>
      </c>
      <c r="J130" s="72" t="str">
        <f t="shared" ref="J130:J193" si="14">HYPERLINK(_xlfn.CONCAT("Z:\FAIR_Device_data\Experiment_JulAug_2021","\","Video_captures","\",D130,"\",E130))</f>
        <v>Z:\FAIR_Device_data\Experiment_JulAug_2021\Video_captures\2021-07-15\2021-07-15_21-54-09.mp4</v>
      </c>
    </row>
    <row r="131" spans="1:10" x14ac:dyDescent="0.3">
      <c r="A131" s="1">
        <f t="shared" ref="A131:A194" si="15">VALUE(MID(F131,1,10))</f>
        <v>44392</v>
      </c>
      <c r="B131" s="36">
        <f t="shared" ref="B131:B194" si="16">IF(ISBLANK(F131),"",TIME(LEFT(RIGHT(F131,8),2),LEFT(RIGHT(F131,5),2),RIGHT(F131,2)))</f>
        <v>0.9146643518518518</v>
      </c>
      <c r="C131" s="36">
        <f t="shared" ref="C131:C194" si="17">+A131+B131</f>
        <v>44392.914664351854</v>
      </c>
      <c r="D131" s="71" t="str">
        <f t="shared" ref="D131:D194" si="18">+_xlfn.CONCAT(YEAR(A131),"-",TEXT(MONTH(A131),"00"),"-",TEXT(DAY(A131),"00"))</f>
        <v>2021-07-15</v>
      </c>
      <c r="E131" s="38" t="s">
        <v>1060</v>
      </c>
      <c r="F131" s="37" t="str">
        <f t="shared" si="13"/>
        <v>2021-07-15_21-57-07</v>
      </c>
      <c r="G131" s="39">
        <v>54503255</v>
      </c>
      <c r="H131" s="40">
        <v>69146089</v>
      </c>
      <c r="I131" s="21" t="str">
        <f>IF(OR(COUNTIF(Monitoring!C:C, F131) &gt; 0, COUNTIF(Monitoring!F:F, F131) &gt; 0), "yes", "no")</f>
        <v>yes</v>
      </c>
      <c r="J131" s="72" t="str">
        <f t="shared" si="14"/>
        <v>Z:\FAIR_Device_data\Experiment_JulAug_2021\Video_captures\2021-07-15\2021-07-15_21-57-07.mp4</v>
      </c>
    </row>
    <row r="132" spans="1:10" x14ac:dyDescent="0.3">
      <c r="A132" s="1">
        <f t="shared" si="15"/>
        <v>44392</v>
      </c>
      <c r="B132" s="36">
        <f t="shared" si="16"/>
        <v>0.9162731481481482</v>
      </c>
      <c r="C132" s="36">
        <f t="shared" si="17"/>
        <v>44392.916273148148</v>
      </c>
      <c r="D132" s="71" t="str">
        <f t="shared" si="18"/>
        <v>2021-07-15</v>
      </c>
      <c r="E132" s="38" t="s">
        <v>1061</v>
      </c>
      <c r="F132" s="37" t="str">
        <f t="shared" si="13"/>
        <v>2021-07-15_21-59-26</v>
      </c>
      <c r="G132" s="39">
        <v>62009961</v>
      </c>
      <c r="H132" s="40">
        <v>78717749</v>
      </c>
      <c r="I132" s="21" t="str">
        <f>IF(OR(COUNTIF(Monitoring!C:C, F132) &gt; 0, COUNTIF(Monitoring!F:F, F132) &gt; 0), "yes", "no")</f>
        <v>yes</v>
      </c>
      <c r="J132" s="72" t="str">
        <f t="shared" si="14"/>
        <v>Z:\FAIR_Device_data\Experiment_JulAug_2021\Video_captures\2021-07-15\2021-07-15_21-59-26.mp4</v>
      </c>
    </row>
    <row r="133" spans="1:10" x14ac:dyDescent="0.3">
      <c r="A133" s="1">
        <f t="shared" si="15"/>
        <v>44392</v>
      </c>
      <c r="B133" s="36">
        <f t="shared" si="16"/>
        <v>0.9173958333333333</v>
      </c>
      <c r="C133" s="36">
        <f t="shared" si="17"/>
        <v>44392.917395833334</v>
      </c>
      <c r="D133" s="71" t="str">
        <f t="shared" si="18"/>
        <v>2021-07-15</v>
      </c>
      <c r="E133" s="38" t="s">
        <v>1062</v>
      </c>
      <c r="F133" s="37" t="str">
        <f t="shared" si="13"/>
        <v>2021-07-15_22-01-03</v>
      </c>
      <c r="G133" s="39">
        <v>124595378</v>
      </c>
      <c r="H133" s="40">
        <v>145090413</v>
      </c>
      <c r="I133" s="21" t="str">
        <f>IF(OR(COUNTIF(Monitoring!C:C, F133) &gt; 0, COUNTIF(Monitoring!F:F, F133) &gt; 0), "yes", "no")</f>
        <v>yes</v>
      </c>
      <c r="J133" s="72" t="str">
        <f t="shared" si="14"/>
        <v>Z:\FAIR_Device_data\Experiment_JulAug_2021\Video_captures\2021-07-15\2021-07-15_22-01-03.mp4</v>
      </c>
    </row>
    <row r="134" spans="1:10" x14ac:dyDescent="0.3">
      <c r="A134" s="1">
        <f t="shared" si="15"/>
        <v>44392</v>
      </c>
      <c r="B134" s="36">
        <f t="shared" si="16"/>
        <v>0.9211111111111111</v>
      </c>
      <c r="C134" s="36">
        <f t="shared" si="17"/>
        <v>44392.921111111114</v>
      </c>
      <c r="D134" s="71" t="str">
        <f t="shared" si="18"/>
        <v>2021-07-15</v>
      </c>
      <c r="E134" s="38" t="s">
        <v>1063</v>
      </c>
      <c r="F134" s="37" t="str">
        <f t="shared" si="13"/>
        <v>2021-07-15_22-06-24</v>
      </c>
      <c r="G134" s="39">
        <v>135279102</v>
      </c>
      <c r="H134" s="40">
        <v>163301081</v>
      </c>
      <c r="I134" s="21" t="str">
        <f>IF(OR(COUNTIF(Monitoring!C:C, F134) &gt; 0, COUNTIF(Monitoring!F:F, F134) &gt; 0), "yes", "no")</f>
        <v>yes</v>
      </c>
      <c r="J134" s="72" t="str">
        <f t="shared" si="14"/>
        <v>Z:\FAIR_Device_data\Experiment_JulAug_2021\Video_captures\2021-07-15\2021-07-15_22-06-24.mp4</v>
      </c>
    </row>
    <row r="135" spans="1:10" x14ac:dyDescent="0.3">
      <c r="A135" s="1">
        <f t="shared" si="15"/>
        <v>44392</v>
      </c>
      <c r="B135" s="36">
        <f t="shared" si="16"/>
        <v>0.92501157407407408</v>
      </c>
      <c r="C135" s="36">
        <f t="shared" si="17"/>
        <v>44392.925011574072</v>
      </c>
      <c r="D135" s="71" t="str">
        <f t="shared" si="18"/>
        <v>2021-07-15</v>
      </c>
      <c r="E135" s="38" t="s">
        <v>1064</v>
      </c>
      <c r="F135" s="37" t="str">
        <f t="shared" si="13"/>
        <v>2021-07-15_22-12-01</v>
      </c>
      <c r="G135" s="39">
        <v>124929102</v>
      </c>
      <c r="H135" s="40">
        <v>158233390</v>
      </c>
      <c r="I135" s="21" t="str">
        <f>IF(OR(COUNTIF(Monitoring!C:C, F135) &gt; 0, COUNTIF(Monitoring!F:F, F135) &gt; 0), "yes", "no")</f>
        <v>yes</v>
      </c>
      <c r="J135" s="72" t="str">
        <f t="shared" si="14"/>
        <v>Z:\FAIR_Device_data\Experiment_JulAug_2021\Video_captures\2021-07-15\2021-07-15_22-12-01.mp4</v>
      </c>
    </row>
    <row r="136" spans="1:10" x14ac:dyDescent="0.3">
      <c r="A136" s="1">
        <f t="shared" si="15"/>
        <v>44392</v>
      </c>
      <c r="B136" s="36">
        <f t="shared" si="16"/>
        <v>0.92702546296296295</v>
      </c>
      <c r="C136" s="36">
        <f t="shared" si="17"/>
        <v>44392.927025462966</v>
      </c>
      <c r="D136" s="71" t="str">
        <f t="shared" si="18"/>
        <v>2021-07-15</v>
      </c>
      <c r="E136" s="38" t="s">
        <v>1065</v>
      </c>
      <c r="F136" s="37" t="str">
        <f t="shared" si="13"/>
        <v>2021-07-15_22-14-55</v>
      </c>
      <c r="G136" s="39">
        <v>8573047</v>
      </c>
      <c r="H136" s="40">
        <v>8818414</v>
      </c>
      <c r="I136" s="21" t="str">
        <f>IF(OR(COUNTIF(Monitoring!C:C, F136) &gt; 0, COUNTIF(Monitoring!F:F, F136) &gt; 0), "yes", "no")</f>
        <v>yes</v>
      </c>
      <c r="J136" s="72" t="str">
        <f t="shared" si="14"/>
        <v>Z:\FAIR_Device_data\Experiment_JulAug_2021\Video_captures\2021-07-15\2021-07-15_22-14-55.mp4</v>
      </c>
    </row>
    <row r="137" spans="1:10" x14ac:dyDescent="0.3">
      <c r="A137" s="1">
        <f t="shared" si="15"/>
        <v>44392</v>
      </c>
      <c r="B137" s="36">
        <f t="shared" si="16"/>
        <v>0.93243055555555554</v>
      </c>
      <c r="C137" s="36">
        <f t="shared" si="17"/>
        <v>44392.932430555556</v>
      </c>
      <c r="D137" s="71" t="str">
        <f t="shared" si="18"/>
        <v>2021-07-15</v>
      </c>
      <c r="E137" s="38" t="s">
        <v>1066</v>
      </c>
      <c r="F137" s="37" t="str">
        <f t="shared" si="13"/>
        <v>2021-07-15_22-22-42</v>
      </c>
      <c r="G137" s="39">
        <v>8001367</v>
      </c>
      <c r="H137" s="40">
        <v>8162474</v>
      </c>
      <c r="I137" s="21" t="str">
        <f>IF(OR(COUNTIF(Monitoring!C:C, F137) &gt; 0, COUNTIF(Monitoring!F:F, F137) &gt; 0), "yes", "no")</f>
        <v>yes</v>
      </c>
      <c r="J137" s="72" t="str">
        <f t="shared" si="14"/>
        <v>Z:\FAIR_Device_data\Experiment_JulAug_2021\Video_captures\2021-07-15\2021-07-15_22-22-42.mp4</v>
      </c>
    </row>
    <row r="138" spans="1:10" x14ac:dyDescent="0.3">
      <c r="A138" s="1">
        <f t="shared" si="15"/>
        <v>44392</v>
      </c>
      <c r="B138" s="36">
        <f t="shared" si="16"/>
        <v>0.93415509259259255</v>
      </c>
      <c r="C138" s="36">
        <f t="shared" si="17"/>
        <v>44392.934155092589</v>
      </c>
      <c r="D138" s="71" t="str">
        <f t="shared" si="18"/>
        <v>2021-07-15</v>
      </c>
      <c r="E138" s="38" t="s">
        <v>1067</v>
      </c>
      <c r="F138" s="37" t="str">
        <f t="shared" si="13"/>
        <v>2021-07-15_22-25-11</v>
      </c>
      <c r="G138" s="39">
        <v>132063411</v>
      </c>
      <c r="H138" s="40">
        <v>162154605</v>
      </c>
      <c r="I138" s="21" t="str">
        <f>IF(OR(COUNTIF(Monitoring!C:C, F138) &gt; 0, COUNTIF(Monitoring!F:F, F138) &gt; 0), "yes", "no")</f>
        <v>yes</v>
      </c>
      <c r="J138" s="72" t="str">
        <f t="shared" si="14"/>
        <v>Z:\FAIR_Device_data\Experiment_JulAug_2021\Video_captures\2021-07-15\2021-07-15_22-25-11.mp4</v>
      </c>
    </row>
    <row r="139" spans="1:10" x14ac:dyDescent="0.3">
      <c r="A139" s="1">
        <f t="shared" si="15"/>
        <v>44392</v>
      </c>
      <c r="B139" s="36">
        <f t="shared" si="16"/>
        <v>0.94555555555555559</v>
      </c>
      <c r="C139" s="36">
        <f t="shared" si="17"/>
        <v>44392.945555555554</v>
      </c>
      <c r="D139" s="71" t="str">
        <f t="shared" si="18"/>
        <v>2021-07-15</v>
      </c>
      <c r="E139" s="38" t="s">
        <v>1068</v>
      </c>
      <c r="F139" s="37" t="str">
        <f t="shared" si="13"/>
        <v>2021-07-15_22-41-36</v>
      </c>
      <c r="G139" s="39">
        <v>15812370</v>
      </c>
      <c r="H139" s="40">
        <v>16730405</v>
      </c>
      <c r="I139" s="21" t="str">
        <f>IF(OR(COUNTIF(Monitoring!C:C, F139) &gt; 0, COUNTIF(Monitoring!F:F, F139) &gt; 0), "yes", "no")</f>
        <v>yes</v>
      </c>
      <c r="J139" s="72" t="str">
        <f t="shared" si="14"/>
        <v>Z:\FAIR_Device_data\Experiment_JulAug_2021\Video_captures\2021-07-15\2021-07-15_22-41-36.mp4</v>
      </c>
    </row>
    <row r="140" spans="1:10" x14ac:dyDescent="0.3">
      <c r="A140" s="1">
        <f t="shared" si="15"/>
        <v>44392</v>
      </c>
      <c r="B140" s="36">
        <f t="shared" si="16"/>
        <v>0.95096064814814818</v>
      </c>
      <c r="C140" s="36">
        <f t="shared" si="17"/>
        <v>44392.950960648152</v>
      </c>
      <c r="D140" s="71" t="str">
        <f t="shared" si="18"/>
        <v>2021-07-15</v>
      </c>
      <c r="E140" s="38" t="s">
        <v>1069</v>
      </c>
      <c r="F140" s="37" t="str">
        <f t="shared" si="13"/>
        <v>2021-07-15_22-49-23</v>
      </c>
      <c r="G140" s="39">
        <v>24001628</v>
      </c>
      <c r="H140" s="40">
        <v>26671755</v>
      </c>
      <c r="I140" s="21" t="str">
        <f>IF(OR(COUNTIF(Monitoring!C:C, F140) &gt; 0, COUNTIF(Monitoring!F:F, F140) &gt; 0), "yes", "no")</f>
        <v>yes</v>
      </c>
      <c r="J140" s="72" t="str">
        <f t="shared" si="14"/>
        <v>Z:\FAIR_Device_data\Experiment_JulAug_2021\Video_captures\2021-07-15\2021-07-15_22-49-23.mp4</v>
      </c>
    </row>
    <row r="141" spans="1:10" x14ac:dyDescent="0.3">
      <c r="A141" s="1">
        <f t="shared" si="15"/>
        <v>44392</v>
      </c>
      <c r="B141" s="36">
        <f t="shared" si="16"/>
        <v>0.95329861111111114</v>
      </c>
      <c r="C141" s="36">
        <f t="shared" si="17"/>
        <v>44392.953298611108</v>
      </c>
      <c r="D141" s="71" t="str">
        <f t="shared" si="18"/>
        <v>2021-07-15</v>
      </c>
      <c r="E141" s="38" t="s">
        <v>1070</v>
      </c>
      <c r="F141" s="37" t="str">
        <f t="shared" si="13"/>
        <v>2021-07-15_22-52-45</v>
      </c>
      <c r="G141" s="39">
        <v>9337760</v>
      </c>
      <c r="H141" s="40">
        <v>9069677</v>
      </c>
      <c r="I141" s="21" t="str">
        <f>IF(OR(COUNTIF(Monitoring!C:C, F141) &gt; 0, COUNTIF(Monitoring!F:F, F141) &gt; 0), "yes", "no")</f>
        <v>yes</v>
      </c>
      <c r="J141" s="72" t="str">
        <f t="shared" si="14"/>
        <v>Z:\FAIR_Device_data\Experiment_JulAug_2021\Video_captures\2021-07-15\2021-07-15_22-52-45.mp4</v>
      </c>
    </row>
    <row r="142" spans="1:10" x14ac:dyDescent="0.3">
      <c r="A142" s="1">
        <f t="shared" si="15"/>
        <v>44392</v>
      </c>
      <c r="B142" s="36">
        <f t="shared" si="16"/>
        <v>0.95922453703703703</v>
      </c>
      <c r="C142" s="36">
        <f t="shared" si="17"/>
        <v>44392.959224537037</v>
      </c>
      <c r="D142" s="71" t="str">
        <f t="shared" si="18"/>
        <v>2021-07-15</v>
      </c>
      <c r="E142" s="38" t="s">
        <v>1071</v>
      </c>
      <c r="F142" s="37" t="str">
        <f t="shared" si="13"/>
        <v>2021-07-15_23-01-17</v>
      </c>
      <c r="G142" s="39">
        <v>43103971</v>
      </c>
      <c r="H142" s="40">
        <v>51757203</v>
      </c>
      <c r="I142" s="21" t="str">
        <f>IF(OR(COUNTIF(Monitoring!C:C, F142) &gt; 0, COUNTIF(Monitoring!F:F, F142) &gt; 0), "yes", "no")</f>
        <v>yes</v>
      </c>
      <c r="J142" s="72" t="str">
        <f t="shared" si="14"/>
        <v>Z:\FAIR_Device_data\Experiment_JulAug_2021\Video_captures\2021-07-15\2021-07-15_23-01-17.mp4</v>
      </c>
    </row>
    <row r="143" spans="1:10" x14ac:dyDescent="0.3">
      <c r="A143" s="1">
        <f t="shared" si="15"/>
        <v>44392</v>
      </c>
      <c r="B143" s="36">
        <f t="shared" si="16"/>
        <v>0.96045138888888892</v>
      </c>
      <c r="C143" s="36">
        <f t="shared" si="17"/>
        <v>44392.960451388892</v>
      </c>
      <c r="D143" s="71" t="str">
        <f t="shared" si="18"/>
        <v>2021-07-15</v>
      </c>
      <c r="E143" s="38" t="s">
        <v>1072</v>
      </c>
      <c r="F143" s="37" t="str">
        <f t="shared" si="13"/>
        <v>2021-07-15_23-03-03</v>
      </c>
      <c r="G143" s="39">
        <v>18427802</v>
      </c>
      <c r="H143" s="40">
        <v>21508996</v>
      </c>
      <c r="I143" s="21" t="str">
        <f>IF(OR(COUNTIF(Monitoring!C:C, F143) &gt; 0, COUNTIF(Monitoring!F:F, F143) &gt; 0), "yes", "no")</f>
        <v>yes</v>
      </c>
      <c r="J143" s="72" t="str">
        <f t="shared" si="14"/>
        <v>Z:\FAIR_Device_data\Experiment_JulAug_2021\Video_captures\2021-07-15\2021-07-15_23-03-03.mp4</v>
      </c>
    </row>
    <row r="144" spans="1:10" x14ac:dyDescent="0.3">
      <c r="A144" s="1">
        <f t="shared" si="15"/>
        <v>44392</v>
      </c>
      <c r="B144" s="36">
        <f t="shared" si="16"/>
        <v>0.96251157407407406</v>
      </c>
      <c r="C144" s="36">
        <f t="shared" si="17"/>
        <v>44392.962511574071</v>
      </c>
      <c r="D144" s="71" t="str">
        <f t="shared" si="18"/>
        <v>2021-07-15</v>
      </c>
      <c r="E144" s="38" t="s">
        <v>1073</v>
      </c>
      <c r="F144" s="37" t="str">
        <f t="shared" si="13"/>
        <v>2021-07-15_23-06-01</v>
      </c>
      <c r="G144" s="39">
        <v>10540690</v>
      </c>
      <c r="H144" s="40">
        <v>11367519</v>
      </c>
      <c r="I144" s="21" t="str">
        <f>IF(OR(COUNTIF(Monitoring!C:C, F144) &gt; 0, COUNTIF(Monitoring!F:F, F144) &gt; 0), "yes", "no")</f>
        <v>no</v>
      </c>
      <c r="J144" s="72" t="str">
        <f t="shared" si="14"/>
        <v>Z:\FAIR_Device_data\Experiment_JulAug_2021\Video_captures\2021-07-15\2021-07-15_23-06-01.mp4</v>
      </c>
    </row>
    <row r="145" spans="1:10" x14ac:dyDescent="0.3">
      <c r="A145" s="1">
        <f t="shared" si="15"/>
        <v>44392</v>
      </c>
      <c r="B145" s="36">
        <f t="shared" si="16"/>
        <v>0.96569444444444441</v>
      </c>
      <c r="C145" s="36">
        <f t="shared" si="17"/>
        <v>44392.965694444443</v>
      </c>
      <c r="D145" s="71" t="str">
        <f t="shared" si="18"/>
        <v>2021-07-15</v>
      </c>
      <c r="E145" s="38" t="s">
        <v>1074</v>
      </c>
      <c r="F145" s="37" t="str">
        <f t="shared" si="13"/>
        <v>2021-07-15_23-10-36</v>
      </c>
      <c r="G145" s="39">
        <v>15431641</v>
      </c>
      <c r="H145" s="40">
        <v>17395483</v>
      </c>
      <c r="I145" s="21" t="str">
        <f>IF(OR(COUNTIF(Monitoring!C:C, F145) &gt; 0, COUNTIF(Monitoring!F:F, F145) &gt; 0), "yes", "no")</f>
        <v>no</v>
      </c>
      <c r="J145" s="72" t="str">
        <f t="shared" si="14"/>
        <v>Z:\FAIR_Device_data\Experiment_JulAug_2021\Video_captures\2021-07-15\2021-07-15_23-10-36.mp4</v>
      </c>
    </row>
    <row r="146" spans="1:10" x14ac:dyDescent="0.3">
      <c r="A146" s="1">
        <f t="shared" si="15"/>
        <v>44392</v>
      </c>
      <c r="B146" s="36">
        <f t="shared" si="16"/>
        <v>0.98157407407407404</v>
      </c>
      <c r="C146" s="36">
        <f t="shared" si="17"/>
        <v>44392.981574074074</v>
      </c>
      <c r="D146" s="71" t="str">
        <f t="shared" si="18"/>
        <v>2021-07-15</v>
      </c>
      <c r="E146" s="38" t="s">
        <v>1075</v>
      </c>
      <c r="F146" s="37" t="str">
        <f t="shared" si="13"/>
        <v>2021-07-15_23-33-28</v>
      </c>
      <c r="G146" s="39">
        <v>70734442</v>
      </c>
      <c r="H146" s="40">
        <v>86137784</v>
      </c>
      <c r="I146" s="21" t="str">
        <f>IF(OR(COUNTIF(Monitoring!C:C, F146) &gt; 0, COUNTIF(Monitoring!F:F, F146) &gt; 0), "yes", "no")</f>
        <v>no</v>
      </c>
      <c r="J146" s="72" t="str">
        <f t="shared" si="14"/>
        <v>Z:\FAIR_Device_data\Experiment_JulAug_2021\Video_captures\2021-07-15\2021-07-15_23-33-28.mp4</v>
      </c>
    </row>
    <row r="147" spans="1:10" x14ac:dyDescent="0.3">
      <c r="A147" s="1">
        <f t="shared" si="15"/>
        <v>44393</v>
      </c>
      <c r="B147" s="36">
        <f t="shared" si="16"/>
        <v>3.8194444444444443E-3</v>
      </c>
      <c r="C147" s="36">
        <f t="shared" si="17"/>
        <v>44393.003819444442</v>
      </c>
      <c r="D147" s="71" t="str">
        <f t="shared" si="18"/>
        <v>2021-07-16</v>
      </c>
      <c r="E147" s="38" t="s">
        <v>1076</v>
      </c>
      <c r="F147" s="37" t="str">
        <f t="shared" si="13"/>
        <v>2021-07-16_00-05-30</v>
      </c>
      <c r="G147" s="39">
        <v>28068490</v>
      </c>
      <c r="H147" s="40">
        <v>34686087</v>
      </c>
      <c r="I147" s="21" t="str">
        <f>IF(OR(COUNTIF(Monitoring!C:C, F147) &gt; 0, COUNTIF(Monitoring!F:F, F147) &gt; 0), "yes", "no")</f>
        <v>yes</v>
      </c>
      <c r="J147" s="72" t="str">
        <f t="shared" si="14"/>
        <v>Z:\FAIR_Device_data\Experiment_JulAug_2021\Video_captures\2021-07-16\2021-07-16_00-05-30.mp4</v>
      </c>
    </row>
    <row r="148" spans="1:10" x14ac:dyDescent="0.3">
      <c r="A148" s="1">
        <f t="shared" si="15"/>
        <v>44393</v>
      </c>
      <c r="B148" s="36">
        <f t="shared" si="16"/>
        <v>7.8125E-3</v>
      </c>
      <c r="C148" s="36">
        <f t="shared" si="17"/>
        <v>44393.0078125</v>
      </c>
      <c r="D148" s="71" t="str">
        <f t="shared" si="18"/>
        <v>2021-07-16</v>
      </c>
      <c r="E148" s="38" t="s">
        <v>1077</v>
      </c>
      <c r="F148" s="37" t="str">
        <f t="shared" si="13"/>
        <v>2021-07-16_00-11-15</v>
      </c>
      <c r="G148" s="39">
        <v>8597070</v>
      </c>
      <c r="H148" s="40">
        <v>8930395</v>
      </c>
      <c r="I148" s="21" t="str">
        <f>IF(OR(COUNTIF(Monitoring!C:C, F148) &gt; 0, COUNTIF(Monitoring!F:F, F148) &gt; 0), "yes", "no")</f>
        <v>yes</v>
      </c>
      <c r="J148" s="72" t="str">
        <f t="shared" si="14"/>
        <v>Z:\FAIR_Device_data\Experiment_JulAug_2021\Video_captures\2021-07-16\2021-07-16_00-11-15.mp4</v>
      </c>
    </row>
    <row r="149" spans="1:10" x14ac:dyDescent="0.3">
      <c r="A149" s="1">
        <f t="shared" si="15"/>
        <v>44393</v>
      </c>
      <c r="B149" s="36">
        <f t="shared" si="16"/>
        <v>1.224537037037037E-2</v>
      </c>
      <c r="C149" s="36">
        <f t="shared" si="17"/>
        <v>44393.012245370373</v>
      </c>
      <c r="D149" s="71" t="str">
        <f t="shared" si="18"/>
        <v>2021-07-16</v>
      </c>
      <c r="E149" s="38" t="s">
        <v>1078</v>
      </c>
      <c r="F149" s="37" t="str">
        <f t="shared" si="13"/>
        <v>2021-07-16_00-17-38</v>
      </c>
      <c r="G149" s="39">
        <v>10606510</v>
      </c>
      <c r="H149" s="40">
        <v>11535259</v>
      </c>
      <c r="I149" s="21" t="str">
        <f>IF(OR(COUNTIF(Monitoring!C:C, F149) &gt; 0, COUNTIF(Monitoring!F:F, F149) &gt; 0), "yes", "no")</f>
        <v>yes</v>
      </c>
      <c r="J149" s="72" t="str">
        <f t="shared" si="14"/>
        <v>Z:\FAIR_Device_data\Experiment_JulAug_2021\Video_captures\2021-07-16\2021-07-16_00-17-38.mp4</v>
      </c>
    </row>
    <row r="150" spans="1:10" x14ac:dyDescent="0.3">
      <c r="A150" s="1">
        <f t="shared" si="15"/>
        <v>44393</v>
      </c>
      <c r="B150" s="36">
        <f t="shared" si="16"/>
        <v>8.1354166666666672E-2</v>
      </c>
      <c r="C150" s="36">
        <f t="shared" si="17"/>
        <v>44393.081354166665</v>
      </c>
      <c r="D150" s="71" t="str">
        <f t="shared" si="18"/>
        <v>2021-07-16</v>
      </c>
      <c r="E150" s="38" t="s">
        <v>1079</v>
      </c>
      <c r="F150" s="37" t="str">
        <f t="shared" si="13"/>
        <v>2021-07-16_01-57-09</v>
      </c>
      <c r="G150" s="39">
        <v>221674414</v>
      </c>
      <c r="H150" s="40">
        <v>260448999</v>
      </c>
      <c r="I150" s="21" t="str">
        <f>IF(OR(COUNTIF(Monitoring!C:C, F150) &gt; 0, COUNTIF(Monitoring!F:F, F150) &gt; 0), "yes", "no")</f>
        <v>yes</v>
      </c>
      <c r="J150" s="72" t="str">
        <f t="shared" si="14"/>
        <v>Z:\FAIR_Device_data\Experiment_JulAug_2021\Video_captures\2021-07-16\2021-07-16_01-57-09.mp4</v>
      </c>
    </row>
    <row r="151" spans="1:10" x14ac:dyDescent="0.3">
      <c r="A151" s="1">
        <f t="shared" si="15"/>
        <v>44393</v>
      </c>
      <c r="B151" s="36">
        <f t="shared" si="16"/>
        <v>8.4745370370370374E-2</v>
      </c>
      <c r="C151" s="36">
        <f t="shared" si="17"/>
        <v>44393.084745370368</v>
      </c>
      <c r="D151" s="71" t="str">
        <f t="shared" si="18"/>
        <v>2021-07-16</v>
      </c>
      <c r="E151" s="38" t="s">
        <v>1080</v>
      </c>
      <c r="F151" s="37" t="str">
        <f t="shared" si="13"/>
        <v>2021-07-16_02-02-02</v>
      </c>
      <c r="G151" s="39">
        <v>13988411</v>
      </c>
      <c r="H151" s="40">
        <v>15009288</v>
      </c>
      <c r="I151" s="21" t="str">
        <f>IF(OR(COUNTIF(Monitoring!C:C, F151) &gt; 0, COUNTIF(Monitoring!F:F, F151) &gt; 0), "yes", "no")</f>
        <v>no</v>
      </c>
      <c r="J151" s="72" t="str">
        <f t="shared" si="14"/>
        <v>Z:\FAIR_Device_data\Experiment_JulAug_2021\Video_captures\2021-07-16\2021-07-16_02-02-02.mp4</v>
      </c>
    </row>
    <row r="152" spans="1:10" x14ac:dyDescent="0.3">
      <c r="A152" s="1">
        <f t="shared" si="15"/>
        <v>44393</v>
      </c>
      <c r="B152" s="36">
        <f t="shared" si="16"/>
        <v>8.5891203703703706E-2</v>
      </c>
      <c r="C152" s="36">
        <f t="shared" si="17"/>
        <v>44393.0858912037</v>
      </c>
      <c r="D152" s="71" t="str">
        <f t="shared" si="18"/>
        <v>2021-07-16</v>
      </c>
      <c r="E152" s="38" t="s">
        <v>1081</v>
      </c>
      <c r="F152" s="37" t="str">
        <f t="shared" si="13"/>
        <v>2021-07-16_02-03-41</v>
      </c>
      <c r="G152" s="39">
        <v>17882487</v>
      </c>
      <c r="H152" s="40">
        <v>19177425</v>
      </c>
      <c r="I152" s="21" t="str">
        <f>IF(OR(COUNTIF(Monitoring!C:C, F152) &gt; 0, COUNTIF(Monitoring!F:F, F152) &gt; 0), "yes", "no")</f>
        <v>yes</v>
      </c>
      <c r="J152" s="72" t="str">
        <f t="shared" si="14"/>
        <v>Z:\FAIR_Device_data\Experiment_JulAug_2021\Video_captures\2021-07-16\2021-07-16_02-03-41.mp4</v>
      </c>
    </row>
    <row r="153" spans="1:10" x14ac:dyDescent="0.3">
      <c r="A153" s="1">
        <f t="shared" si="15"/>
        <v>44393</v>
      </c>
      <c r="B153" s="36">
        <f t="shared" si="16"/>
        <v>0.10930555555555556</v>
      </c>
      <c r="C153" s="36">
        <f t="shared" si="17"/>
        <v>44393.109305555554</v>
      </c>
      <c r="D153" s="71" t="str">
        <f t="shared" si="18"/>
        <v>2021-07-16</v>
      </c>
      <c r="E153" s="38" t="s">
        <v>1082</v>
      </c>
      <c r="F153" s="37" t="str">
        <f t="shared" si="13"/>
        <v>2021-07-16_02-37-24</v>
      </c>
      <c r="G153" s="39">
        <v>17157292</v>
      </c>
      <c r="H153" s="40">
        <v>18415124</v>
      </c>
      <c r="I153" s="21" t="str">
        <f>IF(OR(COUNTIF(Monitoring!C:C, F153) &gt; 0, COUNTIF(Monitoring!F:F, F153) &gt; 0), "yes", "no")</f>
        <v>yes</v>
      </c>
      <c r="J153" s="72" t="str">
        <f t="shared" si="14"/>
        <v>Z:\FAIR_Device_data\Experiment_JulAug_2021\Video_captures\2021-07-16\2021-07-16_02-37-24.mp4</v>
      </c>
    </row>
    <row r="154" spans="1:10" x14ac:dyDescent="0.3">
      <c r="A154" s="1">
        <f t="shared" si="15"/>
        <v>44393</v>
      </c>
      <c r="B154" s="36">
        <f t="shared" si="16"/>
        <v>0.12386574074074073</v>
      </c>
      <c r="C154" s="36">
        <f t="shared" si="17"/>
        <v>44393.123865740738</v>
      </c>
      <c r="D154" s="71" t="str">
        <f t="shared" si="18"/>
        <v>2021-07-16</v>
      </c>
      <c r="E154" s="38" t="s">
        <v>1083</v>
      </c>
      <c r="F154" s="37" t="str">
        <f t="shared" si="13"/>
        <v>2021-07-16_02-58-22</v>
      </c>
      <c r="G154" s="39">
        <v>16326823</v>
      </c>
      <c r="H154" s="40">
        <v>18915724</v>
      </c>
      <c r="I154" s="21" t="str">
        <f>IF(OR(COUNTIF(Monitoring!C:C, F154) &gt; 0, COUNTIF(Monitoring!F:F, F154) &gt; 0), "yes", "no")</f>
        <v>yes</v>
      </c>
      <c r="J154" s="72" t="str">
        <f t="shared" si="14"/>
        <v>Z:\FAIR_Device_data\Experiment_JulAug_2021\Video_captures\2021-07-16\2021-07-16_02-58-22.mp4</v>
      </c>
    </row>
    <row r="155" spans="1:10" x14ac:dyDescent="0.3">
      <c r="A155" s="1">
        <f t="shared" si="15"/>
        <v>44393</v>
      </c>
      <c r="B155" s="36">
        <f t="shared" si="16"/>
        <v>0.12487268518518518</v>
      </c>
      <c r="C155" s="36">
        <f t="shared" si="17"/>
        <v>44393.124872685185</v>
      </c>
      <c r="D155" s="71" t="str">
        <f t="shared" si="18"/>
        <v>2021-07-16</v>
      </c>
      <c r="E155" s="38" t="s">
        <v>1084</v>
      </c>
      <c r="F155" s="37" t="str">
        <f t="shared" si="13"/>
        <v>2021-07-16_02-59-49</v>
      </c>
      <c r="G155" s="39">
        <v>38726042</v>
      </c>
      <c r="H155" s="40">
        <v>44683787</v>
      </c>
      <c r="I155" s="21" t="str">
        <f>IF(OR(COUNTIF(Monitoring!C:C, F155) &gt; 0, COUNTIF(Monitoring!F:F, F155) &gt; 0), "yes", "no")</f>
        <v>yes</v>
      </c>
      <c r="J155" s="72" t="str">
        <f t="shared" si="14"/>
        <v>Z:\FAIR_Device_data\Experiment_JulAug_2021\Video_captures\2021-07-16\2021-07-16_02-59-49.mp4</v>
      </c>
    </row>
    <row r="156" spans="1:10" x14ac:dyDescent="0.3">
      <c r="A156" s="1">
        <f t="shared" si="15"/>
        <v>44393</v>
      </c>
      <c r="B156" s="36">
        <f t="shared" si="16"/>
        <v>0.12748842592592594</v>
      </c>
      <c r="C156" s="36">
        <f t="shared" si="17"/>
        <v>44393.127488425926</v>
      </c>
      <c r="D156" s="71" t="str">
        <f t="shared" si="18"/>
        <v>2021-07-16</v>
      </c>
      <c r="E156" s="38" t="s">
        <v>1085</v>
      </c>
      <c r="F156" s="37" t="str">
        <f t="shared" si="13"/>
        <v>2021-07-16_03-03-35</v>
      </c>
      <c r="G156" s="39">
        <v>10271289</v>
      </c>
      <c r="H156" s="40">
        <v>10496567</v>
      </c>
      <c r="I156" s="21" t="str">
        <f>IF(OR(COUNTIF(Monitoring!C:C, F156) &gt; 0, COUNTIF(Monitoring!F:F, F156) &gt; 0), "yes", "no")</f>
        <v>yes</v>
      </c>
      <c r="J156" s="72" t="str">
        <f t="shared" si="14"/>
        <v>Z:\FAIR_Device_data\Experiment_JulAug_2021\Video_captures\2021-07-16\2021-07-16_03-03-35.mp4</v>
      </c>
    </row>
    <row r="157" spans="1:10" x14ac:dyDescent="0.3">
      <c r="A157" s="1">
        <f t="shared" si="15"/>
        <v>44393</v>
      </c>
      <c r="B157" s="36">
        <f t="shared" si="16"/>
        <v>0.1330787037037037</v>
      </c>
      <c r="C157" s="36">
        <f t="shared" si="17"/>
        <v>44393.1330787037</v>
      </c>
      <c r="D157" s="71" t="str">
        <f t="shared" si="18"/>
        <v>2021-07-16</v>
      </c>
      <c r="E157" s="38" t="s">
        <v>1086</v>
      </c>
      <c r="F157" s="37" t="str">
        <f t="shared" si="13"/>
        <v>2021-07-16_03-11-38</v>
      </c>
      <c r="G157" s="39">
        <v>8296549</v>
      </c>
      <c r="H157" s="40">
        <v>8509286</v>
      </c>
      <c r="I157" s="21" t="str">
        <f>IF(OR(COUNTIF(Monitoring!C:C, F157) &gt; 0, COUNTIF(Monitoring!F:F, F157) &gt; 0), "yes", "no")</f>
        <v>yes</v>
      </c>
      <c r="J157" s="72" t="str">
        <f t="shared" si="14"/>
        <v>Z:\FAIR_Device_data\Experiment_JulAug_2021\Video_captures\2021-07-16\2021-07-16_03-11-38.mp4</v>
      </c>
    </row>
    <row r="158" spans="1:10" x14ac:dyDescent="0.3">
      <c r="A158" s="1">
        <f t="shared" si="15"/>
        <v>44393</v>
      </c>
      <c r="B158" s="36">
        <f t="shared" si="16"/>
        <v>0.13674768518518518</v>
      </c>
      <c r="C158" s="36">
        <f t="shared" si="17"/>
        <v>44393.136747685188</v>
      </c>
      <c r="D158" s="71" t="str">
        <f t="shared" si="18"/>
        <v>2021-07-16</v>
      </c>
      <c r="E158" s="38" t="s">
        <v>1087</v>
      </c>
      <c r="F158" s="37" t="str">
        <f t="shared" si="13"/>
        <v>2021-07-16_03-16-55</v>
      </c>
      <c r="G158" s="39">
        <v>8488086</v>
      </c>
      <c r="H158" s="40">
        <v>8503756</v>
      </c>
      <c r="I158" s="21" t="str">
        <f>IF(OR(COUNTIF(Monitoring!C:C, F158) &gt; 0, COUNTIF(Monitoring!F:F, F158) &gt; 0), "yes", "no")</f>
        <v>yes</v>
      </c>
      <c r="J158" s="72" t="str">
        <f t="shared" si="14"/>
        <v>Z:\FAIR_Device_data\Experiment_JulAug_2021\Video_captures\2021-07-16\2021-07-16_03-16-55.mp4</v>
      </c>
    </row>
    <row r="159" spans="1:10" x14ac:dyDescent="0.3">
      <c r="A159" s="1">
        <f t="shared" si="15"/>
        <v>44393</v>
      </c>
      <c r="B159" s="36">
        <f t="shared" si="16"/>
        <v>0.1373263888888889</v>
      </c>
      <c r="C159" s="36">
        <f t="shared" si="17"/>
        <v>44393.137326388889</v>
      </c>
      <c r="D159" s="71" t="str">
        <f t="shared" si="18"/>
        <v>2021-07-16</v>
      </c>
      <c r="E159" s="38" t="s">
        <v>1088</v>
      </c>
      <c r="F159" s="37" t="str">
        <f t="shared" si="13"/>
        <v>2021-07-16_03-17-45</v>
      </c>
      <c r="G159" s="39">
        <v>8430404</v>
      </c>
      <c r="H159" s="40">
        <v>8678696</v>
      </c>
      <c r="I159" s="21" t="str">
        <f>IF(OR(COUNTIF(Monitoring!C:C, F159) &gt; 0, COUNTIF(Monitoring!F:F, F159) &gt; 0), "yes", "no")</f>
        <v>yes</v>
      </c>
      <c r="J159" s="72" t="str">
        <f t="shared" si="14"/>
        <v>Z:\FAIR_Device_data\Experiment_JulAug_2021\Video_captures\2021-07-16\2021-07-16_03-17-45.mp4</v>
      </c>
    </row>
    <row r="160" spans="1:10" x14ac:dyDescent="0.3">
      <c r="A160" s="1">
        <f t="shared" si="15"/>
        <v>44393</v>
      </c>
      <c r="B160" s="36">
        <f t="shared" si="16"/>
        <v>0.13789351851851853</v>
      </c>
      <c r="C160" s="36">
        <f t="shared" si="17"/>
        <v>44393.13789351852</v>
      </c>
      <c r="D160" s="71" t="str">
        <f t="shared" si="18"/>
        <v>2021-07-16</v>
      </c>
      <c r="E160" s="38" t="s">
        <v>1089</v>
      </c>
      <c r="F160" s="37" t="str">
        <f t="shared" si="13"/>
        <v>2021-07-16_03-18-34</v>
      </c>
      <c r="G160" s="39">
        <v>23220182</v>
      </c>
      <c r="H160" s="40">
        <v>25875824</v>
      </c>
      <c r="I160" s="21" t="str">
        <f>IF(OR(COUNTIF(Monitoring!C:C, F160) &gt; 0, COUNTIF(Monitoring!F:F, F160) &gt; 0), "yes", "no")</f>
        <v>yes</v>
      </c>
      <c r="J160" s="72" t="str">
        <f t="shared" si="14"/>
        <v>Z:\FAIR_Device_data\Experiment_JulAug_2021\Video_captures\2021-07-16\2021-07-16_03-18-34.mp4</v>
      </c>
    </row>
    <row r="161" spans="1:10" x14ac:dyDescent="0.3">
      <c r="A161" s="1">
        <f t="shared" si="15"/>
        <v>44393</v>
      </c>
      <c r="B161" s="36">
        <f t="shared" si="16"/>
        <v>0.14055555555555554</v>
      </c>
      <c r="C161" s="36">
        <f t="shared" si="17"/>
        <v>44393.140555555554</v>
      </c>
      <c r="D161" s="71" t="str">
        <f t="shared" si="18"/>
        <v>2021-07-16</v>
      </c>
      <c r="E161" s="38" t="s">
        <v>1090</v>
      </c>
      <c r="F161" s="37" t="str">
        <f t="shared" si="13"/>
        <v>2021-07-16_03-22-24</v>
      </c>
      <c r="G161" s="39">
        <v>8457682</v>
      </c>
      <c r="H161" s="40">
        <v>8635897</v>
      </c>
      <c r="I161" s="21" t="str">
        <f>IF(OR(COUNTIF(Monitoring!C:C, F161) &gt; 0, COUNTIF(Monitoring!F:F, F161) &gt; 0), "yes", "no")</f>
        <v>yes</v>
      </c>
      <c r="J161" s="72" t="str">
        <f t="shared" si="14"/>
        <v>Z:\FAIR_Device_data\Experiment_JulAug_2021\Video_captures\2021-07-16\2021-07-16_03-22-24.mp4</v>
      </c>
    </row>
    <row r="162" spans="1:10" x14ac:dyDescent="0.3">
      <c r="A162" s="1">
        <f t="shared" si="15"/>
        <v>44393</v>
      </c>
      <c r="B162" s="36">
        <f t="shared" si="16"/>
        <v>0.1416550925925926</v>
      </c>
      <c r="C162" s="36">
        <f t="shared" si="17"/>
        <v>44393.141655092593</v>
      </c>
      <c r="D162" s="71" t="str">
        <f t="shared" si="18"/>
        <v>2021-07-16</v>
      </c>
      <c r="E162" s="38" t="s">
        <v>1091</v>
      </c>
      <c r="F162" s="37" t="str">
        <f t="shared" si="13"/>
        <v>2021-07-16_03-23-59</v>
      </c>
      <c r="G162" s="39">
        <v>33287565</v>
      </c>
      <c r="H162" s="40">
        <v>37883515</v>
      </c>
      <c r="I162" s="21" t="str">
        <f>IF(OR(COUNTIF(Monitoring!C:C, F162) &gt; 0, COUNTIF(Monitoring!F:F, F162) &gt; 0), "yes", "no")</f>
        <v>yes</v>
      </c>
      <c r="J162" s="72" t="str">
        <f t="shared" si="14"/>
        <v>Z:\FAIR_Device_data\Experiment_JulAug_2021\Video_captures\2021-07-16\2021-07-16_03-23-59.mp4</v>
      </c>
    </row>
    <row r="163" spans="1:10" x14ac:dyDescent="0.3">
      <c r="A163" s="1">
        <f t="shared" si="15"/>
        <v>44393</v>
      </c>
      <c r="B163" s="36">
        <f t="shared" si="16"/>
        <v>0.14421296296296296</v>
      </c>
      <c r="C163" s="36">
        <f t="shared" si="17"/>
        <v>44393.144212962965</v>
      </c>
      <c r="D163" s="71" t="str">
        <f t="shared" si="18"/>
        <v>2021-07-16</v>
      </c>
      <c r="E163" s="38" t="s">
        <v>1092</v>
      </c>
      <c r="F163" s="37" t="str">
        <f t="shared" si="13"/>
        <v>2021-07-16_03-27-40</v>
      </c>
      <c r="G163" s="39">
        <v>8121159</v>
      </c>
      <c r="H163" s="40">
        <v>8277262</v>
      </c>
      <c r="I163" s="21" t="str">
        <f>IF(OR(COUNTIF(Monitoring!C:C, F163) &gt; 0, COUNTIF(Monitoring!F:F, F163) &gt; 0), "yes", "no")</f>
        <v>yes</v>
      </c>
      <c r="J163" s="72" t="str">
        <f t="shared" si="14"/>
        <v>Z:\FAIR_Device_data\Experiment_JulAug_2021\Video_captures\2021-07-16\2021-07-16_03-27-40.mp4</v>
      </c>
    </row>
    <row r="164" spans="1:10" x14ac:dyDescent="0.3">
      <c r="A164" s="1">
        <f t="shared" si="15"/>
        <v>44393</v>
      </c>
      <c r="B164" s="36">
        <f t="shared" si="16"/>
        <v>0.14616898148148147</v>
      </c>
      <c r="C164" s="36">
        <f t="shared" si="17"/>
        <v>44393.146168981482</v>
      </c>
      <c r="D164" s="71" t="str">
        <f t="shared" si="18"/>
        <v>2021-07-16</v>
      </c>
      <c r="E164" s="38" t="s">
        <v>1093</v>
      </c>
      <c r="F164" s="37" t="str">
        <f t="shared" si="13"/>
        <v>2021-07-16_03-30-29</v>
      </c>
      <c r="G164" s="39">
        <v>8852018</v>
      </c>
      <c r="H164" s="40">
        <v>9154208</v>
      </c>
      <c r="I164" s="21" t="str">
        <f>IF(OR(COUNTIF(Monitoring!C:C, F164) &gt; 0, COUNTIF(Monitoring!F:F, F164) &gt; 0), "yes", "no")</f>
        <v>yes</v>
      </c>
      <c r="J164" s="72" t="str">
        <f t="shared" si="14"/>
        <v>Z:\FAIR_Device_data\Experiment_JulAug_2021\Video_captures\2021-07-16\2021-07-16_03-30-29.mp4</v>
      </c>
    </row>
    <row r="165" spans="1:10" x14ac:dyDescent="0.3">
      <c r="A165" s="1">
        <f t="shared" si="15"/>
        <v>44393</v>
      </c>
      <c r="B165" s="36">
        <f t="shared" si="16"/>
        <v>0.1582638888888889</v>
      </c>
      <c r="C165" s="36">
        <f t="shared" si="17"/>
        <v>44393.158263888887</v>
      </c>
      <c r="D165" s="71" t="str">
        <f t="shared" si="18"/>
        <v>2021-07-16</v>
      </c>
      <c r="E165" s="38" t="s">
        <v>1094</v>
      </c>
      <c r="F165" s="37" t="str">
        <f t="shared" si="13"/>
        <v>2021-07-16_03-47-54</v>
      </c>
      <c r="G165" s="39">
        <v>8741276</v>
      </c>
      <c r="H165" s="40">
        <v>9145587</v>
      </c>
      <c r="I165" s="21" t="str">
        <f>IF(OR(COUNTIF(Monitoring!C:C, F165) &gt; 0, COUNTIF(Monitoring!F:F, F165) &gt; 0), "yes", "no")</f>
        <v>yes</v>
      </c>
      <c r="J165" s="72" t="str">
        <f t="shared" si="14"/>
        <v>Z:\FAIR_Device_data\Experiment_JulAug_2021\Video_captures\2021-07-16\2021-07-16_03-47-54.mp4</v>
      </c>
    </row>
    <row r="166" spans="1:10" x14ac:dyDescent="0.3">
      <c r="A166" s="1">
        <f t="shared" si="15"/>
        <v>44393</v>
      </c>
      <c r="B166" s="36">
        <f t="shared" si="16"/>
        <v>0.17334490740740741</v>
      </c>
      <c r="C166" s="36">
        <f t="shared" si="17"/>
        <v>44393.173344907409</v>
      </c>
      <c r="D166" s="71" t="str">
        <f t="shared" si="18"/>
        <v>2021-07-16</v>
      </c>
      <c r="E166" s="38" t="s">
        <v>1095</v>
      </c>
      <c r="F166" s="37" t="str">
        <f t="shared" si="13"/>
        <v>2021-07-16_04-09-37</v>
      </c>
      <c r="G166" s="39">
        <v>8073698</v>
      </c>
      <c r="H166" s="40">
        <v>8198162</v>
      </c>
      <c r="I166" s="21" t="str">
        <f>IF(OR(COUNTIF(Monitoring!C:C, F166) &gt; 0, COUNTIF(Monitoring!F:F, F166) &gt; 0), "yes", "no")</f>
        <v>yes</v>
      </c>
      <c r="J166" s="72" t="str">
        <f t="shared" si="14"/>
        <v>Z:\FAIR_Device_data\Experiment_JulAug_2021\Video_captures\2021-07-16\2021-07-16_04-09-37.mp4</v>
      </c>
    </row>
    <row r="167" spans="1:10" x14ac:dyDescent="0.3">
      <c r="A167" s="1">
        <f t="shared" si="15"/>
        <v>44393</v>
      </c>
      <c r="B167" s="36">
        <f t="shared" si="16"/>
        <v>0.17731481481481481</v>
      </c>
      <c r="C167" s="36">
        <f t="shared" si="17"/>
        <v>44393.177314814813</v>
      </c>
      <c r="D167" s="71" t="str">
        <f t="shared" si="18"/>
        <v>2021-07-16</v>
      </c>
      <c r="E167" s="38" t="s">
        <v>1096</v>
      </c>
      <c r="F167" s="37" t="str">
        <f t="shared" si="13"/>
        <v>2021-07-16_04-15-20</v>
      </c>
      <c r="G167" s="39">
        <v>23457813</v>
      </c>
      <c r="H167" s="40">
        <v>28402366</v>
      </c>
      <c r="I167" s="21" t="str">
        <f>IF(OR(COUNTIF(Monitoring!C:C, F167) &gt; 0, COUNTIF(Monitoring!F:F, F167) &gt; 0), "yes", "no")</f>
        <v>yes</v>
      </c>
      <c r="J167" s="72" t="str">
        <f t="shared" si="14"/>
        <v>Z:\FAIR_Device_data\Experiment_JulAug_2021\Video_captures\2021-07-16\2021-07-16_04-15-20.mp4</v>
      </c>
    </row>
    <row r="168" spans="1:10" x14ac:dyDescent="0.3">
      <c r="A168" s="1">
        <f t="shared" si="15"/>
        <v>44393</v>
      </c>
      <c r="B168" s="36">
        <f t="shared" si="16"/>
        <v>0.21005787037037038</v>
      </c>
      <c r="C168" s="36">
        <f t="shared" si="17"/>
        <v>44393.210057870368</v>
      </c>
      <c r="D168" s="71" t="str">
        <f t="shared" si="18"/>
        <v>2021-07-16</v>
      </c>
      <c r="E168" s="38" t="s">
        <v>1097</v>
      </c>
      <c r="F168" s="37" t="str">
        <f t="shared" si="13"/>
        <v>2021-07-16_05-02-29</v>
      </c>
      <c r="G168" s="39">
        <v>12606185</v>
      </c>
      <c r="H168" s="40">
        <v>14021940</v>
      </c>
      <c r="I168" s="21" t="str">
        <f>IF(OR(COUNTIF(Monitoring!C:C, F168) &gt; 0, COUNTIF(Monitoring!F:F, F168) &gt; 0), "yes", "no")</f>
        <v>yes</v>
      </c>
      <c r="J168" s="72" t="str">
        <f t="shared" si="14"/>
        <v>Z:\FAIR_Device_data\Experiment_JulAug_2021\Video_captures\2021-07-16\2021-07-16_05-02-29.mp4</v>
      </c>
    </row>
    <row r="169" spans="1:10" x14ac:dyDescent="0.3">
      <c r="A169" s="1">
        <f t="shared" si="15"/>
        <v>44393</v>
      </c>
      <c r="B169" s="36">
        <f t="shared" si="16"/>
        <v>0.25953703703703701</v>
      </c>
      <c r="C169" s="36">
        <f t="shared" si="17"/>
        <v>44393.25953703704</v>
      </c>
      <c r="D169" s="71" t="str">
        <f t="shared" si="18"/>
        <v>2021-07-16</v>
      </c>
      <c r="E169" s="38" t="s">
        <v>1098</v>
      </c>
      <c r="F169" s="37" t="str">
        <f t="shared" si="13"/>
        <v>2021-07-16_06-13-44</v>
      </c>
      <c r="G169" s="39">
        <v>20227409</v>
      </c>
      <c r="H169" s="40">
        <v>23115592</v>
      </c>
      <c r="I169" s="21" t="str">
        <f>IF(OR(COUNTIF(Monitoring!C:C, F169) &gt; 0, COUNTIF(Monitoring!F:F, F169) &gt; 0), "yes", "no")</f>
        <v>yes</v>
      </c>
      <c r="J169" s="72" t="str">
        <f t="shared" si="14"/>
        <v>Z:\FAIR_Device_data\Experiment_JulAug_2021\Video_captures\2021-07-16\2021-07-16_06-13-44.mp4</v>
      </c>
    </row>
    <row r="170" spans="1:10" x14ac:dyDescent="0.3">
      <c r="A170" s="1">
        <f t="shared" si="15"/>
        <v>44393</v>
      </c>
      <c r="B170" s="36">
        <f t="shared" si="16"/>
        <v>0.35346064814814815</v>
      </c>
      <c r="C170" s="36">
        <f t="shared" si="17"/>
        <v>44393.353460648148</v>
      </c>
      <c r="D170" s="71" t="str">
        <f t="shared" si="18"/>
        <v>2021-07-16</v>
      </c>
      <c r="E170" s="38" t="s">
        <v>1099</v>
      </c>
      <c r="F170" s="37" t="str">
        <f t="shared" si="13"/>
        <v>2021-07-16_08-28-59</v>
      </c>
      <c r="G170" s="39">
        <v>8049284</v>
      </c>
      <c r="H170" s="40">
        <v>7741666</v>
      </c>
      <c r="I170" s="21" t="str">
        <f>IF(OR(COUNTIF(Monitoring!C:C, F170) &gt; 0, COUNTIF(Monitoring!F:F, F170) &gt; 0), "yes", "no")</f>
        <v>yes</v>
      </c>
      <c r="J170" s="72" t="str">
        <f t="shared" si="14"/>
        <v>Z:\FAIR_Device_data\Experiment_JulAug_2021\Video_captures\2021-07-16\2021-07-16_08-28-59.mp4</v>
      </c>
    </row>
    <row r="171" spans="1:10" x14ac:dyDescent="0.3">
      <c r="A171" s="1">
        <f t="shared" si="15"/>
        <v>44393</v>
      </c>
      <c r="B171" s="36">
        <f t="shared" si="16"/>
        <v>0.50510416666666669</v>
      </c>
      <c r="C171" s="36">
        <f t="shared" si="17"/>
        <v>44393.505104166667</v>
      </c>
      <c r="D171" s="71" t="str">
        <f t="shared" si="18"/>
        <v>2021-07-16</v>
      </c>
      <c r="E171" s="38" t="s">
        <v>1100</v>
      </c>
      <c r="F171" s="37" t="str">
        <f t="shared" si="13"/>
        <v>2021-07-16_12-07-21</v>
      </c>
      <c r="G171" s="39">
        <v>62685872</v>
      </c>
      <c r="H171" s="40">
        <v>69408728</v>
      </c>
      <c r="I171" s="21" t="str">
        <f>IF(OR(COUNTIF(Monitoring!C:C, F171) &gt; 0, COUNTIF(Monitoring!F:F, F171) &gt; 0), "yes", "no")</f>
        <v>yes</v>
      </c>
      <c r="J171" s="72" t="str">
        <f t="shared" si="14"/>
        <v>Z:\FAIR_Device_data\Experiment_JulAug_2021\Video_captures\2021-07-16\2021-07-16_12-07-21.mp4</v>
      </c>
    </row>
    <row r="172" spans="1:10" x14ac:dyDescent="0.3">
      <c r="A172" s="1">
        <f t="shared" si="15"/>
        <v>44393</v>
      </c>
      <c r="B172" s="36">
        <f t="shared" si="16"/>
        <v>0.53533564814814816</v>
      </c>
      <c r="C172" s="36">
        <f t="shared" si="17"/>
        <v>44393.53533564815</v>
      </c>
      <c r="D172" s="71" t="str">
        <f t="shared" si="18"/>
        <v>2021-07-16</v>
      </c>
      <c r="E172" s="38" t="s">
        <v>1101</v>
      </c>
      <c r="F172" s="37" t="str">
        <f t="shared" si="13"/>
        <v>2021-07-16_12-50-53</v>
      </c>
      <c r="G172" s="39">
        <v>106473503</v>
      </c>
      <c r="H172" s="40">
        <v>119475797</v>
      </c>
      <c r="I172" s="21" t="str">
        <f>IF(OR(COUNTIF(Monitoring!C:C, F172) &gt; 0, COUNTIF(Monitoring!F:F, F172) &gt; 0), "yes", "no")</f>
        <v>yes</v>
      </c>
      <c r="J172" s="72" t="str">
        <f t="shared" si="14"/>
        <v>Z:\FAIR_Device_data\Experiment_JulAug_2021\Video_captures\2021-07-16\2021-07-16_12-50-53.mp4</v>
      </c>
    </row>
    <row r="173" spans="1:10" x14ac:dyDescent="0.3">
      <c r="A173" s="1">
        <f t="shared" si="15"/>
        <v>44393</v>
      </c>
      <c r="B173" s="36">
        <f t="shared" si="16"/>
        <v>0.56333333333333335</v>
      </c>
      <c r="C173" s="36">
        <f t="shared" si="17"/>
        <v>44393.563333333332</v>
      </c>
      <c r="D173" s="71" t="str">
        <f t="shared" si="18"/>
        <v>2021-07-16</v>
      </c>
      <c r="E173" s="38" t="s">
        <v>1102</v>
      </c>
      <c r="F173" s="37" t="str">
        <f t="shared" si="13"/>
        <v>2021-07-16_13-31-12</v>
      </c>
      <c r="G173" s="39">
        <v>285912956</v>
      </c>
      <c r="H173" s="40">
        <v>315762199</v>
      </c>
      <c r="I173" s="21" t="str">
        <f>IF(OR(COUNTIF(Monitoring!C:C, F173) &gt; 0, COUNTIF(Monitoring!F:F, F173) &gt; 0), "yes", "no")</f>
        <v>yes</v>
      </c>
      <c r="J173" s="72" t="str">
        <f t="shared" si="14"/>
        <v>Z:\FAIR_Device_data\Experiment_JulAug_2021\Video_captures\2021-07-16\2021-07-16_13-31-12.mp4</v>
      </c>
    </row>
    <row r="174" spans="1:10" x14ac:dyDescent="0.3">
      <c r="A174" s="1">
        <f t="shared" si="15"/>
        <v>44393</v>
      </c>
      <c r="B174" s="36">
        <f t="shared" si="16"/>
        <v>0.65055555555555555</v>
      </c>
      <c r="C174" s="36">
        <f t="shared" si="17"/>
        <v>44393.650555555556</v>
      </c>
      <c r="D174" s="71" t="str">
        <f t="shared" si="18"/>
        <v>2021-07-16</v>
      </c>
      <c r="E174" s="38" t="s">
        <v>1103</v>
      </c>
      <c r="F174" s="37" t="str">
        <f t="shared" si="13"/>
        <v>2021-07-16_15-36-48</v>
      </c>
      <c r="G174" s="39">
        <v>27291602</v>
      </c>
      <c r="H174" s="40">
        <v>28838301</v>
      </c>
      <c r="I174" s="21" t="str">
        <f>IF(OR(COUNTIF(Monitoring!C:C, F174) &gt; 0, COUNTIF(Monitoring!F:F, F174) &gt; 0), "yes", "no")</f>
        <v>yes</v>
      </c>
      <c r="J174" s="72" t="str">
        <f t="shared" si="14"/>
        <v>Z:\FAIR_Device_data\Experiment_JulAug_2021\Video_captures\2021-07-16\2021-07-16_15-36-48.mp4</v>
      </c>
    </row>
    <row r="175" spans="1:10" x14ac:dyDescent="0.3">
      <c r="A175" s="1">
        <f t="shared" si="15"/>
        <v>44393</v>
      </c>
      <c r="B175" s="36">
        <f t="shared" si="16"/>
        <v>0.66391203703703705</v>
      </c>
      <c r="C175" s="36">
        <f t="shared" si="17"/>
        <v>44393.663912037038</v>
      </c>
      <c r="D175" s="71" t="str">
        <f t="shared" si="18"/>
        <v>2021-07-16</v>
      </c>
      <c r="E175" s="38" t="s">
        <v>1104</v>
      </c>
      <c r="F175" s="37" t="str">
        <f t="shared" si="13"/>
        <v>2021-07-16_15-56-02</v>
      </c>
      <c r="G175" s="39">
        <v>8027930</v>
      </c>
      <c r="H175" s="40">
        <v>7309703</v>
      </c>
      <c r="I175" s="21" t="str">
        <f>IF(OR(COUNTIF(Monitoring!C:C, F175) &gt; 0, COUNTIF(Monitoring!F:F, F175) &gt; 0), "yes", "no")</f>
        <v>yes</v>
      </c>
      <c r="J175" s="72" t="str">
        <f t="shared" si="14"/>
        <v>Z:\FAIR_Device_data\Experiment_JulAug_2021\Video_captures\2021-07-16\2021-07-16_15-56-02.mp4</v>
      </c>
    </row>
    <row r="176" spans="1:10" x14ac:dyDescent="0.3">
      <c r="A176" s="1">
        <f t="shared" si="15"/>
        <v>44393</v>
      </c>
      <c r="B176" s="36">
        <f t="shared" si="16"/>
        <v>0.72084490740740736</v>
      </c>
      <c r="C176" s="36">
        <f t="shared" si="17"/>
        <v>44393.72084490741</v>
      </c>
      <c r="D176" s="71" t="str">
        <f t="shared" si="18"/>
        <v>2021-07-16</v>
      </c>
      <c r="E176" s="38" t="s">
        <v>1105</v>
      </c>
      <c r="F176" s="37" t="str">
        <f t="shared" si="13"/>
        <v>2021-07-16_17-18-01</v>
      </c>
      <c r="G176" s="39">
        <v>10809570</v>
      </c>
      <c r="H176" s="40">
        <v>10544668</v>
      </c>
      <c r="I176" s="21" t="str">
        <f>IF(OR(COUNTIF(Monitoring!C:C, F176) &gt; 0, COUNTIF(Monitoring!F:F, F176) &gt; 0), "yes", "no")</f>
        <v>yes</v>
      </c>
      <c r="J176" s="72" t="str">
        <f t="shared" si="14"/>
        <v>Z:\FAIR_Device_data\Experiment_JulAug_2021\Video_captures\2021-07-16\2021-07-16_17-18-01.mp4</v>
      </c>
    </row>
    <row r="177" spans="1:10" x14ac:dyDescent="0.3">
      <c r="A177" s="1">
        <f t="shared" si="15"/>
        <v>44396</v>
      </c>
      <c r="B177" s="36">
        <f t="shared" si="16"/>
        <v>0.86537037037037035</v>
      </c>
      <c r="C177" s="36">
        <f t="shared" si="17"/>
        <v>44396.865370370368</v>
      </c>
      <c r="D177" s="71" t="str">
        <f t="shared" si="18"/>
        <v>2021-07-19</v>
      </c>
      <c r="E177" s="38" t="s">
        <v>1106</v>
      </c>
      <c r="F177" s="37" t="str">
        <f t="shared" si="13"/>
        <v>2021-07-19_20-46-08</v>
      </c>
      <c r="G177" s="39">
        <v>9575911</v>
      </c>
      <c r="H177" s="40">
        <v>9733986</v>
      </c>
      <c r="I177" s="21" t="str">
        <f>IF(OR(COUNTIF(Monitoring!C:C, F177) &gt; 0, COUNTIF(Monitoring!F:F, F177) &gt; 0), "yes", "no")</f>
        <v>yes</v>
      </c>
      <c r="J177" s="72" t="str">
        <f t="shared" si="14"/>
        <v>Z:\FAIR_Device_data\Experiment_JulAug_2021\Video_captures\2021-07-19\2021-07-19_20-46-08.mp4</v>
      </c>
    </row>
    <row r="178" spans="1:10" x14ac:dyDescent="0.3">
      <c r="A178" s="1">
        <f t="shared" si="15"/>
        <v>44396</v>
      </c>
      <c r="B178" s="36">
        <f t="shared" si="16"/>
        <v>0.87526620370370367</v>
      </c>
      <c r="C178" s="36">
        <f t="shared" si="17"/>
        <v>44396.8752662037</v>
      </c>
      <c r="D178" s="71" t="str">
        <f t="shared" si="18"/>
        <v>2021-07-19</v>
      </c>
      <c r="E178" s="38" t="s">
        <v>1107</v>
      </c>
      <c r="F178" s="37" t="str">
        <f t="shared" si="13"/>
        <v>2021-07-19_21-00-23</v>
      </c>
      <c r="G178" s="39">
        <v>29577474</v>
      </c>
      <c r="H178" s="40">
        <v>33640679</v>
      </c>
      <c r="I178" s="21" t="str">
        <f>IF(OR(COUNTIF(Monitoring!C:C, F178) &gt; 0, COUNTIF(Monitoring!F:F, F178) &gt; 0), "yes", "no")</f>
        <v>yes</v>
      </c>
      <c r="J178" s="72" t="str">
        <f t="shared" si="14"/>
        <v>Z:\FAIR_Device_data\Experiment_JulAug_2021\Video_captures\2021-07-19\2021-07-19_21-00-23.mp4</v>
      </c>
    </row>
    <row r="179" spans="1:10" x14ac:dyDescent="0.3">
      <c r="A179" s="1">
        <f t="shared" si="15"/>
        <v>44396</v>
      </c>
      <c r="B179" s="36">
        <f t="shared" si="16"/>
        <v>0.87619212962962967</v>
      </c>
      <c r="C179" s="36">
        <f t="shared" si="17"/>
        <v>44396.876192129632</v>
      </c>
      <c r="D179" s="71" t="str">
        <f t="shared" si="18"/>
        <v>2021-07-19</v>
      </c>
      <c r="E179" s="38" t="s">
        <v>1108</v>
      </c>
      <c r="F179" s="37" t="str">
        <f t="shared" si="13"/>
        <v>2021-07-19_21-01-43</v>
      </c>
      <c r="G179" s="39">
        <v>14717513</v>
      </c>
      <c r="H179" s="40">
        <v>15460681</v>
      </c>
      <c r="I179" s="21" t="str">
        <f>IF(OR(COUNTIF(Monitoring!C:C, F179) &gt; 0, COUNTIF(Monitoring!F:F, F179) &gt; 0), "yes", "no")</f>
        <v>no</v>
      </c>
      <c r="J179" s="72" t="str">
        <f t="shared" si="14"/>
        <v>Z:\FAIR_Device_data\Experiment_JulAug_2021\Video_captures\2021-07-19\2021-07-19_21-01-43.mp4</v>
      </c>
    </row>
    <row r="180" spans="1:10" x14ac:dyDescent="0.3">
      <c r="A180" s="1">
        <f t="shared" si="15"/>
        <v>44396</v>
      </c>
      <c r="B180" s="36">
        <f t="shared" si="16"/>
        <v>0.87907407407407412</v>
      </c>
      <c r="C180" s="36">
        <f t="shared" si="17"/>
        <v>44396.879074074073</v>
      </c>
      <c r="D180" s="71" t="str">
        <f t="shared" si="18"/>
        <v>2021-07-19</v>
      </c>
      <c r="E180" s="38" t="s">
        <v>1109</v>
      </c>
      <c r="F180" s="37" t="str">
        <f t="shared" si="13"/>
        <v>2021-07-19_21-05-52</v>
      </c>
      <c r="G180" s="39">
        <v>43818499</v>
      </c>
      <c r="H180" s="40">
        <v>46394957</v>
      </c>
      <c r="I180" s="21" t="str">
        <f>IF(OR(COUNTIF(Monitoring!C:C, F180) &gt; 0, COUNTIF(Monitoring!F:F, F180) &gt; 0), "yes", "no")</f>
        <v>yes</v>
      </c>
      <c r="J180" s="72" t="str">
        <f t="shared" si="14"/>
        <v>Z:\FAIR_Device_data\Experiment_JulAug_2021\Video_captures\2021-07-19\2021-07-19_21-05-52.mp4</v>
      </c>
    </row>
    <row r="181" spans="1:10" x14ac:dyDescent="0.3">
      <c r="A181" s="1">
        <f t="shared" si="15"/>
        <v>44396</v>
      </c>
      <c r="B181" s="36">
        <f t="shared" si="16"/>
        <v>0.88130787037037039</v>
      </c>
      <c r="C181" s="36">
        <f t="shared" si="17"/>
        <v>44396.881307870368</v>
      </c>
      <c r="D181" s="71" t="str">
        <f t="shared" si="18"/>
        <v>2021-07-19</v>
      </c>
      <c r="E181" s="38" t="s">
        <v>1110</v>
      </c>
      <c r="F181" s="37" t="str">
        <f t="shared" si="13"/>
        <v>2021-07-19_21-09-05</v>
      </c>
      <c r="G181" s="39">
        <v>8044466</v>
      </c>
      <c r="H181" s="40">
        <v>8026049</v>
      </c>
      <c r="I181" s="21" t="str">
        <f>IF(OR(COUNTIF(Monitoring!C:C, F181) &gt; 0, COUNTIF(Monitoring!F:F, F181) &gt; 0), "yes", "no")</f>
        <v>yes</v>
      </c>
      <c r="J181" s="72" t="str">
        <f t="shared" si="14"/>
        <v>Z:\FAIR_Device_data\Experiment_JulAug_2021\Video_captures\2021-07-19\2021-07-19_21-09-05.mp4</v>
      </c>
    </row>
    <row r="182" spans="1:10" x14ac:dyDescent="0.3">
      <c r="A182" s="1">
        <f t="shared" si="15"/>
        <v>44396</v>
      </c>
      <c r="B182" s="36">
        <f t="shared" si="16"/>
        <v>0.8970717592592593</v>
      </c>
      <c r="C182" s="36">
        <f t="shared" si="17"/>
        <v>44396.89707175926</v>
      </c>
      <c r="D182" s="71" t="str">
        <f t="shared" si="18"/>
        <v>2021-07-19</v>
      </c>
      <c r="E182" s="38" t="s">
        <v>1111</v>
      </c>
      <c r="F182" s="37" t="str">
        <f t="shared" si="13"/>
        <v>2021-07-19_21-31-47</v>
      </c>
      <c r="G182" s="39">
        <v>37170000</v>
      </c>
      <c r="H182" s="40">
        <v>49076441</v>
      </c>
      <c r="I182" s="21" t="str">
        <f>IF(OR(COUNTIF(Monitoring!C:C, F182) &gt; 0, COUNTIF(Monitoring!F:F, F182) &gt; 0), "yes", "no")</f>
        <v>yes</v>
      </c>
      <c r="J182" s="72" t="str">
        <f t="shared" si="14"/>
        <v>Z:\FAIR_Device_data\Experiment_JulAug_2021\Video_captures\2021-07-19\2021-07-19_21-31-47.mp4</v>
      </c>
    </row>
    <row r="183" spans="1:10" x14ac:dyDescent="0.3">
      <c r="A183" s="1">
        <f t="shared" si="15"/>
        <v>44396</v>
      </c>
      <c r="B183" s="36">
        <f t="shared" si="16"/>
        <v>0.91284722222222225</v>
      </c>
      <c r="C183" s="36">
        <f t="shared" si="17"/>
        <v>44396.912847222222</v>
      </c>
      <c r="D183" s="71" t="str">
        <f t="shared" si="18"/>
        <v>2021-07-19</v>
      </c>
      <c r="E183" s="38" t="s">
        <v>1112</v>
      </c>
      <c r="F183" s="37" t="str">
        <f t="shared" si="13"/>
        <v>2021-07-19_21-54-30</v>
      </c>
      <c r="G183" s="39">
        <v>10868516</v>
      </c>
      <c r="H183" s="40">
        <v>12070832</v>
      </c>
      <c r="I183" s="21" t="str">
        <f>IF(OR(COUNTIF(Monitoring!C:C, F183) &gt; 0, COUNTIF(Monitoring!F:F, F183) &gt; 0), "yes", "no")</f>
        <v>yes</v>
      </c>
      <c r="J183" s="72" t="str">
        <f t="shared" si="14"/>
        <v>Z:\FAIR_Device_data\Experiment_JulAug_2021\Video_captures\2021-07-19\2021-07-19_21-54-30.mp4</v>
      </c>
    </row>
    <row r="184" spans="1:10" x14ac:dyDescent="0.3">
      <c r="A184" s="1">
        <f t="shared" si="15"/>
        <v>44396</v>
      </c>
      <c r="B184" s="36">
        <f t="shared" si="16"/>
        <v>0.92510416666666662</v>
      </c>
      <c r="C184" s="36">
        <f t="shared" si="17"/>
        <v>44396.925104166665</v>
      </c>
      <c r="D184" s="71" t="str">
        <f t="shared" si="18"/>
        <v>2021-07-19</v>
      </c>
      <c r="E184" s="38" t="s">
        <v>1113</v>
      </c>
      <c r="F184" s="37" t="str">
        <f t="shared" si="13"/>
        <v>2021-07-19_22-12-09</v>
      </c>
      <c r="G184" s="39">
        <v>29689922</v>
      </c>
      <c r="H184" s="40">
        <v>38761930</v>
      </c>
      <c r="I184" s="21" t="str">
        <f>IF(OR(COUNTIF(Monitoring!C:C, F184) &gt; 0, COUNTIF(Monitoring!F:F, F184) &gt; 0), "yes", "no")</f>
        <v>yes</v>
      </c>
      <c r="J184" s="72" t="str">
        <f t="shared" si="14"/>
        <v>Z:\FAIR_Device_data\Experiment_JulAug_2021\Video_captures\2021-07-19\2021-07-19_22-12-09.mp4</v>
      </c>
    </row>
    <row r="185" spans="1:10" x14ac:dyDescent="0.3">
      <c r="A185" s="1">
        <f t="shared" si="15"/>
        <v>44396</v>
      </c>
      <c r="B185" s="36">
        <f t="shared" si="16"/>
        <v>0.93253472222222222</v>
      </c>
      <c r="C185" s="36">
        <f t="shared" si="17"/>
        <v>44396.932534722226</v>
      </c>
      <c r="D185" s="71" t="str">
        <f t="shared" si="18"/>
        <v>2021-07-19</v>
      </c>
      <c r="E185" s="38" t="s">
        <v>1114</v>
      </c>
      <c r="F185" s="37" t="str">
        <f t="shared" si="13"/>
        <v>2021-07-19_22-22-51</v>
      </c>
      <c r="G185" s="39">
        <v>14461719</v>
      </c>
      <c r="H185" s="40">
        <v>18377206</v>
      </c>
      <c r="I185" s="21" t="str">
        <f>IF(OR(COUNTIF(Monitoring!C:C, F185) &gt; 0, COUNTIF(Monitoring!F:F, F185) &gt; 0), "yes", "no")</f>
        <v>no</v>
      </c>
      <c r="J185" s="72" t="str">
        <f t="shared" si="14"/>
        <v>Z:\FAIR_Device_data\Experiment_JulAug_2021\Video_captures\2021-07-19\2021-07-19_22-22-51.mp4</v>
      </c>
    </row>
    <row r="186" spans="1:10" x14ac:dyDescent="0.3">
      <c r="A186" s="1">
        <f t="shared" si="15"/>
        <v>44396</v>
      </c>
      <c r="B186" s="36">
        <f t="shared" si="16"/>
        <v>0.93458333333333332</v>
      </c>
      <c r="C186" s="36">
        <f t="shared" si="17"/>
        <v>44396.934583333335</v>
      </c>
      <c r="D186" s="71" t="str">
        <f t="shared" si="18"/>
        <v>2021-07-19</v>
      </c>
      <c r="E186" s="38" t="s">
        <v>1115</v>
      </c>
      <c r="F186" s="37" t="str">
        <f t="shared" si="13"/>
        <v>2021-07-19_22-25-48</v>
      </c>
      <c r="G186" s="39">
        <v>39896016</v>
      </c>
      <c r="H186" s="40">
        <v>54554901</v>
      </c>
      <c r="I186" s="21" t="str">
        <f>IF(OR(COUNTIF(Monitoring!C:C, F186) &gt; 0, COUNTIF(Monitoring!F:F, F186) &gt; 0), "yes", "no")</f>
        <v>yes</v>
      </c>
      <c r="J186" s="72" t="str">
        <f t="shared" si="14"/>
        <v>Z:\FAIR_Device_data\Experiment_JulAug_2021\Video_captures\2021-07-19\2021-07-19_22-25-48.mp4</v>
      </c>
    </row>
    <row r="187" spans="1:10" x14ac:dyDescent="0.3">
      <c r="A187" s="1">
        <f t="shared" si="15"/>
        <v>44396</v>
      </c>
      <c r="B187" s="36">
        <f t="shared" si="16"/>
        <v>0.93679398148148152</v>
      </c>
      <c r="C187" s="36">
        <f t="shared" si="17"/>
        <v>44396.936793981484</v>
      </c>
      <c r="D187" s="71" t="str">
        <f t="shared" si="18"/>
        <v>2021-07-19</v>
      </c>
      <c r="E187" s="38" t="s">
        <v>1116</v>
      </c>
      <c r="F187" s="37" t="str">
        <f t="shared" si="13"/>
        <v>2021-07-19_22-28-59</v>
      </c>
      <c r="G187" s="39">
        <v>10603359</v>
      </c>
      <c r="H187" s="40">
        <v>12375521</v>
      </c>
      <c r="I187" s="21" t="str">
        <f>IF(OR(COUNTIF(Monitoring!C:C, F187) &gt; 0, COUNTIF(Monitoring!F:F, F187) &gt; 0), "yes", "no")</f>
        <v>yes</v>
      </c>
      <c r="J187" s="72" t="str">
        <f t="shared" si="14"/>
        <v>Z:\FAIR_Device_data\Experiment_JulAug_2021\Video_captures\2021-07-19\2021-07-19_22-28-59.mp4</v>
      </c>
    </row>
    <row r="188" spans="1:10" x14ac:dyDescent="0.3">
      <c r="A188" s="1">
        <f t="shared" si="15"/>
        <v>44396</v>
      </c>
      <c r="B188" s="36">
        <f t="shared" si="16"/>
        <v>0.93734953703703705</v>
      </c>
      <c r="C188" s="36">
        <f t="shared" si="17"/>
        <v>44396.937349537038</v>
      </c>
      <c r="D188" s="71" t="str">
        <f t="shared" si="18"/>
        <v>2021-07-19</v>
      </c>
      <c r="E188" s="38" t="s">
        <v>1117</v>
      </c>
      <c r="F188" s="37" t="str">
        <f t="shared" si="13"/>
        <v>2021-07-19_22-29-47</v>
      </c>
      <c r="G188" s="39">
        <v>33254063</v>
      </c>
      <c r="H188" s="40">
        <v>43632571</v>
      </c>
      <c r="I188" s="21" t="str">
        <f>IF(OR(COUNTIF(Monitoring!C:C, F188) &gt; 0, COUNTIF(Monitoring!F:F, F188) &gt; 0), "yes", "no")</f>
        <v>no</v>
      </c>
      <c r="J188" s="72" t="str">
        <f t="shared" si="14"/>
        <v>Z:\FAIR_Device_data\Experiment_JulAug_2021\Video_captures\2021-07-19\2021-07-19_22-29-47.mp4</v>
      </c>
    </row>
    <row r="189" spans="1:10" x14ac:dyDescent="0.3">
      <c r="A189" s="1">
        <f t="shared" si="15"/>
        <v>44396</v>
      </c>
      <c r="B189" s="36">
        <f t="shared" si="16"/>
        <v>0.94005787037037036</v>
      </c>
      <c r="C189" s="36">
        <f t="shared" si="17"/>
        <v>44396.940057870372</v>
      </c>
      <c r="D189" s="71" t="str">
        <f t="shared" si="18"/>
        <v>2021-07-19</v>
      </c>
      <c r="E189" s="38" t="s">
        <v>1118</v>
      </c>
      <c r="F189" s="37" t="str">
        <f t="shared" si="13"/>
        <v>2021-07-19_22-33-41</v>
      </c>
      <c r="G189" s="39">
        <v>79754297</v>
      </c>
      <c r="H189" s="40">
        <v>109487130</v>
      </c>
      <c r="I189" s="21" t="str">
        <f>IF(OR(COUNTIF(Monitoring!C:C, F189) &gt; 0, COUNTIF(Monitoring!F:F, F189) &gt; 0), "yes", "no")</f>
        <v>no</v>
      </c>
      <c r="J189" s="72" t="str">
        <f t="shared" si="14"/>
        <v>Z:\FAIR_Device_data\Experiment_JulAug_2021\Video_captures\2021-07-19\2021-07-19_22-33-41.mp4</v>
      </c>
    </row>
    <row r="190" spans="1:10" x14ac:dyDescent="0.3">
      <c r="A190" s="1">
        <f t="shared" si="15"/>
        <v>44396</v>
      </c>
      <c r="B190" s="36">
        <f t="shared" si="16"/>
        <v>0.94572916666666662</v>
      </c>
      <c r="C190" s="36">
        <f t="shared" si="17"/>
        <v>44396.945729166669</v>
      </c>
      <c r="D190" s="71" t="str">
        <f t="shared" si="18"/>
        <v>2021-07-19</v>
      </c>
      <c r="E190" s="38" t="s">
        <v>1119</v>
      </c>
      <c r="F190" s="37" t="str">
        <f t="shared" si="13"/>
        <v>2021-07-19_22-41-51</v>
      </c>
      <c r="G190" s="39">
        <v>41305625</v>
      </c>
      <c r="H190" s="40">
        <v>55351448</v>
      </c>
      <c r="I190" s="21" t="str">
        <f>IF(OR(COUNTIF(Monitoring!C:C, F190) &gt; 0, COUNTIF(Monitoring!F:F, F190) &gt; 0), "yes", "no")</f>
        <v>yes</v>
      </c>
      <c r="J190" s="72" t="str">
        <f t="shared" si="14"/>
        <v>Z:\FAIR_Device_data\Experiment_JulAug_2021\Video_captures\2021-07-19\2021-07-19_22-41-51.mp4</v>
      </c>
    </row>
    <row r="191" spans="1:10" x14ac:dyDescent="0.3">
      <c r="A191" s="1">
        <f t="shared" si="15"/>
        <v>44396</v>
      </c>
      <c r="B191" s="36">
        <f t="shared" si="16"/>
        <v>0.95672453703703708</v>
      </c>
      <c r="C191" s="36">
        <f t="shared" si="17"/>
        <v>44396.956724537034</v>
      </c>
      <c r="D191" s="71" t="str">
        <f t="shared" si="18"/>
        <v>2021-07-19</v>
      </c>
      <c r="E191" s="38" t="s">
        <v>1120</v>
      </c>
      <c r="F191" s="37" t="str">
        <f t="shared" si="13"/>
        <v>2021-07-19_22-57-41</v>
      </c>
      <c r="G191" s="39">
        <v>15381641</v>
      </c>
      <c r="H191" s="40">
        <v>19731544</v>
      </c>
      <c r="I191" s="21" t="str">
        <f>IF(OR(COUNTIF(Monitoring!C:C, F191) &gt; 0, COUNTIF(Monitoring!F:F, F191) &gt; 0), "yes", "no")</f>
        <v>yes</v>
      </c>
      <c r="J191" s="72" t="str">
        <f t="shared" si="14"/>
        <v>Z:\FAIR_Device_data\Experiment_JulAug_2021\Video_captures\2021-07-19\2021-07-19_22-57-41.mp4</v>
      </c>
    </row>
    <row r="192" spans="1:10" x14ac:dyDescent="0.3">
      <c r="A192" s="1">
        <f t="shared" si="15"/>
        <v>44397</v>
      </c>
      <c r="B192" s="36">
        <f t="shared" si="16"/>
        <v>0.17094907407407409</v>
      </c>
      <c r="C192" s="36">
        <f t="shared" si="17"/>
        <v>44397.170949074076</v>
      </c>
      <c r="D192" s="71" t="str">
        <f t="shared" si="18"/>
        <v>2021-07-20</v>
      </c>
      <c r="E192" s="38" t="s">
        <v>1121</v>
      </c>
      <c r="F192" s="37" t="str">
        <f t="shared" si="13"/>
        <v>2021-07-20_04-06-10</v>
      </c>
      <c r="G192" s="39">
        <v>10640469</v>
      </c>
      <c r="H192" s="40">
        <v>12045246</v>
      </c>
      <c r="I192" s="21" t="str">
        <f>IF(OR(COUNTIF(Monitoring!C:C, F192) &gt; 0, COUNTIF(Monitoring!F:F, F192) &gt; 0), "yes", "no")</f>
        <v>yes</v>
      </c>
      <c r="J192" s="72" t="str">
        <f t="shared" si="14"/>
        <v>Z:\FAIR_Device_data\Experiment_JulAug_2021\Video_captures\2021-07-20\2021-07-20_04-06-10.mp4</v>
      </c>
    </row>
    <row r="193" spans="1:10" x14ac:dyDescent="0.3">
      <c r="A193" s="1">
        <f t="shared" si="15"/>
        <v>44397</v>
      </c>
      <c r="B193" s="36">
        <f t="shared" si="16"/>
        <v>0.53861111111111115</v>
      </c>
      <c r="C193" s="36">
        <f t="shared" si="17"/>
        <v>44397.538611111115</v>
      </c>
      <c r="D193" s="71" t="str">
        <f t="shared" si="18"/>
        <v>2021-07-20</v>
      </c>
      <c r="E193" s="38" t="s">
        <v>1122</v>
      </c>
      <c r="F193" s="37" t="str">
        <f t="shared" si="13"/>
        <v>2021-07-20_12-55-36</v>
      </c>
      <c r="G193" s="39">
        <v>27404297</v>
      </c>
      <c r="H193" s="40">
        <v>34700630</v>
      </c>
      <c r="I193" s="21" t="str">
        <f>IF(OR(COUNTIF(Monitoring!C:C, F193) &gt; 0, COUNTIF(Monitoring!F:F, F193) &gt; 0), "yes", "no")</f>
        <v>yes</v>
      </c>
      <c r="J193" s="72" t="str">
        <f t="shared" si="14"/>
        <v>Z:\FAIR_Device_data\Experiment_JulAug_2021\Video_captures\2021-07-20\2021-07-20_12-55-36.mp4</v>
      </c>
    </row>
    <row r="194" spans="1:10" x14ac:dyDescent="0.3">
      <c r="A194" s="1">
        <f t="shared" si="15"/>
        <v>44397</v>
      </c>
      <c r="B194" s="36">
        <f t="shared" si="16"/>
        <v>0.56131944444444448</v>
      </c>
      <c r="C194" s="36">
        <f t="shared" si="17"/>
        <v>44397.561319444445</v>
      </c>
      <c r="D194" s="71" t="str">
        <f t="shared" si="18"/>
        <v>2021-07-20</v>
      </c>
      <c r="E194" s="38" t="s">
        <v>1123</v>
      </c>
      <c r="F194" s="37" t="str">
        <f t="shared" ref="F194:F257" si="19">+LEFT(E194,19)</f>
        <v>2021-07-20_13-28-18</v>
      </c>
      <c r="G194" s="39">
        <v>9597070</v>
      </c>
      <c r="H194" s="40">
        <v>9865359</v>
      </c>
      <c r="I194" s="21" t="str">
        <f>IF(OR(COUNTIF(Monitoring!C:C, F194) &gt; 0, COUNTIF(Monitoring!F:F, F194) &gt; 0), "yes", "no")</f>
        <v>yes</v>
      </c>
      <c r="J194" s="72" t="str">
        <f t="shared" ref="J194:J257" si="20">HYPERLINK(_xlfn.CONCAT("Z:\FAIR_Device_data\Experiment_JulAug_2021","\","Video_captures","\",D194,"\",E194))</f>
        <v>Z:\FAIR_Device_data\Experiment_JulAug_2021\Video_captures\2021-07-20\2021-07-20_13-28-18.mp4</v>
      </c>
    </row>
    <row r="195" spans="1:10" x14ac:dyDescent="0.3">
      <c r="A195" s="1">
        <f t="shared" ref="A195:A258" si="21">VALUE(MID(F195,1,10))</f>
        <v>44397</v>
      </c>
      <c r="B195" s="36">
        <f t="shared" ref="B195:B258" si="22">IF(ISBLANK(F195),"",TIME(LEFT(RIGHT(F195,8),2),LEFT(RIGHT(F195,5),2),RIGHT(F195,2)))</f>
        <v>0.58402777777777781</v>
      </c>
      <c r="C195" s="36">
        <f t="shared" ref="C195:C258" si="23">+A195+B195</f>
        <v>44397.584027777775</v>
      </c>
      <c r="D195" s="71" t="str">
        <f t="shared" ref="D195:D258" si="24">+_xlfn.CONCAT(YEAR(A195),"-",TEXT(MONTH(A195),"00"),"-",TEXT(DAY(A195),"00"))</f>
        <v>2021-07-20</v>
      </c>
      <c r="E195" s="38" t="s">
        <v>1124</v>
      </c>
      <c r="F195" s="37" t="str">
        <f t="shared" si="19"/>
        <v>2021-07-20_14-01-00</v>
      </c>
      <c r="G195" s="39">
        <v>13685412</v>
      </c>
      <c r="H195" s="40">
        <v>9602442</v>
      </c>
      <c r="I195" s="21" t="str">
        <f>IF(OR(COUNTIF(Monitoring!C:C, F195) &gt; 0, COUNTIF(Monitoring!F:F, F195) &gt; 0), "yes", "no")</f>
        <v>yes</v>
      </c>
      <c r="J195" s="72" t="str">
        <f t="shared" si="20"/>
        <v>Z:\FAIR_Device_data\Experiment_JulAug_2021\Video_captures\2021-07-20\2021-07-20_14-01-00.mp4</v>
      </c>
    </row>
    <row r="196" spans="1:10" x14ac:dyDescent="0.3">
      <c r="A196" s="1">
        <f t="shared" si="21"/>
        <v>44397</v>
      </c>
      <c r="B196" s="36">
        <f t="shared" si="22"/>
        <v>0.62641203703703707</v>
      </c>
      <c r="C196" s="36">
        <f t="shared" si="23"/>
        <v>44397.62641203704</v>
      </c>
      <c r="D196" s="71" t="str">
        <f t="shared" si="24"/>
        <v>2021-07-20</v>
      </c>
      <c r="E196" s="38" t="s">
        <v>1125</v>
      </c>
      <c r="F196" s="37" t="str">
        <f t="shared" si="19"/>
        <v>2021-07-20_15-02-02</v>
      </c>
      <c r="G196" s="39">
        <v>10971549</v>
      </c>
      <c r="H196" s="40">
        <v>11817078</v>
      </c>
      <c r="I196" s="21" t="str">
        <f>IF(OR(COUNTIF(Monitoring!C:C, F196) &gt; 0, COUNTIF(Monitoring!F:F, F196) &gt; 0), "yes", "no")</f>
        <v>yes</v>
      </c>
      <c r="J196" s="72" t="str">
        <f t="shared" si="20"/>
        <v>Z:\FAIR_Device_data\Experiment_JulAug_2021\Video_captures\2021-07-20\2021-07-20_15-02-02.mp4</v>
      </c>
    </row>
    <row r="197" spans="1:10" x14ac:dyDescent="0.3">
      <c r="A197" s="1">
        <f t="shared" si="21"/>
        <v>44397</v>
      </c>
      <c r="B197" s="36">
        <f t="shared" si="22"/>
        <v>0.6799884259259259</v>
      </c>
      <c r="C197" s="36">
        <f t="shared" si="23"/>
        <v>44397.679988425924</v>
      </c>
      <c r="D197" s="71" t="str">
        <f t="shared" si="24"/>
        <v>2021-07-20</v>
      </c>
      <c r="E197" s="38" t="s">
        <v>1126</v>
      </c>
      <c r="F197" s="37" t="str">
        <f t="shared" si="19"/>
        <v>2021-07-20_16-19-11</v>
      </c>
      <c r="G197" s="39">
        <v>12730334</v>
      </c>
      <c r="H197" s="40">
        <v>9476623</v>
      </c>
      <c r="I197" s="21" t="str">
        <f>IF(OR(COUNTIF(Monitoring!C:C, F197) &gt; 0, COUNTIF(Monitoring!F:F, F197) &gt; 0), "yes", "no")</f>
        <v>yes</v>
      </c>
      <c r="J197" s="72" t="str">
        <f t="shared" si="20"/>
        <v>Z:\FAIR_Device_data\Experiment_JulAug_2021\Video_captures\2021-07-20\2021-07-20_16-19-11.mp4</v>
      </c>
    </row>
    <row r="198" spans="1:10" x14ac:dyDescent="0.3">
      <c r="A198" s="1">
        <f t="shared" si="21"/>
        <v>44397</v>
      </c>
      <c r="B198" s="36">
        <f t="shared" si="22"/>
        <v>0.68364583333333329</v>
      </c>
      <c r="C198" s="36">
        <f t="shared" si="23"/>
        <v>44397.683645833335</v>
      </c>
      <c r="D198" s="71" t="str">
        <f t="shared" si="24"/>
        <v>2021-07-20</v>
      </c>
      <c r="E198" s="38" t="s">
        <v>1127</v>
      </c>
      <c r="F198" s="37" t="str">
        <f t="shared" si="19"/>
        <v>2021-07-20_16-24-27</v>
      </c>
      <c r="G198" s="39">
        <v>16613477</v>
      </c>
      <c r="H198" s="40">
        <v>19867406</v>
      </c>
      <c r="I198" s="21" t="str">
        <f>IF(OR(COUNTIF(Monitoring!C:C, F198) &gt; 0, COUNTIF(Monitoring!F:F, F198) &gt; 0), "yes", "no")</f>
        <v>yes</v>
      </c>
      <c r="J198" s="72" t="str">
        <f t="shared" si="20"/>
        <v>Z:\FAIR_Device_data\Experiment_JulAug_2021\Video_captures\2021-07-20\2021-07-20_16-24-27.mp4</v>
      </c>
    </row>
    <row r="199" spans="1:10" x14ac:dyDescent="0.3">
      <c r="A199" s="1">
        <f t="shared" si="21"/>
        <v>44397</v>
      </c>
      <c r="B199" s="36">
        <f t="shared" si="22"/>
        <v>0.68414351851851851</v>
      </c>
      <c r="C199" s="36">
        <f t="shared" si="23"/>
        <v>44397.68414351852</v>
      </c>
      <c r="D199" s="71" t="str">
        <f t="shared" si="24"/>
        <v>2021-07-20</v>
      </c>
      <c r="E199" s="38" t="s">
        <v>1128</v>
      </c>
      <c r="F199" s="37" t="str">
        <f t="shared" si="19"/>
        <v>2021-07-20_16-25-10</v>
      </c>
      <c r="G199" s="39">
        <v>29319857</v>
      </c>
      <c r="H199" s="40">
        <v>28413367</v>
      </c>
      <c r="I199" s="21" t="str">
        <f>IF(OR(COUNTIF(Monitoring!C:C, F199) &gt; 0, COUNTIF(Monitoring!F:F, F199) &gt; 0), "yes", "no")</f>
        <v>yes</v>
      </c>
      <c r="J199" s="72" t="str">
        <f t="shared" si="20"/>
        <v>Z:\FAIR_Device_data\Experiment_JulAug_2021\Video_captures\2021-07-20\2021-07-20_16-25-10.mp4</v>
      </c>
    </row>
    <row r="200" spans="1:10" x14ac:dyDescent="0.3">
      <c r="A200" s="1">
        <f t="shared" si="21"/>
        <v>44398</v>
      </c>
      <c r="B200" s="36">
        <f t="shared" si="22"/>
        <v>0.8104513888888889</v>
      </c>
      <c r="C200" s="36">
        <f t="shared" si="23"/>
        <v>44398.81045138889</v>
      </c>
      <c r="D200" s="71" t="str">
        <f t="shared" si="24"/>
        <v>2021-07-21</v>
      </c>
      <c r="E200" s="38" t="s">
        <v>1129</v>
      </c>
      <c r="F200" s="37" t="str">
        <f t="shared" si="19"/>
        <v>2021-07-21_19-27-03</v>
      </c>
      <c r="G200" s="39">
        <v>9537956</v>
      </c>
      <c r="H200" s="40">
        <v>10324787</v>
      </c>
      <c r="I200" s="21" t="str">
        <f>IF(OR(COUNTIF(Monitoring!C:C, F200) &gt; 0, COUNTIF(Monitoring!F:F, F200) &gt; 0), "yes", "no")</f>
        <v>yes</v>
      </c>
      <c r="J200" s="72" t="str">
        <f t="shared" si="20"/>
        <v>Z:\FAIR_Device_data\Experiment_JulAug_2021\Video_captures\2021-07-21\2021-07-21_19-27-03.mp4</v>
      </c>
    </row>
    <row r="201" spans="1:10" x14ac:dyDescent="0.3">
      <c r="A201" s="1">
        <f t="shared" si="21"/>
        <v>44398</v>
      </c>
      <c r="B201" s="36">
        <f t="shared" si="22"/>
        <v>0.8205324074074074</v>
      </c>
      <c r="C201" s="36">
        <f t="shared" si="23"/>
        <v>44398.820532407408</v>
      </c>
      <c r="D201" s="71" t="str">
        <f t="shared" si="24"/>
        <v>2021-07-21</v>
      </c>
      <c r="E201" s="38" t="s">
        <v>1130</v>
      </c>
      <c r="F201" s="37" t="str">
        <f t="shared" si="19"/>
        <v>2021-07-21_19-41-34</v>
      </c>
      <c r="G201" s="39">
        <v>74822982</v>
      </c>
      <c r="H201" s="40">
        <v>106425060</v>
      </c>
      <c r="I201" s="21" t="str">
        <f>IF(OR(COUNTIF(Monitoring!C:C, F201) &gt; 0, COUNTIF(Monitoring!F:F, F201) &gt; 0), "yes", "no")</f>
        <v>yes</v>
      </c>
      <c r="J201" s="72" t="str">
        <f t="shared" si="20"/>
        <v>Z:\FAIR_Device_data\Experiment_JulAug_2021\Video_captures\2021-07-21\2021-07-21_19-41-34.mp4</v>
      </c>
    </row>
    <row r="202" spans="1:10" x14ac:dyDescent="0.3">
      <c r="A202" s="1">
        <f t="shared" si="21"/>
        <v>44398</v>
      </c>
      <c r="B202" s="36">
        <f t="shared" si="22"/>
        <v>0.82769675925925923</v>
      </c>
      <c r="C202" s="36">
        <f t="shared" si="23"/>
        <v>44398.827696759261</v>
      </c>
      <c r="D202" s="71" t="str">
        <f t="shared" si="24"/>
        <v>2021-07-21</v>
      </c>
      <c r="E202" s="38" t="s">
        <v>1131</v>
      </c>
      <c r="F202" s="37" t="str">
        <f t="shared" si="19"/>
        <v>2021-07-21_19-51-53</v>
      </c>
      <c r="G202" s="39">
        <v>174386133</v>
      </c>
      <c r="H202" s="40">
        <v>253342711</v>
      </c>
      <c r="I202" s="21" t="str">
        <f>IF(OR(COUNTIF(Monitoring!C:C, F202) &gt; 0, COUNTIF(Monitoring!F:F, F202) &gt; 0), "yes", "no")</f>
        <v>yes</v>
      </c>
      <c r="J202" s="72" t="str">
        <f t="shared" si="20"/>
        <v>Z:\FAIR_Device_data\Experiment_JulAug_2021\Video_captures\2021-07-21\2021-07-21_19-51-53.mp4</v>
      </c>
    </row>
    <row r="203" spans="1:10" x14ac:dyDescent="0.3">
      <c r="A203" s="1">
        <f t="shared" si="21"/>
        <v>44398</v>
      </c>
      <c r="B203" s="36">
        <f t="shared" si="22"/>
        <v>0.87228009259259254</v>
      </c>
      <c r="C203" s="36">
        <f t="shared" si="23"/>
        <v>44398.87228009259</v>
      </c>
      <c r="D203" s="71" t="str">
        <f t="shared" si="24"/>
        <v>2021-07-21</v>
      </c>
      <c r="E203" s="38" t="s">
        <v>1132</v>
      </c>
      <c r="F203" s="37" t="str">
        <f t="shared" si="19"/>
        <v>2021-07-21_20-56-05</v>
      </c>
      <c r="G203" s="39">
        <v>26018034</v>
      </c>
      <c r="H203" s="40">
        <v>34536992</v>
      </c>
      <c r="I203" s="21" t="str">
        <f>IF(OR(COUNTIF(Monitoring!C:C, F203) &gt; 0, COUNTIF(Monitoring!F:F, F203) &gt; 0), "yes", "no")</f>
        <v>yes</v>
      </c>
      <c r="J203" s="72" t="str">
        <f t="shared" si="20"/>
        <v>Z:\FAIR_Device_data\Experiment_JulAug_2021\Video_captures\2021-07-21\2021-07-21_20-56-05.mp4</v>
      </c>
    </row>
    <row r="204" spans="1:10" x14ac:dyDescent="0.3">
      <c r="A204" s="1">
        <f t="shared" si="21"/>
        <v>44398</v>
      </c>
      <c r="B204" s="36">
        <f t="shared" si="22"/>
        <v>0.89597222222222217</v>
      </c>
      <c r="C204" s="36">
        <f t="shared" si="23"/>
        <v>44398.895972222221</v>
      </c>
      <c r="D204" s="71" t="str">
        <f t="shared" si="24"/>
        <v>2021-07-21</v>
      </c>
      <c r="E204" s="38" t="s">
        <v>1133</v>
      </c>
      <c r="F204" s="37" t="str">
        <f t="shared" si="19"/>
        <v>2021-07-21_21-30-12</v>
      </c>
      <c r="G204" s="39">
        <v>12566862</v>
      </c>
      <c r="H204" s="40">
        <v>16487266</v>
      </c>
      <c r="I204" s="21" t="str">
        <f>IF(OR(COUNTIF(Monitoring!C:C, F204) &gt; 0, COUNTIF(Monitoring!F:F, F204) &gt; 0), "yes", "no")</f>
        <v>yes</v>
      </c>
      <c r="J204" s="72" t="str">
        <f t="shared" si="20"/>
        <v>Z:\FAIR_Device_data\Experiment_JulAug_2021\Video_captures\2021-07-21\2021-07-21_21-30-12.mp4</v>
      </c>
    </row>
    <row r="205" spans="1:10" x14ac:dyDescent="0.3">
      <c r="A205" s="1">
        <f t="shared" si="21"/>
        <v>44398</v>
      </c>
      <c r="B205" s="36">
        <f t="shared" si="22"/>
        <v>0.89879629629629632</v>
      </c>
      <c r="C205" s="36">
        <f t="shared" si="23"/>
        <v>44398.898796296293</v>
      </c>
      <c r="D205" s="71" t="str">
        <f t="shared" si="24"/>
        <v>2021-07-21</v>
      </c>
      <c r="E205" s="38" t="s">
        <v>1134</v>
      </c>
      <c r="F205" s="37" t="str">
        <f t="shared" si="19"/>
        <v>2021-07-21_21-34-16</v>
      </c>
      <c r="G205" s="39">
        <v>887732422</v>
      </c>
      <c r="H205" s="40">
        <v>1408005527</v>
      </c>
      <c r="I205" s="21" t="str">
        <f>IF(OR(COUNTIF(Monitoring!C:C, F205) &gt; 0, COUNTIF(Monitoring!F:F, F205) &gt; 0), "yes", "no")</f>
        <v>yes</v>
      </c>
      <c r="J205" s="72" t="str">
        <f t="shared" si="20"/>
        <v>Z:\FAIR_Device_data\Experiment_JulAug_2021\Video_captures\2021-07-21\2021-07-21_21-34-16.mp4</v>
      </c>
    </row>
    <row r="206" spans="1:10" x14ac:dyDescent="0.3">
      <c r="A206" s="1">
        <f t="shared" si="21"/>
        <v>44398</v>
      </c>
      <c r="B206" s="36">
        <f t="shared" si="22"/>
        <v>0.93730324074074078</v>
      </c>
      <c r="C206" s="36">
        <f t="shared" si="23"/>
        <v>44398.937303240738</v>
      </c>
      <c r="D206" s="71" t="str">
        <f t="shared" si="24"/>
        <v>2021-07-21</v>
      </c>
      <c r="E206" s="38" t="s">
        <v>1135</v>
      </c>
      <c r="F206" s="37" t="str">
        <f t="shared" si="19"/>
        <v>2021-07-21_22-29-43</v>
      </c>
      <c r="G206" s="39">
        <v>21687956</v>
      </c>
      <c r="H206" s="40">
        <v>27024851</v>
      </c>
      <c r="I206" s="21" t="str">
        <f>IF(OR(COUNTIF(Monitoring!C:C, F206) &gt; 0, COUNTIF(Monitoring!F:F, F206) &gt; 0), "yes", "no")</f>
        <v>no</v>
      </c>
      <c r="J206" s="72" t="str">
        <f t="shared" si="20"/>
        <v>Z:\FAIR_Device_data\Experiment_JulAug_2021\Video_captures\2021-07-21\2021-07-21_22-29-43.mp4</v>
      </c>
    </row>
    <row r="207" spans="1:10" x14ac:dyDescent="0.3">
      <c r="A207" s="1">
        <f t="shared" si="21"/>
        <v>44398</v>
      </c>
      <c r="B207" s="36">
        <f t="shared" si="22"/>
        <v>0.99164351851851851</v>
      </c>
      <c r="C207" s="36">
        <f t="shared" si="23"/>
        <v>44398.991643518515</v>
      </c>
      <c r="D207" s="71" t="str">
        <f t="shared" si="24"/>
        <v>2021-07-21</v>
      </c>
      <c r="E207" s="38" t="s">
        <v>1136</v>
      </c>
      <c r="F207" s="37" t="str">
        <f t="shared" si="19"/>
        <v>2021-07-21_23-47-58</v>
      </c>
      <c r="G207" s="39">
        <v>67936719</v>
      </c>
      <c r="H207" s="40">
        <v>100080875</v>
      </c>
      <c r="I207" s="21" t="str">
        <f>IF(OR(COUNTIF(Monitoring!C:C, F207) &gt; 0, COUNTIF(Monitoring!F:F, F207) &gt; 0), "yes", "no")</f>
        <v>no</v>
      </c>
      <c r="J207" s="72" t="str">
        <f t="shared" si="20"/>
        <v>Z:\FAIR_Device_data\Experiment_JulAug_2021\Video_captures\2021-07-21\2021-07-21_23-47-58.mp4</v>
      </c>
    </row>
    <row r="208" spans="1:10" x14ac:dyDescent="0.3">
      <c r="A208" s="1">
        <f t="shared" si="21"/>
        <v>44399</v>
      </c>
      <c r="B208" s="36">
        <f t="shared" si="22"/>
        <v>0.11320601851851853</v>
      </c>
      <c r="C208" s="36">
        <f t="shared" si="23"/>
        <v>44399.113206018519</v>
      </c>
      <c r="D208" s="71" t="str">
        <f t="shared" si="24"/>
        <v>2021-07-22</v>
      </c>
      <c r="E208" s="38" t="s">
        <v>1137</v>
      </c>
      <c r="F208" s="37" t="str">
        <f t="shared" si="19"/>
        <v>2021-07-22_02-43-01</v>
      </c>
      <c r="G208" s="39">
        <v>9846713</v>
      </c>
      <c r="H208" s="40">
        <v>11538590</v>
      </c>
      <c r="I208" s="21" t="str">
        <f>IF(OR(COUNTIF(Monitoring!C:C, F208) &gt; 0, COUNTIF(Monitoring!F:F, F208) &gt; 0), "yes", "no")</f>
        <v>yes</v>
      </c>
      <c r="J208" s="72" t="str">
        <f t="shared" si="20"/>
        <v>Z:\FAIR_Device_data\Experiment_JulAug_2021\Video_captures\2021-07-22\2021-07-22_02-43-01.mp4</v>
      </c>
    </row>
    <row r="209" spans="1:10" x14ac:dyDescent="0.3">
      <c r="A209" s="1">
        <f t="shared" si="21"/>
        <v>44399</v>
      </c>
      <c r="B209" s="36">
        <f t="shared" si="22"/>
        <v>0.17657407407407408</v>
      </c>
      <c r="C209" s="36">
        <f t="shared" si="23"/>
        <v>44399.176574074074</v>
      </c>
      <c r="D209" s="71" t="str">
        <f t="shared" si="24"/>
        <v>2021-07-22</v>
      </c>
      <c r="E209" s="38" t="s">
        <v>1138</v>
      </c>
      <c r="F209" s="37" t="str">
        <f t="shared" si="19"/>
        <v>2021-07-22_04-14-16</v>
      </c>
      <c r="G209" s="39">
        <v>10589844</v>
      </c>
      <c r="H209" s="40">
        <v>12765908</v>
      </c>
      <c r="I209" s="21" t="str">
        <f>IF(OR(COUNTIF(Monitoring!C:C, F209) &gt; 0, COUNTIF(Monitoring!F:F, F209) &gt; 0), "yes", "no")</f>
        <v>yes</v>
      </c>
      <c r="J209" s="72" t="str">
        <f t="shared" si="20"/>
        <v>Z:\FAIR_Device_data\Experiment_JulAug_2021\Video_captures\2021-07-22\2021-07-22_04-14-16.mp4</v>
      </c>
    </row>
    <row r="210" spans="1:10" x14ac:dyDescent="0.3">
      <c r="A210" s="1">
        <f t="shared" si="21"/>
        <v>44399</v>
      </c>
      <c r="B210" s="36">
        <f t="shared" si="22"/>
        <v>0.21439814814814814</v>
      </c>
      <c r="C210" s="36">
        <f t="shared" si="23"/>
        <v>44399.214398148149</v>
      </c>
      <c r="D210" s="71" t="str">
        <f t="shared" si="24"/>
        <v>2021-07-22</v>
      </c>
      <c r="E210" s="38" t="s">
        <v>1139</v>
      </c>
      <c r="F210" s="37" t="str">
        <f t="shared" si="19"/>
        <v>2021-07-22_05-08-44</v>
      </c>
      <c r="G210" s="39">
        <v>11492726</v>
      </c>
      <c r="H210" s="40">
        <v>14285128</v>
      </c>
      <c r="I210" s="21" t="str">
        <f>IF(OR(COUNTIF(Monitoring!C:C, F210) &gt; 0, COUNTIF(Monitoring!F:F, F210) &gt; 0), "yes", "no")</f>
        <v>yes</v>
      </c>
      <c r="J210" s="72" t="str">
        <f t="shared" si="20"/>
        <v>Z:\FAIR_Device_data\Experiment_JulAug_2021\Video_captures\2021-07-22\2021-07-22_05-08-44.mp4</v>
      </c>
    </row>
    <row r="211" spans="1:10" x14ac:dyDescent="0.3">
      <c r="A211" s="1">
        <f t="shared" si="21"/>
        <v>44399</v>
      </c>
      <c r="B211" s="36">
        <f t="shared" si="22"/>
        <v>0.21615740740740741</v>
      </c>
      <c r="C211" s="36">
        <f t="shared" si="23"/>
        <v>44399.216157407405</v>
      </c>
      <c r="D211" s="71" t="str">
        <f t="shared" si="24"/>
        <v>2021-07-22</v>
      </c>
      <c r="E211" s="38" t="s">
        <v>1140</v>
      </c>
      <c r="F211" s="37" t="str">
        <f t="shared" si="19"/>
        <v>2021-07-22_05-11-16</v>
      </c>
      <c r="G211" s="39">
        <v>11920508</v>
      </c>
      <c r="H211" s="40">
        <v>14889575</v>
      </c>
      <c r="I211" s="21" t="str">
        <f>IF(OR(COUNTIF(Monitoring!C:C, F211) &gt; 0, COUNTIF(Monitoring!F:F, F211) &gt; 0), "yes", "no")</f>
        <v>yes</v>
      </c>
      <c r="J211" s="72" t="str">
        <f t="shared" si="20"/>
        <v>Z:\FAIR_Device_data\Experiment_JulAug_2021\Video_captures\2021-07-22\2021-07-22_05-11-16.mp4</v>
      </c>
    </row>
    <row r="212" spans="1:10" x14ac:dyDescent="0.3">
      <c r="A212" s="1">
        <f t="shared" si="21"/>
        <v>44399</v>
      </c>
      <c r="B212" s="36">
        <f t="shared" si="22"/>
        <v>0.46370370370370373</v>
      </c>
      <c r="C212" s="36">
        <f t="shared" si="23"/>
        <v>44399.463703703703</v>
      </c>
      <c r="D212" s="71" t="str">
        <f t="shared" si="24"/>
        <v>2021-07-22</v>
      </c>
      <c r="E212" s="38" t="s">
        <v>1141</v>
      </c>
      <c r="F212" s="37" t="str">
        <f t="shared" si="19"/>
        <v>2021-07-22_11-07-44</v>
      </c>
      <c r="G212" s="39">
        <v>292708984</v>
      </c>
      <c r="H212" s="40">
        <v>414611649</v>
      </c>
      <c r="I212" s="21" t="str">
        <f>IF(OR(COUNTIF(Monitoring!C:C, F212) &gt; 0, COUNTIF(Monitoring!F:F, F212) &gt; 0), "yes", "no")</f>
        <v>yes</v>
      </c>
      <c r="J212" s="72" t="str">
        <f t="shared" si="20"/>
        <v>Z:\FAIR_Device_data\Experiment_JulAug_2021\Video_captures\2021-07-22\2021-07-22_11-07-44.mp4</v>
      </c>
    </row>
    <row r="213" spans="1:10" x14ac:dyDescent="0.3">
      <c r="A213" s="1">
        <f t="shared" si="21"/>
        <v>44399</v>
      </c>
      <c r="B213" s="36">
        <f t="shared" si="22"/>
        <v>0.60879629629629628</v>
      </c>
      <c r="C213" s="36">
        <f t="shared" si="23"/>
        <v>44399.608796296299</v>
      </c>
      <c r="D213" s="71" t="str">
        <f t="shared" si="24"/>
        <v>2021-07-22</v>
      </c>
      <c r="E213" s="38" t="s">
        <v>1142</v>
      </c>
      <c r="F213" s="37" t="str">
        <f t="shared" si="19"/>
        <v>2021-07-22_14-36-40</v>
      </c>
      <c r="G213" s="39">
        <v>9532747</v>
      </c>
      <c r="H213" s="40">
        <v>9878409</v>
      </c>
      <c r="I213" s="21" t="str">
        <f>IF(OR(COUNTIF(Monitoring!C:C, F213) &gt; 0, COUNTIF(Monitoring!F:F, F213) &gt; 0), "yes", "no")</f>
        <v>yes</v>
      </c>
      <c r="J213" s="72" t="str">
        <f t="shared" si="20"/>
        <v>Z:\FAIR_Device_data\Experiment_JulAug_2021\Video_captures\2021-07-22\2021-07-22_14-36-40.mp4</v>
      </c>
    </row>
    <row r="214" spans="1:10" x14ac:dyDescent="0.3">
      <c r="A214" s="1">
        <f t="shared" si="21"/>
        <v>44399</v>
      </c>
      <c r="B214" s="36">
        <f t="shared" si="22"/>
        <v>0.62829861111111107</v>
      </c>
      <c r="C214" s="36">
        <f t="shared" si="23"/>
        <v>44399.628298611111</v>
      </c>
      <c r="D214" s="71" t="str">
        <f t="shared" si="24"/>
        <v>2021-07-22</v>
      </c>
      <c r="E214" s="38" t="s">
        <v>1143</v>
      </c>
      <c r="F214" s="37" t="str">
        <f t="shared" si="19"/>
        <v>2021-07-22_15-04-45</v>
      </c>
      <c r="G214" s="39">
        <v>16357422</v>
      </c>
      <c r="H214" s="40">
        <v>20306173</v>
      </c>
      <c r="I214" s="21" t="str">
        <f>IF(OR(COUNTIF(Monitoring!C:C, F214) &gt; 0, COUNTIF(Monitoring!F:F, F214) &gt; 0), "yes", "no")</f>
        <v>yes</v>
      </c>
      <c r="J214" s="72" t="str">
        <f t="shared" si="20"/>
        <v>Z:\FAIR_Device_data\Experiment_JulAug_2021\Video_captures\2021-07-22\2021-07-22_15-04-45.mp4</v>
      </c>
    </row>
    <row r="215" spans="1:10" x14ac:dyDescent="0.3">
      <c r="A215" s="1">
        <f t="shared" si="21"/>
        <v>44399</v>
      </c>
      <c r="B215" s="36">
        <f t="shared" si="22"/>
        <v>0.65817129629629634</v>
      </c>
      <c r="C215" s="36">
        <f t="shared" si="23"/>
        <v>44399.658171296294</v>
      </c>
      <c r="D215" s="71" t="str">
        <f t="shared" si="24"/>
        <v>2021-07-22</v>
      </c>
      <c r="E215" s="38" t="s">
        <v>1144</v>
      </c>
      <c r="F215" s="37" t="str">
        <f t="shared" si="19"/>
        <v>2021-07-22_15-47-46</v>
      </c>
      <c r="G215" s="39">
        <v>56806185</v>
      </c>
      <c r="H215" s="40">
        <v>72719656</v>
      </c>
      <c r="I215" s="21" t="str">
        <f>IF(OR(COUNTIF(Monitoring!C:C, F215) &gt; 0, COUNTIF(Monitoring!F:F, F215) &gt; 0), "yes", "no")</f>
        <v>yes</v>
      </c>
      <c r="J215" s="72" t="str">
        <f t="shared" si="20"/>
        <v>Z:\FAIR_Device_data\Experiment_JulAug_2021\Video_captures\2021-07-22\2021-07-22_15-47-46.mp4</v>
      </c>
    </row>
    <row r="216" spans="1:10" x14ac:dyDescent="0.3">
      <c r="A216" s="1">
        <f t="shared" si="21"/>
        <v>44399</v>
      </c>
      <c r="B216" s="36">
        <f t="shared" si="22"/>
        <v>0.72464120370370366</v>
      </c>
      <c r="C216" s="36">
        <f t="shared" si="23"/>
        <v>44399.724641203706</v>
      </c>
      <c r="D216" s="71" t="str">
        <f t="shared" si="24"/>
        <v>2021-07-22</v>
      </c>
      <c r="E216" s="38" t="s">
        <v>1145</v>
      </c>
      <c r="F216" s="37" t="str">
        <f t="shared" si="19"/>
        <v>2021-07-22_17-23-29</v>
      </c>
      <c r="G216" s="39">
        <v>26039467</v>
      </c>
      <c r="H216" s="40">
        <v>31284334</v>
      </c>
      <c r="I216" s="21" t="str">
        <f>IF(OR(COUNTIF(Monitoring!C:C, F216) &gt; 0, COUNTIF(Monitoring!F:F, F216) &gt; 0), "yes", "no")</f>
        <v>yes</v>
      </c>
      <c r="J216" s="72" t="str">
        <f t="shared" si="20"/>
        <v>Z:\FAIR_Device_data\Experiment_JulAug_2021\Video_captures\2021-07-22\2021-07-22_17-23-29.mp4</v>
      </c>
    </row>
    <row r="217" spans="1:10" x14ac:dyDescent="0.3">
      <c r="A217" s="1">
        <f t="shared" si="21"/>
        <v>44399</v>
      </c>
      <c r="B217" s="36">
        <f t="shared" si="22"/>
        <v>0.7707060185185185</v>
      </c>
      <c r="C217" s="36">
        <f t="shared" si="23"/>
        <v>44399.77070601852</v>
      </c>
      <c r="D217" s="71" t="str">
        <f t="shared" si="24"/>
        <v>2021-07-22</v>
      </c>
      <c r="E217" s="38" t="s">
        <v>1146</v>
      </c>
      <c r="F217" s="37" t="str">
        <f t="shared" si="19"/>
        <v>2021-07-22_18-29-49</v>
      </c>
      <c r="G217" s="39">
        <v>9654362</v>
      </c>
      <c r="H217" s="40">
        <v>9985146</v>
      </c>
      <c r="I217" s="21" t="str">
        <f>IF(OR(COUNTIF(Monitoring!C:C, F217) &gt; 0, COUNTIF(Monitoring!F:F, F217) &gt; 0), "yes", "no")</f>
        <v>yes</v>
      </c>
      <c r="J217" s="72" t="str">
        <f t="shared" si="20"/>
        <v>Z:\FAIR_Device_data\Experiment_JulAug_2021\Video_captures\2021-07-22\2021-07-22_18-29-49.mp4</v>
      </c>
    </row>
    <row r="218" spans="1:10" x14ac:dyDescent="0.3">
      <c r="A218" s="1">
        <f t="shared" si="21"/>
        <v>44399</v>
      </c>
      <c r="B218" s="36">
        <f t="shared" si="22"/>
        <v>0.90413194444444445</v>
      </c>
      <c r="C218" s="36">
        <f t="shared" si="23"/>
        <v>44399.904131944444</v>
      </c>
      <c r="D218" s="71" t="str">
        <f t="shared" si="24"/>
        <v>2021-07-22</v>
      </c>
      <c r="E218" s="38" t="s">
        <v>1147</v>
      </c>
      <c r="F218" s="37" t="str">
        <f t="shared" si="19"/>
        <v>2021-07-22_21-41-57</v>
      </c>
      <c r="G218" s="39">
        <v>9611003</v>
      </c>
      <c r="H218" s="40">
        <v>11434114</v>
      </c>
      <c r="I218" s="21" t="str">
        <f>IF(OR(COUNTIF(Monitoring!C:C, F218) &gt; 0, COUNTIF(Monitoring!F:F, F218) &gt; 0), "yes", "no")</f>
        <v>no</v>
      </c>
      <c r="J218" s="72" t="str">
        <f t="shared" si="20"/>
        <v>Z:\FAIR_Device_data\Experiment_JulAug_2021\Video_captures\2021-07-22\2021-07-22_21-41-57.mp4</v>
      </c>
    </row>
    <row r="219" spans="1:10" x14ac:dyDescent="0.3">
      <c r="A219" s="1">
        <f t="shared" si="21"/>
        <v>44399</v>
      </c>
      <c r="B219" s="36">
        <f t="shared" si="22"/>
        <v>0.9130787037037037</v>
      </c>
      <c r="C219" s="36">
        <f t="shared" si="23"/>
        <v>44399.913078703707</v>
      </c>
      <c r="D219" s="71" t="str">
        <f t="shared" si="24"/>
        <v>2021-07-22</v>
      </c>
      <c r="E219" s="38" t="s">
        <v>1148</v>
      </c>
      <c r="F219" s="37" t="str">
        <f t="shared" si="19"/>
        <v>2021-07-22_21-54-50</v>
      </c>
      <c r="G219" s="39">
        <v>39693555</v>
      </c>
      <c r="H219" s="40">
        <v>59439403</v>
      </c>
      <c r="I219" s="21" t="str">
        <f>IF(OR(COUNTIF(Monitoring!C:C, F219) &gt; 0, COUNTIF(Monitoring!F:F, F219) &gt; 0), "yes", "no")</f>
        <v>no</v>
      </c>
      <c r="J219" s="72" t="str">
        <f t="shared" si="20"/>
        <v>Z:\FAIR_Device_data\Experiment_JulAug_2021\Video_captures\2021-07-22\2021-07-22_21-54-50.mp4</v>
      </c>
    </row>
    <row r="220" spans="1:10" x14ac:dyDescent="0.3">
      <c r="A220" s="1">
        <f t="shared" si="21"/>
        <v>44399</v>
      </c>
      <c r="B220" s="36">
        <f t="shared" si="22"/>
        <v>0.91418981481481476</v>
      </c>
      <c r="C220" s="36">
        <f t="shared" si="23"/>
        <v>44399.914189814815</v>
      </c>
      <c r="D220" s="71" t="str">
        <f t="shared" si="24"/>
        <v>2021-07-22</v>
      </c>
      <c r="E220" s="38" t="s">
        <v>1149</v>
      </c>
      <c r="F220" s="37" t="str">
        <f t="shared" si="19"/>
        <v>2021-07-22_21-56-26</v>
      </c>
      <c r="G220" s="39">
        <v>15984115</v>
      </c>
      <c r="H220" s="40">
        <v>22007941</v>
      </c>
      <c r="I220" s="21" t="str">
        <f>IF(OR(COUNTIF(Monitoring!C:C, F220) &gt; 0, COUNTIF(Monitoring!F:F, F220) &gt; 0), "yes", "no")</f>
        <v>no</v>
      </c>
      <c r="J220" s="72" t="str">
        <f t="shared" si="20"/>
        <v>Z:\FAIR_Device_data\Experiment_JulAug_2021\Video_captures\2021-07-22\2021-07-22_21-56-26.mp4</v>
      </c>
    </row>
    <row r="221" spans="1:10" x14ac:dyDescent="0.3">
      <c r="A221" s="1">
        <f t="shared" si="21"/>
        <v>44399</v>
      </c>
      <c r="B221" s="36">
        <f t="shared" si="22"/>
        <v>0.95688657407407407</v>
      </c>
      <c r="C221" s="36">
        <f t="shared" si="23"/>
        <v>44399.956886574073</v>
      </c>
      <c r="D221" s="71" t="str">
        <f t="shared" si="24"/>
        <v>2021-07-22</v>
      </c>
      <c r="E221" s="38" t="s">
        <v>1150</v>
      </c>
      <c r="F221" s="37" t="str">
        <f t="shared" si="19"/>
        <v>2021-07-22_22-57-55</v>
      </c>
      <c r="G221" s="39">
        <v>15015820</v>
      </c>
      <c r="H221" s="40">
        <v>20412046</v>
      </c>
      <c r="I221" s="21" t="str">
        <f>IF(OR(COUNTIF(Monitoring!C:C, F221) &gt; 0, COUNTIF(Monitoring!F:F, F221) &gt; 0), "yes", "no")</f>
        <v>no</v>
      </c>
      <c r="J221" s="72" t="str">
        <f t="shared" si="20"/>
        <v>Z:\FAIR_Device_data\Experiment_JulAug_2021\Video_captures\2021-07-22\2021-07-22_22-57-55.mp4</v>
      </c>
    </row>
    <row r="222" spans="1:10" x14ac:dyDescent="0.3">
      <c r="A222" s="1">
        <f t="shared" si="21"/>
        <v>44399</v>
      </c>
      <c r="B222" s="36">
        <f t="shared" si="22"/>
        <v>0.95873842592592595</v>
      </c>
      <c r="C222" s="36">
        <f t="shared" si="23"/>
        <v>44399.958738425928</v>
      </c>
      <c r="D222" s="71" t="str">
        <f t="shared" si="24"/>
        <v>2021-07-22</v>
      </c>
      <c r="E222" s="38" t="s">
        <v>1151</v>
      </c>
      <c r="F222" s="37" t="str">
        <f t="shared" si="19"/>
        <v>2021-07-22_23-00-35</v>
      </c>
      <c r="G222" s="39">
        <v>9762325</v>
      </c>
      <c r="H222" s="40">
        <v>11746640</v>
      </c>
      <c r="I222" s="21" t="str">
        <f>IF(OR(COUNTIF(Monitoring!C:C, F222) &gt; 0, COUNTIF(Monitoring!F:F, F222) &gt; 0), "yes", "no")</f>
        <v>no</v>
      </c>
      <c r="J222" s="72" t="str">
        <f t="shared" si="20"/>
        <v>Z:\FAIR_Device_data\Experiment_JulAug_2021\Video_captures\2021-07-22\2021-07-22_23-00-35.mp4</v>
      </c>
    </row>
    <row r="223" spans="1:10" x14ac:dyDescent="0.3">
      <c r="A223" s="1">
        <f t="shared" si="21"/>
        <v>44399</v>
      </c>
      <c r="B223" s="36">
        <f t="shared" si="22"/>
        <v>0.97299768518518515</v>
      </c>
      <c r="C223" s="36">
        <f t="shared" si="23"/>
        <v>44399.972997685189</v>
      </c>
      <c r="D223" s="71" t="str">
        <f t="shared" si="24"/>
        <v>2021-07-22</v>
      </c>
      <c r="E223" s="38" t="s">
        <v>1152</v>
      </c>
      <c r="F223" s="37" t="str">
        <f t="shared" si="19"/>
        <v>2021-07-22_23-21-07</v>
      </c>
      <c r="G223" s="39">
        <v>9634505</v>
      </c>
      <c r="H223" s="40">
        <v>11475943</v>
      </c>
      <c r="I223" s="21" t="str">
        <f>IF(OR(COUNTIF(Monitoring!C:C, F223) &gt; 0, COUNTIF(Monitoring!F:F, F223) &gt; 0), "yes", "no")</f>
        <v>no</v>
      </c>
      <c r="J223" s="72" t="str">
        <f t="shared" si="20"/>
        <v>Z:\FAIR_Device_data\Experiment_JulAug_2021\Video_captures\2021-07-22\2021-07-22_23-21-07.mp4</v>
      </c>
    </row>
    <row r="224" spans="1:10" x14ac:dyDescent="0.3">
      <c r="A224" s="1">
        <f t="shared" si="21"/>
        <v>44399</v>
      </c>
      <c r="B224" s="36">
        <f t="shared" si="22"/>
        <v>0.97783564814814816</v>
      </c>
      <c r="C224" s="36">
        <f t="shared" si="23"/>
        <v>44399.977835648147</v>
      </c>
      <c r="D224" s="71" t="str">
        <f t="shared" si="24"/>
        <v>2021-07-22</v>
      </c>
      <c r="E224" s="38" t="s">
        <v>1153</v>
      </c>
      <c r="F224" s="37" t="str">
        <f t="shared" si="19"/>
        <v>2021-07-22_23-28-05</v>
      </c>
      <c r="G224" s="39">
        <v>11663021</v>
      </c>
      <c r="H224" s="40">
        <v>14878356</v>
      </c>
      <c r="I224" s="21" t="str">
        <f>IF(OR(COUNTIF(Monitoring!C:C, F224) &gt; 0, COUNTIF(Monitoring!F:F, F224) &gt; 0), "yes", "no")</f>
        <v>no</v>
      </c>
      <c r="J224" s="72" t="str">
        <f t="shared" si="20"/>
        <v>Z:\FAIR_Device_data\Experiment_JulAug_2021\Video_captures\2021-07-22\2021-07-22_23-28-05.mp4</v>
      </c>
    </row>
    <row r="225" spans="1:10" x14ac:dyDescent="0.3">
      <c r="A225" s="1">
        <f t="shared" si="21"/>
        <v>44399</v>
      </c>
      <c r="B225" s="36">
        <f t="shared" si="22"/>
        <v>0.97936342592592596</v>
      </c>
      <c r="C225" s="36">
        <f t="shared" si="23"/>
        <v>44399.979363425926</v>
      </c>
      <c r="D225" s="71" t="str">
        <f t="shared" si="24"/>
        <v>2021-07-22</v>
      </c>
      <c r="E225" s="38" t="s">
        <v>1154</v>
      </c>
      <c r="F225" s="37" t="str">
        <f t="shared" si="19"/>
        <v>2021-07-22_23-30-17</v>
      </c>
      <c r="G225" s="39">
        <v>16238542</v>
      </c>
      <c r="H225" s="40">
        <v>22601397</v>
      </c>
      <c r="I225" s="21" t="str">
        <f>IF(OR(COUNTIF(Monitoring!C:C, F225) &gt; 0, COUNTIF(Monitoring!F:F, F225) &gt; 0), "yes", "no")</f>
        <v>no</v>
      </c>
      <c r="J225" s="72" t="str">
        <f t="shared" si="20"/>
        <v>Z:\FAIR_Device_data\Experiment_JulAug_2021\Video_captures\2021-07-22\2021-07-22_23-30-17.mp4</v>
      </c>
    </row>
    <row r="226" spans="1:10" x14ac:dyDescent="0.3">
      <c r="A226" s="1">
        <f t="shared" si="21"/>
        <v>44400</v>
      </c>
      <c r="B226" s="36">
        <f t="shared" si="22"/>
        <v>1.5474537037037037E-2</v>
      </c>
      <c r="C226" s="36">
        <f t="shared" si="23"/>
        <v>44400.015474537038</v>
      </c>
      <c r="D226" s="71" t="str">
        <f t="shared" si="24"/>
        <v>2021-07-23</v>
      </c>
      <c r="E226" s="38" t="s">
        <v>1155</v>
      </c>
      <c r="F226" s="37" t="str">
        <f t="shared" si="19"/>
        <v>2021-07-23_00-22-17</v>
      </c>
      <c r="G226" s="39">
        <v>22475130</v>
      </c>
      <c r="H226" s="40">
        <v>32968118</v>
      </c>
      <c r="I226" s="21" t="str">
        <f>IF(OR(COUNTIF(Monitoring!C:C, F226) &gt; 0, COUNTIF(Monitoring!F:F, F226) &gt; 0), "yes", "no")</f>
        <v>yes</v>
      </c>
      <c r="J226" s="72" t="str">
        <f t="shared" si="20"/>
        <v>Z:\FAIR_Device_data\Experiment_JulAug_2021\Video_captures\2021-07-23\2021-07-23_00-22-17.mp4</v>
      </c>
    </row>
    <row r="227" spans="1:10" x14ac:dyDescent="0.3">
      <c r="A227" s="1">
        <f t="shared" si="21"/>
        <v>44400</v>
      </c>
      <c r="B227" s="36">
        <f t="shared" si="22"/>
        <v>0.38567129629629632</v>
      </c>
      <c r="C227" s="36">
        <f t="shared" si="23"/>
        <v>44400.385671296295</v>
      </c>
      <c r="D227" s="71" t="str">
        <f t="shared" si="24"/>
        <v>2021-07-23</v>
      </c>
      <c r="E227" s="38" t="s">
        <v>1156</v>
      </c>
      <c r="F227" s="37" t="str">
        <f t="shared" si="19"/>
        <v>2021-07-23_09-15-22</v>
      </c>
      <c r="G227" s="39">
        <v>11281836</v>
      </c>
      <c r="H227" s="40">
        <v>11347611</v>
      </c>
      <c r="I227" s="21" t="str">
        <f>IF(OR(COUNTIF(Monitoring!C:C, F227) &gt; 0, COUNTIF(Monitoring!F:F, F227) &gt; 0), "yes", "no")</f>
        <v>yes</v>
      </c>
      <c r="J227" s="72" t="str">
        <f t="shared" si="20"/>
        <v>Z:\FAIR_Device_data\Experiment_JulAug_2021\Video_captures\2021-07-23\2021-07-23_09-15-22.mp4</v>
      </c>
    </row>
    <row r="228" spans="1:10" x14ac:dyDescent="0.3">
      <c r="A228" s="1">
        <f t="shared" si="21"/>
        <v>44400</v>
      </c>
      <c r="B228" s="36">
        <f t="shared" si="22"/>
        <v>0.40729166666666666</v>
      </c>
      <c r="C228" s="36">
        <f t="shared" si="23"/>
        <v>44400.40729166667</v>
      </c>
      <c r="D228" s="71" t="str">
        <f t="shared" si="24"/>
        <v>2021-07-23</v>
      </c>
      <c r="E228" s="38" t="s">
        <v>1157</v>
      </c>
      <c r="F228" s="37" t="str">
        <f t="shared" si="19"/>
        <v>2021-07-23_09-46-30</v>
      </c>
      <c r="G228" s="39">
        <v>14514230</v>
      </c>
      <c r="H228" s="40">
        <v>9427529</v>
      </c>
      <c r="I228" s="21" t="str">
        <f>IF(OR(COUNTIF(Monitoring!C:C, F228) &gt; 0, COUNTIF(Monitoring!F:F, F228) &gt; 0), "yes", "no")</f>
        <v>yes</v>
      </c>
      <c r="J228" s="72" t="str">
        <f t="shared" si="20"/>
        <v>Z:\FAIR_Device_data\Experiment_JulAug_2021\Video_captures\2021-07-23\2021-07-23_09-46-30.mp4</v>
      </c>
    </row>
    <row r="229" spans="1:10" x14ac:dyDescent="0.3">
      <c r="A229" s="1">
        <f t="shared" si="21"/>
        <v>44400</v>
      </c>
      <c r="B229" s="36">
        <f t="shared" si="22"/>
        <v>0.69318287037037041</v>
      </c>
      <c r="C229" s="36">
        <f t="shared" si="23"/>
        <v>44400.693182870367</v>
      </c>
      <c r="D229" s="71" t="str">
        <f t="shared" si="24"/>
        <v>2021-07-23</v>
      </c>
      <c r="E229" s="38" t="s">
        <v>1158</v>
      </c>
      <c r="F229" s="37" t="str">
        <f t="shared" si="19"/>
        <v>2021-07-23_16-38-11</v>
      </c>
      <c r="G229" s="39">
        <v>17295638</v>
      </c>
      <c r="H229" s="40">
        <v>15009379</v>
      </c>
      <c r="I229" s="21" t="str">
        <f>IF(OR(COUNTIF(Monitoring!C:C, F229) &gt; 0, COUNTIF(Monitoring!F:F, F229) &gt; 0), "yes", "no")</f>
        <v>yes</v>
      </c>
      <c r="J229" s="72" t="str">
        <f t="shared" si="20"/>
        <v>Z:\FAIR_Device_data\Experiment_JulAug_2021\Video_captures\2021-07-23\2021-07-23_16-38-11.mp4</v>
      </c>
    </row>
    <row r="230" spans="1:10" x14ac:dyDescent="0.3">
      <c r="A230" s="1">
        <f t="shared" si="21"/>
        <v>44400</v>
      </c>
      <c r="B230" s="36">
        <f t="shared" si="22"/>
        <v>0.69442129629629634</v>
      </c>
      <c r="C230" s="36">
        <f t="shared" si="23"/>
        <v>44400.694421296299</v>
      </c>
      <c r="D230" s="71" t="str">
        <f t="shared" si="24"/>
        <v>2021-07-23</v>
      </c>
      <c r="E230" s="38" t="s">
        <v>1159</v>
      </c>
      <c r="F230" s="37" t="str">
        <f t="shared" si="19"/>
        <v>2021-07-23_16-39-58</v>
      </c>
      <c r="G230" s="39">
        <v>36505729</v>
      </c>
      <c r="H230" s="40">
        <v>40273690</v>
      </c>
      <c r="I230" s="21" t="str">
        <f>IF(OR(COUNTIF(Monitoring!C:C, F230) &gt; 0, COUNTIF(Monitoring!F:F, F230) &gt; 0), "yes", "no")</f>
        <v>yes</v>
      </c>
      <c r="J230" s="72" t="str">
        <f t="shared" si="20"/>
        <v>Z:\FAIR_Device_data\Experiment_JulAug_2021\Video_captures\2021-07-23\2021-07-23_16-39-58.mp4</v>
      </c>
    </row>
    <row r="231" spans="1:10" x14ac:dyDescent="0.3">
      <c r="A231" s="1">
        <f t="shared" si="21"/>
        <v>44400</v>
      </c>
      <c r="B231" s="36">
        <f t="shared" si="22"/>
        <v>0.72918981481481482</v>
      </c>
      <c r="C231" s="36">
        <f t="shared" si="23"/>
        <v>44400.729189814818</v>
      </c>
      <c r="D231" s="71" t="str">
        <f t="shared" si="24"/>
        <v>2021-07-23</v>
      </c>
      <c r="E231" s="38" t="s">
        <v>1160</v>
      </c>
      <c r="F231" s="37" t="str">
        <f t="shared" si="19"/>
        <v>2021-07-23_17-30-02</v>
      </c>
      <c r="G231" s="39">
        <v>33830469</v>
      </c>
      <c r="H231" s="40">
        <v>41800939</v>
      </c>
      <c r="I231" s="21" t="str">
        <f>IF(OR(COUNTIF(Monitoring!C:C, F231) &gt; 0, COUNTIF(Monitoring!F:F, F231) &gt; 0), "yes", "no")</f>
        <v>yes</v>
      </c>
      <c r="J231" s="72" t="str">
        <f t="shared" si="20"/>
        <v>Z:\FAIR_Device_data\Experiment_JulAug_2021\Video_captures\2021-07-23\2021-07-23_17-30-02.mp4</v>
      </c>
    </row>
    <row r="232" spans="1:10" x14ac:dyDescent="0.3">
      <c r="A232" s="1">
        <f t="shared" si="21"/>
        <v>44400</v>
      </c>
      <c r="B232" s="36">
        <f t="shared" si="22"/>
        <v>0.766087962962963</v>
      </c>
      <c r="C232" s="36">
        <f t="shared" si="23"/>
        <v>44400.766087962962</v>
      </c>
      <c r="D232" s="71" t="str">
        <f t="shared" si="24"/>
        <v>2021-07-23</v>
      </c>
      <c r="E232" s="38" t="s">
        <v>1161</v>
      </c>
      <c r="F232" s="37" t="str">
        <f t="shared" si="19"/>
        <v>2021-07-23_18-23-10</v>
      </c>
      <c r="G232" s="39">
        <v>9476765</v>
      </c>
      <c r="H232" s="40">
        <v>9780168</v>
      </c>
      <c r="I232" s="21" t="str">
        <f>IF(OR(COUNTIF(Monitoring!C:C, F232) &gt; 0, COUNTIF(Monitoring!F:F, F232) &gt; 0), "yes", "no")</f>
        <v>yes</v>
      </c>
      <c r="J232" s="72" t="str">
        <f t="shared" si="20"/>
        <v>Z:\FAIR_Device_data\Experiment_JulAug_2021\Video_captures\2021-07-23\2021-07-23_18-23-10.mp4</v>
      </c>
    </row>
    <row r="233" spans="1:10" x14ac:dyDescent="0.3">
      <c r="A233" s="1">
        <f t="shared" si="21"/>
        <v>44401</v>
      </c>
      <c r="B233" s="36">
        <f t="shared" si="22"/>
        <v>0.42004629629629631</v>
      </c>
      <c r="C233" s="36">
        <f t="shared" si="23"/>
        <v>44401.420046296298</v>
      </c>
      <c r="D233" s="71" t="str">
        <f t="shared" si="24"/>
        <v>2021-07-24</v>
      </c>
      <c r="E233" s="38" t="s">
        <v>1162</v>
      </c>
      <c r="F233" s="37" t="str">
        <f t="shared" si="19"/>
        <v>2021-07-24_10-04-52</v>
      </c>
      <c r="G233" s="39">
        <v>10676791</v>
      </c>
      <c r="H233" s="40">
        <v>11259834</v>
      </c>
      <c r="I233" s="21" t="str">
        <f>IF(OR(COUNTIF(Monitoring!C:C, F233) &gt; 0, COUNTIF(Monitoring!F:F, F233) &gt; 0), "yes", "no")</f>
        <v>yes</v>
      </c>
      <c r="J233" s="72" t="str">
        <f t="shared" si="20"/>
        <v>Z:\FAIR_Device_data\Experiment_JulAug_2021\Video_captures\2021-07-24\2021-07-24_10-04-52.mp4</v>
      </c>
    </row>
    <row r="234" spans="1:10" x14ac:dyDescent="0.3">
      <c r="A234" s="1">
        <f t="shared" si="21"/>
        <v>44401</v>
      </c>
      <c r="B234" s="36">
        <f t="shared" si="22"/>
        <v>0.42798611111111112</v>
      </c>
      <c r="C234" s="36">
        <f t="shared" si="23"/>
        <v>44401.427986111114</v>
      </c>
      <c r="D234" s="71" t="str">
        <f t="shared" si="24"/>
        <v>2021-07-24</v>
      </c>
      <c r="E234" s="38" t="s">
        <v>1163</v>
      </c>
      <c r="F234" s="37" t="str">
        <f t="shared" si="19"/>
        <v>2021-07-24_10-16-18</v>
      </c>
      <c r="G234" s="39">
        <v>34893945</v>
      </c>
      <c r="H234" s="40">
        <v>42037291</v>
      </c>
      <c r="I234" s="21" t="str">
        <f>IF(OR(COUNTIF(Monitoring!C:C, F234) &gt; 0, COUNTIF(Monitoring!F:F, F234) &gt; 0), "yes", "no")</f>
        <v>yes</v>
      </c>
      <c r="J234" s="72" t="str">
        <f t="shared" si="20"/>
        <v>Z:\FAIR_Device_data\Experiment_JulAug_2021\Video_captures\2021-07-24\2021-07-24_10-16-18.mp4</v>
      </c>
    </row>
    <row r="235" spans="1:10" x14ac:dyDescent="0.3">
      <c r="A235" s="1">
        <f t="shared" si="21"/>
        <v>44401</v>
      </c>
      <c r="B235" s="36">
        <f t="shared" si="22"/>
        <v>0.42878472222222225</v>
      </c>
      <c r="C235" s="36">
        <f t="shared" si="23"/>
        <v>44401.428784722222</v>
      </c>
      <c r="D235" s="71" t="str">
        <f t="shared" si="24"/>
        <v>2021-07-24</v>
      </c>
      <c r="E235" s="38" t="s">
        <v>1164</v>
      </c>
      <c r="F235" s="37" t="str">
        <f t="shared" si="19"/>
        <v>2021-07-24_10-17-27</v>
      </c>
      <c r="G235" s="39">
        <v>18277344</v>
      </c>
      <c r="H235" s="40">
        <v>14877546</v>
      </c>
      <c r="I235" s="21" t="str">
        <f>IF(OR(COUNTIF(Monitoring!C:C, F235) &gt; 0, COUNTIF(Monitoring!F:F, F235) &gt; 0), "yes", "no")</f>
        <v>yes</v>
      </c>
      <c r="J235" s="72" t="str">
        <f t="shared" si="20"/>
        <v>Z:\FAIR_Device_data\Experiment_JulAug_2021\Video_captures\2021-07-24\2021-07-24_10-17-27.mp4</v>
      </c>
    </row>
    <row r="236" spans="1:10" x14ac:dyDescent="0.3">
      <c r="A236" s="1">
        <f t="shared" si="21"/>
        <v>44401</v>
      </c>
      <c r="B236" s="36">
        <f t="shared" si="22"/>
        <v>0.43909722222222225</v>
      </c>
      <c r="C236" s="36">
        <f t="shared" si="23"/>
        <v>44401.439097222225</v>
      </c>
      <c r="D236" s="71" t="str">
        <f t="shared" si="24"/>
        <v>2021-07-24</v>
      </c>
      <c r="E236" s="38" t="s">
        <v>1165</v>
      </c>
      <c r="F236" s="37" t="str">
        <f t="shared" si="19"/>
        <v>2021-07-24_10-32-18</v>
      </c>
      <c r="G236" s="39">
        <v>9407357</v>
      </c>
      <c r="H236" s="40">
        <v>9444195</v>
      </c>
      <c r="I236" s="21" t="str">
        <f>IF(OR(COUNTIF(Monitoring!C:C, F236) &gt; 0, COUNTIF(Monitoring!F:F, F236) &gt; 0), "yes", "no")</f>
        <v>yes</v>
      </c>
      <c r="J236" s="72" t="str">
        <f t="shared" si="20"/>
        <v>Z:\FAIR_Device_data\Experiment_JulAug_2021\Video_captures\2021-07-24\2021-07-24_10-32-18.mp4</v>
      </c>
    </row>
    <row r="237" spans="1:10" x14ac:dyDescent="0.3">
      <c r="A237" s="1">
        <f t="shared" si="21"/>
        <v>44401</v>
      </c>
      <c r="B237" s="36">
        <f t="shared" si="22"/>
        <v>0.45149305555555558</v>
      </c>
      <c r="C237" s="36">
        <f t="shared" si="23"/>
        <v>44401.451493055552</v>
      </c>
      <c r="D237" s="71" t="str">
        <f t="shared" si="24"/>
        <v>2021-07-24</v>
      </c>
      <c r="E237" s="38" t="s">
        <v>1166</v>
      </c>
      <c r="F237" s="37" t="str">
        <f t="shared" si="19"/>
        <v>2021-07-24_10-50-09</v>
      </c>
      <c r="G237" s="39">
        <v>9568359</v>
      </c>
      <c r="H237" s="40">
        <v>9567754</v>
      </c>
      <c r="I237" s="21" t="str">
        <f>IF(OR(COUNTIF(Monitoring!C:C, F237) &gt; 0, COUNTIF(Monitoring!F:F, F237) &gt; 0), "yes", "no")</f>
        <v>yes</v>
      </c>
      <c r="J237" s="72" t="str">
        <f t="shared" si="20"/>
        <v>Z:\FAIR_Device_data\Experiment_JulAug_2021\Video_captures\2021-07-24\2021-07-24_10-50-09.mp4</v>
      </c>
    </row>
    <row r="238" spans="1:10" x14ac:dyDescent="0.3">
      <c r="A238" s="1">
        <f t="shared" si="21"/>
        <v>44401</v>
      </c>
      <c r="B238" s="36">
        <f t="shared" si="22"/>
        <v>0.45913194444444444</v>
      </c>
      <c r="C238" s="36">
        <f t="shared" si="23"/>
        <v>44401.459131944444</v>
      </c>
      <c r="D238" s="71" t="str">
        <f t="shared" si="24"/>
        <v>2021-07-24</v>
      </c>
      <c r="E238" s="38" t="s">
        <v>1167</v>
      </c>
      <c r="F238" s="37" t="str">
        <f t="shared" si="19"/>
        <v>2021-07-24_11-01-09</v>
      </c>
      <c r="G238" s="39">
        <v>61278255</v>
      </c>
      <c r="H238" s="40">
        <v>79873321</v>
      </c>
      <c r="I238" s="21" t="str">
        <f>IF(OR(COUNTIF(Monitoring!C:C, F238) &gt; 0, COUNTIF(Monitoring!F:F, F238) &gt; 0), "yes", "no")</f>
        <v>yes</v>
      </c>
      <c r="J238" s="72" t="str">
        <f t="shared" si="20"/>
        <v>Z:\FAIR_Device_data\Experiment_JulAug_2021\Video_captures\2021-07-24\2021-07-24_11-01-09.mp4</v>
      </c>
    </row>
    <row r="239" spans="1:10" x14ac:dyDescent="0.3">
      <c r="A239" s="1">
        <f t="shared" si="21"/>
        <v>44401</v>
      </c>
      <c r="B239" s="36">
        <f t="shared" si="22"/>
        <v>0.46711805555555558</v>
      </c>
      <c r="C239" s="36">
        <f t="shared" si="23"/>
        <v>44401.467118055552</v>
      </c>
      <c r="D239" s="71" t="str">
        <f t="shared" si="24"/>
        <v>2021-07-24</v>
      </c>
      <c r="E239" s="38" t="s">
        <v>1168</v>
      </c>
      <c r="F239" s="37" t="str">
        <f t="shared" si="19"/>
        <v>2021-07-24_11-12-39</v>
      </c>
      <c r="G239" s="39">
        <v>37879753</v>
      </c>
      <c r="H239" s="40">
        <v>50558189</v>
      </c>
      <c r="I239" s="21" t="str">
        <f>IF(OR(COUNTIF(Monitoring!C:C, F239) &gt; 0, COUNTIF(Monitoring!F:F, F239) &gt; 0), "yes", "no")</f>
        <v>yes</v>
      </c>
      <c r="J239" s="72" t="str">
        <f t="shared" si="20"/>
        <v>Z:\FAIR_Device_data\Experiment_JulAug_2021\Video_captures\2021-07-24\2021-07-24_11-12-39.mp4</v>
      </c>
    </row>
    <row r="240" spans="1:10" x14ac:dyDescent="0.3">
      <c r="A240" s="1">
        <f t="shared" si="21"/>
        <v>44401</v>
      </c>
      <c r="B240" s="36">
        <f t="shared" si="22"/>
        <v>0.51133101851851848</v>
      </c>
      <c r="C240" s="36">
        <f t="shared" si="23"/>
        <v>44401.511331018519</v>
      </c>
      <c r="D240" s="71" t="str">
        <f t="shared" si="24"/>
        <v>2021-07-24</v>
      </c>
      <c r="E240" s="38" t="s">
        <v>1169</v>
      </c>
      <c r="F240" s="37" t="str">
        <f t="shared" si="19"/>
        <v>2021-07-24_12-16-19</v>
      </c>
      <c r="G240" s="39">
        <v>54952734</v>
      </c>
      <c r="H240" s="40">
        <v>75233034</v>
      </c>
      <c r="I240" s="21" t="str">
        <f>IF(OR(COUNTIF(Monitoring!C:C, F240) &gt; 0, COUNTIF(Monitoring!F:F, F240) &gt; 0), "yes", "no")</f>
        <v>yes</v>
      </c>
      <c r="J240" s="72" t="str">
        <f t="shared" si="20"/>
        <v>Z:\FAIR_Device_data\Experiment_JulAug_2021\Video_captures\2021-07-24\2021-07-24_12-16-19.mp4</v>
      </c>
    </row>
    <row r="241" spans="1:10" x14ac:dyDescent="0.3">
      <c r="A241" s="1">
        <f t="shared" si="21"/>
        <v>44401</v>
      </c>
      <c r="B241" s="36">
        <f t="shared" si="22"/>
        <v>0.52817129629629633</v>
      </c>
      <c r="C241" s="36">
        <f t="shared" si="23"/>
        <v>44401.528171296297</v>
      </c>
      <c r="D241" s="71" t="str">
        <f t="shared" si="24"/>
        <v>2021-07-24</v>
      </c>
      <c r="E241" s="38" t="s">
        <v>1170</v>
      </c>
      <c r="F241" s="37" t="str">
        <f t="shared" si="19"/>
        <v>2021-07-24_12-40-34</v>
      </c>
      <c r="G241" s="39">
        <v>16335612</v>
      </c>
      <c r="H241" s="40">
        <v>19664718</v>
      </c>
      <c r="I241" s="21" t="str">
        <f>IF(OR(COUNTIF(Monitoring!C:C, F241) &gt; 0, COUNTIF(Monitoring!F:F, F241) &gt; 0), "yes", "no")</f>
        <v>yes</v>
      </c>
      <c r="J241" s="72" t="str">
        <f t="shared" si="20"/>
        <v>Z:\FAIR_Device_data\Experiment_JulAug_2021\Video_captures\2021-07-24\2021-07-24_12-40-34.mp4</v>
      </c>
    </row>
    <row r="242" spans="1:10" x14ac:dyDescent="0.3">
      <c r="A242" s="1">
        <f t="shared" si="21"/>
        <v>44401</v>
      </c>
      <c r="B242" s="36">
        <f t="shared" si="22"/>
        <v>0.53896990740740736</v>
      </c>
      <c r="C242" s="36">
        <f t="shared" si="23"/>
        <v>44401.538969907408</v>
      </c>
      <c r="D242" s="71" t="str">
        <f t="shared" si="24"/>
        <v>2021-07-24</v>
      </c>
      <c r="E242" s="38" t="s">
        <v>1171</v>
      </c>
      <c r="F242" s="37" t="str">
        <f t="shared" si="19"/>
        <v>2021-07-24_12-56-07</v>
      </c>
      <c r="G242" s="39">
        <v>11593555</v>
      </c>
      <c r="H242" s="40">
        <v>12831482</v>
      </c>
      <c r="I242" s="21" t="str">
        <f>IF(OR(COUNTIF(Monitoring!C:C, F242) &gt; 0, COUNTIF(Monitoring!F:F, F242) &gt; 0), "yes", "no")</f>
        <v>yes</v>
      </c>
      <c r="J242" s="72" t="str">
        <f t="shared" si="20"/>
        <v>Z:\FAIR_Device_data\Experiment_JulAug_2021\Video_captures\2021-07-24\2021-07-24_12-56-07.mp4</v>
      </c>
    </row>
    <row r="243" spans="1:10" x14ac:dyDescent="0.3">
      <c r="A243" s="1">
        <f t="shared" si="21"/>
        <v>44401</v>
      </c>
      <c r="B243" s="36">
        <f t="shared" si="22"/>
        <v>0.54828703703703707</v>
      </c>
      <c r="C243" s="36">
        <f t="shared" si="23"/>
        <v>44401.54828703704</v>
      </c>
      <c r="D243" s="71" t="str">
        <f t="shared" si="24"/>
        <v>2021-07-24</v>
      </c>
      <c r="E243" s="38" t="s">
        <v>1172</v>
      </c>
      <c r="F243" s="37" t="str">
        <f t="shared" si="19"/>
        <v>2021-07-24_13-09-32</v>
      </c>
      <c r="G243" s="39">
        <v>12852799</v>
      </c>
      <c r="H243" s="40">
        <v>14706552</v>
      </c>
      <c r="I243" s="21" t="str">
        <f>IF(OR(COUNTIF(Monitoring!C:C, F243) &gt; 0, COUNTIF(Monitoring!F:F, F243) &gt; 0), "yes", "no")</f>
        <v>yes</v>
      </c>
      <c r="J243" s="72" t="str">
        <f t="shared" si="20"/>
        <v>Z:\FAIR_Device_data\Experiment_JulAug_2021\Video_captures\2021-07-24\2021-07-24_13-09-32.mp4</v>
      </c>
    </row>
    <row r="244" spans="1:10" x14ac:dyDescent="0.3">
      <c r="A244" s="1">
        <f t="shared" si="21"/>
        <v>44401</v>
      </c>
      <c r="B244" s="36">
        <f t="shared" si="22"/>
        <v>0.58032407407407405</v>
      </c>
      <c r="C244" s="36">
        <f t="shared" si="23"/>
        <v>44401.580324074072</v>
      </c>
      <c r="D244" s="71" t="str">
        <f t="shared" si="24"/>
        <v>2021-07-24</v>
      </c>
      <c r="E244" s="38" t="s">
        <v>1173</v>
      </c>
      <c r="F244" s="37" t="str">
        <f t="shared" si="19"/>
        <v>2021-07-24_13-55-40</v>
      </c>
      <c r="G244" s="39">
        <v>9593424</v>
      </c>
      <c r="H244" s="40">
        <v>9900307</v>
      </c>
      <c r="I244" s="21" t="str">
        <f>IF(OR(COUNTIF(Monitoring!C:C, F244) &gt; 0, COUNTIF(Monitoring!F:F, F244) &gt; 0), "yes", "no")</f>
        <v>yes</v>
      </c>
      <c r="J244" s="72" t="str">
        <f t="shared" si="20"/>
        <v>Z:\FAIR_Device_data\Experiment_JulAug_2021\Video_captures\2021-07-24\2021-07-24_13-55-40.mp4</v>
      </c>
    </row>
    <row r="245" spans="1:10" x14ac:dyDescent="0.3">
      <c r="A245" s="1">
        <f t="shared" si="21"/>
        <v>44401</v>
      </c>
      <c r="B245" s="36">
        <f t="shared" si="22"/>
        <v>0.61398148148148146</v>
      </c>
      <c r="C245" s="36">
        <f t="shared" si="23"/>
        <v>44401.613981481481</v>
      </c>
      <c r="D245" s="71" t="str">
        <f t="shared" si="24"/>
        <v>2021-07-24</v>
      </c>
      <c r="E245" s="38" t="s">
        <v>1174</v>
      </c>
      <c r="F245" s="37" t="str">
        <f t="shared" si="19"/>
        <v>2021-07-24_14-44-08</v>
      </c>
      <c r="G245" s="39">
        <v>12575391</v>
      </c>
      <c r="H245" s="40">
        <v>14180823</v>
      </c>
      <c r="I245" s="21" t="str">
        <f>IF(OR(COUNTIF(Monitoring!C:C, F245) &gt; 0, COUNTIF(Monitoring!F:F, F245) &gt; 0), "yes", "no")</f>
        <v>yes</v>
      </c>
      <c r="J245" s="72" t="str">
        <f t="shared" si="20"/>
        <v>Z:\FAIR_Device_data\Experiment_JulAug_2021\Video_captures\2021-07-24\2021-07-24_14-44-08.mp4</v>
      </c>
    </row>
    <row r="246" spans="1:10" x14ac:dyDescent="0.3">
      <c r="A246" s="1">
        <f t="shared" si="21"/>
        <v>44401</v>
      </c>
      <c r="B246" s="36">
        <f t="shared" si="22"/>
        <v>0.64878472222222228</v>
      </c>
      <c r="C246" s="36">
        <f t="shared" si="23"/>
        <v>44401.648784722223</v>
      </c>
      <c r="D246" s="71" t="str">
        <f t="shared" si="24"/>
        <v>2021-07-24</v>
      </c>
      <c r="E246" s="38" t="s">
        <v>1175</v>
      </c>
      <c r="F246" s="37" t="str">
        <f t="shared" si="19"/>
        <v>2021-07-24_15-34-15</v>
      </c>
      <c r="G246" s="39">
        <v>57859577</v>
      </c>
      <c r="H246" s="40">
        <v>75153326</v>
      </c>
      <c r="I246" s="21" t="str">
        <f>IF(OR(COUNTIF(Monitoring!C:C, F246) &gt; 0, COUNTIF(Monitoring!F:F, F246) &gt; 0), "yes", "no")</f>
        <v>yes</v>
      </c>
      <c r="J246" s="72" t="str">
        <f t="shared" si="20"/>
        <v>Z:\FAIR_Device_data\Experiment_JulAug_2021\Video_captures\2021-07-24\2021-07-24_15-34-15.mp4</v>
      </c>
    </row>
    <row r="247" spans="1:10" x14ac:dyDescent="0.3">
      <c r="A247" s="1">
        <f t="shared" si="21"/>
        <v>44401</v>
      </c>
      <c r="B247" s="36">
        <f t="shared" si="22"/>
        <v>0.66400462962962958</v>
      </c>
      <c r="C247" s="36">
        <f t="shared" si="23"/>
        <v>44401.664004629631</v>
      </c>
      <c r="D247" s="71" t="str">
        <f t="shared" si="24"/>
        <v>2021-07-24</v>
      </c>
      <c r="E247" s="38" t="s">
        <v>1176</v>
      </c>
      <c r="F247" s="37" t="str">
        <f t="shared" si="19"/>
        <v>2021-07-24_15-56-10</v>
      </c>
      <c r="G247" s="39">
        <v>17049674</v>
      </c>
      <c r="H247" s="40">
        <v>20502237</v>
      </c>
      <c r="I247" s="21" t="str">
        <f>IF(OR(COUNTIF(Monitoring!C:C, F247) &gt; 0, COUNTIF(Monitoring!F:F, F247) &gt; 0), "yes", "no")</f>
        <v>yes</v>
      </c>
      <c r="J247" s="72" t="str">
        <f t="shared" si="20"/>
        <v>Z:\FAIR_Device_data\Experiment_JulAug_2021\Video_captures\2021-07-24\2021-07-24_15-56-10.mp4</v>
      </c>
    </row>
    <row r="248" spans="1:10" x14ac:dyDescent="0.3">
      <c r="A248" s="1">
        <f t="shared" si="21"/>
        <v>44401</v>
      </c>
      <c r="B248" s="36">
        <f t="shared" si="22"/>
        <v>0.75383101851851853</v>
      </c>
      <c r="C248" s="36">
        <f t="shared" si="23"/>
        <v>44401.753831018519</v>
      </c>
      <c r="D248" s="71" t="str">
        <f t="shared" si="24"/>
        <v>2021-07-24</v>
      </c>
      <c r="E248" s="38" t="s">
        <v>1177</v>
      </c>
      <c r="F248" s="37" t="str">
        <f t="shared" si="19"/>
        <v>2021-07-24_18-05-31</v>
      </c>
      <c r="G248" s="39">
        <v>16765560</v>
      </c>
      <c r="H248" s="40">
        <v>21608172</v>
      </c>
      <c r="I248" s="21" t="str">
        <f>IF(OR(COUNTIF(Monitoring!C:C, F248) &gt; 0, COUNTIF(Monitoring!F:F, F248) &gt; 0), "yes", "no")</f>
        <v>yes</v>
      </c>
      <c r="J248" s="72" t="str">
        <f t="shared" si="20"/>
        <v>Z:\FAIR_Device_data\Experiment_JulAug_2021\Video_captures\2021-07-24\2021-07-24_18-05-31.mp4</v>
      </c>
    </row>
    <row r="249" spans="1:10" x14ac:dyDescent="0.3">
      <c r="A249" s="1">
        <f t="shared" si="21"/>
        <v>44401</v>
      </c>
      <c r="B249" s="36">
        <f t="shared" si="22"/>
        <v>0.75511574074074073</v>
      </c>
      <c r="C249" s="36">
        <f t="shared" si="23"/>
        <v>44401.755115740743</v>
      </c>
      <c r="D249" s="71" t="str">
        <f t="shared" si="24"/>
        <v>2021-07-24</v>
      </c>
      <c r="E249" s="38" t="s">
        <v>1178</v>
      </c>
      <c r="F249" s="37" t="str">
        <f t="shared" si="19"/>
        <v>2021-07-24_18-07-22</v>
      </c>
      <c r="G249" s="39">
        <v>16665365</v>
      </c>
      <c r="H249" s="40">
        <v>20979126</v>
      </c>
      <c r="I249" s="21" t="str">
        <f>IF(OR(COUNTIF(Monitoring!C:C, F249) &gt; 0, COUNTIF(Monitoring!F:F, F249) &gt; 0), "yes", "no")</f>
        <v>yes</v>
      </c>
      <c r="J249" s="72" t="str">
        <f t="shared" si="20"/>
        <v>Z:\FAIR_Device_data\Experiment_JulAug_2021\Video_captures\2021-07-24\2021-07-24_18-07-22.mp4</v>
      </c>
    </row>
    <row r="250" spans="1:10" x14ac:dyDescent="0.3">
      <c r="A250" s="1">
        <f t="shared" si="21"/>
        <v>44402</v>
      </c>
      <c r="B250" s="36">
        <f t="shared" si="22"/>
        <v>0.31504629629629627</v>
      </c>
      <c r="C250" s="36">
        <f t="shared" si="23"/>
        <v>44402.315046296295</v>
      </c>
      <c r="D250" s="71" t="str">
        <f t="shared" si="24"/>
        <v>2021-07-25</v>
      </c>
      <c r="E250" s="38" t="s">
        <v>1179</v>
      </c>
      <c r="F250" s="37" t="str">
        <f t="shared" si="19"/>
        <v>2021-07-25_07-33-40</v>
      </c>
      <c r="G250" s="39">
        <v>24654688</v>
      </c>
      <c r="H250" s="40">
        <v>28359769</v>
      </c>
      <c r="I250" s="21" t="str">
        <f>IF(OR(COUNTIF(Monitoring!C:C, F250) &gt; 0, COUNTIF(Monitoring!F:F, F250) &gt; 0), "yes", "no")</f>
        <v>yes</v>
      </c>
      <c r="J250" s="72" t="str">
        <f t="shared" si="20"/>
        <v>Z:\FAIR_Device_data\Experiment_JulAug_2021\Video_captures\2021-07-25\2021-07-25_07-33-40.mp4</v>
      </c>
    </row>
    <row r="251" spans="1:10" x14ac:dyDescent="0.3">
      <c r="A251" s="1">
        <f t="shared" si="21"/>
        <v>44402</v>
      </c>
      <c r="B251" s="36">
        <f t="shared" si="22"/>
        <v>0.34261574074074075</v>
      </c>
      <c r="C251" s="36">
        <f t="shared" si="23"/>
        <v>44402.342615740738</v>
      </c>
      <c r="D251" s="71" t="str">
        <f t="shared" si="24"/>
        <v>2021-07-25</v>
      </c>
      <c r="E251" s="38" t="s">
        <v>1180</v>
      </c>
      <c r="F251" s="37" t="str">
        <f t="shared" si="19"/>
        <v>2021-07-25_08-13-22</v>
      </c>
      <c r="G251" s="39">
        <v>48142708</v>
      </c>
      <c r="H251" s="40">
        <v>64871696</v>
      </c>
      <c r="I251" s="21" t="str">
        <f>IF(OR(COUNTIF(Monitoring!C:C, F251) &gt; 0, COUNTIF(Monitoring!F:F, F251) &gt; 0), "yes", "no")</f>
        <v>yes</v>
      </c>
      <c r="J251" s="72" t="str">
        <f t="shared" si="20"/>
        <v>Z:\FAIR_Device_data\Experiment_JulAug_2021\Video_captures\2021-07-25\2021-07-25_08-13-22.mp4</v>
      </c>
    </row>
    <row r="252" spans="1:10" x14ac:dyDescent="0.3">
      <c r="A252" s="1">
        <f t="shared" si="21"/>
        <v>44402</v>
      </c>
      <c r="B252" s="36">
        <f t="shared" si="22"/>
        <v>0.35050925925925924</v>
      </c>
      <c r="C252" s="36">
        <f t="shared" si="23"/>
        <v>44402.35050925926</v>
      </c>
      <c r="D252" s="71" t="str">
        <f t="shared" si="24"/>
        <v>2021-07-25</v>
      </c>
      <c r="E252" s="38" t="s">
        <v>1181</v>
      </c>
      <c r="F252" s="37" t="str">
        <f t="shared" si="19"/>
        <v>2021-07-25_08-24-44</v>
      </c>
      <c r="G252" s="39">
        <v>15552734</v>
      </c>
      <c r="H252" s="40">
        <v>18556882</v>
      </c>
      <c r="I252" s="21" t="str">
        <f>IF(OR(COUNTIF(Monitoring!C:C, F252) &gt; 0, COUNTIF(Monitoring!F:F, F252) &gt; 0), "yes", "no")</f>
        <v>yes</v>
      </c>
      <c r="J252" s="72" t="str">
        <f t="shared" si="20"/>
        <v>Z:\FAIR_Device_data\Experiment_JulAug_2021\Video_captures\2021-07-25\2021-07-25_08-24-44.mp4</v>
      </c>
    </row>
    <row r="253" spans="1:10" x14ac:dyDescent="0.3">
      <c r="A253" s="1">
        <f t="shared" si="21"/>
        <v>44402</v>
      </c>
      <c r="B253" s="36">
        <f t="shared" si="22"/>
        <v>0.47443287037037035</v>
      </c>
      <c r="C253" s="36">
        <f t="shared" si="23"/>
        <v>44402.474432870367</v>
      </c>
      <c r="D253" s="71" t="str">
        <f t="shared" si="24"/>
        <v>2021-07-25</v>
      </c>
      <c r="E253" s="38" t="s">
        <v>1182</v>
      </c>
      <c r="F253" s="37" t="str">
        <f t="shared" si="19"/>
        <v>2021-07-25_11-23-11</v>
      </c>
      <c r="G253" s="39">
        <v>21394531</v>
      </c>
      <c r="H253" s="40">
        <v>23730061</v>
      </c>
      <c r="I253" s="21" t="str">
        <f>IF(OR(COUNTIF(Monitoring!C:C, F253) &gt; 0, COUNTIF(Monitoring!F:F, F253) &gt; 0), "yes", "no")</f>
        <v>yes</v>
      </c>
      <c r="J253" s="72" t="str">
        <f t="shared" si="20"/>
        <v>Z:\FAIR_Device_data\Experiment_JulAug_2021\Video_captures\2021-07-25\2021-07-25_11-23-11.mp4</v>
      </c>
    </row>
    <row r="254" spans="1:10" x14ac:dyDescent="0.3">
      <c r="A254" s="1">
        <f t="shared" si="21"/>
        <v>44402</v>
      </c>
      <c r="B254" s="36">
        <f t="shared" si="22"/>
        <v>0.47586805555555556</v>
      </c>
      <c r="C254" s="36">
        <f t="shared" si="23"/>
        <v>44402.475868055553</v>
      </c>
      <c r="D254" s="71" t="str">
        <f t="shared" si="24"/>
        <v>2021-07-25</v>
      </c>
      <c r="E254" s="38" t="s">
        <v>1183</v>
      </c>
      <c r="F254" s="37" t="str">
        <f t="shared" si="19"/>
        <v>2021-07-25_11-25-15</v>
      </c>
      <c r="G254" s="39">
        <v>31315039</v>
      </c>
      <c r="H254" s="40">
        <v>39052081</v>
      </c>
      <c r="I254" s="21" t="str">
        <f>IF(OR(COUNTIF(Monitoring!C:C, F254) &gt; 0, COUNTIF(Monitoring!F:F, F254) &gt; 0), "yes", "no")</f>
        <v>yes</v>
      </c>
      <c r="J254" s="72" t="str">
        <f t="shared" si="20"/>
        <v>Z:\FAIR_Device_data\Experiment_JulAug_2021\Video_captures\2021-07-25\2021-07-25_11-25-15.mp4</v>
      </c>
    </row>
    <row r="255" spans="1:10" x14ac:dyDescent="0.3">
      <c r="A255" s="1">
        <f t="shared" si="21"/>
        <v>44402</v>
      </c>
      <c r="B255" s="36">
        <f t="shared" si="22"/>
        <v>0.54215277777777782</v>
      </c>
      <c r="C255" s="36">
        <f t="shared" si="23"/>
        <v>44402.54215277778</v>
      </c>
      <c r="D255" s="71" t="str">
        <f t="shared" si="24"/>
        <v>2021-07-25</v>
      </c>
      <c r="E255" s="38" t="s">
        <v>1184</v>
      </c>
      <c r="F255" s="37" t="str">
        <f t="shared" si="19"/>
        <v>2021-07-25_13-00-42</v>
      </c>
      <c r="G255" s="39">
        <v>31686328</v>
      </c>
      <c r="H255" s="40">
        <v>32095170</v>
      </c>
      <c r="I255" s="21" t="str">
        <f>IF(OR(COUNTIF(Monitoring!C:C, F255) &gt; 0, COUNTIF(Monitoring!F:F, F255) &gt; 0), "yes", "no")</f>
        <v>yes</v>
      </c>
      <c r="J255" s="72" t="str">
        <f t="shared" si="20"/>
        <v>Z:\FAIR_Device_data\Experiment_JulAug_2021\Video_captures\2021-07-25\2021-07-25_13-00-42.mp4</v>
      </c>
    </row>
    <row r="256" spans="1:10" x14ac:dyDescent="0.3">
      <c r="A256" s="1">
        <f t="shared" si="21"/>
        <v>44402</v>
      </c>
      <c r="B256" s="36">
        <f t="shared" si="22"/>
        <v>0.59685185185185186</v>
      </c>
      <c r="C256" s="36">
        <f t="shared" si="23"/>
        <v>44402.596851851849</v>
      </c>
      <c r="D256" s="71" t="str">
        <f t="shared" si="24"/>
        <v>2021-07-25</v>
      </c>
      <c r="E256" s="38" t="s">
        <v>1185</v>
      </c>
      <c r="F256" s="37" t="str">
        <f t="shared" si="19"/>
        <v>2021-07-25_14-19-28</v>
      </c>
      <c r="G256" s="39">
        <v>363848177</v>
      </c>
      <c r="H256" s="40">
        <v>508843911</v>
      </c>
      <c r="I256" s="21" t="str">
        <f>IF(OR(COUNTIF(Monitoring!C:C, F256) &gt; 0, COUNTIF(Monitoring!F:F, F256) &gt; 0), "yes", "no")</f>
        <v>yes</v>
      </c>
      <c r="J256" s="72" t="str">
        <f t="shared" si="20"/>
        <v>Z:\FAIR_Device_data\Experiment_JulAug_2021\Video_captures\2021-07-25\2021-07-25_14-19-28.mp4</v>
      </c>
    </row>
    <row r="257" spans="1:10" x14ac:dyDescent="0.3">
      <c r="A257" s="1">
        <f t="shared" si="21"/>
        <v>44402</v>
      </c>
      <c r="B257" s="36">
        <f t="shared" si="22"/>
        <v>0.61407407407407411</v>
      </c>
      <c r="C257" s="36">
        <f t="shared" si="23"/>
        <v>44402.614074074074</v>
      </c>
      <c r="D257" s="71" t="str">
        <f t="shared" si="24"/>
        <v>2021-07-25</v>
      </c>
      <c r="E257" s="38" t="s">
        <v>1186</v>
      </c>
      <c r="F257" s="37" t="str">
        <f t="shared" si="19"/>
        <v>2021-07-25_14-44-16</v>
      </c>
      <c r="G257" s="39">
        <v>9595964</v>
      </c>
      <c r="H257" s="40">
        <v>9910714</v>
      </c>
      <c r="I257" s="21" t="str">
        <f>IF(OR(COUNTIF(Monitoring!C:C, F257) &gt; 0, COUNTIF(Monitoring!F:F, F257) &gt; 0), "yes", "no")</f>
        <v>yes</v>
      </c>
      <c r="J257" s="72" t="str">
        <f t="shared" si="20"/>
        <v>Z:\FAIR_Device_data\Experiment_JulAug_2021\Video_captures\2021-07-25\2021-07-25_14-44-16.mp4</v>
      </c>
    </row>
    <row r="258" spans="1:10" x14ac:dyDescent="0.3">
      <c r="A258" s="1">
        <f t="shared" si="21"/>
        <v>44402</v>
      </c>
      <c r="B258" s="36">
        <f t="shared" si="22"/>
        <v>0.63918981481481485</v>
      </c>
      <c r="C258" s="36">
        <f t="shared" si="23"/>
        <v>44402.639189814814</v>
      </c>
      <c r="D258" s="71" t="str">
        <f t="shared" si="24"/>
        <v>2021-07-25</v>
      </c>
      <c r="E258" s="38" t="s">
        <v>1187</v>
      </c>
      <c r="F258" s="37" t="str">
        <f t="shared" ref="F258:F321" si="25">+LEFT(E258,19)</f>
        <v>2021-07-25_15-20-26</v>
      </c>
      <c r="G258" s="39">
        <v>9545247</v>
      </c>
      <c r="H258" s="40">
        <v>9708625</v>
      </c>
      <c r="I258" s="21" t="str">
        <f>IF(OR(COUNTIF(Monitoring!C:C, F258) &gt; 0, COUNTIF(Monitoring!F:F, F258) &gt; 0), "yes", "no")</f>
        <v>yes</v>
      </c>
      <c r="J258" s="72" t="str">
        <f t="shared" ref="J258:J321" si="26">HYPERLINK(_xlfn.CONCAT("Z:\FAIR_Device_data\Experiment_JulAug_2021","\","Video_captures","\",D258,"\",E258))</f>
        <v>Z:\FAIR_Device_data\Experiment_JulAug_2021\Video_captures\2021-07-25\2021-07-25_15-20-26.mp4</v>
      </c>
    </row>
    <row r="259" spans="1:10" x14ac:dyDescent="0.3">
      <c r="A259" s="1">
        <f t="shared" ref="A259:A322" si="27">VALUE(MID(F259,1,10))</f>
        <v>44402</v>
      </c>
      <c r="B259" s="36">
        <f t="shared" ref="B259:B322" si="28">IF(ISBLANK(F259),"",TIME(LEFT(RIGHT(F259,8),2),LEFT(RIGHT(F259,5),2),RIGHT(F259,2)))</f>
        <v>0.64660879629629631</v>
      </c>
      <c r="C259" s="36">
        <f t="shared" ref="C259:C322" si="29">+A259+B259</f>
        <v>44402.646608796298</v>
      </c>
      <c r="D259" s="71" t="str">
        <f t="shared" ref="D259:D322" si="30">+_xlfn.CONCAT(YEAR(A259),"-",TEXT(MONTH(A259),"00"),"-",TEXT(DAY(A259),"00"))</f>
        <v>2021-07-25</v>
      </c>
      <c r="E259" s="38" t="s">
        <v>1188</v>
      </c>
      <c r="F259" s="37" t="str">
        <f t="shared" si="25"/>
        <v>2021-07-25_15-31-07</v>
      </c>
      <c r="G259" s="39">
        <v>9297656</v>
      </c>
      <c r="H259" s="40">
        <v>9387603</v>
      </c>
      <c r="I259" s="21" t="str">
        <f>IF(OR(COUNTIF(Monitoring!C:C, F259) &gt; 0, COUNTIF(Monitoring!F:F, F259) &gt; 0), "yes", "no")</f>
        <v>yes</v>
      </c>
      <c r="J259" s="72" t="str">
        <f t="shared" si="26"/>
        <v>Z:\FAIR_Device_data\Experiment_JulAug_2021\Video_captures\2021-07-25\2021-07-25_15-31-07.mp4</v>
      </c>
    </row>
    <row r="260" spans="1:10" x14ac:dyDescent="0.3">
      <c r="A260" s="1">
        <f t="shared" si="27"/>
        <v>44402</v>
      </c>
      <c r="B260" s="36">
        <f t="shared" si="28"/>
        <v>0.64834490740740736</v>
      </c>
      <c r="C260" s="36">
        <f t="shared" si="29"/>
        <v>44402.648344907408</v>
      </c>
      <c r="D260" s="71" t="str">
        <f t="shared" si="30"/>
        <v>2021-07-25</v>
      </c>
      <c r="E260" s="38" t="s">
        <v>1189</v>
      </c>
      <c r="F260" s="37" t="str">
        <f t="shared" si="25"/>
        <v>2021-07-25_15-33-37</v>
      </c>
      <c r="G260" s="39">
        <v>9649935</v>
      </c>
      <c r="H260" s="40">
        <v>9508500</v>
      </c>
      <c r="I260" s="21" t="str">
        <f>IF(OR(COUNTIF(Monitoring!C:C, F260) &gt; 0, COUNTIF(Monitoring!F:F, F260) &gt; 0), "yes", "no")</f>
        <v>no</v>
      </c>
      <c r="J260" s="72" t="str">
        <f t="shared" si="26"/>
        <v>Z:\FAIR_Device_data\Experiment_JulAug_2021\Video_captures\2021-07-25\2021-07-25_15-33-37.mp4</v>
      </c>
    </row>
    <row r="261" spans="1:10" x14ac:dyDescent="0.3">
      <c r="A261" s="1">
        <f t="shared" si="27"/>
        <v>44402</v>
      </c>
      <c r="B261" s="36">
        <f t="shared" si="28"/>
        <v>0.65224537037037034</v>
      </c>
      <c r="C261" s="36">
        <f t="shared" si="29"/>
        <v>44402.652245370373</v>
      </c>
      <c r="D261" s="71" t="str">
        <f t="shared" si="30"/>
        <v>2021-07-25</v>
      </c>
      <c r="E261" s="38" t="s">
        <v>1190</v>
      </c>
      <c r="F261" s="37" t="str">
        <f t="shared" si="25"/>
        <v>2021-07-25_15-39-14</v>
      </c>
      <c r="G261" s="39">
        <v>13419857</v>
      </c>
      <c r="H261" s="40">
        <v>15300930</v>
      </c>
      <c r="I261" s="21" t="str">
        <f>IF(OR(COUNTIF(Monitoring!C:C, F261) &gt; 0, COUNTIF(Monitoring!F:F, F261) &gt; 0), "yes", "no")</f>
        <v>yes</v>
      </c>
      <c r="J261" s="72" t="str">
        <f t="shared" si="26"/>
        <v>Z:\FAIR_Device_data\Experiment_JulAug_2021\Video_captures\2021-07-25\2021-07-25_15-39-14.mp4</v>
      </c>
    </row>
    <row r="262" spans="1:10" x14ac:dyDescent="0.3">
      <c r="A262" s="1">
        <f t="shared" si="27"/>
        <v>44402</v>
      </c>
      <c r="B262" s="36">
        <f t="shared" si="28"/>
        <v>0.6567708333333333</v>
      </c>
      <c r="C262" s="36">
        <f t="shared" si="29"/>
        <v>44402.656770833331</v>
      </c>
      <c r="D262" s="71" t="str">
        <f t="shared" si="30"/>
        <v>2021-07-25</v>
      </c>
      <c r="E262" s="38" t="s">
        <v>1191</v>
      </c>
      <c r="F262" s="37" t="str">
        <f t="shared" si="25"/>
        <v>2021-07-25_15-45-45</v>
      </c>
      <c r="G262" s="39">
        <v>9500846</v>
      </c>
      <c r="H262" s="40">
        <v>9825954</v>
      </c>
      <c r="I262" s="21" t="str">
        <f>IF(OR(COUNTIF(Monitoring!C:C, F262) &gt; 0, COUNTIF(Monitoring!F:F, F262) &gt; 0), "yes", "no")</f>
        <v>yes</v>
      </c>
      <c r="J262" s="72" t="str">
        <f t="shared" si="26"/>
        <v>Z:\FAIR_Device_data\Experiment_JulAug_2021\Video_captures\2021-07-25\2021-07-25_15-45-45.mp4</v>
      </c>
    </row>
    <row r="263" spans="1:10" x14ac:dyDescent="0.3">
      <c r="A263" s="1">
        <f t="shared" si="27"/>
        <v>44402</v>
      </c>
      <c r="B263" s="36">
        <f t="shared" si="28"/>
        <v>0.71187500000000004</v>
      </c>
      <c r="C263" s="36">
        <f t="shared" si="29"/>
        <v>44402.711875000001</v>
      </c>
      <c r="D263" s="71" t="str">
        <f t="shared" si="30"/>
        <v>2021-07-25</v>
      </c>
      <c r="E263" s="38" t="s">
        <v>1192</v>
      </c>
      <c r="F263" s="37" t="str">
        <f t="shared" si="25"/>
        <v>2021-07-25_17-05-06</v>
      </c>
      <c r="G263" s="39">
        <v>16948633</v>
      </c>
      <c r="H263" s="40">
        <v>20473433</v>
      </c>
      <c r="I263" s="21" t="str">
        <f>IF(OR(COUNTIF(Monitoring!C:C, F263) &gt; 0, COUNTIF(Monitoring!F:F, F263) &gt; 0), "yes", "no")</f>
        <v>yes</v>
      </c>
      <c r="J263" s="72" t="str">
        <f t="shared" si="26"/>
        <v>Z:\FAIR_Device_data\Experiment_JulAug_2021\Video_captures\2021-07-25\2021-07-25_17-05-06.mp4</v>
      </c>
    </row>
    <row r="264" spans="1:10" x14ac:dyDescent="0.3">
      <c r="A264" s="1">
        <f t="shared" si="27"/>
        <v>44402</v>
      </c>
      <c r="B264" s="36">
        <f t="shared" si="28"/>
        <v>0.73288194444444443</v>
      </c>
      <c r="C264" s="36">
        <f t="shared" si="29"/>
        <v>44402.732881944445</v>
      </c>
      <c r="D264" s="71" t="str">
        <f t="shared" si="30"/>
        <v>2021-07-25</v>
      </c>
      <c r="E264" s="38" t="s">
        <v>1193</v>
      </c>
      <c r="F264" s="37" t="str">
        <f t="shared" si="25"/>
        <v>2021-07-25_17-35-21</v>
      </c>
      <c r="G264" s="39">
        <v>40067773</v>
      </c>
      <c r="H264" s="40">
        <v>50877979</v>
      </c>
      <c r="I264" s="21" t="str">
        <f>IF(OR(COUNTIF(Monitoring!C:C, F264) &gt; 0, COUNTIF(Monitoring!F:F, F264) &gt; 0), "yes", "no")</f>
        <v>yes</v>
      </c>
      <c r="J264" s="72" t="str">
        <f t="shared" si="26"/>
        <v>Z:\FAIR_Device_data\Experiment_JulAug_2021\Video_captures\2021-07-25\2021-07-25_17-35-21.mp4</v>
      </c>
    </row>
    <row r="265" spans="1:10" x14ac:dyDescent="0.3">
      <c r="A265" s="1">
        <f t="shared" si="27"/>
        <v>44402</v>
      </c>
      <c r="B265" s="36">
        <f t="shared" si="28"/>
        <v>0.73547453703703702</v>
      </c>
      <c r="C265" s="36">
        <f t="shared" si="29"/>
        <v>44402.735474537039</v>
      </c>
      <c r="D265" s="71" t="str">
        <f t="shared" si="30"/>
        <v>2021-07-25</v>
      </c>
      <c r="E265" s="38" t="s">
        <v>1194</v>
      </c>
      <c r="F265" s="37" t="str">
        <f t="shared" si="25"/>
        <v>2021-07-25_17-39-05</v>
      </c>
      <c r="G265" s="39">
        <v>19603125</v>
      </c>
      <c r="H265" s="40">
        <v>24234160</v>
      </c>
      <c r="I265" s="21" t="str">
        <f>IF(OR(COUNTIF(Monitoring!C:C, F265) &gt; 0, COUNTIF(Monitoring!F:F, F265) &gt; 0), "yes", "no")</f>
        <v>yes</v>
      </c>
      <c r="J265" s="72" t="str">
        <f t="shared" si="26"/>
        <v>Z:\FAIR_Device_data\Experiment_JulAug_2021\Video_captures\2021-07-25\2021-07-25_17-39-05.mp4</v>
      </c>
    </row>
    <row r="266" spans="1:10" x14ac:dyDescent="0.3">
      <c r="A266" s="1">
        <f t="shared" si="27"/>
        <v>44402</v>
      </c>
      <c r="B266" s="36">
        <f t="shared" si="28"/>
        <v>0.76052083333333331</v>
      </c>
      <c r="C266" s="36">
        <f t="shared" si="29"/>
        <v>44402.760520833333</v>
      </c>
      <c r="D266" s="71" t="str">
        <f t="shared" si="30"/>
        <v>2021-07-25</v>
      </c>
      <c r="E266" s="38" t="s">
        <v>1195</v>
      </c>
      <c r="F266" s="37" t="str">
        <f t="shared" si="25"/>
        <v>2021-07-25_18-15-09</v>
      </c>
      <c r="G266" s="39">
        <v>246077799</v>
      </c>
      <c r="H266" s="40">
        <v>314093480</v>
      </c>
      <c r="I266" s="21" t="str">
        <f>IF(OR(COUNTIF(Monitoring!C:C, F266) &gt; 0, COUNTIF(Monitoring!F:F, F266) &gt; 0), "yes", "no")</f>
        <v>yes</v>
      </c>
      <c r="J266" s="72" t="str">
        <f t="shared" si="26"/>
        <v>Z:\FAIR_Device_data\Experiment_JulAug_2021\Video_captures\2021-07-25\2021-07-25_18-15-09.mp4</v>
      </c>
    </row>
    <row r="267" spans="1:10" x14ac:dyDescent="0.3">
      <c r="A267" s="1">
        <f t="shared" si="27"/>
        <v>44402</v>
      </c>
      <c r="B267" s="36">
        <f t="shared" si="28"/>
        <v>0.76744212962962965</v>
      </c>
      <c r="C267" s="36">
        <f t="shared" si="29"/>
        <v>44402.767442129632</v>
      </c>
      <c r="D267" s="71" t="str">
        <f t="shared" si="30"/>
        <v>2021-07-25</v>
      </c>
      <c r="E267" s="38" t="s">
        <v>1196</v>
      </c>
      <c r="F267" s="37" t="str">
        <f t="shared" si="25"/>
        <v>2021-07-25_18-25-07</v>
      </c>
      <c r="G267" s="39">
        <v>9378451</v>
      </c>
      <c r="H267" s="40">
        <v>9585106</v>
      </c>
      <c r="I267" s="21" t="str">
        <f>IF(OR(COUNTIF(Monitoring!C:C, F267) &gt; 0, COUNTIF(Monitoring!F:F, F267) &gt; 0), "yes", "no")</f>
        <v>yes</v>
      </c>
      <c r="J267" s="72" t="str">
        <f t="shared" si="26"/>
        <v>Z:\FAIR_Device_data\Experiment_JulAug_2021\Video_captures\2021-07-25\2021-07-25_18-25-07.mp4</v>
      </c>
    </row>
    <row r="268" spans="1:10" x14ac:dyDescent="0.3">
      <c r="A268" s="1">
        <f t="shared" si="27"/>
        <v>44402</v>
      </c>
      <c r="B268" s="36">
        <f t="shared" si="28"/>
        <v>0.76971064814814816</v>
      </c>
      <c r="C268" s="36">
        <f t="shared" si="29"/>
        <v>44402.76971064815</v>
      </c>
      <c r="D268" s="71" t="str">
        <f t="shared" si="30"/>
        <v>2021-07-25</v>
      </c>
      <c r="E268" s="38" t="s">
        <v>1197</v>
      </c>
      <c r="F268" s="37" t="str">
        <f t="shared" si="25"/>
        <v>2021-07-25_18-28-23</v>
      </c>
      <c r="G268" s="39">
        <v>62150391</v>
      </c>
      <c r="H268" s="40">
        <v>72512835</v>
      </c>
      <c r="I268" s="21" t="str">
        <f>IF(OR(COUNTIF(Monitoring!C:C, F268) &gt; 0, COUNTIF(Monitoring!F:F, F268) &gt; 0), "yes", "no")</f>
        <v>yes</v>
      </c>
      <c r="J268" s="72" t="str">
        <f t="shared" si="26"/>
        <v>Z:\FAIR_Device_data\Experiment_JulAug_2021\Video_captures\2021-07-25\2021-07-25_18-28-23.mp4</v>
      </c>
    </row>
    <row r="269" spans="1:10" x14ac:dyDescent="0.3">
      <c r="A269" s="1">
        <f t="shared" si="27"/>
        <v>44403</v>
      </c>
      <c r="B269" s="36">
        <f t="shared" si="28"/>
        <v>0.25434027777777779</v>
      </c>
      <c r="C269" s="36">
        <f t="shared" si="29"/>
        <v>44403.254340277781</v>
      </c>
      <c r="D269" s="71" t="str">
        <f t="shared" si="30"/>
        <v>2021-07-26</v>
      </c>
      <c r="E269" s="38" t="s">
        <v>1198</v>
      </c>
      <c r="F269" s="37" t="str">
        <f t="shared" si="25"/>
        <v>2021-07-26_06-06-15</v>
      </c>
      <c r="G269" s="39">
        <v>10146289</v>
      </c>
      <c r="H269" s="40">
        <v>11055057</v>
      </c>
      <c r="I269" s="21" t="str">
        <f>IF(OR(COUNTIF(Monitoring!C:C, F269) &gt; 0, COUNTIF(Monitoring!F:F, F269) &gt; 0), "yes", "no")</f>
        <v>yes</v>
      </c>
      <c r="J269" s="72" t="str">
        <f t="shared" si="26"/>
        <v>Z:\FAIR_Device_data\Experiment_JulAug_2021\Video_captures\2021-07-26\2021-07-26_06-06-15.mp4</v>
      </c>
    </row>
    <row r="270" spans="1:10" x14ac:dyDescent="0.3">
      <c r="A270" s="1">
        <f t="shared" si="27"/>
        <v>44403</v>
      </c>
      <c r="B270" s="36">
        <f t="shared" si="28"/>
        <v>0.26293981481481482</v>
      </c>
      <c r="C270" s="36">
        <f t="shared" si="29"/>
        <v>44403.262939814813</v>
      </c>
      <c r="D270" s="71" t="str">
        <f t="shared" si="30"/>
        <v>2021-07-26</v>
      </c>
      <c r="E270" s="38" t="s">
        <v>1199</v>
      </c>
      <c r="F270" s="37" t="str">
        <f t="shared" si="25"/>
        <v>2021-07-26_06-18-38</v>
      </c>
      <c r="G270" s="39">
        <v>33778776</v>
      </c>
      <c r="H270" s="40">
        <v>46139054</v>
      </c>
      <c r="I270" s="21" t="str">
        <f>IF(OR(COUNTIF(Monitoring!C:C, F270) &gt; 0, COUNTIF(Monitoring!F:F, F270) &gt; 0), "yes", "no")</f>
        <v>yes</v>
      </c>
      <c r="J270" s="72" t="str">
        <f t="shared" si="26"/>
        <v>Z:\FAIR_Device_data\Experiment_JulAug_2021\Video_captures\2021-07-26\2021-07-26_06-18-38.mp4</v>
      </c>
    </row>
    <row r="271" spans="1:10" x14ac:dyDescent="0.3">
      <c r="A271" s="1">
        <f t="shared" si="27"/>
        <v>44403</v>
      </c>
      <c r="B271" s="36">
        <f t="shared" si="28"/>
        <v>0.26420138888888889</v>
      </c>
      <c r="C271" s="36">
        <f t="shared" si="29"/>
        <v>44403.264201388891</v>
      </c>
      <c r="D271" s="71" t="str">
        <f t="shared" si="30"/>
        <v>2021-07-26</v>
      </c>
      <c r="E271" s="38" t="s">
        <v>1200</v>
      </c>
      <c r="F271" s="37" t="str">
        <f t="shared" si="25"/>
        <v>2021-07-26_06-20-27</v>
      </c>
      <c r="G271" s="39">
        <v>19660482</v>
      </c>
      <c r="H271" s="40">
        <v>25455211</v>
      </c>
      <c r="I271" s="21" t="str">
        <f>IF(OR(COUNTIF(Monitoring!C:C, F271) &gt; 0, COUNTIF(Monitoring!F:F, F271) &gt; 0), "yes", "no")</f>
        <v>yes</v>
      </c>
      <c r="J271" s="72" t="str">
        <f t="shared" si="26"/>
        <v>Z:\FAIR_Device_data\Experiment_JulAug_2021\Video_captures\2021-07-26\2021-07-26_06-20-27.mp4</v>
      </c>
    </row>
    <row r="272" spans="1:10" x14ac:dyDescent="0.3">
      <c r="A272" s="1">
        <f t="shared" si="27"/>
        <v>44403</v>
      </c>
      <c r="B272" s="36">
        <f t="shared" si="28"/>
        <v>0.32142361111111112</v>
      </c>
      <c r="C272" s="36">
        <f t="shared" si="29"/>
        <v>44403.321423611109</v>
      </c>
      <c r="D272" s="71" t="str">
        <f t="shared" si="30"/>
        <v>2021-07-26</v>
      </c>
      <c r="E272" s="38" t="s">
        <v>1201</v>
      </c>
      <c r="F272" s="37" t="str">
        <f t="shared" si="25"/>
        <v>2021-07-26_07-42-51</v>
      </c>
      <c r="G272" s="39">
        <v>9730013</v>
      </c>
      <c r="H272" s="40">
        <v>10597461</v>
      </c>
      <c r="I272" s="21" t="str">
        <f>IF(OR(COUNTIF(Monitoring!C:C, F272) &gt; 0, COUNTIF(Monitoring!F:F, F272) &gt; 0), "yes", "no")</f>
        <v>yes</v>
      </c>
      <c r="J272" s="72" t="str">
        <f t="shared" si="26"/>
        <v>Z:\FAIR_Device_data\Experiment_JulAug_2021\Video_captures\2021-07-26\2021-07-26_07-42-51.mp4</v>
      </c>
    </row>
    <row r="273" spans="1:10" x14ac:dyDescent="0.3">
      <c r="A273" s="1">
        <f t="shared" si="27"/>
        <v>44403</v>
      </c>
      <c r="B273" s="36">
        <f t="shared" si="28"/>
        <v>0.34144675925925927</v>
      </c>
      <c r="C273" s="36">
        <f t="shared" si="29"/>
        <v>44403.341446759259</v>
      </c>
      <c r="D273" s="71" t="str">
        <f t="shared" si="30"/>
        <v>2021-07-26</v>
      </c>
      <c r="E273" s="38" t="s">
        <v>1202</v>
      </c>
      <c r="F273" s="37" t="str">
        <f t="shared" si="25"/>
        <v>2021-07-26_08-11-41</v>
      </c>
      <c r="G273" s="39">
        <v>16908594</v>
      </c>
      <c r="H273" s="40">
        <v>21317258</v>
      </c>
      <c r="I273" s="21" t="str">
        <f>IF(OR(COUNTIF(Monitoring!C:C, F273) &gt; 0, COUNTIF(Monitoring!F:F, F273) &gt; 0), "yes", "no")</f>
        <v>yes</v>
      </c>
      <c r="J273" s="72" t="str">
        <f t="shared" si="26"/>
        <v>Z:\FAIR_Device_data\Experiment_JulAug_2021\Video_captures\2021-07-26\2021-07-26_08-11-41.mp4</v>
      </c>
    </row>
    <row r="274" spans="1:10" x14ac:dyDescent="0.3">
      <c r="A274" s="1">
        <f t="shared" si="27"/>
        <v>44403</v>
      </c>
      <c r="B274" s="36">
        <f t="shared" si="28"/>
        <v>0.39590277777777777</v>
      </c>
      <c r="C274" s="36">
        <f t="shared" si="29"/>
        <v>44403.395902777775</v>
      </c>
      <c r="D274" s="71" t="str">
        <f t="shared" si="30"/>
        <v>2021-07-26</v>
      </c>
      <c r="E274" s="38" t="s">
        <v>1203</v>
      </c>
      <c r="F274" s="37" t="str">
        <f t="shared" si="25"/>
        <v>2021-07-26_09-30-06</v>
      </c>
      <c r="G274" s="39">
        <v>12639997</v>
      </c>
      <c r="H274" s="40">
        <v>9694667</v>
      </c>
      <c r="I274" s="21" t="str">
        <f>IF(OR(COUNTIF(Monitoring!C:C, F274) &gt; 0, COUNTIF(Monitoring!F:F, F274) &gt; 0), "yes", "no")</f>
        <v>yes</v>
      </c>
      <c r="J274" s="72" t="str">
        <f t="shared" si="26"/>
        <v>Z:\FAIR_Device_data\Experiment_JulAug_2021\Video_captures\2021-07-26\2021-07-26_09-30-06.mp4</v>
      </c>
    </row>
    <row r="275" spans="1:10" x14ac:dyDescent="0.3">
      <c r="A275" s="1">
        <f t="shared" si="27"/>
        <v>44403</v>
      </c>
      <c r="B275" s="36">
        <f t="shared" si="28"/>
        <v>0.43535879629629631</v>
      </c>
      <c r="C275" s="36">
        <f t="shared" si="29"/>
        <v>44403.435358796298</v>
      </c>
      <c r="D275" s="71" t="str">
        <f t="shared" si="30"/>
        <v>2021-07-26</v>
      </c>
      <c r="E275" s="38" t="s">
        <v>1204</v>
      </c>
      <c r="F275" s="37" t="str">
        <f t="shared" si="25"/>
        <v>2021-07-26_10-26-55</v>
      </c>
      <c r="G275" s="39">
        <v>13876616</v>
      </c>
      <c r="H275" s="40">
        <v>9466559</v>
      </c>
      <c r="I275" s="21" t="str">
        <f>IF(OR(COUNTIF(Monitoring!C:C, F275) &gt; 0, COUNTIF(Monitoring!F:F, F275) &gt; 0), "yes", "no")</f>
        <v>yes</v>
      </c>
      <c r="J275" s="72" t="str">
        <f t="shared" si="26"/>
        <v>Z:\FAIR_Device_data\Experiment_JulAug_2021\Video_captures\2021-07-26\2021-07-26_10-26-55.mp4</v>
      </c>
    </row>
    <row r="276" spans="1:10" x14ac:dyDescent="0.3">
      <c r="A276" s="1">
        <f t="shared" si="27"/>
        <v>44403</v>
      </c>
      <c r="B276" s="36">
        <f t="shared" si="28"/>
        <v>0.45776620370370369</v>
      </c>
      <c r="C276" s="36">
        <f t="shared" si="29"/>
        <v>44403.457766203705</v>
      </c>
      <c r="D276" s="71" t="str">
        <f t="shared" si="30"/>
        <v>2021-07-26</v>
      </c>
      <c r="E276" s="38" t="s">
        <v>1205</v>
      </c>
      <c r="F276" s="37" t="str">
        <f t="shared" si="25"/>
        <v>2021-07-26_10-59-11</v>
      </c>
      <c r="G276" s="39">
        <v>9577865</v>
      </c>
      <c r="H276" s="40">
        <v>9613715</v>
      </c>
      <c r="I276" s="21" t="str">
        <f>IF(OR(COUNTIF(Monitoring!C:C, F276) &gt; 0, COUNTIF(Monitoring!F:F, F276) &gt; 0), "yes", "no")</f>
        <v>yes</v>
      </c>
      <c r="J276" s="72" t="str">
        <f t="shared" si="26"/>
        <v>Z:\FAIR_Device_data\Experiment_JulAug_2021\Video_captures\2021-07-26\2021-07-26_10-59-11.mp4</v>
      </c>
    </row>
    <row r="277" spans="1:10" x14ac:dyDescent="0.3">
      <c r="A277" s="1">
        <f t="shared" si="27"/>
        <v>44403</v>
      </c>
      <c r="B277" s="36">
        <f t="shared" si="28"/>
        <v>0.46243055555555557</v>
      </c>
      <c r="C277" s="36">
        <f t="shared" si="29"/>
        <v>44403.462430555555</v>
      </c>
      <c r="D277" s="71" t="str">
        <f t="shared" si="30"/>
        <v>2021-07-26</v>
      </c>
      <c r="E277" s="38" t="s">
        <v>1206</v>
      </c>
      <c r="F277" s="37" t="str">
        <f t="shared" si="25"/>
        <v>2021-07-26_11-05-54</v>
      </c>
      <c r="G277" s="39">
        <v>9733919</v>
      </c>
      <c r="H277" s="40">
        <v>9875274</v>
      </c>
      <c r="I277" s="21" t="str">
        <f>IF(OR(COUNTIF(Monitoring!C:C, F277) &gt; 0, COUNTIF(Monitoring!F:F, F277) &gt; 0), "yes", "no")</f>
        <v>yes</v>
      </c>
      <c r="J277" s="72" t="str">
        <f t="shared" si="26"/>
        <v>Z:\FAIR_Device_data\Experiment_JulAug_2021\Video_captures\2021-07-26\2021-07-26_11-05-54.mp4</v>
      </c>
    </row>
    <row r="278" spans="1:10" x14ac:dyDescent="0.3">
      <c r="A278" s="1">
        <f t="shared" si="27"/>
        <v>44403</v>
      </c>
      <c r="B278" s="36">
        <f t="shared" si="28"/>
        <v>0.46915509259259258</v>
      </c>
      <c r="C278" s="36">
        <f t="shared" si="29"/>
        <v>44403.469155092593</v>
      </c>
      <c r="D278" s="71" t="str">
        <f t="shared" si="30"/>
        <v>2021-07-26</v>
      </c>
      <c r="E278" s="38" t="s">
        <v>1207</v>
      </c>
      <c r="F278" s="37" t="str">
        <f t="shared" si="25"/>
        <v>2021-07-26_11-15-35</v>
      </c>
      <c r="G278" s="39">
        <v>40961979</v>
      </c>
      <c r="H278" s="40">
        <v>55142835</v>
      </c>
      <c r="I278" s="21" t="str">
        <f>IF(OR(COUNTIF(Monitoring!C:C, F278) &gt; 0, COUNTIF(Monitoring!F:F, F278) &gt; 0), "yes", "no")</f>
        <v>yes</v>
      </c>
      <c r="J278" s="72" t="str">
        <f t="shared" si="26"/>
        <v>Z:\FAIR_Device_data\Experiment_JulAug_2021\Video_captures\2021-07-26\2021-07-26_11-15-35.mp4</v>
      </c>
    </row>
    <row r="279" spans="1:10" x14ac:dyDescent="0.3">
      <c r="A279" s="1">
        <f t="shared" si="27"/>
        <v>44403</v>
      </c>
      <c r="B279" s="36">
        <f t="shared" si="28"/>
        <v>0.47806712962962961</v>
      </c>
      <c r="C279" s="36">
        <f t="shared" si="29"/>
        <v>44403.478067129632</v>
      </c>
      <c r="D279" s="71" t="str">
        <f t="shared" si="30"/>
        <v>2021-07-26</v>
      </c>
      <c r="E279" s="38" t="s">
        <v>1208</v>
      </c>
      <c r="F279" s="37" t="str">
        <f t="shared" si="25"/>
        <v>2021-07-26_11-28-25</v>
      </c>
      <c r="G279" s="39">
        <v>70547201</v>
      </c>
      <c r="H279" s="40">
        <v>64629571</v>
      </c>
      <c r="I279" s="21" t="str">
        <f>IF(OR(COUNTIF(Monitoring!C:C, F279) &gt; 0, COUNTIF(Monitoring!F:F, F279) &gt; 0), "yes", "no")</f>
        <v>yes</v>
      </c>
      <c r="J279" s="72" t="str">
        <f t="shared" si="26"/>
        <v>Z:\FAIR_Device_data\Experiment_JulAug_2021\Video_captures\2021-07-26\2021-07-26_11-28-25.mp4</v>
      </c>
    </row>
    <row r="280" spans="1:10" x14ac:dyDescent="0.3">
      <c r="A280" s="1">
        <f t="shared" si="27"/>
        <v>44403</v>
      </c>
      <c r="B280" s="36">
        <f t="shared" si="28"/>
        <v>0.49146990740740742</v>
      </c>
      <c r="C280" s="36">
        <f t="shared" si="29"/>
        <v>44403.491469907407</v>
      </c>
      <c r="D280" s="71" t="str">
        <f t="shared" si="30"/>
        <v>2021-07-26</v>
      </c>
      <c r="E280" s="38" t="s">
        <v>1209</v>
      </c>
      <c r="F280" s="37" t="str">
        <f t="shared" si="25"/>
        <v>2021-07-26_11-47-43</v>
      </c>
      <c r="G280" s="39">
        <v>54771549</v>
      </c>
      <c r="H280" s="40">
        <v>49845450</v>
      </c>
      <c r="I280" s="21" t="str">
        <f>IF(OR(COUNTIF(Monitoring!C:C, F280) &gt; 0, COUNTIF(Monitoring!F:F, F280) &gt; 0), "yes", "no")</f>
        <v>yes</v>
      </c>
      <c r="J280" s="72" t="str">
        <f t="shared" si="26"/>
        <v>Z:\FAIR_Device_data\Experiment_JulAug_2021\Video_captures\2021-07-26\2021-07-26_11-47-43.mp4</v>
      </c>
    </row>
    <row r="281" spans="1:10" x14ac:dyDescent="0.3">
      <c r="A281" s="1">
        <f t="shared" si="27"/>
        <v>44403</v>
      </c>
      <c r="B281" s="36">
        <f t="shared" si="28"/>
        <v>0.50357638888888889</v>
      </c>
      <c r="C281" s="36">
        <f t="shared" si="29"/>
        <v>44403.503576388888</v>
      </c>
      <c r="D281" s="71" t="str">
        <f t="shared" si="30"/>
        <v>2021-07-26</v>
      </c>
      <c r="E281" s="38" t="s">
        <v>1210</v>
      </c>
      <c r="F281" s="37" t="str">
        <f t="shared" si="25"/>
        <v>2021-07-26_12-05-09</v>
      </c>
      <c r="G281" s="39">
        <v>43269010</v>
      </c>
      <c r="H281" s="40">
        <v>27042618</v>
      </c>
      <c r="I281" s="21" t="str">
        <f>IF(OR(COUNTIF(Monitoring!C:C, F281) &gt; 0, COUNTIF(Monitoring!F:F, F281) &gt; 0), "yes", "no")</f>
        <v>yes</v>
      </c>
      <c r="J281" s="72" t="str">
        <f t="shared" si="26"/>
        <v>Z:\FAIR_Device_data\Experiment_JulAug_2021\Video_captures\2021-07-26\2021-07-26_12-05-09.mp4</v>
      </c>
    </row>
    <row r="282" spans="1:10" x14ac:dyDescent="0.3">
      <c r="A282" s="1">
        <f t="shared" si="27"/>
        <v>44403</v>
      </c>
      <c r="B282" s="36">
        <f t="shared" si="28"/>
        <v>0.51760416666666664</v>
      </c>
      <c r="C282" s="36">
        <f t="shared" si="29"/>
        <v>44403.517604166664</v>
      </c>
      <c r="D282" s="71" t="str">
        <f t="shared" si="30"/>
        <v>2021-07-26</v>
      </c>
      <c r="E282" s="38" t="s">
        <v>1211</v>
      </c>
      <c r="F282" s="37" t="str">
        <f t="shared" si="25"/>
        <v>2021-07-26_12-25-21</v>
      </c>
      <c r="G282" s="39">
        <v>46999674</v>
      </c>
      <c r="H282" s="40">
        <v>46230584</v>
      </c>
      <c r="I282" s="21" t="str">
        <f>IF(OR(COUNTIF(Monitoring!C:C, F282) &gt; 0, COUNTIF(Monitoring!F:F, F282) &gt; 0), "yes", "no")</f>
        <v>yes</v>
      </c>
      <c r="J282" s="72" t="str">
        <f t="shared" si="26"/>
        <v>Z:\FAIR_Device_data\Experiment_JulAug_2021\Video_captures\2021-07-26\2021-07-26_12-25-21.mp4</v>
      </c>
    </row>
    <row r="283" spans="1:10" x14ac:dyDescent="0.3">
      <c r="A283" s="1">
        <f t="shared" si="27"/>
        <v>44403</v>
      </c>
      <c r="B283" s="36">
        <f t="shared" si="28"/>
        <v>0.53140046296296295</v>
      </c>
      <c r="C283" s="36">
        <f t="shared" si="29"/>
        <v>44403.531400462962</v>
      </c>
      <c r="D283" s="71" t="str">
        <f t="shared" si="30"/>
        <v>2021-07-26</v>
      </c>
      <c r="E283" s="38" t="s">
        <v>1212</v>
      </c>
      <c r="F283" s="37" t="str">
        <f t="shared" si="25"/>
        <v>2021-07-26_12-45-13</v>
      </c>
      <c r="G283" s="39">
        <v>130470182</v>
      </c>
      <c r="H283" s="40">
        <v>126330865</v>
      </c>
      <c r="I283" s="21" t="str">
        <f>IF(OR(COUNTIF(Monitoring!C:C, F283) &gt; 0, COUNTIF(Monitoring!F:F, F283) &gt; 0), "yes", "no")</f>
        <v>yes</v>
      </c>
      <c r="J283" s="72" t="str">
        <f t="shared" si="26"/>
        <v>Z:\FAIR_Device_data\Experiment_JulAug_2021\Video_captures\2021-07-26\2021-07-26_12-45-13.mp4</v>
      </c>
    </row>
    <row r="284" spans="1:10" x14ac:dyDescent="0.3">
      <c r="A284" s="1">
        <f t="shared" si="27"/>
        <v>44403</v>
      </c>
      <c r="B284" s="36">
        <f t="shared" si="28"/>
        <v>0.54640046296296296</v>
      </c>
      <c r="C284" s="36">
        <f t="shared" si="29"/>
        <v>44403.546400462961</v>
      </c>
      <c r="D284" s="71" t="str">
        <f t="shared" si="30"/>
        <v>2021-07-26</v>
      </c>
      <c r="E284" s="38" t="s">
        <v>1213</v>
      </c>
      <c r="F284" s="37" t="str">
        <f t="shared" si="25"/>
        <v>2021-07-26_13-06-49</v>
      </c>
      <c r="G284" s="39">
        <v>41298112</v>
      </c>
      <c r="H284" s="40">
        <v>37422637</v>
      </c>
      <c r="I284" s="21" t="str">
        <f>IF(OR(COUNTIF(Monitoring!C:C, F284) &gt; 0, COUNTIF(Monitoring!F:F, F284) &gt; 0), "yes", "no")</f>
        <v>yes</v>
      </c>
      <c r="J284" s="72" t="str">
        <f t="shared" si="26"/>
        <v>Z:\FAIR_Device_data\Experiment_JulAug_2021\Video_captures\2021-07-26\2021-07-26_13-06-49.mp4</v>
      </c>
    </row>
    <row r="285" spans="1:10" x14ac:dyDescent="0.3">
      <c r="A285" s="1">
        <f t="shared" si="27"/>
        <v>44403</v>
      </c>
      <c r="B285" s="36">
        <f t="shared" si="28"/>
        <v>0.54973379629629626</v>
      </c>
      <c r="C285" s="36">
        <f t="shared" si="29"/>
        <v>44403.549733796295</v>
      </c>
      <c r="D285" s="71" t="str">
        <f t="shared" si="30"/>
        <v>2021-07-26</v>
      </c>
      <c r="E285" s="38" t="s">
        <v>1214</v>
      </c>
      <c r="F285" s="37" t="str">
        <f t="shared" si="25"/>
        <v>2021-07-26_13-11-37</v>
      </c>
      <c r="G285" s="39">
        <v>17955990</v>
      </c>
      <c r="H285" s="40">
        <v>16120489</v>
      </c>
      <c r="I285" s="21" t="str">
        <f>IF(OR(COUNTIF(Monitoring!C:C, F285) &gt; 0, COUNTIF(Monitoring!F:F, F285) &gt; 0), "yes", "no")</f>
        <v>no</v>
      </c>
      <c r="J285" s="72" t="str">
        <f t="shared" si="26"/>
        <v>Z:\FAIR_Device_data\Experiment_JulAug_2021\Video_captures\2021-07-26\2021-07-26_13-11-37.mp4</v>
      </c>
    </row>
    <row r="286" spans="1:10" x14ac:dyDescent="0.3">
      <c r="A286" s="1">
        <f t="shared" si="27"/>
        <v>44403</v>
      </c>
      <c r="B286" s="36">
        <f t="shared" si="28"/>
        <v>0.55039351851851848</v>
      </c>
      <c r="C286" s="36">
        <f t="shared" si="29"/>
        <v>44403.550393518519</v>
      </c>
      <c r="D286" s="71" t="str">
        <f t="shared" si="30"/>
        <v>2021-07-26</v>
      </c>
      <c r="E286" s="38" t="s">
        <v>1215</v>
      </c>
      <c r="F286" s="37" t="str">
        <f t="shared" si="25"/>
        <v>2021-07-26_13-12-34</v>
      </c>
      <c r="G286" s="39">
        <v>16732205</v>
      </c>
      <c r="H286" s="40">
        <v>9718195</v>
      </c>
      <c r="I286" s="21" t="str">
        <f>IF(OR(COUNTIF(Monitoring!C:C, F286) &gt; 0, COUNTIF(Monitoring!F:F, F286) &gt; 0), "yes", "no")</f>
        <v>no</v>
      </c>
      <c r="J286" s="72" t="str">
        <f t="shared" si="26"/>
        <v>Z:\FAIR_Device_data\Experiment_JulAug_2021\Video_captures\2021-07-26\2021-07-26_13-12-34.mp4</v>
      </c>
    </row>
    <row r="287" spans="1:10" x14ac:dyDescent="0.3">
      <c r="A287" s="1">
        <f t="shared" si="27"/>
        <v>44403</v>
      </c>
      <c r="B287" s="36">
        <f t="shared" si="28"/>
        <v>0.55585648148148148</v>
      </c>
      <c r="C287" s="36">
        <f t="shared" si="29"/>
        <v>44403.555856481478</v>
      </c>
      <c r="D287" s="71" t="str">
        <f t="shared" si="30"/>
        <v>2021-07-26</v>
      </c>
      <c r="E287" s="38" t="s">
        <v>1216</v>
      </c>
      <c r="F287" s="37" t="str">
        <f t="shared" si="25"/>
        <v>2021-07-26_13-20-26</v>
      </c>
      <c r="G287" s="39">
        <v>11971224</v>
      </c>
      <c r="H287" s="40">
        <v>9694405</v>
      </c>
      <c r="I287" s="21" t="str">
        <f>IF(OR(COUNTIF(Monitoring!C:C, F287) &gt; 0, COUNTIF(Monitoring!F:F, F287) &gt; 0), "yes", "no")</f>
        <v>no</v>
      </c>
      <c r="J287" s="72" t="str">
        <f t="shared" si="26"/>
        <v>Z:\FAIR_Device_data\Experiment_JulAug_2021\Video_captures\2021-07-26\2021-07-26_13-20-26.mp4</v>
      </c>
    </row>
    <row r="288" spans="1:10" x14ac:dyDescent="0.3">
      <c r="A288" s="1">
        <f t="shared" si="27"/>
        <v>44403</v>
      </c>
      <c r="B288" s="36">
        <f t="shared" si="28"/>
        <v>0.55722222222222217</v>
      </c>
      <c r="C288" s="36">
        <f t="shared" si="29"/>
        <v>44403.557222222225</v>
      </c>
      <c r="D288" s="71" t="str">
        <f t="shared" si="30"/>
        <v>2021-07-26</v>
      </c>
      <c r="E288" s="38" t="s">
        <v>1217</v>
      </c>
      <c r="F288" s="37" t="str">
        <f t="shared" si="25"/>
        <v>2021-07-26_13-22-24</v>
      </c>
      <c r="G288" s="39">
        <v>47165885</v>
      </c>
      <c r="H288" s="40">
        <v>43431480</v>
      </c>
      <c r="I288" s="21" t="str">
        <f>IF(OR(COUNTIF(Monitoring!C:C, F288) &gt; 0, COUNTIF(Monitoring!F:F, F288) &gt; 0), "yes", "no")</f>
        <v>no</v>
      </c>
      <c r="J288" s="72" t="str">
        <f t="shared" si="26"/>
        <v>Z:\FAIR_Device_data\Experiment_JulAug_2021\Video_captures\2021-07-26\2021-07-26_13-22-24.mp4</v>
      </c>
    </row>
    <row r="289" spans="1:10" x14ac:dyDescent="0.3">
      <c r="A289" s="1">
        <f t="shared" si="27"/>
        <v>44403</v>
      </c>
      <c r="B289" s="36">
        <f t="shared" si="28"/>
        <v>0.55912037037037032</v>
      </c>
      <c r="C289" s="36">
        <f t="shared" si="29"/>
        <v>44403.559120370373</v>
      </c>
      <c r="D289" s="71" t="str">
        <f t="shared" si="30"/>
        <v>2021-07-26</v>
      </c>
      <c r="E289" s="38" t="s">
        <v>1218</v>
      </c>
      <c r="F289" s="37" t="str">
        <f t="shared" si="25"/>
        <v>2021-07-26_13-25-08</v>
      </c>
      <c r="G289" s="39">
        <v>17324623</v>
      </c>
      <c r="H289" s="40">
        <v>15441042</v>
      </c>
      <c r="I289" s="21" t="str">
        <f>IF(OR(COUNTIF(Monitoring!C:C, F289) &gt; 0, COUNTIF(Monitoring!F:F, F289) &gt; 0), "yes", "no")</f>
        <v>no</v>
      </c>
      <c r="J289" s="72" t="str">
        <f t="shared" si="26"/>
        <v>Z:\FAIR_Device_data\Experiment_JulAug_2021\Video_captures\2021-07-26\2021-07-26_13-25-08.mp4</v>
      </c>
    </row>
    <row r="290" spans="1:10" x14ac:dyDescent="0.3">
      <c r="A290" s="1">
        <f t="shared" si="27"/>
        <v>44403</v>
      </c>
      <c r="B290" s="36">
        <f t="shared" si="28"/>
        <v>0.56092592592592594</v>
      </c>
      <c r="C290" s="36">
        <f t="shared" si="29"/>
        <v>44403.560925925929</v>
      </c>
      <c r="D290" s="71" t="str">
        <f t="shared" si="30"/>
        <v>2021-07-26</v>
      </c>
      <c r="E290" s="38" t="s">
        <v>1219</v>
      </c>
      <c r="F290" s="37" t="str">
        <f t="shared" si="25"/>
        <v>2021-07-26_13-27-44</v>
      </c>
      <c r="G290" s="39">
        <v>255808659</v>
      </c>
      <c r="H290" s="40">
        <v>236951529</v>
      </c>
      <c r="I290" s="21" t="str">
        <f>IF(OR(COUNTIF(Monitoring!C:C, F290) &gt; 0, COUNTIF(Monitoring!F:F, F290) &gt; 0), "yes", "no")</f>
        <v>no</v>
      </c>
      <c r="J290" s="72" t="str">
        <f t="shared" si="26"/>
        <v>Z:\FAIR_Device_data\Experiment_JulAug_2021\Video_captures\2021-07-26\2021-07-26_13-27-44.mp4</v>
      </c>
    </row>
    <row r="291" spans="1:10" x14ac:dyDescent="0.3">
      <c r="A291" s="1">
        <f t="shared" si="27"/>
        <v>44403</v>
      </c>
      <c r="B291" s="36">
        <f t="shared" si="28"/>
        <v>0.6459259259259259</v>
      </c>
      <c r="C291" s="36">
        <f t="shared" si="29"/>
        <v>44403.645925925928</v>
      </c>
      <c r="D291" s="71" t="str">
        <f t="shared" si="30"/>
        <v>2021-07-26</v>
      </c>
      <c r="E291" s="38" t="s">
        <v>1220</v>
      </c>
      <c r="F291" s="37" t="str">
        <f t="shared" si="25"/>
        <v>2021-07-26_15-30-08</v>
      </c>
      <c r="G291" s="39">
        <v>16595313</v>
      </c>
      <c r="H291" s="40">
        <v>20638729</v>
      </c>
      <c r="I291" s="21" t="str">
        <f>IF(OR(COUNTIF(Monitoring!C:C, F291) &gt; 0, COUNTIF(Monitoring!F:F, F291) &gt; 0), "yes", "no")</f>
        <v>yes</v>
      </c>
      <c r="J291" s="72" t="str">
        <f t="shared" si="26"/>
        <v>Z:\FAIR_Device_data\Experiment_JulAug_2021\Video_captures\2021-07-26\2021-07-26_15-30-08.mp4</v>
      </c>
    </row>
    <row r="292" spans="1:10" x14ac:dyDescent="0.3">
      <c r="A292" s="1">
        <f t="shared" si="27"/>
        <v>44403</v>
      </c>
      <c r="B292" s="36">
        <f t="shared" si="28"/>
        <v>0.65778935185185183</v>
      </c>
      <c r="C292" s="36">
        <f t="shared" si="29"/>
        <v>44403.657789351855</v>
      </c>
      <c r="D292" s="71" t="str">
        <f t="shared" si="30"/>
        <v>2021-07-26</v>
      </c>
      <c r="E292" s="38" t="s">
        <v>1221</v>
      </c>
      <c r="F292" s="37" t="str">
        <f t="shared" si="25"/>
        <v>2021-07-26_15-47-13</v>
      </c>
      <c r="G292" s="39">
        <v>10422331</v>
      </c>
      <c r="H292" s="40">
        <v>9739768</v>
      </c>
      <c r="I292" s="21" t="str">
        <f>IF(OR(COUNTIF(Monitoring!C:C, F292) &gt; 0, COUNTIF(Monitoring!F:F, F292) &gt; 0), "yes", "no")</f>
        <v>yes</v>
      </c>
      <c r="J292" s="72" t="str">
        <f t="shared" si="26"/>
        <v>Z:\FAIR_Device_data\Experiment_JulAug_2021\Video_captures\2021-07-26\2021-07-26_15-47-13.mp4</v>
      </c>
    </row>
    <row r="293" spans="1:10" x14ac:dyDescent="0.3">
      <c r="A293" s="1">
        <f t="shared" si="27"/>
        <v>44403</v>
      </c>
      <c r="B293" s="36">
        <f t="shared" si="28"/>
        <v>0.65831018518518514</v>
      </c>
      <c r="C293" s="36">
        <f t="shared" si="29"/>
        <v>44403.658310185187</v>
      </c>
      <c r="D293" s="71" t="str">
        <f t="shared" si="30"/>
        <v>2021-07-26</v>
      </c>
      <c r="E293" s="38" t="s">
        <v>1222</v>
      </c>
      <c r="F293" s="37" t="str">
        <f t="shared" si="25"/>
        <v>2021-07-26_15-47-58</v>
      </c>
      <c r="G293" s="39">
        <v>13938021</v>
      </c>
      <c r="H293" s="40">
        <v>10433646</v>
      </c>
      <c r="I293" s="21" t="str">
        <f>IF(OR(COUNTIF(Monitoring!C:C, F293) &gt; 0, COUNTIF(Monitoring!F:F, F293) &gt; 0), "yes", "no")</f>
        <v>no</v>
      </c>
      <c r="J293" s="72" t="str">
        <f t="shared" si="26"/>
        <v>Z:\FAIR_Device_data\Experiment_JulAug_2021\Video_captures\2021-07-26\2021-07-26_15-47-58.mp4</v>
      </c>
    </row>
    <row r="294" spans="1:10" x14ac:dyDescent="0.3">
      <c r="A294" s="1">
        <f t="shared" si="27"/>
        <v>44403</v>
      </c>
      <c r="B294" s="36">
        <f t="shared" si="28"/>
        <v>0.65914351851851849</v>
      </c>
      <c r="C294" s="36">
        <f t="shared" si="29"/>
        <v>44403.659143518518</v>
      </c>
      <c r="D294" s="71" t="str">
        <f t="shared" si="30"/>
        <v>2021-07-26</v>
      </c>
      <c r="E294" s="38" t="s">
        <v>1223</v>
      </c>
      <c r="F294" s="37" t="str">
        <f t="shared" si="25"/>
        <v>2021-07-26_15-49-10</v>
      </c>
      <c r="G294" s="39">
        <v>10253646</v>
      </c>
      <c r="H294" s="40">
        <v>11026638</v>
      </c>
      <c r="I294" s="21" t="str">
        <f>IF(OR(COUNTIF(Monitoring!C:C, F294) &gt; 0, COUNTIF(Monitoring!F:F, F294) &gt; 0), "yes", "no")</f>
        <v>no</v>
      </c>
      <c r="J294" s="72" t="str">
        <f t="shared" si="26"/>
        <v>Z:\FAIR_Device_data\Experiment_JulAug_2021\Video_captures\2021-07-26\2021-07-26_15-49-10.mp4</v>
      </c>
    </row>
    <row r="295" spans="1:10" x14ac:dyDescent="0.3">
      <c r="A295" s="1">
        <f t="shared" si="27"/>
        <v>44403</v>
      </c>
      <c r="B295" s="36">
        <f t="shared" si="28"/>
        <v>0.67611111111111111</v>
      </c>
      <c r="C295" s="36">
        <f t="shared" si="29"/>
        <v>44403.676111111112</v>
      </c>
      <c r="D295" s="71" t="str">
        <f t="shared" si="30"/>
        <v>2021-07-26</v>
      </c>
      <c r="E295" s="38" t="s">
        <v>1224</v>
      </c>
      <c r="F295" s="37" t="str">
        <f t="shared" si="25"/>
        <v>2021-07-26_16-13-36</v>
      </c>
      <c r="G295" s="39">
        <v>9892122</v>
      </c>
      <c r="H295" s="40">
        <v>10040212</v>
      </c>
      <c r="I295" s="21" t="str">
        <f>IF(OR(COUNTIF(Monitoring!C:C, F295) &gt; 0, COUNTIF(Monitoring!F:F, F295) &gt; 0), "yes", "no")</f>
        <v>no</v>
      </c>
      <c r="J295" s="72" t="str">
        <f t="shared" si="26"/>
        <v>Z:\FAIR_Device_data\Experiment_JulAug_2021\Video_captures\2021-07-26\2021-07-26_16-13-36.mp4</v>
      </c>
    </row>
    <row r="296" spans="1:10" x14ac:dyDescent="0.3">
      <c r="A296" s="1">
        <f t="shared" si="27"/>
        <v>44403</v>
      </c>
      <c r="B296" s="36">
        <f t="shared" si="28"/>
        <v>0.69966435185185183</v>
      </c>
      <c r="C296" s="36">
        <f t="shared" si="29"/>
        <v>44403.699664351851</v>
      </c>
      <c r="D296" s="71" t="str">
        <f t="shared" si="30"/>
        <v>2021-07-26</v>
      </c>
      <c r="E296" s="38" t="s">
        <v>1225</v>
      </c>
      <c r="F296" s="37" t="str">
        <f t="shared" si="25"/>
        <v>2021-07-26_16-47-31</v>
      </c>
      <c r="G296" s="39">
        <v>11204036</v>
      </c>
      <c r="H296" s="40">
        <v>12207418</v>
      </c>
      <c r="I296" s="21" t="str">
        <f>IF(OR(COUNTIF(Monitoring!C:C, F296) &gt; 0, COUNTIF(Monitoring!F:F, F296) &gt; 0), "yes", "no")</f>
        <v>yes</v>
      </c>
      <c r="J296" s="72" t="str">
        <f t="shared" si="26"/>
        <v>Z:\FAIR_Device_data\Experiment_JulAug_2021\Video_captures\2021-07-26\2021-07-26_16-47-31.mp4</v>
      </c>
    </row>
    <row r="297" spans="1:10" x14ac:dyDescent="0.3">
      <c r="A297" s="1">
        <f t="shared" si="27"/>
        <v>44403</v>
      </c>
      <c r="B297" s="36">
        <f t="shared" si="28"/>
        <v>0.70225694444444442</v>
      </c>
      <c r="C297" s="36">
        <f t="shared" si="29"/>
        <v>44403.702256944445</v>
      </c>
      <c r="D297" s="71" t="str">
        <f t="shared" si="30"/>
        <v>2021-07-26</v>
      </c>
      <c r="E297" s="38" t="s">
        <v>1226</v>
      </c>
      <c r="F297" s="37" t="str">
        <f t="shared" si="25"/>
        <v>2021-07-26_16-51-15</v>
      </c>
      <c r="G297" s="39">
        <v>16618467</v>
      </c>
      <c r="H297" s="40">
        <v>14741493</v>
      </c>
      <c r="I297" s="21" t="str">
        <f>IF(OR(COUNTIF(Monitoring!C:C, F297) &gt; 0, COUNTIF(Monitoring!F:F, F297) &gt; 0), "yes", "no")</f>
        <v>yes</v>
      </c>
      <c r="J297" s="72" t="str">
        <f t="shared" si="26"/>
        <v>Z:\FAIR_Device_data\Experiment_JulAug_2021\Video_captures\2021-07-26\2021-07-26_16-51-15.mp4</v>
      </c>
    </row>
    <row r="298" spans="1:10" x14ac:dyDescent="0.3">
      <c r="A298" s="1">
        <f t="shared" si="27"/>
        <v>44405</v>
      </c>
      <c r="B298" s="36">
        <f t="shared" si="28"/>
        <v>0.6607291666666667</v>
      </c>
      <c r="C298" s="36">
        <f t="shared" si="29"/>
        <v>44405.660729166666</v>
      </c>
      <c r="D298" s="71" t="str">
        <f t="shared" si="30"/>
        <v>2021-07-28</v>
      </c>
      <c r="E298" s="38" t="s">
        <v>1227</v>
      </c>
      <c r="F298" s="37" t="str">
        <f t="shared" si="25"/>
        <v>2021-07-28_15-51-27</v>
      </c>
      <c r="G298" s="39">
        <v>78345508</v>
      </c>
      <c r="H298" s="40">
        <v>76319811</v>
      </c>
      <c r="I298" s="21" t="str">
        <f>IF(OR(COUNTIF(Monitoring!C:C, F298) &gt; 0, COUNTIF(Monitoring!F:F, F298) &gt; 0), "yes", "no")</f>
        <v>yes</v>
      </c>
      <c r="J298" s="72" t="str">
        <f t="shared" si="26"/>
        <v>Z:\FAIR_Device_data\Experiment_JulAug_2021\Video_captures\2021-07-28\2021-07-28_15-51-27.mp4</v>
      </c>
    </row>
    <row r="299" spans="1:10" x14ac:dyDescent="0.3">
      <c r="A299" s="1">
        <f t="shared" si="27"/>
        <v>44405</v>
      </c>
      <c r="B299" s="36">
        <f t="shared" si="28"/>
        <v>0.66203703703703709</v>
      </c>
      <c r="C299" s="36">
        <f t="shared" si="29"/>
        <v>44405.662037037036</v>
      </c>
      <c r="D299" s="71" t="str">
        <f t="shared" si="30"/>
        <v>2021-07-28</v>
      </c>
      <c r="E299" s="38" t="s">
        <v>1228</v>
      </c>
      <c r="F299" s="37" t="str">
        <f t="shared" si="25"/>
        <v>2021-07-28_15-53-20</v>
      </c>
      <c r="G299" s="39">
        <v>25688411</v>
      </c>
      <c r="H299" s="40">
        <v>17715339</v>
      </c>
      <c r="I299" s="21" t="str">
        <f>IF(OR(COUNTIF(Monitoring!C:C, F299) &gt; 0, COUNTIF(Monitoring!F:F, F299) &gt; 0), "yes", "no")</f>
        <v>no</v>
      </c>
      <c r="J299" s="72" t="str">
        <f t="shared" si="26"/>
        <v>Z:\FAIR_Device_data\Experiment_JulAug_2021\Video_captures\2021-07-28\2021-07-28_15-53-20.mp4</v>
      </c>
    </row>
    <row r="300" spans="1:10" x14ac:dyDescent="0.3">
      <c r="A300" s="1">
        <f t="shared" si="27"/>
        <v>44405</v>
      </c>
      <c r="B300" s="36">
        <f t="shared" si="28"/>
        <v>0.6638425925925926</v>
      </c>
      <c r="C300" s="36">
        <f t="shared" si="29"/>
        <v>44405.663842592592</v>
      </c>
      <c r="D300" s="71" t="str">
        <f t="shared" si="30"/>
        <v>2021-07-28</v>
      </c>
      <c r="E300" s="38" t="s">
        <v>1229</v>
      </c>
      <c r="F300" s="37" t="str">
        <f t="shared" si="25"/>
        <v>2021-07-28_15-55-56</v>
      </c>
      <c r="G300" s="39">
        <v>114313672</v>
      </c>
      <c r="H300" s="40">
        <v>109876267</v>
      </c>
      <c r="I300" s="21" t="str">
        <f>IF(OR(COUNTIF(Monitoring!C:C, F300) &gt; 0, COUNTIF(Monitoring!F:F, F300) &gt; 0), "yes", "no")</f>
        <v>yes</v>
      </c>
      <c r="J300" s="72" t="str">
        <f t="shared" si="26"/>
        <v>Z:\FAIR_Device_data\Experiment_JulAug_2021\Video_captures\2021-07-28\2021-07-28_15-55-56.mp4</v>
      </c>
    </row>
    <row r="301" spans="1:10" x14ac:dyDescent="0.3">
      <c r="A301" s="1">
        <f t="shared" si="27"/>
        <v>44405</v>
      </c>
      <c r="B301" s="36">
        <f t="shared" si="28"/>
        <v>0.67929398148148146</v>
      </c>
      <c r="C301" s="36">
        <f t="shared" si="29"/>
        <v>44405.679293981484</v>
      </c>
      <c r="D301" s="71" t="str">
        <f t="shared" si="30"/>
        <v>2021-07-28</v>
      </c>
      <c r="E301" s="38" t="s">
        <v>1230</v>
      </c>
      <c r="F301" s="37" t="str">
        <f t="shared" si="25"/>
        <v>2021-07-28_16-18-11</v>
      </c>
      <c r="G301" s="39">
        <v>9488737</v>
      </c>
      <c r="H301" s="40">
        <v>9810955</v>
      </c>
      <c r="I301" s="21" t="str">
        <f>IF(OR(COUNTIF(Monitoring!C:C, F301) &gt; 0, COUNTIF(Monitoring!F:F, F301) &gt; 0), "yes", "no")</f>
        <v>yes</v>
      </c>
      <c r="J301" s="72" t="str">
        <f t="shared" si="26"/>
        <v>Z:\FAIR_Device_data\Experiment_JulAug_2021\Video_captures\2021-07-28\2021-07-28_16-18-11.mp4</v>
      </c>
    </row>
    <row r="302" spans="1:10" x14ac:dyDescent="0.3">
      <c r="A302" s="1">
        <f t="shared" si="27"/>
        <v>44405</v>
      </c>
      <c r="B302" s="36">
        <f t="shared" si="28"/>
        <v>0.68070601851851853</v>
      </c>
      <c r="C302" s="36">
        <f t="shared" si="29"/>
        <v>44405.680706018517</v>
      </c>
      <c r="D302" s="71" t="str">
        <f t="shared" si="30"/>
        <v>2021-07-28</v>
      </c>
      <c r="E302" s="38" t="s">
        <v>1231</v>
      </c>
      <c r="F302" s="37" t="str">
        <f t="shared" si="25"/>
        <v>2021-07-28_16-20-13</v>
      </c>
      <c r="G302" s="39">
        <v>9473633</v>
      </c>
      <c r="H302" s="40">
        <v>9838838</v>
      </c>
      <c r="I302" s="21" t="str">
        <f>IF(OR(COUNTIF(Monitoring!C:C, F302) &gt; 0, COUNTIF(Monitoring!F:F, F302) &gt; 0), "yes", "no")</f>
        <v>no</v>
      </c>
      <c r="J302" s="72" t="str">
        <f t="shared" si="26"/>
        <v>Z:\FAIR_Device_data\Experiment_JulAug_2021\Video_captures\2021-07-28\2021-07-28_16-20-13.mp4</v>
      </c>
    </row>
    <row r="303" spans="1:10" x14ac:dyDescent="0.3">
      <c r="A303" s="1">
        <f t="shared" si="27"/>
        <v>44405</v>
      </c>
      <c r="B303" s="36">
        <f t="shared" si="28"/>
        <v>0.68218749999999995</v>
      </c>
      <c r="C303" s="36">
        <f t="shared" si="29"/>
        <v>44405.682187500002</v>
      </c>
      <c r="D303" s="71" t="str">
        <f t="shared" si="30"/>
        <v>2021-07-28</v>
      </c>
      <c r="E303" s="38" t="s">
        <v>1232</v>
      </c>
      <c r="F303" s="37" t="str">
        <f t="shared" si="25"/>
        <v>2021-07-28_16-22-21</v>
      </c>
      <c r="G303" s="39">
        <v>9249154</v>
      </c>
      <c r="H303" s="40">
        <v>9690116</v>
      </c>
      <c r="I303" s="21" t="str">
        <f>IF(OR(COUNTIF(Monitoring!C:C, F303) &gt; 0, COUNTIF(Monitoring!F:F, F303) &gt; 0), "yes", "no")</f>
        <v>no</v>
      </c>
      <c r="J303" s="72" t="str">
        <f t="shared" si="26"/>
        <v>Z:\FAIR_Device_data\Experiment_JulAug_2021\Video_captures\2021-07-28\2021-07-28_16-22-21.mp4</v>
      </c>
    </row>
    <row r="304" spans="1:10" x14ac:dyDescent="0.3">
      <c r="A304" s="1">
        <f t="shared" si="27"/>
        <v>44405</v>
      </c>
      <c r="B304" s="36">
        <f t="shared" si="28"/>
        <v>0.68784722222222228</v>
      </c>
      <c r="C304" s="36">
        <f t="shared" si="29"/>
        <v>44405.687847222223</v>
      </c>
      <c r="D304" s="71" t="str">
        <f t="shared" si="30"/>
        <v>2021-07-28</v>
      </c>
      <c r="E304" s="38" t="s">
        <v>1233</v>
      </c>
      <c r="F304" s="37" t="str">
        <f t="shared" si="25"/>
        <v>2021-07-28_16-30-30</v>
      </c>
      <c r="G304" s="39">
        <v>9769599</v>
      </c>
      <c r="H304" s="40">
        <v>10139504</v>
      </c>
      <c r="I304" s="21" t="str">
        <f>IF(OR(COUNTIF(Monitoring!C:C, F304) &gt; 0, COUNTIF(Monitoring!F:F, F304) &gt; 0), "yes", "no")</f>
        <v>yes</v>
      </c>
      <c r="J304" s="72" t="str">
        <f t="shared" si="26"/>
        <v>Z:\FAIR_Device_data\Experiment_JulAug_2021\Video_captures\2021-07-28\2021-07-28_16-30-30.mp4</v>
      </c>
    </row>
    <row r="305" spans="1:10" x14ac:dyDescent="0.3">
      <c r="A305" s="1">
        <f t="shared" si="27"/>
        <v>44405</v>
      </c>
      <c r="B305" s="36">
        <f t="shared" si="28"/>
        <v>0.7094907407407407</v>
      </c>
      <c r="C305" s="36">
        <f t="shared" si="29"/>
        <v>44405.709490740737</v>
      </c>
      <c r="D305" s="71" t="str">
        <f t="shared" si="30"/>
        <v>2021-07-28</v>
      </c>
      <c r="E305" s="38" t="s">
        <v>1234</v>
      </c>
      <c r="F305" s="37" t="str">
        <f t="shared" si="25"/>
        <v>2021-07-28_17-01-40</v>
      </c>
      <c r="G305" s="39">
        <v>72166667</v>
      </c>
      <c r="H305" s="40">
        <v>40927151</v>
      </c>
      <c r="I305" s="21" t="str">
        <f>IF(OR(COUNTIF(Monitoring!C:C, F305) &gt; 0, COUNTIF(Monitoring!F:F, F305) &gt; 0), "yes", "no")</f>
        <v>yes</v>
      </c>
      <c r="J305" s="72" t="str">
        <f t="shared" si="26"/>
        <v>Z:\FAIR_Device_data\Experiment_JulAug_2021\Video_captures\2021-07-28\2021-07-28_17-01-40.mp4</v>
      </c>
    </row>
    <row r="306" spans="1:10" x14ac:dyDescent="0.3">
      <c r="A306" s="1">
        <f t="shared" si="27"/>
        <v>44405</v>
      </c>
      <c r="B306" s="36">
        <f t="shared" si="28"/>
        <v>0.71365740740740746</v>
      </c>
      <c r="C306" s="36">
        <f t="shared" si="29"/>
        <v>44405.71365740741</v>
      </c>
      <c r="D306" s="71" t="str">
        <f t="shared" si="30"/>
        <v>2021-07-28</v>
      </c>
      <c r="E306" s="38" t="s">
        <v>1235</v>
      </c>
      <c r="F306" s="37" t="str">
        <f t="shared" si="25"/>
        <v>2021-07-28_17-07-40</v>
      </c>
      <c r="G306" s="39">
        <v>14066276</v>
      </c>
      <c r="H306" s="40">
        <v>14958461</v>
      </c>
      <c r="I306" s="21" t="str">
        <f>IF(OR(COUNTIF(Monitoring!C:C, F306) &gt; 0, COUNTIF(Monitoring!F:F, F306) &gt; 0), "yes", "no")</f>
        <v>yes</v>
      </c>
      <c r="J306" s="72" t="str">
        <f t="shared" si="26"/>
        <v>Z:\FAIR_Device_data\Experiment_JulAug_2021\Video_captures\2021-07-28\2021-07-28_17-07-40.mp4</v>
      </c>
    </row>
    <row r="307" spans="1:10" x14ac:dyDescent="0.3">
      <c r="A307" s="1">
        <f t="shared" si="27"/>
        <v>44406</v>
      </c>
      <c r="B307" s="36">
        <f t="shared" si="28"/>
        <v>0.37643518518518521</v>
      </c>
      <c r="C307" s="36">
        <f t="shared" si="29"/>
        <v>44406.376435185186</v>
      </c>
      <c r="D307" s="71" t="str">
        <f t="shared" si="30"/>
        <v>2021-07-29</v>
      </c>
      <c r="E307" s="38" t="s">
        <v>1236</v>
      </c>
      <c r="F307" s="37" t="str">
        <f t="shared" si="25"/>
        <v>2021-07-29_09-02-04</v>
      </c>
      <c r="G307" s="39">
        <v>83906706</v>
      </c>
      <c r="H307" s="40">
        <v>107030251</v>
      </c>
      <c r="I307" s="21" t="str">
        <f>IF(OR(COUNTIF(Monitoring!C:C, F307) &gt; 0, COUNTIF(Monitoring!F:F, F307) &gt; 0), "yes", "no")</f>
        <v>yes</v>
      </c>
      <c r="J307" s="72" t="str">
        <f t="shared" si="26"/>
        <v>Z:\FAIR_Device_data\Experiment_JulAug_2021\Video_captures\2021-07-29\2021-07-29_09-02-04.mp4</v>
      </c>
    </row>
    <row r="308" spans="1:10" x14ac:dyDescent="0.3">
      <c r="A308" s="1">
        <f t="shared" si="27"/>
        <v>44406</v>
      </c>
      <c r="B308" s="36">
        <f t="shared" si="28"/>
        <v>0.38224537037037037</v>
      </c>
      <c r="C308" s="36">
        <f t="shared" si="29"/>
        <v>44406.382245370369</v>
      </c>
      <c r="D308" s="71" t="str">
        <f t="shared" si="30"/>
        <v>2021-07-29</v>
      </c>
      <c r="E308" s="38" t="s">
        <v>1237</v>
      </c>
      <c r="F308" s="37" t="str">
        <f t="shared" si="25"/>
        <v>2021-07-29_09-10-26</v>
      </c>
      <c r="G308" s="39">
        <v>200899740</v>
      </c>
      <c r="H308" s="40">
        <v>182912086</v>
      </c>
      <c r="I308" s="21" t="str">
        <f>IF(OR(COUNTIF(Monitoring!C:C, F308) &gt; 0, COUNTIF(Monitoring!F:F, F308) &gt; 0), "yes", "no")</f>
        <v>yes</v>
      </c>
      <c r="J308" s="72" t="str">
        <f t="shared" si="26"/>
        <v>Z:\FAIR_Device_data\Experiment_JulAug_2021\Video_captures\2021-07-29\2021-07-29_09-10-26.mp4</v>
      </c>
    </row>
    <row r="309" spans="1:10" x14ac:dyDescent="0.3">
      <c r="A309" s="1">
        <f t="shared" si="27"/>
        <v>44406</v>
      </c>
      <c r="B309" s="36">
        <f t="shared" si="28"/>
        <v>0.61563657407407413</v>
      </c>
      <c r="C309" s="36">
        <f t="shared" si="29"/>
        <v>44406.615636574075</v>
      </c>
      <c r="D309" s="71" t="str">
        <f t="shared" si="30"/>
        <v>2021-07-29</v>
      </c>
      <c r="E309" s="38" t="s">
        <v>1238</v>
      </c>
      <c r="F309" s="37" t="str">
        <f t="shared" si="25"/>
        <v>2021-07-29_14-46-31</v>
      </c>
      <c r="G309" s="39">
        <v>26936133</v>
      </c>
      <c r="H309" s="40">
        <v>24927829</v>
      </c>
      <c r="I309" s="21" t="str">
        <f>IF(OR(COUNTIF(Monitoring!C:C, F309) &gt; 0, COUNTIF(Monitoring!F:F, F309) &gt; 0), "yes", "no")</f>
        <v>yes</v>
      </c>
      <c r="J309" s="72" t="str">
        <f t="shared" si="26"/>
        <v>Z:\FAIR_Device_data\Experiment_JulAug_2021\Video_captures\2021-07-29\2021-07-29_14-46-31.mp4</v>
      </c>
    </row>
    <row r="310" spans="1:10" x14ac:dyDescent="0.3">
      <c r="A310" s="1">
        <f t="shared" si="27"/>
        <v>44406</v>
      </c>
      <c r="B310" s="36">
        <f t="shared" si="28"/>
        <v>0.69172453703703707</v>
      </c>
      <c r="C310" s="36">
        <f t="shared" si="29"/>
        <v>44406.691724537035</v>
      </c>
      <c r="D310" s="71" t="str">
        <f t="shared" si="30"/>
        <v>2021-07-29</v>
      </c>
      <c r="E310" s="38" t="s">
        <v>1239</v>
      </c>
      <c r="F310" s="37" t="str">
        <f t="shared" si="25"/>
        <v>2021-07-29_16-36-05</v>
      </c>
      <c r="G310" s="39">
        <v>17418685</v>
      </c>
      <c r="H310" s="40">
        <v>21614080</v>
      </c>
      <c r="I310" s="21" t="str">
        <f>IF(OR(COUNTIF(Monitoring!C:C, F310) &gt; 0, COUNTIF(Monitoring!F:F, F310) &gt; 0), "yes", "no")</f>
        <v>yes</v>
      </c>
      <c r="J310" s="72" t="str">
        <f t="shared" si="26"/>
        <v>Z:\FAIR_Device_data\Experiment_JulAug_2021\Video_captures\2021-07-29\2021-07-29_16-36-05.mp4</v>
      </c>
    </row>
    <row r="311" spans="1:10" x14ac:dyDescent="0.3">
      <c r="A311" s="1">
        <f t="shared" si="27"/>
        <v>44406</v>
      </c>
      <c r="B311" s="36">
        <f t="shared" si="28"/>
        <v>0.69262731481481477</v>
      </c>
      <c r="C311" s="36">
        <f t="shared" si="29"/>
        <v>44406.692627314813</v>
      </c>
      <c r="D311" s="71" t="str">
        <f t="shared" si="30"/>
        <v>2021-07-29</v>
      </c>
      <c r="E311" s="38" t="s">
        <v>1240</v>
      </c>
      <c r="F311" s="37" t="str">
        <f t="shared" si="25"/>
        <v>2021-07-29_16-37-23</v>
      </c>
      <c r="G311" s="39">
        <v>172474740</v>
      </c>
      <c r="H311" s="40">
        <v>248548800</v>
      </c>
      <c r="I311" s="21" t="str">
        <f>IF(OR(COUNTIF(Monitoring!C:C, F311) &gt; 0, COUNTIF(Monitoring!F:F, F311) &gt; 0), "yes", "no")</f>
        <v>yes</v>
      </c>
      <c r="J311" s="72" t="str">
        <f t="shared" si="26"/>
        <v>Z:\FAIR_Device_data\Experiment_JulAug_2021\Video_captures\2021-07-29\2021-07-29_16-37-23.mp4</v>
      </c>
    </row>
    <row r="312" spans="1:10" x14ac:dyDescent="0.3">
      <c r="A312" s="1">
        <f t="shared" si="27"/>
        <v>44406</v>
      </c>
      <c r="B312" s="36">
        <f t="shared" si="28"/>
        <v>0.7211805555555556</v>
      </c>
      <c r="C312" s="36">
        <f t="shared" si="29"/>
        <v>44406.721180555556</v>
      </c>
      <c r="D312" s="71" t="str">
        <f t="shared" si="30"/>
        <v>2021-07-29</v>
      </c>
      <c r="E312" s="38" t="s">
        <v>1241</v>
      </c>
      <c r="F312" s="37" t="str">
        <f t="shared" si="25"/>
        <v>2021-07-29_17-18-30</v>
      </c>
      <c r="G312" s="39">
        <v>17602148</v>
      </c>
      <c r="H312" s="40">
        <v>21831387</v>
      </c>
      <c r="I312" s="21" t="str">
        <f>IF(OR(COUNTIF(Monitoring!C:C, F312) &gt; 0, COUNTIF(Monitoring!F:F, F312) &gt; 0), "yes", "no")</f>
        <v>yes</v>
      </c>
      <c r="J312" s="72" t="str">
        <f t="shared" si="26"/>
        <v>Z:\FAIR_Device_data\Experiment_JulAug_2021\Video_captures\2021-07-29\2021-07-29_17-18-30.mp4</v>
      </c>
    </row>
    <row r="313" spans="1:10" x14ac:dyDescent="0.3">
      <c r="A313" s="1">
        <f t="shared" si="27"/>
        <v>44406</v>
      </c>
      <c r="B313" s="36">
        <f t="shared" si="28"/>
        <v>0.72508101851851847</v>
      </c>
      <c r="C313" s="36">
        <f t="shared" si="29"/>
        <v>44406.725081018521</v>
      </c>
      <c r="D313" s="71" t="str">
        <f t="shared" si="30"/>
        <v>2021-07-29</v>
      </c>
      <c r="E313" s="38" t="s">
        <v>1242</v>
      </c>
      <c r="F313" s="37" t="str">
        <f t="shared" si="25"/>
        <v>2021-07-29_17-24-07</v>
      </c>
      <c r="G313" s="39">
        <v>45195691</v>
      </c>
      <c r="H313" s="40">
        <v>54880531</v>
      </c>
      <c r="I313" s="21" t="str">
        <f>IF(OR(COUNTIF(Monitoring!C:C, F313) &gt; 0, COUNTIF(Monitoring!F:F, F313) &gt; 0), "yes", "no")</f>
        <v>yes</v>
      </c>
      <c r="J313" s="72" t="str">
        <f t="shared" si="26"/>
        <v>Z:\FAIR_Device_data\Experiment_JulAug_2021\Video_captures\2021-07-29\2021-07-29_17-24-07.mp4</v>
      </c>
    </row>
    <row r="314" spans="1:10" x14ac:dyDescent="0.3">
      <c r="A314" s="1">
        <f t="shared" si="27"/>
        <v>44406</v>
      </c>
      <c r="B314" s="36">
        <f t="shared" si="28"/>
        <v>0.75093750000000004</v>
      </c>
      <c r="C314" s="36">
        <f t="shared" si="29"/>
        <v>44406.750937500001</v>
      </c>
      <c r="D314" s="71" t="str">
        <f t="shared" si="30"/>
        <v>2021-07-29</v>
      </c>
      <c r="E314" s="38" t="s">
        <v>1243</v>
      </c>
      <c r="F314" s="37" t="str">
        <f t="shared" si="25"/>
        <v>2021-07-29_18-01-21</v>
      </c>
      <c r="G314" s="39">
        <v>9622461</v>
      </c>
      <c r="H314" s="40">
        <v>9710140</v>
      </c>
      <c r="I314" s="21" t="str">
        <f>IF(OR(COUNTIF(Monitoring!C:C, F314) &gt; 0, COUNTIF(Monitoring!F:F, F314) &gt; 0), "yes", "no")</f>
        <v>yes</v>
      </c>
      <c r="J314" s="72" t="str">
        <f t="shared" si="26"/>
        <v>Z:\FAIR_Device_data\Experiment_JulAug_2021\Video_captures\2021-07-29\2021-07-29_18-01-21.mp4</v>
      </c>
    </row>
    <row r="315" spans="1:10" x14ac:dyDescent="0.3">
      <c r="A315" s="1">
        <f t="shared" si="27"/>
        <v>44406</v>
      </c>
      <c r="B315" s="36">
        <f t="shared" si="28"/>
        <v>0.75135416666666666</v>
      </c>
      <c r="C315" s="36">
        <f t="shared" si="29"/>
        <v>44406.751354166663</v>
      </c>
      <c r="D315" s="71" t="str">
        <f t="shared" si="30"/>
        <v>2021-07-29</v>
      </c>
      <c r="E315" s="38" t="s">
        <v>1244</v>
      </c>
      <c r="F315" s="37" t="str">
        <f t="shared" si="25"/>
        <v>2021-07-29_18-01-57</v>
      </c>
      <c r="G315" s="39">
        <v>47397786</v>
      </c>
      <c r="H315" s="40">
        <v>56317458</v>
      </c>
      <c r="I315" s="21" t="str">
        <f>IF(OR(COUNTIF(Monitoring!C:C, F315) &gt; 0, COUNTIF(Monitoring!F:F, F315) &gt; 0), "yes", "no")</f>
        <v>yes</v>
      </c>
      <c r="J315" s="72" t="str">
        <f t="shared" si="26"/>
        <v>Z:\FAIR_Device_data\Experiment_JulAug_2021\Video_captures\2021-07-29\2021-07-29_18-01-57.mp4</v>
      </c>
    </row>
    <row r="316" spans="1:10" x14ac:dyDescent="0.3">
      <c r="A316" s="1">
        <f t="shared" si="27"/>
        <v>44406</v>
      </c>
      <c r="B316" s="36">
        <f t="shared" si="28"/>
        <v>0.76519675925925923</v>
      </c>
      <c r="C316" s="36">
        <f t="shared" si="29"/>
        <v>44406.765196759261</v>
      </c>
      <c r="D316" s="71" t="str">
        <f t="shared" si="30"/>
        <v>2021-07-29</v>
      </c>
      <c r="E316" s="38" t="s">
        <v>1245</v>
      </c>
      <c r="F316" s="37" t="str">
        <f t="shared" si="25"/>
        <v>2021-07-29_18-21-53</v>
      </c>
      <c r="G316" s="39">
        <v>10342969</v>
      </c>
      <c r="H316" s="40">
        <v>10884627</v>
      </c>
      <c r="I316" s="21" t="str">
        <f>IF(OR(COUNTIF(Monitoring!C:C, F316) &gt; 0, COUNTIF(Monitoring!F:F, F316) &gt; 0), "yes", "no")</f>
        <v>yes</v>
      </c>
      <c r="J316" s="72" t="str">
        <f t="shared" si="26"/>
        <v>Z:\FAIR_Device_data\Experiment_JulAug_2021\Video_captures\2021-07-29\2021-07-29_18-21-53.mp4</v>
      </c>
    </row>
    <row r="317" spans="1:10" x14ac:dyDescent="0.3">
      <c r="A317" s="1">
        <f t="shared" si="27"/>
        <v>44406</v>
      </c>
      <c r="B317" s="36">
        <f t="shared" si="28"/>
        <v>0.78119212962962958</v>
      </c>
      <c r="C317" s="36">
        <f t="shared" si="29"/>
        <v>44406.781192129631</v>
      </c>
      <c r="D317" s="71" t="str">
        <f t="shared" si="30"/>
        <v>2021-07-29</v>
      </c>
      <c r="E317" s="38" t="s">
        <v>1246</v>
      </c>
      <c r="F317" s="37" t="str">
        <f t="shared" si="25"/>
        <v>2021-07-29_18-44-55</v>
      </c>
      <c r="G317" s="39">
        <v>9324870</v>
      </c>
      <c r="H317" s="40">
        <v>9822010</v>
      </c>
      <c r="I317" s="21" t="str">
        <f>IF(OR(COUNTIF(Monitoring!C:C, F317) &gt; 0, COUNTIF(Monitoring!F:F, F317) &gt; 0), "yes", "no")</f>
        <v>yes</v>
      </c>
      <c r="J317" s="72" t="str">
        <f t="shared" si="26"/>
        <v>Z:\FAIR_Device_data\Experiment_JulAug_2021\Video_captures\2021-07-29\2021-07-29_18-44-55.mp4</v>
      </c>
    </row>
    <row r="318" spans="1:10" x14ac:dyDescent="0.3">
      <c r="A318" s="1">
        <f t="shared" si="27"/>
        <v>44406</v>
      </c>
      <c r="B318" s="36">
        <f t="shared" si="28"/>
        <v>0.78399305555555554</v>
      </c>
      <c r="C318" s="36">
        <f t="shared" si="29"/>
        <v>44406.783993055556</v>
      </c>
      <c r="D318" s="71" t="str">
        <f t="shared" si="30"/>
        <v>2021-07-29</v>
      </c>
      <c r="E318" s="38" t="s">
        <v>1247</v>
      </c>
      <c r="F318" s="37" t="str">
        <f t="shared" si="25"/>
        <v>2021-07-29_18-48-57</v>
      </c>
      <c r="G318" s="39">
        <v>19515495</v>
      </c>
      <c r="H318" s="40">
        <v>23560230</v>
      </c>
      <c r="I318" s="21" t="str">
        <f>IF(OR(COUNTIF(Monitoring!C:C, F318) &gt; 0, COUNTIF(Monitoring!F:F, F318) &gt; 0), "yes", "no")</f>
        <v>yes</v>
      </c>
      <c r="J318" s="72" t="str">
        <f t="shared" si="26"/>
        <v>Z:\FAIR_Device_data\Experiment_JulAug_2021\Video_captures\2021-07-29\2021-07-29_18-48-57.mp4</v>
      </c>
    </row>
    <row r="319" spans="1:10" x14ac:dyDescent="0.3">
      <c r="A319" s="1">
        <f t="shared" si="27"/>
        <v>44406</v>
      </c>
      <c r="B319" s="36">
        <f t="shared" si="28"/>
        <v>0.78553240740740737</v>
      </c>
      <c r="C319" s="36">
        <f t="shared" si="29"/>
        <v>44406.785532407404</v>
      </c>
      <c r="D319" s="71" t="str">
        <f t="shared" si="30"/>
        <v>2021-07-29</v>
      </c>
      <c r="E319" s="38" t="s">
        <v>1248</v>
      </c>
      <c r="F319" s="37" t="str">
        <f t="shared" si="25"/>
        <v>2021-07-29_18-51-10</v>
      </c>
      <c r="G319" s="39">
        <v>11333398</v>
      </c>
      <c r="H319" s="40">
        <v>12425002</v>
      </c>
      <c r="I319" s="21" t="str">
        <f>IF(OR(COUNTIF(Monitoring!C:C, F319) &gt; 0, COUNTIF(Monitoring!F:F, F319) &gt; 0), "yes", "no")</f>
        <v>yes</v>
      </c>
      <c r="J319" s="72" t="str">
        <f t="shared" si="26"/>
        <v>Z:\FAIR_Device_data\Experiment_JulAug_2021\Video_captures\2021-07-29\2021-07-29_18-51-10.mp4</v>
      </c>
    </row>
    <row r="320" spans="1:10" x14ac:dyDescent="0.3">
      <c r="A320" s="1">
        <f t="shared" si="27"/>
        <v>44407</v>
      </c>
      <c r="B320" s="36">
        <f t="shared" si="28"/>
        <v>0.39938657407407407</v>
      </c>
      <c r="C320" s="36">
        <f t="shared" si="29"/>
        <v>44407.399386574078</v>
      </c>
      <c r="D320" s="71" t="str">
        <f t="shared" si="30"/>
        <v>2021-07-30</v>
      </c>
      <c r="E320" s="38" t="s">
        <v>1249</v>
      </c>
      <c r="F320" s="37" t="str">
        <f t="shared" si="25"/>
        <v>2021-07-30_09-35-07</v>
      </c>
      <c r="G320" s="39">
        <v>723633333</v>
      </c>
      <c r="H320" s="40">
        <v>86285930</v>
      </c>
      <c r="I320" s="21" t="str">
        <f>IF(OR(COUNTIF(Monitoring!C:C, F320) &gt; 0, COUNTIF(Monitoring!F:F, F320) &gt; 0), "yes", "no")</f>
        <v>yes</v>
      </c>
      <c r="J320" s="72" t="str">
        <f t="shared" si="26"/>
        <v>Z:\FAIR_Device_data\Experiment_JulAug_2021\Video_captures\2021-07-30\2021-07-30_09-35-07.avi</v>
      </c>
    </row>
    <row r="321" spans="1:10" x14ac:dyDescent="0.3">
      <c r="A321" s="1">
        <f t="shared" si="27"/>
        <v>44407</v>
      </c>
      <c r="B321" s="36">
        <f t="shared" si="28"/>
        <v>0.47641203703703705</v>
      </c>
      <c r="C321" s="36">
        <f t="shared" si="29"/>
        <v>44407.476412037038</v>
      </c>
      <c r="D321" s="71" t="str">
        <f t="shared" si="30"/>
        <v>2021-07-30</v>
      </c>
      <c r="E321" s="38" t="s">
        <v>1250</v>
      </c>
      <c r="F321" s="37" t="str">
        <f t="shared" si="25"/>
        <v>2021-07-30_11-26-02</v>
      </c>
      <c r="G321" s="39">
        <v>8733333</v>
      </c>
      <c r="H321" s="40">
        <v>920316</v>
      </c>
      <c r="I321" s="21" t="str">
        <f>IF(OR(COUNTIF(Monitoring!C:C, F321) &gt; 0, COUNTIF(Monitoring!F:F, F321) &gt; 0), "yes", "no")</f>
        <v>yes</v>
      </c>
      <c r="J321" s="72" t="str">
        <f t="shared" si="26"/>
        <v>Z:\FAIR_Device_data\Experiment_JulAug_2021\Video_captures\2021-07-30\2021-07-30_11-26-02.avi</v>
      </c>
    </row>
    <row r="322" spans="1:10" x14ac:dyDescent="0.3">
      <c r="A322" s="1">
        <f t="shared" si="27"/>
        <v>44407</v>
      </c>
      <c r="B322" s="36">
        <f t="shared" si="28"/>
        <v>0.51527777777777772</v>
      </c>
      <c r="C322" s="36">
        <f t="shared" si="29"/>
        <v>44407.515277777777</v>
      </c>
      <c r="D322" s="71" t="str">
        <f t="shared" si="30"/>
        <v>2021-07-30</v>
      </c>
      <c r="E322" s="38" t="s">
        <v>1251</v>
      </c>
      <c r="F322" s="37" t="str">
        <f t="shared" ref="F322:F385" si="31">+LEFT(E322,19)</f>
        <v>2021-07-30_12-22-00</v>
      </c>
      <c r="G322" s="39">
        <v>27300000</v>
      </c>
      <c r="H322" s="40">
        <v>4221970</v>
      </c>
      <c r="I322" s="21" t="str">
        <f>IF(OR(COUNTIF(Monitoring!C:C, F322) &gt; 0, COUNTIF(Monitoring!F:F, F322) &gt; 0), "yes", "no")</f>
        <v>yes</v>
      </c>
      <c r="J322" s="72" t="str">
        <f t="shared" ref="J322:J385" si="32">HYPERLINK(_xlfn.CONCAT("Z:\FAIR_Device_data\Experiment_JulAug_2021","\","Video_captures","\",D322,"\",E322))</f>
        <v>Z:\FAIR_Device_data\Experiment_JulAug_2021\Video_captures\2021-07-30\2021-07-30_12-22-00.avi</v>
      </c>
    </row>
    <row r="323" spans="1:10" x14ac:dyDescent="0.3">
      <c r="A323" s="1">
        <f t="shared" ref="A323:A386" si="33">VALUE(MID(F323,1,10))</f>
        <v>44407</v>
      </c>
      <c r="B323" s="36">
        <f t="shared" ref="B323:B386" si="34">IF(ISBLANK(F323),"",TIME(LEFT(RIGHT(F323,8),2),LEFT(RIGHT(F323,5),2),RIGHT(F323,2)))</f>
        <v>0.51804398148148145</v>
      </c>
      <c r="C323" s="36">
        <f t="shared" ref="C323:C386" si="35">+A323+B323</f>
        <v>44407.518043981479</v>
      </c>
      <c r="D323" s="71" t="str">
        <f t="shared" ref="D323:D386" si="36">+_xlfn.CONCAT(YEAR(A323),"-",TEXT(MONTH(A323),"00"),"-",TEXT(DAY(A323),"00"))</f>
        <v>2021-07-30</v>
      </c>
      <c r="E323" s="38" t="s">
        <v>1252</v>
      </c>
      <c r="F323" s="37" t="str">
        <f t="shared" si="31"/>
        <v>2021-07-30_12-25-59</v>
      </c>
      <c r="G323" s="39">
        <v>127793103</v>
      </c>
      <c r="H323" s="40">
        <v>21399394</v>
      </c>
      <c r="I323" s="21" t="str">
        <f>IF(OR(COUNTIF(Monitoring!C:C, F323) &gt; 0, COUNTIF(Monitoring!F:F, F323) &gt; 0), "yes", "no")</f>
        <v>yes</v>
      </c>
      <c r="J323" s="72" t="str">
        <f t="shared" si="32"/>
        <v>Z:\FAIR_Device_data\Experiment_JulAug_2021\Video_captures\2021-07-30\2021-07-30_12-25-59.avi</v>
      </c>
    </row>
    <row r="324" spans="1:10" x14ac:dyDescent="0.3">
      <c r="A324" s="1">
        <f t="shared" si="33"/>
        <v>44407</v>
      </c>
      <c r="B324" s="36">
        <f t="shared" si="34"/>
        <v>0.63460648148148147</v>
      </c>
      <c r="C324" s="36">
        <f t="shared" si="35"/>
        <v>44407.634606481479</v>
      </c>
      <c r="D324" s="71" t="str">
        <f t="shared" si="36"/>
        <v>2021-07-30</v>
      </c>
      <c r="E324" s="38" t="s">
        <v>1253</v>
      </c>
      <c r="F324" s="37" t="str">
        <f t="shared" si="31"/>
        <v>2021-07-30_15-13-50</v>
      </c>
      <c r="G324" s="39">
        <v>16133333</v>
      </c>
      <c r="H324" s="40">
        <v>2173642</v>
      </c>
      <c r="I324" s="21" t="str">
        <f>IF(OR(COUNTIF(Monitoring!C:C, F324) &gt; 0, COUNTIF(Monitoring!F:F, F324) &gt; 0), "yes", "no")</f>
        <v>yes</v>
      </c>
      <c r="J324" s="72" t="str">
        <f t="shared" si="32"/>
        <v>Z:\FAIR_Device_data\Experiment_JulAug_2021\Video_captures\2021-07-30\2021-07-30_15-13-50.avi</v>
      </c>
    </row>
    <row r="325" spans="1:10" x14ac:dyDescent="0.3">
      <c r="A325" s="1">
        <f t="shared" si="33"/>
        <v>44407</v>
      </c>
      <c r="B325" s="36">
        <f t="shared" si="34"/>
        <v>0.63577546296296295</v>
      </c>
      <c r="C325" s="36">
        <f t="shared" si="35"/>
        <v>44407.635775462964</v>
      </c>
      <c r="D325" s="71" t="str">
        <f t="shared" si="36"/>
        <v>2021-07-30</v>
      </c>
      <c r="E325" s="38" t="s">
        <v>1254</v>
      </c>
      <c r="F325" s="37" t="str">
        <f t="shared" si="31"/>
        <v>2021-07-30_15-15-31</v>
      </c>
      <c r="G325" s="39">
        <v>150266667</v>
      </c>
      <c r="H325" s="40">
        <v>21428488</v>
      </c>
      <c r="I325" s="21" t="str">
        <f>IF(OR(COUNTIF(Monitoring!C:C, F325) &gt; 0, COUNTIF(Monitoring!F:F, F325) &gt; 0), "yes", "no")</f>
        <v>yes</v>
      </c>
      <c r="J325" s="72" t="str">
        <f t="shared" si="32"/>
        <v>Z:\FAIR_Device_data\Experiment_JulAug_2021\Video_captures\2021-07-30\2021-07-30_15-15-31.avi</v>
      </c>
    </row>
    <row r="326" spans="1:10" x14ac:dyDescent="0.3">
      <c r="A326" s="1">
        <f t="shared" si="33"/>
        <v>44407</v>
      </c>
      <c r="B326" s="36">
        <f t="shared" si="34"/>
        <v>0.63920138888888889</v>
      </c>
      <c r="C326" s="36">
        <f t="shared" si="35"/>
        <v>44407.639201388891</v>
      </c>
      <c r="D326" s="71" t="str">
        <f t="shared" si="36"/>
        <v>2021-07-30</v>
      </c>
      <c r="E326" s="38" t="s">
        <v>1255</v>
      </c>
      <c r="F326" s="37" t="str">
        <f t="shared" si="31"/>
        <v>2021-07-30_15-20-27</v>
      </c>
      <c r="G326" s="39">
        <v>21700000</v>
      </c>
      <c r="H326" s="40">
        <v>3274750</v>
      </c>
      <c r="I326" s="21" t="str">
        <f>IF(OR(COUNTIF(Monitoring!C:C, F326) &gt; 0, COUNTIF(Monitoring!F:F, F326) &gt; 0), "yes", "no")</f>
        <v>yes</v>
      </c>
      <c r="J326" s="72" t="str">
        <f t="shared" si="32"/>
        <v>Z:\FAIR_Device_data\Experiment_JulAug_2021\Video_captures\2021-07-30\2021-07-30_15-20-27.avi</v>
      </c>
    </row>
    <row r="327" spans="1:10" x14ac:dyDescent="0.3">
      <c r="A327" s="1">
        <f t="shared" si="33"/>
        <v>44407</v>
      </c>
      <c r="B327" s="36">
        <f t="shared" si="34"/>
        <v>0.66326388888888888</v>
      </c>
      <c r="C327" s="36">
        <f t="shared" si="35"/>
        <v>44407.663263888891</v>
      </c>
      <c r="D327" s="71" t="str">
        <f t="shared" si="36"/>
        <v>2021-07-30</v>
      </c>
      <c r="E327" s="38" t="s">
        <v>1256</v>
      </c>
      <c r="F327" s="37" t="str">
        <f t="shared" si="31"/>
        <v>2021-07-30_15-55-06</v>
      </c>
      <c r="G327" s="39">
        <v>12633333</v>
      </c>
      <c r="H327" s="40">
        <v>1522638</v>
      </c>
      <c r="I327" s="21" t="str">
        <f>IF(OR(COUNTIF(Monitoring!C:C, F327) &gt; 0, COUNTIF(Monitoring!F:F, F327) &gt; 0), "yes", "no")</f>
        <v>yes</v>
      </c>
      <c r="J327" s="72" t="str">
        <f t="shared" si="32"/>
        <v>Z:\FAIR_Device_data\Experiment_JulAug_2021\Video_captures\2021-07-30\2021-07-30_15-55-06.avi</v>
      </c>
    </row>
    <row r="328" spans="1:10" x14ac:dyDescent="0.3">
      <c r="A328" s="1">
        <f t="shared" si="33"/>
        <v>44407</v>
      </c>
      <c r="B328" s="36">
        <f t="shared" si="34"/>
        <v>0.7153356481481481</v>
      </c>
      <c r="C328" s="36">
        <f t="shared" si="35"/>
        <v>44407.71533564815</v>
      </c>
      <c r="D328" s="71" t="str">
        <f t="shared" si="36"/>
        <v>2021-07-30</v>
      </c>
      <c r="E328" s="38" t="s">
        <v>1257</v>
      </c>
      <c r="F328" s="37" t="str">
        <f t="shared" si="31"/>
        <v>2021-07-30_17-10-05</v>
      </c>
      <c r="G328" s="39">
        <v>8933333</v>
      </c>
      <c r="H328" s="40">
        <v>953274</v>
      </c>
      <c r="I328" s="21" t="str">
        <f>IF(OR(COUNTIF(Monitoring!C:C, F328) &gt; 0, COUNTIF(Monitoring!F:F, F328) &gt; 0), "yes", "no")</f>
        <v>yes</v>
      </c>
      <c r="J328" s="72" t="str">
        <f t="shared" si="32"/>
        <v>Z:\FAIR_Device_data\Experiment_JulAug_2021\Video_captures\2021-07-30\2021-07-30_17-10-05.avi</v>
      </c>
    </row>
    <row r="329" spans="1:10" x14ac:dyDescent="0.3">
      <c r="A329" s="1">
        <f t="shared" si="33"/>
        <v>44407</v>
      </c>
      <c r="B329" s="36">
        <f t="shared" si="34"/>
        <v>0.71615740740740741</v>
      </c>
      <c r="C329" s="36">
        <f t="shared" si="35"/>
        <v>44407.716157407405</v>
      </c>
      <c r="D329" s="71" t="str">
        <f t="shared" si="36"/>
        <v>2021-07-30</v>
      </c>
      <c r="E329" s="38" t="s">
        <v>1258</v>
      </c>
      <c r="F329" s="37" t="str">
        <f t="shared" si="31"/>
        <v>2021-07-30_17-11-16</v>
      </c>
      <c r="G329" s="39">
        <v>8862069</v>
      </c>
      <c r="H329" s="40">
        <v>996196</v>
      </c>
      <c r="I329" s="21" t="str">
        <f>IF(OR(COUNTIF(Monitoring!C:C, F329) &gt; 0, COUNTIF(Monitoring!F:F, F329) &gt; 0), "yes", "no")</f>
        <v>yes</v>
      </c>
      <c r="J329" s="72" t="str">
        <f t="shared" si="32"/>
        <v>Z:\FAIR_Device_data\Experiment_JulAug_2021\Video_captures\2021-07-30\2021-07-30_17-11-16.avi</v>
      </c>
    </row>
    <row r="330" spans="1:10" x14ac:dyDescent="0.3">
      <c r="A330" s="1">
        <f t="shared" si="33"/>
        <v>44407</v>
      </c>
      <c r="B330" s="36">
        <f t="shared" si="34"/>
        <v>0.72621527777777772</v>
      </c>
      <c r="C330" s="36">
        <f t="shared" si="35"/>
        <v>44407.726215277777</v>
      </c>
      <c r="D330" s="71" t="str">
        <f t="shared" si="36"/>
        <v>2021-07-30</v>
      </c>
      <c r="E330" s="38" t="s">
        <v>1259</v>
      </c>
      <c r="F330" s="37" t="str">
        <f t="shared" si="31"/>
        <v>2021-07-30_17-25-45</v>
      </c>
      <c r="G330" s="39">
        <v>8733333</v>
      </c>
      <c r="H330" s="40">
        <v>953980</v>
      </c>
      <c r="I330" s="21" t="str">
        <f>IF(OR(COUNTIF(Monitoring!C:C, F330) &gt; 0, COUNTIF(Monitoring!F:F, F330) &gt; 0), "yes", "no")</f>
        <v>no</v>
      </c>
      <c r="J330" s="72" t="str">
        <f t="shared" si="32"/>
        <v>Z:\FAIR_Device_data\Experiment_JulAug_2021\Video_captures\2021-07-30\2021-07-30_17-25-45.avi</v>
      </c>
    </row>
    <row r="331" spans="1:10" x14ac:dyDescent="0.3">
      <c r="A331" s="1">
        <f t="shared" si="33"/>
        <v>44407</v>
      </c>
      <c r="B331" s="36">
        <f t="shared" si="34"/>
        <v>0.75365740740740739</v>
      </c>
      <c r="C331" s="36">
        <f t="shared" si="35"/>
        <v>44407.753657407404</v>
      </c>
      <c r="D331" s="71" t="str">
        <f t="shared" si="36"/>
        <v>2021-07-30</v>
      </c>
      <c r="E331" s="38" t="s">
        <v>1260</v>
      </c>
      <c r="F331" s="37" t="str">
        <f t="shared" si="31"/>
        <v>2021-07-30_18-05-16</v>
      </c>
      <c r="G331" s="39">
        <v>8700000</v>
      </c>
      <c r="H331" s="40">
        <v>942512</v>
      </c>
      <c r="I331" s="21" t="str">
        <f>IF(OR(COUNTIF(Monitoring!C:C, F331) &gt; 0, COUNTIF(Monitoring!F:F, F331) &gt; 0), "yes", "no")</f>
        <v>no</v>
      </c>
      <c r="J331" s="72" t="str">
        <f t="shared" si="32"/>
        <v>Z:\FAIR_Device_data\Experiment_JulAug_2021\Video_captures\2021-07-30\2021-07-30_18-05-16.avi</v>
      </c>
    </row>
    <row r="332" spans="1:10" x14ac:dyDescent="0.3">
      <c r="A332" s="1">
        <f t="shared" si="33"/>
        <v>44407</v>
      </c>
      <c r="B332" s="36">
        <f t="shared" si="34"/>
        <v>0.75589120370370366</v>
      </c>
      <c r="C332" s="36">
        <f t="shared" si="35"/>
        <v>44407.755891203706</v>
      </c>
      <c r="D332" s="71" t="str">
        <f t="shared" si="36"/>
        <v>2021-07-30</v>
      </c>
      <c r="E332" s="38" t="s">
        <v>1261</v>
      </c>
      <c r="F332" s="37" t="str">
        <f t="shared" si="31"/>
        <v>2021-07-30_18-08-29</v>
      </c>
      <c r="G332" s="39">
        <v>78600000</v>
      </c>
      <c r="H332" s="40">
        <v>13155130</v>
      </c>
      <c r="I332" s="21" t="str">
        <f>IF(OR(COUNTIF(Monitoring!C:C, F332) &gt; 0, COUNTIF(Monitoring!F:F, F332) &gt; 0), "yes", "no")</f>
        <v>yes</v>
      </c>
      <c r="J332" s="72" t="str">
        <f t="shared" si="32"/>
        <v>Z:\FAIR_Device_data\Experiment_JulAug_2021\Video_captures\2021-07-30\2021-07-30_18-08-29.avi</v>
      </c>
    </row>
    <row r="333" spans="1:10" x14ac:dyDescent="0.3">
      <c r="A333" s="1">
        <f t="shared" si="33"/>
        <v>44407</v>
      </c>
      <c r="B333" s="36">
        <f t="shared" si="34"/>
        <v>0.77555555555555555</v>
      </c>
      <c r="C333" s="36">
        <f t="shared" si="35"/>
        <v>44407.775555555556</v>
      </c>
      <c r="D333" s="71" t="str">
        <f t="shared" si="36"/>
        <v>2021-07-30</v>
      </c>
      <c r="E333" s="38" t="s">
        <v>1262</v>
      </c>
      <c r="F333" s="37" t="str">
        <f t="shared" si="31"/>
        <v>2021-07-30_18-36-48</v>
      </c>
      <c r="G333" s="39">
        <v>103000000</v>
      </c>
      <c r="H333" s="40">
        <v>11720494</v>
      </c>
      <c r="I333" s="21" t="str">
        <f>IF(OR(COUNTIF(Monitoring!C:C, F333) &gt; 0, COUNTIF(Monitoring!F:F, F333) &gt; 0), "yes", "no")</f>
        <v>no</v>
      </c>
      <c r="J333" s="72" t="str">
        <f t="shared" si="32"/>
        <v>Z:\FAIR_Device_data\Experiment_JulAug_2021\Video_captures\2021-07-30\2021-07-30_18-36-48.avi</v>
      </c>
    </row>
    <row r="334" spans="1:10" x14ac:dyDescent="0.3">
      <c r="A334" s="1">
        <f t="shared" si="33"/>
        <v>44408</v>
      </c>
      <c r="B334" s="36">
        <f t="shared" si="34"/>
        <v>0.28662037037037036</v>
      </c>
      <c r="C334" s="36">
        <f t="shared" si="35"/>
        <v>44408.286620370367</v>
      </c>
      <c r="D334" s="71" t="str">
        <f t="shared" si="36"/>
        <v>2021-07-31</v>
      </c>
      <c r="E334" s="38" t="s">
        <v>1263</v>
      </c>
      <c r="F334" s="37" t="str">
        <f t="shared" si="31"/>
        <v>2021-07-31_06-52-44</v>
      </c>
      <c r="G334" s="39">
        <v>156100000</v>
      </c>
      <c r="H334" s="40">
        <v>25533332</v>
      </c>
      <c r="I334" s="21" t="str">
        <f>IF(OR(COUNTIF(Monitoring!C:C, F334) &gt; 0, COUNTIF(Monitoring!F:F, F334) &gt; 0), "yes", "no")</f>
        <v>yes</v>
      </c>
      <c r="J334" s="72" t="str">
        <f t="shared" si="32"/>
        <v>Z:\FAIR_Device_data\Experiment_JulAug_2021\Video_captures\2021-07-31\2021-07-31_06-52-44.avi</v>
      </c>
    </row>
    <row r="335" spans="1:10" x14ac:dyDescent="0.3">
      <c r="A335" s="1">
        <f t="shared" si="33"/>
        <v>44408</v>
      </c>
      <c r="B335" s="36">
        <f t="shared" si="34"/>
        <v>0.68940972222222219</v>
      </c>
      <c r="C335" s="36">
        <f t="shared" si="35"/>
        <v>44408.689409722225</v>
      </c>
      <c r="D335" s="71" t="str">
        <f t="shared" si="36"/>
        <v>2021-07-31</v>
      </c>
      <c r="E335" s="38" t="s">
        <v>1264</v>
      </c>
      <c r="F335" s="37" t="str">
        <f t="shared" si="31"/>
        <v>2021-07-31_16-32-45</v>
      </c>
      <c r="G335" s="39">
        <v>40833333</v>
      </c>
      <c r="H335" s="40">
        <v>7030906</v>
      </c>
      <c r="I335" s="21" t="str">
        <f>IF(OR(COUNTIF(Monitoring!C:C, F335) &gt; 0, COUNTIF(Monitoring!F:F, F335) &gt; 0), "yes", "no")</f>
        <v>yes</v>
      </c>
      <c r="J335" s="72" t="str">
        <f t="shared" si="32"/>
        <v>Z:\FAIR_Device_data\Experiment_JulAug_2021\Video_captures\2021-07-31\2021-07-31_16-32-45.avi</v>
      </c>
    </row>
    <row r="336" spans="1:10" x14ac:dyDescent="0.3">
      <c r="A336" s="1">
        <f t="shared" si="33"/>
        <v>44408</v>
      </c>
      <c r="B336" s="36">
        <f t="shared" si="34"/>
        <v>0.71687500000000004</v>
      </c>
      <c r="C336" s="36">
        <f t="shared" si="35"/>
        <v>44408.716874999998</v>
      </c>
      <c r="D336" s="71" t="str">
        <f t="shared" si="36"/>
        <v>2021-07-31</v>
      </c>
      <c r="E336" s="38" t="s">
        <v>1265</v>
      </c>
      <c r="F336" s="37" t="str">
        <f t="shared" si="31"/>
        <v>2021-07-31_17-12-18</v>
      </c>
      <c r="G336" s="39">
        <v>1417633333</v>
      </c>
      <c r="H336" s="40">
        <v>246411092</v>
      </c>
      <c r="I336" s="21" t="str">
        <f>IF(OR(COUNTIF(Monitoring!C:C, F336) &gt; 0, COUNTIF(Monitoring!F:F, F336) &gt; 0), "yes", "no")</f>
        <v>yes</v>
      </c>
      <c r="J336" s="72" t="str">
        <f t="shared" si="32"/>
        <v>Z:\FAIR_Device_data\Experiment_JulAug_2021\Video_captures\2021-07-31\2021-07-31_17-12-18.avi</v>
      </c>
    </row>
    <row r="337" spans="1:10" x14ac:dyDescent="0.3">
      <c r="A337" s="1">
        <f t="shared" si="33"/>
        <v>44408</v>
      </c>
      <c r="B337" s="36">
        <f t="shared" si="34"/>
        <v>0.76187499999999997</v>
      </c>
      <c r="C337" s="36">
        <f t="shared" si="35"/>
        <v>44408.761874999997</v>
      </c>
      <c r="D337" s="71" t="str">
        <f t="shared" si="36"/>
        <v>2021-07-31</v>
      </c>
      <c r="E337" s="38" t="s">
        <v>1266</v>
      </c>
      <c r="F337" s="37" t="str">
        <f t="shared" si="31"/>
        <v>2021-07-31_18-17-06</v>
      </c>
      <c r="G337" s="39">
        <v>427700000</v>
      </c>
      <c r="H337" s="40">
        <v>64472742</v>
      </c>
      <c r="I337" s="21" t="str">
        <f>IF(OR(COUNTIF(Monitoring!C:C, F337) &gt; 0, COUNTIF(Monitoring!F:F, F337) &gt; 0), "yes", "no")</f>
        <v>yes</v>
      </c>
      <c r="J337" s="72" t="str">
        <f t="shared" si="32"/>
        <v>Z:\FAIR_Device_data\Experiment_JulAug_2021\Video_captures\2021-07-31\2021-07-31_18-17-06.avi</v>
      </c>
    </row>
    <row r="338" spans="1:10" x14ac:dyDescent="0.3">
      <c r="A338" s="1">
        <f t="shared" si="33"/>
        <v>44408</v>
      </c>
      <c r="B338" s="36">
        <f t="shared" si="34"/>
        <v>0.77849537037037042</v>
      </c>
      <c r="C338" s="36">
        <f t="shared" si="35"/>
        <v>44408.778495370374</v>
      </c>
      <c r="D338" s="71" t="str">
        <f t="shared" si="36"/>
        <v>2021-07-31</v>
      </c>
      <c r="E338" s="38" t="s">
        <v>1267</v>
      </c>
      <c r="F338" s="37" t="str">
        <f t="shared" si="31"/>
        <v>2021-07-31_18-41-02</v>
      </c>
      <c r="G338" s="39">
        <v>124000000</v>
      </c>
      <c r="H338" s="40">
        <v>18925824</v>
      </c>
      <c r="I338" s="21" t="str">
        <f>IF(OR(COUNTIF(Monitoring!C:C, F338) &gt; 0, COUNTIF(Monitoring!F:F, F338) &gt; 0), "yes", "no")</f>
        <v>yes</v>
      </c>
      <c r="J338" s="72" t="str">
        <f t="shared" si="32"/>
        <v>Z:\FAIR_Device_data\Experiment_JulAug_2021\Video_captures\2021-07-31\2021-07-31_18-41-02.avi</v>
      </c>
    </row>
    <row r="339" spans="1:10" x14ac:dyDescent="0.3">
      <c r="A339" s="1">
        <f t="shared" si="33"/>
        <v>44408</v>
      </c>
      <c r="B339" s="36">
        <f t="shared" si="34"/>
        <v>0.78844907407407405</v>
      </c>
      <c r="C339" s="36">
        <f t="shared" si="35"/>
        <v>44408.788449074076</v>
      </c>
      <c r="D339" s="71" t="str">
        <f t="shared" si="36"/>
        <v>2021-07-31</v>
      </c>
      <c r="E339" s="38" t="s">
        <v>1268</v>
      </c>
      <c r="F339" s="37" t="str">
        <f t="shared" si="31"/>
        <v>2021-07-31_18-55-22</v>
      </c>
      <c r="G339" s="39">
        <v>8900000</v>
      </c>
      <c r="H339" s="40">
        <v>1086376</v>
      </c>
      <c r="I339" s="21" t="str">
        <f>IF(OR(COUNTIF(Monitoring!C:C, F339) &gt; 0, COUNTIF(Monitoring!F:F, F339) &gt; 0), "yes", "no")</f>
        <v>yes</v>
      </c>
      <c r="J339" s="72" t="str">
        <f t="shared" si="32"/>
        <v>Z:\FAIR_Device_data\Experiment_JulAug_2021\Video_captures\2021-07-31\2021-07-31_18-55-22.avi</v>
      </c>
    </row>
    <row r="340" spans="1:10" x14ac:dyDescent="0.3">
      <c r="A340" s="1">
        <f t="shared" si="33"/>
        <v>44409</v>
      </c>
      <c r="B340" s="36">
        <f t="shared" si="34"/>
        <v>0.32158564814814816</v>
      </c>
      <c r="C340" s="36">
        <f t="shared" si="35"/>
        <v>44409.321585648147</v>
      </c>
      <c r="D340" s="71" t="str">
        <f t="shared" si="36"/>
        <v>2021-08-01</v>
      </c>
      <c r="E340" s="38" t="s">
        <v>1269</v>
      </c>
      <c r="F340" s="37" t="str">
        <f t="shared" si="31"/>
        <v>2021-08-01_07-43-05</v>
      </c>
      <c r="G340" s="39">
        <v>239900000</v>
      </c>
      <c r="H340" s="40">
        <v>37708390</v>
      </c>
      <c r="I340" s="21" t="str">
        <f>IF(OR(COUNTIF(Monitoring!C:C, F340) &gt; 0, COUNTIF(Monitoring!F:F, F340) &gt; 0), "yes", "no")</f>
        <v>yes</v>
      </c>
      <c r="J340" s="72" t="str">
        <f t="shared" si="32"/>
        <v>Z:\FAIR_Device_data\Experiment_JulAug_2021\Video_captures\2021-08-01\2021-08-01_07-43-05.avi</v>
      </c>
    </row>
    <row r="341" spans="1:10" x14ac:dyDescent="0.3">
      <c r="A341" s="1">
        <f t="shared" si="33"/>
        <v>44409</v>
      </c>
      <c r="B341" s="36">
        <f t="shared" si="34"/>
        <v>0.46327546296296296</v>
      </c>
      <c r="C341" s="36">
        <f t="shared" si="35"/>
        <v>44409.463275462964</v>
      </c>
      <c r="D341" s="71" t="str">
        <f t="shared" si="36"/>
        <v>2021-08-01</v>
      </c>
      <c r="E341" s="38" t="s">
        <v>1270</v>
      </c>
      <c r="F341" s="37" t="str">
        <f t="shared" si="31"/>
        <v>2021-08-01_11-07-07</v>
      </c>
      <c r="G341" s="39">
        <v>9066667</v>
      </c>
      <c r="H341" s="40">
        <v>1103576</v>
      </c>
      <c r="I341" s="21" t="str">
        <f>IF(OR(COUNTIF(Monitoring!C:C, F341) &gt; 0, COUNTIF(Monitoring!F:F, F341) &gt; 0), "yes", "no")</f>
        <v>yes</v>
      </c>
      <c r="J341" s="72" t="str">
        <f t="shared" si="32"/>
        <v>Z:\FAIR_Device_data\Experiment_JulAug_2021\Video_captures\2021-08-01\2021-08-01_11-07-07.avi</v>
      </c>
    </row>
    <row r="342" spans="1:10" x14ac:dyDescent="0.3">
      <c r="A342" s="1">
        <f t="shared" si="33"/>
        <v>44409</v>
      </c>
      <c r="B342" s="36">
        <f t="shared" si="34"/>
        <v>0.58423611111111107</v>
      </c>
      <c r="C342" s="36">
        <f t="shared" si="35"/>
        <v>44409.584236111114</v>
      </c>
      <c r="D342" s="71" t="str">
        <f t="shared" si="36"/>
        <v>2021-08-01</v>
      </c>
      <c r="E342" s="38" t="s">
        <v>1271</v>
      </c>
      <c r="F342" s="37" t="str">
        <f t="shared" si="31"/>
        <v>2021-08-01_14-01-18</v>
      </c>
      <c r="G342" s="39">
        <v>37633333</v>
      </c>
      <c r="H342" s="40">
        <v>6625276</v>
      </c>
      <c r="I342" s="21" t="str">
        <f>IF(OR(COUNTIF(Monitoring!C:C, F342) &gt; 0, COUNTIF(Monitoring!F:F, F342) &gt; 0), "yes", "no")</f>
        <v>yes</v>
      </c>
      <c r="J342" s="72" t="str">
        <f t="shared" si="32"/>
        <v>Z:\FAIR_Device_data\Experiment_JulAug_2021\Video_captures\2021-08-01\2021-08-01_14-01-18.avi</v>
      </c>
    </row>
    <row r="343" spans="1:10" x14ac:dyDescent="0.3">
      <c r="A343" s="1">
        <f t="shared" si="33"/>
        <v>44409</v>
      </c>
      <c r="B343" s="36">
        <f t="shared" si="34"/>
        <v>0.64</v>
      </c>
      <c r="C343" s="36">
        <f t="shared" si="35"/>
        <v>44409.64</v>
      </c>
      <c r="D343" s="71" t="str">
        <f t="shared" si="36"/>
        <v>2021-08-01</v>
      </c>
      <c r="E343" s="38" t="s">
        <v>1272</v>
      </c>
      <c r="F343" s="37" t="str">
        <f t="shared" si="31"/>
        <v>2021-08-01_15-21-36</v>
      </c>
      <c r="G343" s="39">
        <v>467800000</v>
      </c>
      <c r="H343" s="40">
        <v>81313630</v>
      </c>
      <c r="I343" s="21" t="str">
        <f>IF(OR(COUNTIF(Monitoring!C:C, F343) &gt; 0, COUNTIF(Monitoring!F:F, F343) &gt; 0), "yes", "no")</f>
        <v>yes</v>
      </c>
      <c r="J343" s="72" t="str">
        <f t="shared" si="32"/>
        <v>Z:\FAIR_Device_data\Experiment_JulAug_2021\Video_captures\2021-08-01\2021-08-01_15-21-36.avi</v>
      </c>
    </row>
    <row r="344" spans="1:10" x14ac:dyDescent="0.3">
      <c r="A344" s="1">
        <f t="shared" si="33"/>
        <v>44409</v>
      </c>
      <c r="B344" s="36">
        <f t="shared" si="34"/>
        <v>0.64594907407407409</v>
      </c>
      <c r="C344" s="36">
        <f t="shared" si="35"/>
        <v>44409.645949074074</v>
      </c>
      <c r="D344" s="71" t="str">
        <f t="shared" si="36"/>
        <v>2021-08-01</v>
      </c>
      <c r="E344" s="38" t="s">
        <v>1273</v>
      </c>
      <c r="F344" s="37" t="str">
        <f t="shared" si="31"/>
        <v>2021-08-01_15-30-10</v>
      </c>
      <c r="G344" s="39">
        <v>435807692</v>
      </c>
      <c r="H344" s="40">
        <v>65817600</v>
      </c>
      <c r="I344" s="21" t="str">
        <f>IF(OR(COUNTIF(Monitoring!C:C, F344) &gt; 0, COUNTIF(Monitoring!F:F, F344) &gt; 0), "yes", "no")</f>
        <v>yes</v>
      </c>
      <c r="J344" s="72" t="str">
        <f t="shared" si="32"/>
        <v>Z:\FAIR_Device_data\Experiment_JulAug_2021\Video_captures\2021-08-01\2021-08-01_15-30-10.avi</v>
      </c>
    </row>
    <row r="345" spans="1:10" x14ac:dyDescent="0.3">
      <c r="A345" s="1">
        <f t="shared" si="33"/>
        <v>44409</v>
      </c>
      <c r="B345" s="36">
        <f t="shared" si="34"/>
        <v>0.65402777777777776</v>
      </c>
      <c r="C345" s="36">
        <f t="shared" si="35"/>
        <v>44409.654027777775</v>
      </c>
      <c r="D345" s="71" t="str">
        <f t="shared" si="36"/>
        <v>2021-08-01</v>
      </c>
      <c r="E345" s="38" t="s">
        <v>1274</v>
      </c>
      <c r="F345" s="37" t="str">
        <f t="shared" si="31"/>
        <v>2021-08-01_15-41-48</v>
      </c>
      <c r="G345" s="39">
        <v>32400000</v>
      </c>
      <c r="H345" s="40">
        <v>4102530</v>
      </c>
      <c r="I345" s="21" t="str">
        <f>IF(OR(COUNTIF(Monitoring!C:C, F345) &gt; 0, COUNTIF(Monitoring!F:F, F345) &gt; 0), "yes", "no")</f>
        <v>no</v>
      </c>
      <c r="J345" s="72" t="str">
        <f t="shared" si="32"/>
        <v>Z:\FAIR_Device_data\Experiment_JulAug_2021\Video_captures\2021-08-01\2021-08-01_15-41-48.avi</v>
      </c>
    </row>
    <row r="346" spans="1:10" x14ac:dyDescent="0.3">
      <c r="A346" s="1">
        <f t="shared" si="33"/>
        <v>44409</v>
      </c>
      <c r="B346" s="36">
        <f t="shared" si="34"/>
        <v>0.66401620370370373</v>
      </c>
      <c r="C346" s="36">
        <f t="shared" si="35"/>
        <v>44409.6640162037</v>
      </c>
      <c r="D346" s="71" t="str">
        <f t="shared" si="36"/>
        <v>2021-08-01</v>
      </c>
      <c r="E346" s="38" t="s">
        <v>1275</v>
      </c>
      <c r="F346" s="37" t="str">
        <f t="shared" si="31"/>
        <v>2021-08-01_15-56-11</v>
      </c>
      <c r="G346" s="39">
        <v>315466667</v>
      </c>
      <c r="H346" s="40">
        <v>51262212</v>
      </c>
      <c r="I346" s="21" t="str">
        <f>IF(OR(COUNTIF(Monitoring!C:C, F346) &gt; 0, COUNTIF(Monitoring!F:F, F346) &gt; 0), "yes", "no")</f>
        <v>yes</v>
      </c>
      <c r="J346" s="72" t="str">
        <f t="shared" si="32"/>
        <v>Z:\FAIR_Device_data\Experiment_JulAug_2021\Video_captures\2021-08-01\2021-08-01_15-56-11.avi</v>
      </c>
    </row>
    <row r="347" spans="1:10" x14ac:dyDescent="0.3">
      <c r="A347" s="1">
        <f t="shared" si="33"/>
        <v>44409</v>
      </c>
      <c r="B347" s="36">
        <f t="shared" si="34"/>
        <v>0.68027777777777776</v>
      </c>
      <c r="C347" s="36">
        <f t="shared" si="35"/>
        <v>44409.680277777778</v>
      </c>
      <c r="D347" s="71" t="str">
        <f t="shared" si="36"/>
        <v>2021-08-01</v>
      </c>
      <c r="E347" s="38" t="s">
        <v>1276</v>
      </c>
      <c r="F347" s="37" t="str">
        <f t="shared" si="31"/>
        <v>2021-08-01_16-19-36</v>
      </c>
      <c r="G347" s="39">
        <v>115133333</v>
      </c>
      <c r="H347" s="40">
        <v>16981546</v>
      </c>
      <c r="I347" s="21" t="str">
        <f>IF(OR(COUNTIF(Monitoring!C:C, F347) &gt; 0, COUNTIF(Monitoring!F:F, F347) &gt; 0), "yes", "no")</f>
        <v>yes</v>
      </c>
      <c r="J347" s="72" t="str">
        <f t="shared" si="32"/>
        <v>Z:\FAIR_Device_data\Experiment_JulAug_2021\Video_captures\2021-08-01\2021-08-01_16-19-36.avi</v>
      </c>
    </row>
    <row r="348" spans="1:10" x14ac:dyDescent="0.3">
      <c r="A348" s="1">
        <f t="shared" si="33"/>
        <v>44409</v>
      </c>
      <c r="B348" s="36">
        <f t="shared" si="34"/>
        <v>0.69295138888888885</v>
      </c>
      <c r="C348" s="36">
        <f t="shared" si="35"/>
        <v>44409.69295138889</v>
      </c>
      <c r="D348" s="71" t="str">
        <f t="shared" si="36"/>
        <v>2021-08-01</v>
      </c>
      <c r="E348" s="38" t="s">
        <v>1277</v>
      </c>
      <c r="F348" s="37" t="str">
        <f t="shared" si="31"/>
        <v>2021-08-01_16-37-51</v>
      </c>
      <c r="G348" s="39">
        <v>9517241</v>
      </c>
      <c r="H348" s="40">
        <v>1177358</v>
      </c>
      <c r="I348" s="21" t="str">
        <f>IF(OR(COUNTIF(Monitoring!C:C, F348) &gt; 0, COUNTIF(Monitoring!F:F, F348) &gt; 0), "yes", "no")</f>
        <v>yes</v>
      </c>
      <c r="J348" s="72" t="str">
        <f t="shared" si="32"/>
        <v>Z:\FAIR_Device_data\Experiment_JulAug_2021\Video_captures\2021-08-01\2021-08-01_16-37-51.avi</v>
      </c>
    </row>
    <row r="349" spans="1:10" x14ac:dyDescent="0.3">
      <c r="A349" s="1">
        <f t="shared" si="33"/>
        <v>44409</v>
      </c>
      <c r="B349" s="36">
        <f t="shared" si="34"/>
        <v>0.7308217592592593</v>
      </c>
      <c r="C349" s="36">
        <f t="shared" si="35"/>
        <v>44409.730821759258</v>
      </c>
      <c r="D349" s="71" t="str">
        <f t="shared" si="36"/>
        <v>2021-08-01</v>
      </c>
      <c r="E349" s="38" t="s">
        <v>1278</v>
      </c>
      <c r="F349" s="37" t="str">
        <f t="shared" si="31"/>
        <v>2021-08-01_17-32-23</v>
      </c>
      <c r="G349" s="39">
        <v>1715733333</v>
      </c>
      <c r="H349" s="40">
        <v>284620954</v>
      </c>
      <c r="I349" s="21" t="str">
        <f>IF(OR(COUNTIF(Monitoring!C:C, F349) &gt; 0, COUNTIF(Monitoring!F:F, F349) &gt; 0), "yes", "no")</f>
        <v>yes</v>
      </c>
      <c r="J349" s="72" t="str">
        <f t="shared" si="32"/>
        <v>Z:\FAIR_Device_data\Experiment_JulAug_2021\Video_captures\2021-08-01\2021-08-01_17-32-23.avi</v>
      </c>
    </row>
    <row r="350" spans="1:10" x14ac:dyDescent="0.3">
      <c r="A350" s="1">
        <f t="shared" si="33"/>
        <v>44409</v>
      </c>
      <c r="B350" s="36">
        <f t="shared" si="34"/>
        <v>0.75891203703703702</v>
      </c>
      <c r="C350" s="36">
        <f t="shared" si="35"/>
        <v>44409.758912037039</v>
      </c>
      <c r="D350" s="71" t="str">
        <f t="shared" si="36"/>
        <v>2021-08-01</v>
      </c>
      <c r="E350" s="38" t="s">
        <v>1279</v>
      </c>
      <c r="F350" s="37" t="str">
        <f t="shared" si="31"/>
        <v>2021-08-01_18-12-50</v>
      </c>
      <c r="G350" s="39">
        <v>11733333</v>
      </c>
      <c r="H350" s="40">
        <v>1655316</v>
      </c>
      <c r="I350" s="21" t="str">
        <f>IF(OR(COUNTIF(Monitoring!C:C, F350) &gt; 0, COUNTIF(Monitoring!F:F, F350) &gt; 0), "yes", "no")</f>
        <v>no</v>
      </c>
      <c r="J350" s="72" t="str">
        <f t="shared" si="32"/>
        <v>Z:\FAIR_Device_data\Experiment_JulAug_2021\Video_captures\2021-08-01\2021-08-01_18-12-50.avi</v>
      </c>
    </row>
    <row r="351" spans="1:10" x14ac:dyDescent="0.3">
      <c r="A351" s="1">
        <f t="shared" si="33"/>
        <v>44409</v>
      </c>
      <c r="B351" s="36">
        <f t="shared" si="34"/>
        <v>0.7814699074074074</v>
      </c>
      <c r="C351" s="36">
        <f t="shared" si="35"/>
        <v>44409.781469907408</v>
      </c>
      <c r="D351" s="71" t="str">
        <f t="shared" si="36"/>
        <v>2021-08-01</v>
      </c>
      <c r="E351" s="38" t="s">
        <v>1280</v>
      </c>
      <c r="F351" s="37" t="str">
        <f t="shared" si="31"/>
        <v>2021-08-01_18-45-19</v>
      </c>
      <c r="G351" s="39">
        <v>10600000</v>
      </c>
      <c r="H351" s="40">
        <v>1357254</v>
      </c>
      <c r="I351" s="21" t="str">
        <f>IF(OR(COUNTIF(Monitoring!C:C, F351) &gt; 0, COUNTIF(Monitoring!F:F, F351) &gt; 0), "yes", "no")</f>
        <v>yes</v>
      </c>
      <c r="J351" s="72" t="str">
        <f t="shared" si="32"/>
        <v>Z:\FAIR_Device_data\Experiment_JulAug_2021\Video_captures\2021-08-01\2021-08-01_18-45-19.avi</v>
      </c>
    </row>
    <row r="352" spans="1:10" x14ac:dyDescent="0.3">
      <c r="A352" s="1">
        <f t="shared" si="33"/>
        <v>44409</v>
      </c>
      <c r="B352" s="36">
        <f t="shared" si="34"/>
        <v>0.7922569444444445</v>
      </c>
      <c r="C352" s="36">
        <f t="shared" si="35"/>
        <v>44409.792256944442</v>
      </c>
      <c r="D352" s="71" t="str">
        <f t="shared" si="36"/>
        <v>2021-08-01</v>
      </c>
      <c r="E352" s="38" t="s">
        <v>1281</v>
      </c>
      <c r="F352" s="37" t="str">
        <f t="shared" si="31"/>
        <v>2021-08-01_19-00-51</v>
      </c>
      <c r="G352" s="39">
        <v>8833333</v>
      </c>
      <c r="H352" s="40">
        <v>1040670</v>
      </c>
      <c r="I352" s="21" t="str">
        <f>IF(OR(COUNTIF(Monitoring!C:C, F352) &gt; 0, COUNTIF(Monitoring!F:F, F352) &gt; 0), "yes", "no")</f>
        <v>no</v>
      </c>
      <c r="J352" s="72" t="str">
        <f t="shared" si="32"/>
        <v>Z:\FAIR_Device_data\Experiment_JulAug_2021\Video_captures\2021-08-01\2021-08-01_19-00-51.avi</v>
      </c>
    </row>
    <row r="353" spans="1:10" x14ac:dyDescent="0.3">
      <c r="A353" s="1">
        <f t="shared" si="33"/>
        <v>44410</v>
      </c>
      <c r="B353" s="36">
        <f t="shared" si="34"/>
        <v>0.25928240740740743</v>
      </c>
      <c r="C353" s="36">
        <f t="shared" si="35"/>
        <v>44410.259282407409</v>
      </c>
      <c r="D353" s="71" t="str">
        <f t="shared" si="36"/>
        <v>2021-08-02</v>
      </c>
      <c r="E353" s="38" t="s">
        <v>1282</v>
      </c>
      <c r="F353" s="37" t="str">
        <f t="shared" si="31"/>
        <v>2021-08-02_06-13-22</v>
      </c>
      <c r="G353" s="39">
        <v>9733333</v>
      </c>
      <c r="H353" s="40">
        <v>1441924</v>
      </c>
      <c r="I353" s="21" t="str">
        <f>IF(OR(COUNTIF(Monitoring!C:C, F353) &gt; 0, COUNTIF(Monitoring!F:F, F353) &gt; 0), "yes", "no")</f>
        <v>yes</v>
      </c>
      <c r="J353" s="72" t="str">
        <f t="shared" si="32"/>
        <v>Z:\FAIR_Device_data\Experiment_JulAug_2021\Video_captures\2021-08-02\2021-08-02_06-13-22.avi</v>
      </c>
    </row>
    <row r="354" spans="1:10" x14ac:dyDescent="0.3">
      <c r="A354" s="1">
        <f t="shared" si="33"/>
        <v>44410</v>
      </c>
      <c r="B354" s="36">
        <f t="shared" si="34"/>
        <v>0.33510416666666665</v>
      </c>
      <c r="C354" s="36">
        <f t="shared" si="35"/>
        <v>44410.335104166668</v>
      </c>
      <c r="D354" s="71" t="str">
        <f t="shared" si="36"/>
        <v>2021-08-02</v>
      </c>
      <c r="E354" s="38" t="s">
        <v>1283</v>
      </c>
      <c r="F354" s="37" t="str">
        <f t="shared" si="31"/>
        <v>2021-08-02_08-02-33</v>
      </c>
      <c r="G354" s="39">
        <v>905266667</v>
      </c>
      <c r="H354" s="40">
        <v>152131590</v>
      </c>
      <c r="I354" s="21" t="str">
        <f>IF(OR(COUNTIF(Monitoring!C:C, F354) &gt; 0, COUNTIF(Monitoring!F:F, F354) &gt; 0), "yes", "no")</f>
        <v>yes</v>
      </c>
      <c r="J354" s="72" t="str">
        <f t="shared" si="32"/>
        <v>Z:\FAIR_Device_data\Experiment_JulAug_2021\Video_captures\2021-08-02\2021-08-02_08-02-33.avi</v>
      </c>
    </row>
    <row r="355" spans="1:10" x14ac:dyDescent="0.3">
      <c r="A355" s="1">
        <f t="shared" si="33"/>
        <v>44410</v>
      </c>
      <c r="B355" s="36">
        <f t="shared" si="34"/>
        <v>0.36959490740740741</v>
      </c>
      <c r="C355" s="36">
        <f t="shared" si="35"/>
        <v>44410.36959490741</v>
      </c>
      <c r="D355" s="71" t="str">
        <f t="shared" si="36"/>
        <v>2021-08-02</v>
      </c>
      <c r="E355" s="38" t="s">
        <v>1284</v>
      </c>
      <c r="F355" s="37" t="str">
        <f t="shared" si="31"/>
        <v>2021-08-02_08-52-13</v>
      </c>
      <c r="G355" s="39">
        <v>88166667</v>
      </c>
      <c r="H355" s="40">
        <v>15525538</v>
      </c>
      <c r="I355" s="21" t="str">
        <f>IF(OR(COUNTIF(Monitoring!C:C, F355) &gt; 0, COUNTIF(Monitoring!F:F, F355) &gt; 0), "yes", "no")</f>
        <v>yes</v>
      </c>
      <c r="J355" s="72" t="str">
        <f t="shared" si="32"/>
        <v>Z:\FAIR_Device_data\Experiment_JulAug_2021\Video_captures\2021-08-02\2021-08-02_08-52-13.avi</v>
      </c>
    </row>
    <row r="356" spans="1:10" x14ac:dyDescent="0.3">
      <c r="A356" s="1">
        <f t="shared" si="33"/>
        <v>44410</v>
      </c>
      <c r="B356" s="36">
        <f t="shared" si="34"/>
        <v>0.37168981481481483</v>
      </c>
      <c r="C356" s="36">
        <f t="shared" si="35"/>
        <v>44410.371689814812</v>
      </c>
      <c r="D356" s="71" t="str">
        <f t="shared" si="36"/>
        <v>2021-08-02</v>
      </c>
      <c r="E356" s="38" t="s">
        <v>1285</v>
      </c>
      <c r="F356" s="37" t="str">
        <f t="shared" si="31"/>
        <v>2021-08-02_08-55-14</v>
      </c>
      <c r="G356" s="39">
        <v>2022966667</v>
      </c>
      <c r="H356" s="40">
        <v>430232548</v>
      </c>
      <c r="I356" s="21" t="str">
        <f>IF(OR(COUNTIF(Monitoring!C:C, F356) &gt; 0, COUNTIF(Monitoring!F:F, F356) &gt; 0), "yes", "no")</f>
        <v>yes</v>
      </c>
      <c r="J356" s="72" t="str">
        <f t="shared" si="32"/>
        <v>Z:\FAIR_Device_data\Experiment_JulAug_2021\Video_captures\2021-08-02\2021-08-02_08-55-14.avi</v>
      </c>
    </row>
    <row r="357" spans="1:10" x14ac:dyDescent="0.3">
      <c r="A357" s="1">
        <f t="shared" si="33"/>
        <v>44410</v>
      </c>
      <c r="B357" s="36">
        <f t="shared" si="34"/>
        <v>0.51333333333333331</v>
      </c>
      <c r="C357" s="36">
        <f t="shared" si="35"/>
        <v>44410.513333333336</v>
      </c>
      <c r="D357" s="71" t="str">
        <f t="shared" si="36"/>
        <v>2021-08-02</v>
      </c>
      <c r="E357" s="38" t="s">
        <v>1286</v>
      </c>
      <c r="F357" s="37" t="str">
        <f t="shared" si="31"/>
        <v>2021-08-02_12-19-12</v>
      </c>
      <c r="G357" s="39">
        <v>74200000</v>
      </c>
      <c r="H357" s="40">
        <v>11323212</v>
      </c>
      <c r="I357" s="21" t="str">
        <f>IF(OR(COUNTIF(Monitoring!C:C, F357) &gt; 0, COUNTIF(Monitoring!F:F, F357) &gt; 0), "yes", "no")</f>
        <v>yes</v>
      </c>
      <c r="J357" s="72" t="str">
        <f t="shared" si="32"/>
        <v>Z:\FAIR_Device_data\Experiment_JulAug_2021\Video_captures\2021-08-02\2021-08-02_12-19-12.avi</v>
      </c>
    </row>
    <row r="358" spans="1:10" x14ac:dyDescent="0.3">
      <c r="A358" s="1">
        <f t="shared" si="33"/>
        <v>44410</v>
      </c>
      <c r="B358" s="36">
        <f t="shared" si="34"/>
        <v>0.54443287037037036</v>
      </c>
      <c r="C358" s="36">
        <f t="shared" si="35"/>
        <v>44410.544432870367</v>
      </c>
      <c r="D358" s="71" t="str">
        <f t="shared" si="36"/>
        <v>2021-08-02</v>
      </c>
      <c r="E358" s="38" t="s">
        <v>1287</v>
      </c>
      <c r="F358" s="37" t="str">
        <f t="shared" si="31"/>
        <v>2021-08-02_13-03-59</v>
      </c>
      <c r="G358" s="39">
        <v>58233333</v>
      </c>
      <c r="H358" s="40">
        <v>8565248</v>
      </c>
      <c r="I358" s="21" t="str">
        <f>IF(OR(COUNTIF(Monitoring!C:C, F358) &gt; 0, COUNTIF(Monitoring!F:F, F358) &gt; 0), "yes", "no")</f>
        <v>yes</v>
      </c>
      <c r="J358" s="72" t="str">
        <f t="shared" si="32"/>
        <v>Z:\FAIR_Device_data\Experiment_JulAug_2021\Video_captures\2021-08-02\2021-08-02_13-03-59.avi</v>
      </c>
    </row>
    <row r="359" spans="1:10" x14ac:dyDescent="0.3">
      <c r="A359" s="1">
        <f t="shared" si="33"/>
        <v>44410</v>
      </c>
      <c r="B359" s="36">
        <f t="shared" si="34"/>
        <v>0.59552083333333339</v>
      </c>
      <c r="C359" s="36">
        <f t="shared" si="35"/>
        <v>44410.595520833333</v>
      </c>
      <c r="D359" s="71" t="str">
        <f t="shared" si="36"/>
        <v>2021-08-02</v>
      </c>
      <c r="E359" s="38" t="s">
        <v>1288</v>
      </c>
      <c r="F359" s="37" t="str">
        <f t="shared" si="31"/>
        <v>2021-08-02_14-17-33</v>
      </c>
      <c r="G359" s="39">
        <v>377333333</v>
      </c>
      <c r="H359" s="40">
        <v>71011398</v>
      </c>
      <c r="I359" s="21" t="str">
        <f>IF(OR(COUNTIF(Monitoring!C:C, F359) &gt; 0, COUNTIF(Monitoring!F:F, F359) &gt; 0), "yes", "no")</f>
        <v>yes</v>
      </c>
      <c r="J359" s="72" t="str">
        <f t="shared" si="32"/>
        <v>Z:\FAIR_Device_data\Experiment_JulAug_2021\Video_captures\2021-08-02\2021-08-02_14-17-33.avi</v>
      </c>
    </row>
    <row r="360" spans="1:10" x14ac:dyDescent="0.3">
      <c r="A360" s="1">
        <f t="shared" si="33"/>
        <v>44410</v>
      </c>
      <c r="B360" s="36">
        <f t="shared" si="34"/>
        <v>0.6106597222222222</v>
      </c>
      <c r="C360" s="36">
        <f t="shared" si="35"/>
        <v>44410.610659722224</v>
      </c>
      <c r="D360" s="71" t="str">
        <f t="shared" si="36"/>
        <v>2021-08-02</v>
      </c>
      <c r="E360" s="38" t="s">
        <v>1289</v>
      </c>
      <c r="F360" s="37" t="str">
        <f t="shared" si="31"/>
        <v>2021-08-02_14-39-21</v>
      </c>
      <c r="G360" s="39">
        <v>104900000</v>
      </c>
      <c r="H360" s="40">
        <v>15336332</v>
      </c>
      <c r="I360" s="21" t="str">
        <f>IF(OR(COUNTIF(Monitoring!C:C, F360) &gt; 0, COUNTIF(Monitoring!F:F, F360) &gt; 0), "yes", "no")</f>
        <v>yes</v>
      </c>
      <c r="J360" s="72" t="str">
        <f t="shared" si="32"/>
        <v>Z:\FAIR_Device_data\Experiment_JulAug_2021\Video_captures\2021-08-02\2021-08-02_14-39-21.avi</v>
      </c>
    </row>
    <row r="361" spans="1:10" x14ac:dyDescent="0.3">
      <c r="A361" s="1">
        <f t="shared" si="33"/>
        <v>44410</v>
      </c>
      <c r="B361" s="36">
        <f t="shared" si="34"/>
        <v>0.61741898148148144</v>
      </c>
      <c r="C361" s="36">
        <f t="shared" si="35"/>
        <v>44410.617418981485</v>
      </c>
      <c r="D361" s="71" t="str">
        <f t="shared" si="36"/>
        <v>2021-08-02</v>
      </c>
      <c r="E361" s="38" t="s">
        <v>1290</v>
      </c>
      <c r="F361" s="37" t="str">
        <f t="shared" si="31"/>
        <v>2021-08-02_14-49-05</v>
      </c>
      <c r="G361" s="39">
        <v>510833333</v>
      </c>
      <c r="H361" s="40">
        <v>91260540</v>
      </c>
      <c r="I361" s="21" t="str">
        <f>IF(OR(COUNTIF(Monitoring!C:C, F361) &gt; 0, COUNTIF(Monitoring!F:F, F361) &gt; 0), "yes", "no")</f>
        <v>yes</v>
      </c>
      <c r="J361" s="72" t="str">
        <f t="shared" si="32"/>
        <v>Z:\FAIR_Device_data\Experiment_JulAug_2021\Video_captures\2021-08-02\2021-08-02_14-49-05.avi</v>
      </c>
    </row>
    <row r="362" spans="1:10" x14ac:dyDescent="0.3">
      <c r="A362" s="1">
        <f t="shared" si="33"/>
        <v>44410</v>
      </c>
      <c r="B362" s="36">
        <f t="shared" si="34"/>
        <v>0.62896990740740744</v>
      </c>
      <c r="C362" s="36">
        <f t="shared" si="35"/>
        <v>44410.628969907404</v>
      </c>
      <c r="D362" s="71" t="str">
        <f t="shared" si="36"/>
        <v>2021-08-02</v>
      </c>
      <c r="E362" s="38" t="s">
        <v>1291</v>
      </c>
      <c r="F362" s="37" t="str">
        <f t="shared" si="31"/>
        <v>2021-08-02_15-05-43</v>
      </c>
      <c r="G362" s="39">
        <v>90966667</v>
      </c>
      <c r="H362" s="40">
        <v>13595748</v>
      </c>
      <c r="I362" s="21" t="str">
        <f>IF(OR(COUNTIF(Monitoring!C:C, F362) &gt; 0, COUNTIF(Monitoring!F:F, F362) &gt; 0), "yes", "no")</f>
        <v>yes</v>
      </c>
      <c r="J362" s="72" t="str">
        <f t="shared" si="32"/>
        <v>Z:\FAIR_Device_data\Experiment_JulAug_2021\Video_captures\2021-08-02\2021-08-02_15-05-43.avi</v>
      </c>
    </row>
    <row r="363" spans="1:10" x14ac:dyDescent="0.3">
      <c r="A363" s="1">
        <f t="shared" si="33"/>
        <v>44410</v>
      </c>
      <c r="B363" s="36">
        <f t="shared" si="34"/>
        <v>0.63949074074074075</v>
      </c>
      <c r="C363" s="36">
        <f t="shared" si="35"/>
        <v>44410.639490740738</v>
      </c>
      <c r="D363" s="71" t="str">
        <f t="shared" si="36"/>
        <v>2021-08-02</v>
      </c>
      <c r="E363" s="38" t="s">
        <v>1292</v>
      </c>
      <c r="F363" s="37" t="str">
        <f t="shared" si="31"/>
        <v>2021-08-02_15-20-52</v>
      </c>
      <c r="G363" s="39">
        <v>324966667</v>
      </c>
      <c r="H363" s="40">
        <v>59507724</v>
      </c>
      <c r="I363" s="21" t="str">
        <f>IF(OR(COUNTIF(Monitoring!C:C, F363) &gt; 0, COUNTIF(Monitoring!F:F, F363) &gt; 0), "yes", "no")</f>
        <v>yes</v>
      </c>
      <c r="J363" s="72" t="str">
        <f t="shared" si="32"/>
        <v>Z:\FAIR_Device_data\Experiment_JulAug_2021\Video_captures\2021-08-02\2021-08-02_15-20-52.avi</v>
      </c>
    </row>
    <row r="364" spans="1:10" x14ac:dyDescent="0.3">
      <c r="A364" s="1">
        <f t="shared" si="33"/>
        <v>44410</v>
      </c>
      <c r="B364" s="36">
        <f t="shared" si="34"/>
        <v>0.65164351851851854</v>
      </c>
      <c r="C364" s="36">
        <f t="shared" si="35"/>
        <v>44410.651643518519</v>
      </c>
      <c r="D364" s="71" t="str">
        <f t="shared" si="36"/>
        <v>2021-08-02</v>
      </c>
      <c r="E364" s="38" t="s">
        <v>1293</v>
      </c>
      <c r="F364" s="37" t="str">
        <f t="shared" si="31"/>
        <v>2021-08-02_15-38-22</v>
      </c>
      <c r="G364" s="39">
        <v>196900000</v>
      </c>
      <c r="H364" s="40">
        <v>36885428</v>
      </c>
      <c r="I364" s="21" t="str">
        <f>IF(OR(COUNTIF(Monitoring!C:C, F364) &gt; 0, COUNTIF(Monitoring!F:F, F364) &gt; 0), "yes", "no")</f>
        <v>yes</v>
      </c>
      <c r="J364" s="72" t="str">
        <f t="shared" si="32"/>
        <v>Z:\FAIR_Device_data\Experiment_JulAug_2021\Video_captures\2021-08-02\2021-08-02_15-38-22.avi</v>
      </c>
    </row>
    <row r="365" spans="1:10" x14ac:dyDescent="0.3">
      <c r="A365" s="1">
        <f t="shared" si="33"/>
        <v>44410</v>
      </c>
      <c r="B365" s="36">
        <f t="shared" si="34"/>
        <v>0.65489583333333334</v>
      </c>
      <c r="C365" s="36">
        <f t="shared" si="35"/>
        <v>44410.654895833337</v>
      </c>
      <c r="D365" s="71" t="str">
        <f t="shared" si="36"/>
        <v>2021-08-02</v>
      </c>
      <c r="E365" s="38" t="s">
        <v>1294</v>
      </c>
      <c r="F365" s="37" t="str">
        <f t="shared" si="31"/>
        <v>2021-08-02_15-43-03</v>
      </c>
      <c r="G365" s="39">
        <v>331266667</v>
      </c>
      <c r="H365" s="40">
        <v>51456632</v>
      </c>
      <c r="I365" s="21" t="str">
        <f>IF(OR(COUNTIF(Monitoring!C:C, F365) &gt; 0, COUNTIF(Monitoring!F:F, F365) &gt; 0), "yes", "no")</f>
        <v>yes</v>
      </c>
      <c r="J365" s="72" t="str">
        <f t="shared" si="32"/>
        <v>Z:\FAIR_Device_data\Experiment_JulAug_2021\Video_captures\2021-08-02\2021-08-02_15-43-03.avi</v>
      </c>
    </row>
    <row r="366" spans="1:10" x14ac:dyDescent="0.3">
      <c r="A366" s="1">
        <f t="shared" si="33"/>
        <v>44410</v>
      </c>
      <c r="B366" s="36">
        <f t="shared" si="34"/>
        <v>0.6655092592592593</v>
      </c>
      <c r="C366" s="36">
        <f t="shared" si="35"/>
        <v>44410.665509259263</v>
      </c>
      <c r="D366" s="71" t="str">
        <f t="shared" si="36"/>
        <v>2021-08-02</v>
      </c>
      <c r="E366" s="38" t="s">
        <v>1295</v>
      </c>
      <c r="F366" s="37" t="str">
        <f t="shared" si="31"/>
        <v>2021-08-02_15-58-20</v>
      </c>
      <c r="G366" s="39">
        <v>88066667</v>
      </c>
      <c r="H366" s="40">
        <v>15631368</v>
      </c>
      <c r="I366" s="21" t="str">
        <f>IF(OR(COUNTIF(Monitoring!C:C, F366) &gt; 0, COUNTIF(Monitoring!F:F, F366) &gt; 0), "yes", "no")</f>
        <v>yes</v>
      </c>
      <c r="J366" s="72" t="str">
        <f t="shared" si="32"/>
        <v>Z:\FAIR_Device_data\Experiment_JulAug_2021\Video_captures\2021-08-02\2021-08-02_15-58-20.avi</v>
      </c>
    </row>
    <row r="367" spans="1:10" x14ac:dyDescent="0.3">
      <c r="A367" s="1">
        <f t="shared" si="33"/>
        <v>44410</v>
      </c>
      <c r="B367" s="36">
        <f t="shared" si="34"/>
        <v>0.67615740740740737</v>
      </c>
      <c r="C367" s="36">
        <f t="shared" si="35"/>
        <v>44410.676157407404</v>
      </c>
      <c r="D367" s="71" t="str">
        <f t="shared" si="36"/>
        <v>2021-08-02</v>
      </c>
      <c r="E367" s="38" t="s">
        <v>1296</v>
      </c>
      <c r="F367" s="37" t="str">
        <f t="shared" si="31"/>
        <v>2021-08-02_16-13-40</v>
      </c>
      <c r="G367" s="39">
        <v>151333333</v>
      </c>
      <c r="H367" s="40">
        <v>23313212</v>
      </c>
      <c r="I367" s="21" t="str">
        <f>IF(OR(COUNTIF(Monitoring!C:C, F367) &gt; 0, COUNTIF(Monitoring!F:F, F367) &gt; 0), "yes", "no")</f>
        <v>yes</v>
      </c>
      <c r="J367" s="72" t="str">
        <f t="shared" si="32"/>
        <v>Z:\FAIR_Device_data\Experiment_JulAug_2021\Video_captures\2021-08-02\2021-08-02_16-13-40.avi</v>
      </c>
    </row>
    <row r="368" spans="1:10" x14ac:dyDescent="0.3">
      <c r="A368" s="1">
        <f t="shared" si="33"/>
        <v>44410</v>
      </c>
      <c r="B368" s="36">
        <f t="shared" si="34"/>
        <v>0.67914351851851851</v>
      </c>
      <c r="C368" s="36">
        <f t="shared" si="35"/>
        <v>44410.679143518515</v>
      </c>
      <c r="D368" s="71" t="str">
        <f t="shared" si="36"/>
        <v>2021-08-02</v>
      </c>
      <c r="E368" s="38" t="s">
        <v>1297</v>
      </c>
      <c r="F368" s="37" t="str">
        <f t="shared" si="31"/>
        <v>2021-08-02_16-17-58</v>
      </c>
      <c r="G368" s="39">
        <v>15724138</v>
      </c>
      <c r="H368" s="40">
        <v>1956520</v>
      </c>
      <c r="I368" s="21" t="str">
        <f>IF(OR(COUNTIF(Monitoring!C:C, F368) &gt; 0, COUNTIF(Monitoring!F:F, F368) &gt; 0), "yes", "no")</f>
        <v>yes</v>
      </c>
      <c r="J368" s="72" t="str">
        <f t="shared" si="32"/>
        <v>Z:\FAIR_Device_data\Experiment_JulAug_2021\Video_captures\2021-08-02\2021-08-02_16-17-58.avi</v>
      </c>
    </row>
    <row r="369" spans="1:10" x14ac:dyDescent="0.3">
      <c r="A369" s="1">
        <f t="shared" si="33"/>
        <v>44410</v>
      </c>
      <c r="B369" s="36">
        <f t="shared" si="34"/>
        <v>0.68870370370370371</v>
      </c>
      <c r="C369" s="36">
        <f t="shared" si="35"/>
        <v>44410.688703703701</v>
      </c>
      <c r="D369" s="71" t="str">
        <f t="shared" si="36"/>
        <v>2021-08-02</v>
      </c>
      <c r="E369" s="38" t="s">
        <v>1298</v>
      </c>
      <c r="F369" s="37" t="str">
        <f t="shared" si="31"/>
        <v>2021-08-02_16-31-44</v>
      </c>
      <c r="G369" s="39">
        <v>60833333</v>
      </c>
      <c r="H369" s="40">
        <v>8016812</v>
      </c>
      <c r="I369" s="21" t="str">
        <f>IF(OR(COUNTIF(Monitoring!C:C, F369) &gt; 0, COUNTIF(Monitoring!F:F, F369) &gt; 0), "yes", "no")</f>
        <v>yes</v>
      </c>
      <c r="J369" s="72" t="str">
        <f t="shared" si="32"/>
        <v>Z:\FAIR_Device_data\Experiment_JulAug_2021\Video_captures\2021-08-02\2021-08-02_16-31-44.avi</v>
      </c>
    </row>
    <row r="370" spans="1:10" x14ac:dyDescent="0.3">
      <c r="A370" s="1">
        <f t="shared" si="33"/>
        <v>44410</v>
      </c>
      <c r="B370" s="36">
        <f t="shared" si="34"/>
        <v>0.69344907407407408</v>
      </c>
      <c r="C370" s="36">
        <f t="shared" si="35"/>
        <v>44410.693449074075</v>
      </c>
      <c r="D370" s="71" t="str">
        <f t="shared" si="36"/>
        <v>2021-08-02</v>
      </c>
      <c r="E370" s="38" t="s">
        <v>1299</v>
      </c>
      <c r="F370" s="37" t="str">
        <f t="shared" si="31"/>
        <v>2021-08-02_16-38-34</v>
      </c>
      <c r="G370" s="39">
        <v>10241379</v>
      </c>
      <c r="H370" s="40">
        <v>1214744</v>
      </c>
      <c r="I370" s="21" t="str">
        <f>IF(OR(COUNTIF(Monitoring!C:C, F370) &gt; 0, COUNTIF(Monitoring!F:F, F370) &gt; 0), "yes", "no")</f>
        <v>yes</v>
      </c>
      <c r="J370" s="72" t="str">
        <f t="shared" si="32"/>
        <v>Z:\FAIR_Device_data\Experiment_JulAug_2021\Video_captures\2021-08-02\2021-08-02_16-38-34.avi</v>
      </c>
    </row>
    <row r="371" spans="1:10" x14ac:dyDescent="0.3">
      <c r="A371" s="1">
        <f t="shared" si="33"/>
        <v>44410</v>
      </c>
      <c r="B371" s="36">
        <f t="shared" si="34"/>
        <v>0.69417824074074075</v>
      </c>
      <c r="C371" s="36">
        <f t="shared" si="35"/>
        <v>44410.694178240738</v>
      </c>
      <c r="D371" s="71" t="str">
        <f t="shared" si="36"/>
        <v>2021-08-02</v>
      </c>
      <c r="E371" s="38" t="s">
        <v>1300</v>
      </c>
      <c r="F371" s="37" t="str">
        <f t="shared" si="31"/>
        <v>2021-08-02_16-39-37</v>
      </c>
      <c r="G371" s="39">
        <v>8933333</v>
      </c>
      <c r="H371" s="40">
        <v>1014504</v>
      </c>
      <c r="I371" s="21" t="str">
        <f>IF(OR(COUNTIF(Monitoring!C:C, F371) &gt; 0, COUNTIF(Monitoring!F:F, F371) &gt; 0), "yes", "no")</f>
        <v>yes</v>
      </c>
      <c r="J371" s="72" t="str">
        <f t="shared" si="32"/>
        <v>Z:\FAIR_Device_data\Experiment_JulAug_2021\Video_captures\2021-08-02\2021-08-02_16-39-37.avi</v>
      </c>
    </row>
    <row r="372" spans="1:10" x14ac:dyDescent="0.3">
      <c r="A372" s="1">
        <f t="shared" si="33"/>
        <v>44410</v>
      </c>
      <c r="B372" s="36">
        <f t="shared" si="34"/>
        <v>0.72018518518518515</v>
      </c>
      <c r="C372" s="36">
        <f t="shared" si="35"/>
        <v>44410.720185185186</v>
      </c>
      <c r="D372" s="71" t="str">
        <f t="shared" si="36"/>
        <v>2021-08-02</v>
      </c>
      <c r="E372" s="38" t="s">
        <v>1301</v>
      </c>
      <c r="F372" s="37" t="str">
        <f t="shared" si="31"/>
        <v>2021-08-02_17-17-04</v>
      </c>
      <c r="G372" s="39">
        <v>92965517</v>
      </c>
      <c r="H372" s="40">
        <v>14049480</v>
      </c>
      <c r="I372" s="21" t="str">
        <f>IF(OR(COUNTIF(Monitoring!C:C, F372) &gt; 0, COUNTIF(Monitoring!F:F, F372) &gt; 0), "yes", "no")</f>
        <v>yes</v>
      </c>
      <c r="J372" s="72" t="str">
        <f t="shared" si="32"/>
        <v>Z:\FAIR_Device_data\Experiment_JulAug_2021\Video_captures\2021-08-02\2021-08-02_17-17-04.avi</v>
      </c>
    </row>
    <row r="373" spans="1:10" x14ac:dyDescent="0.3">
      <c r="A373" s="1">
        <f t="shared" si="33"/>
        <v>44410</v>
      </c>
      <c r="B373" s="36">
        <f t="shared" si="34"/>
        <v>0.74810185185185185</v>
      </c>
      <c r="C373" s="36">
        <f t="shared" si="35"/>
        <v>44410.748101851852</v>
      </c>
      <c r="D373" s="71" t="str">
        <f t="shared" si="36"/>
        <v>2021-08-02</v>
      </c>
      <c r="E373" s="38" t="s">
        <v>1302</v>
      </c>
      <c r="F373" s="37" t="str">
        <f t="shared" si="31"/>
        <v>2021-08-02_17-57-16</v>
      </c>
      <c r="G373" s="39">
        <v>9000000</v>
      </c>
      <c r="H373" s="40">
        <v>1005716</v>
      </c>
      <c r="I373" s="21" t="str">
        <f>IF(OR(COUNTIF(Monitoring!C:C, F373) &gt; 0, COUNTIF(Monitoring!F:F, F373) &gt; 0), "yes", "no")</f>
        <v>yes</v>
      </c>
      <c r="J373" s="72" t="str">
        <f t="shared" si="32"/>
        <v>Z:\FAIR_Device_data\Experiment_JulAug_2021\Video_captures\2021-08-02\2021-08-02_17-57-16.avi</v>
      </c>
    </row>
    <row r="374" spans="1:10" x14ac:dyDescent="0.3">
      <c r="A374" s="1">
        <f t="shared" si="33"/>
        <v>44410</v>
      </c>
      <c r="B374" s="36">
        <f t="shared" si="34"/>
        <v>0.7543981481481481</v>
      </c>
      <c r="C374" s="36">
        <f t="shared" si="35"/>
        <v>44410.75439814815</v>
      </c>
      <c r="D374" s="71" t="str">
        <f t="shared" si="36"/>
        <v>2021-08-02</v>
      </c>
      <c r="E374" s="38" t="s">
        <v>1303</v>
      </c>
      <c r="F374" s="37" t="str">
        <f t="shared" si="31"/>
        <v>2021-08-02_18-06-20</v>
      </c>
      <c r="G374" s="39">
        <v>15200000</v>
      </c>
      <c r="H374" s="40">
        <v>1928710</v>
      </c>
      <c r="I374" s="21" t="str">
        <f>IF(OR(COUNTIF(Monitoring!C:C, F374) &gt; 0, COUNTIF(Monitoring!F:F, F374) &gt; 0), "yes", "no")</f>
        <v>yes</v>
      </c>
      <c r="J374" s="72" t="str">
        <f t="shared" si="32"/>
        <v>Z:\FAIR_Device_data\Experiment_JulAug_2021\Video_captures\2021-08-02\2021-08-02_18-06-20.avi</v>
      </c>
    </row>
    <row r="375" spans="1:10" x14ac:dyDescent="0.3">
      <c r="A375" s="1">
        <f t="shared" si="33"/>
        <v>44410</v>
      </c>
      <c r="B375" s="36">
        <f t="shared" si="34"/>
        <v>0.75945601851851852</v>
      </c>
      <c r="C375" s="36">
        <f t="shared" si="35"/>
        <v>44410.759456018517</v>
      </c>
      <c r="D375" s="71" t="str">
        <f t="shared" si="36"/>
        <v>2021-08-02</v>
      </c>
      <c r="E375" s="38" t="s">
        <v>1304</v>
      </c>
      <c r="F375" s="37" t="str">
        <f t="shared" si="31"/>
        <v>2021-08-02_18-13-37</v>
      </c>
      <c r="G375" s="39">
        <v>8766667</v>
      </c>
      <c r="H375" s="40">
        <v>967956</v>
      </c>
      <c r="I375" s="21" t="str">
        <f>IF(OR(COUNTIF(Monitoring!C:C, F375) &gt; 0, COUNTIF(Monitoring!F:F, F375) &gt; 0), "yes", "no")</f>
        <v>yes</v>
      </c>
      <c r="J375" s="72" t="str">
        <f t="shared" si="32"/>
        <v>Z:\FAIR_Device_data\Experiment_JulAug_2021\Video_captures\2021-08-02\2021-08-02_18-13-37.avi</v>
      </c>
    </row>
    <row r="376" spans="1:10" x14ac:dyDescent="0.3">
      <c r="A376" s="1">
        <f t="shared" si="33"/>
        <v>44410</v>
      </c>
      <c r="B376" s="36">
        <f t="shared" si="34"/>
        <v>0.7835185185185185</v>
      </c>
      <c r="C376" s="36">
        <f t="shared" si="35"/>
        <v>44410.783518518518</v>
      </c>
      <c r="D376" s="71" t="str">
        <f t="shared" si="36"/>
        <v>2021-08-02</v>
      </c>
      <c r="E376" s="38" t="s">
        <v>1305</v>
      </c>
      <c r="F376" s="37" t="str">
        <f t="shared" si="31"/>
        <v>2021-08-02_18-48-16</v>
      </c>
      <c r="G376" s="39">
        <v>22724138</v>
      </c>
      <c r="H376" s="40">
        <v>3057970</v>
      </c>
      <c r="I376" s="21" t="str">
        <f>IF(OR(COUNTIF(Monitoring!C:C, F376) &gt; 0, COUNTIF(Monitoring!F:F, F376) &gt; 0), "yes", "no")</f>
        <v>yes</v>
      </c>
      <c r="J376" s="72" t="str">
        <f t="shared" si="32"/>
        <v>Z:\FAIR_Device_data\Experiment_JulAug_2021\Video_captures\2021-08-02\2021-08-02_18-48-16.avi</v>
      </c>
    </row>
    <row r="377" spans="1:10" x14ac:dyDescent="0.3">
      <c r="A377" s="1">
        <f t="shared" si="33"/>
        <v>44410</v>
      </c>
      <c r="B377" s="36">
        <f t="shared" si="34"/>
        <v>0.79108796296296291</v>
      </c>
      <c r="C377" s="36">
        <f t="shared" si="35"/>
        <v>44410.791087962964</v>
      </c>
      <c r="D377" s="71" t="str">
        <f t="shared" si="36"/>
        <v>2021-08-02</v>
      </c>
      <c r="E377" s="38" t="s">
        <v>1306</v>
      </c>
      <c r="F377" s="37" t="str">
        <f t="shared" si="31"/>
        <v>2021-08-02_18-59-10</v>
      </c>
      <c r="G377" s="39">
        <v>8966667</v>
      </c>
      <c r="H377" s="40">
        <v>972634</v>
      </c>
      <c r="I377" s="21" t="str">
        <f>IF(OR(COUNTIF(Monitoring!C:C, F377) &gt; 0, COUNTIF(Monitoring!F:F, F377) &gt; 0), "yes", "no")</f>
        <v>yes</v>
      </c>
      <c r="J377" s="72" t="str">
        <f t="shared" si="32"/>
        <v>Z:\FAIR_Device_data\Experiment_JulAug_2021\Video_captures\2021-08-02\2021-08-02_18-59-10.avi</v>
      </c>
    </row>
    <row r="378" spans="1:10" x14ac:dyDescent="0.3">
      <c r="A378" s="1">
        <f t="shared" si="33"/>
        <v>44411</v>
      </c>
      <c r="B378" s="36">
        <f t="shared" si="34"/>
        <v>0.25412037037037039</v>
      </c>
      <c r="C378" s="36">
        <f t="shared" si="35"/>
        <v>44411.254120370373</v>
      </c>
      <c r="D378" s="71" t="str">
        <f t="shared" si="36"/>
        <v>2021-08-03</v>
      </c>
      <c r="E378" s="38" t="s">
        <v>1307</v>
      </c>
      <c r="F378" s="37" t="str">
        <f t="shared" si="31"/>
        <v>2021-08-03_06-05-56</v>
      </c>
      <c r="G378" s="39">
        <v>10000000</v>
      </c>
      <c r="H378" s="40">
        <v>1352374</v>
      </c>
      <c r="I378" s="21" t="str">
        <f>IF(OR(COUNTIF(Monitoring!C:C, F378) &gt; 0, COUNTIF(Monitoring!F:F, F378) &gt; 0), "yes", "no")</f>
        <v>yes</v>
      </c>
      <c r="J378" s="72" t="str">
        <f t="shared" si="32"/>
        <v>Z:\FAIR_Device_data\Experiment_JulAug_2021\Video_captures\2021-08-03\2021-08-03_06-05-56.avi</v>
      </c>
    </row>
    <row r="379" spans="1:10" x14ac:dyDescent="0.3">
      <c r="A379" s="1">
        <f t="shared" si="33"/>
        <v>44411</v>
      </c>
      <c r="B379" s="36">
        <f t="shared" si="34"/>
        <v>0.38446759259259261</v>
      </c>
      <c r="C379" s="36">
        <f t="shared" si="35"/>
        <v>44411.384467592594</v>
      </c>
      <c r="D379" s="71" t="str">
        <f t="shared" si="36"/>
        <v>2021-08-03</v>
      </c>
      <c r="E379" s="38" t="s">
        <v>1308</v>
      </c>
      <c r="F379" s="37" t="str">
        <f t="shared" si="31"/>
        <v>2021-08-03_09-13-38</v>
      </c>
      <c r="G379" s="39">
        <v>650866667</v>
      </c>
      <c r="H379" s="40">
        <v>123968926</v>
      </c>
      <c r="I379" s="21" t="str">
        <f>IF(OR(COUNTIF(Monitoring!C:C, F379) &gt; 0, COUNTIF(Monitoring!F:F, F379) &gt; 0), "yes", "no")</f>
        <v>yes</v>
      </c>
      <c r="J379" s="72" t="str">
        <f t="shared" si="32"/>
        <v>Z:\FAIR_Device_data\Experiment_JulAug_2021\Video_captures\2021-08-03\2021-08-03_09-13-38.avi</v>
      </c>
    </row>
    <row r="380" spans="1:10" x14ac:dyDescent="0.3">
      <c r="A380" s="1">
        <f t="shared" si="33"/>
        <v>44411</v>
      </c>
      <c r="B380" s="36">
        <f t="shared" si="34"/>
        <v>0.44362268518518516</v>
      </c>
      <c r="C380" s="36">
        <f t="shared" si="35"/>
        <v>44411.443622685183</v>
      </c>
      <c r="D380" s="71" t="str">
        <f t="shared" si="36"/>
        <v>2021-08-03</v>
      </c>
      <c r="E380" s="38" t="s">
        <v>1309</v>
      </c>
      <c r="F380" s="37" t="str">
        <f t="shared" si="31"/>
        <v>2021-08-03_10-38-49</v>
      </c>
      <c r="G380" s="39">
        <v>312827586</v>
      </c>
      <c r="H380" s="40">
        <v>62241822</v>
      </c>
      <c r="I380" s="21" t="str">
        <f>IF(OR(COUNTIF(Monitoring!C:C, F380) &gt; 0, COUNTIF(Monitoring!F:F, F380) &gt; 0), "yes", "no")</f>
        <v>yes</v>
      </c>
      <c r="J380" s="72" t="str">
        <f t="shared" si="32"/>
        <v>Z:\FAIR_Device_data\Experiment_JulAug_2021\Video_captures\2021-08-03\2021-08-03_10-38-49.avi</v>
      </c>
    </row>
    <row r="381" spans="1:10" x14ac:dyDescent="0.3">
      <c r="A381" s="1">
        <f t="shared" si="33"/>
        <v>44411</v>
      </c>
      <c r="B381" s="36">
        <f t="shared" si="34"/>
        <v>0.44788194444444446</v>
      </c>
      <c r="C381" s="36">
        <f t="shared" si="35"/>
        <v>44411.447881944441</v>
      </c>
      <c r="D381" s="71" t="str">
        <f t="shared" si="36"/>
        <v>2021-08-03</v>
      </c>
      <c r="E381" s="38" t="s">
        <v>1310</v>
      </c>
      <c r="F381" s="37" t="str">
        <f t="shared" si="31"/>
        <v>2021-08-03_10-44-57</v>
      </c>
      <c r="G381" s="39">
        <v>38466667</v>
      </c>
      <c r="H381" s="40">
        <v>4838514</v>
      </c>
      <c r="I381" s="21" t="str">
        <f>IF(OR(COUNTIF(Monitoring!C:C, F381) &gt; 0, COUNTIF(Monitoring!F:F, F381) &gt; 0), "yes", "no")</f>
        <v>no</v>
      </c>
      <c r="J381" s="72" t="str">
        <f t="shared" si="32"/>
        <v>Z:\FAIR_Device_data\Experiment_JulAug_2021\Video_captures\2021-08-03\2021-08-03_10-44-57.avi</v>
      </c>
    </row>
    <row r="382" spans="1:10" x14ac:dyDescent="0.3">
      <c r="A382" s="1">
        <f t="shared" si="33"/>
        <v>44411</v>
      </c>
      <c r="B382" s="36">
        <f t="shared" si="34"/>
        <v>0.45326388888888891</v>
      </c>
      <c r="C382" s="36">
        <f t="shared" si="35"/>
        <v>44411.453263888892</v>
      </c>
      <c r="D382" s="71" t="str">
        <f t="shared" si="36"/>
        <v>2021-08-03</v>
      </c>
      <c r="E382" s="38" t="s">
        <v>1311</v>
      </c>
      <c r="F382" s="37" t="str">
        <f t="shared" si="31"/>
        <v>2021-08-03_10-52-42</v>
      </c>
      <c r="G382" s="39">
        <v>414433333</v>
      </c>
      <c r="H382" s="40">
        <v>74149908</v>
      </c>
      <c r="I382" s="21" t="str">
        <f>IF(OR(COUNTIF(Monitoring!C:C, F382) &gt; 0, COUNTIF(Monitoring!F:F, F382) &gt; 0), "yes", "no")</f>
        <v>yes</v>
      </c>
      <c r="J382" s="72" t="str">
        <f t="shared" si="32"/>
        <v>Z:\FAIR_Device_data\Experiment_JulAug_2021\Video_captures\2021-08-03\2021-08-03_10-52-42.avi</v>
      </c>
    </row>
    <row r="383" spans="1:10" x14ac:dyDescent="0.3">
      <c r="A383" s="1">
        <f t="shared" si="33"/>
        <v>44411</v>
      </c>
      <c r="B383" s="36">
        <f t="shared" si="34"/>
        <v>0.48223379629629631</v>
      </c>
      <c r="C383" s="36">
        <f t="shared" si="35"/>
        <v>44411.482233796298</v>
      </c>
      <c r="D383" s="71" t="str">
        <f t="shared" si="36"/>
        <v>2021-08-03</v>
      </c>
      <c r="E383" s="38" t="s">
        <v>1312</v>
      </c>
      <c r="F383" s="37" t="str">
        <f t="shared" si="31"/>
        <v>2021-08-03_11-34-25</v>
      </c>
      <c r="G383" s="39">
        <v>506800000</v>
      </c>
      <c r="H383" s="40">
        <v>94955122</v>
      </c>
      <c r="I383" s="21" t="str">
        <f>IF(OR(COUNTIF(Monitoring!C:C, F383) &gt; 0, COUNTIF(Monitoring!F:F, F383) &gt; 0), "yes", "no")</f>
        <v>yes</v>
      </c>
      <c r="J383" s="72" t="str">
        <f t="shared" si="32"/>
        <v>Z:\FAIR_Device_data\Experiment_JulAug_2021\Video_captures\2021-08-03\2021-08-03_11-34-25.avi</v>
      </c>
    </row>
    <row r="384" spans="1:10" x14ac:dyDescent="0.3">
      <c r="A384" s="1">
        <f t="shared" si="33"/>
        <v>44411</v>
      </c>
      <c r="B384" s="36">
        <f t="shared" si="34"/>
        <v>0.49331018518518521</v>
      </c>
      <c r="C384" s="36">
        <f t="shared" si="35"/>
        <v>44411.493310185186</v>
      </c>
      <c r="D384" s="71" t="str">
        <f t="shared" si="36"/>
        <v>2021-08-03</v>
      </c>
      <c r="E384" s="38" t="s">
        <v>1313</v>
      </c>
      <c r="F384" s="37" t="str">
        <f t="shared" si="31"/>
        <v>2021-08-03_11-50-22</v>
      </c>
      <c r="G384" s="39">
        <v>665766667</v>
      </c>
      <c r="H384" s="40">
        <v>136014604</v>
      </c>
      <c r="I384" s="21" t="str">
        <f>IF(OR(COUNTIF(Monitoring!C:C, F384) &gt; 0, COUNTIF(Monitoring!F:F, F384) &gt; 0), "yes", "no")</f>
        <v>yes</v>
      </c>
      <c r="J384" s="72" t="str">
        <f t="shared" si="32"/>
        <v>Z:\FAIR_Device_data\Experiment_JulAug_2021\Video_captures\2021-08-03\2021-08-03_11-50-22.avi</v>
      </c>
    </row>
    <row r="385" spans="1:10" x14ac:dyDescent="0.3">
      <c r="A385" s="1">
        <f t="shared" si="33"/>
        <v>44411</v>
      </c>
      <c r="B385" s="36">
        <f t="shared" si="34"/>
        <v>0.5085763888888889</v>
      </c>
      <c r="C385" s="36">
        <f t="shared" si="35"/>
        <v>44411.508576388886</v>
      </c>
      <c r="D385" s="71" t="str">
        <f t="shared" si="36"/>
        <v>2021-08-03</v>
      </c>
      <c r="E385" s="38" t="s">
        <v>1314</v>
      </c>
      <c r="F385" s="37" t="str">
        <f t="shared" si="31"/>
        <v>2021-08-03_12-12-21</v>
      </c>
      <c r="G385" s="39">
        <v>743333333</v>
      </c>
      <c r="H385" s="40">
        <v>139813118</v>
      </c>
      <c r="I385" s="21" t="str">
        <f>IF(OR(COUNTIF(Monitoring!C:C, F385) &gt; 0, COUNTIF(Monitoring!F:F, F385) &gt; 0), "yes", "no")</f>
        <v>yes</v>
      </c>
      <c r="J385" s="72" t="str">
        <f t="shared" si="32"/>
        <v>Z:\FAIR_Device_data\Experiment_JulAug_2021\Video_captures\2021-08-03\2021-08-03_12-12-21.avi</v>
      </c>
    </row>
    <row r="386" spans="1:10" x14ac:dyDescent="0.3">
      <c r="A386" s="1">
        <f t="shared" si="33"/>
        <v>44411</v>
      </c>
      <c r="B386" s="36">
        <f t="shared" si="34"/>
        <v>0.51820601851851855</v>
      </c>
      <c r="C386" s="36">
        <f t="shared" si="35"/>
        <v>44411.518206018518</v>
      </c>
      <c r="D386" s="71" t="str">
        <f t="shared" si="36"/>
        <v>2021-08-03</v>
      </c>
      <c r="E386" s="38" t="s">
        <v>1315</v>
      </c>
      <c r="F386" s="37" t="str">
        <f t="shared" ref="F386:F449" si="37">+LEFT(E386,19)</f>
        <v>2021-08-03_12-26-13</v>
      </c>
      <c r="G386" s="39">
        <v>704448276</v>
      </c>
      <c r="H386" s="40">
        <v>131073802</v>
      </c>
      <c r="I386" s="21" t="str">
        <f>IF(OR(COUNTIF(Monitoring!C:C, F386) &gt; 0, COUNTIF(Monitoring!F:F, F386) &gt; 0), "yes", "no")</f>
        <v>yes</v>
      </c>
      <c r="J386" s="72" t="str">
        <f t="shared" ref="J386:J449" si="38">HYPERLINK(_xlfn.CONCAT("Z:\FAIR_Device_data\Experiment_JulAug_2021","\","Video_captures","\",D386,"\",E386))</f>
        <v>Z:\FAIR_Device_data\Experiment_JulAug_2021\Video_captures\2021-08-03\2021-08-03_12-26-13.avi</v>
      </c>
    </row>
    <row r="387" spans="1:10" x14ac:dyDescent="0.3">
      <c r="A387" s="1">
        <f t="shared" ref="A387:A450" si="39">VALUE(MID(F387,1,10))</f>
        <v>44414</v>
      </c>
      <c r="B387" s="36">
        <f t="shared" ref="B387:B450" si="40">IF(ISBLANK(F387),"",TIME(LEFT(RIGHT(F387,8),2),LEFT(RIGHT(F387,5),2),RIGHT(F387,2)))</f>
        <v>0.71020833333333333</v>
      </c>
      <c r="C387" s="36">
        <f t="shared" ref="C387:C450" si="41">+A387+B387</f>
        <v>44414.71020833333</v>
      </c>
      <c r="D387" s="71" t="str">
        <f t="shared" ref="D387:D450" si="42">+_xlfn.CONCAT(YEAR(A387),"-",TEXT(MONTH(A387),"00"),"-",TEXT(DAY(A387),"00"))</f>
        <v>2021-08-06</v>
      </c>
      <c r="E387" s="38" t="s">
        <v>1316</v>
      </c>
      <c r="F387" s="37" t="str">
        <f t="shared" si="37"/>
        <v>2021-08-06_17-02-42</v>
      </c>
      <c r="G387" s="39">
        <v>22149650</v>
      </c>
      <c r="H387" s="40">
        <v>21882008</v>
      </c>
      <c r="I387" s="21" t="str">
        <f>IF(OR(COUNTIF(Monitoring!C:C, F387) &gt; 0, COUNTIF(Monitoring!F:F, F387) &gt; 0), "yes", "no")</f>
        <v>no</v>
      </c>
      <c r="J387" s="72" t="str">
        <f t="shared" si="38"/>
        <v>Z:\FAIR_Device_data\Experiment_JulAug_2021\Video_captures\2021-08-06\2021-08-06_17-02-42.mp4</v>
      </c>
    </row>
    <row r="388" spans="1:10" x14ac:dyDescent="0.3">
      <c r="A388" s="1">
        <f t="shared" si="39"/>
        <v>44418</v>
      </c>
      <c r="B388" s="36">
        <f t="shared" si="40"/>
        <v>0.65934027777777782</v>
      </c>
      <c r="C388" s="36">
        <f t="shared" si="41"/>
        <v>44418.65934027778</v>
      </c>
      <c r="D388" s="71" t="str">
        <f t="shared" si="42"/>
        <v>2021-08-10</v>
      </c>
      <c r="E388" s="38" t="s">
        <v>1317</v>
      </c>
      <c r="F388" s="37" t="str">
        <f t="shared" si="37"/>
        <v>2021-08-10_15-49-27</v>
      </c>
      <c r="G388" s="39">
        <v>26680664</v>
      </c>
      <c r="H388" s="40">
        <v>25977982</v>
      </c>
      <c r="I388" s="21" t="str">
        <f>IF(OR(COUNTIF(Monitoring!C:C, F388) &gt; 0, COUNTIF(Monitoring!F:F, F388) &gt; 0), "yes", "no")</f>
        <v>yes</v>
      </c>
      <c r="J388" s="72" t="str">
        <f t="shared" si="38"/>
        <v>Z:\FAIR_Device_data\Experiment_JulAug_2021\Video_captures\2021-08-10\2021-08-10_15-49-27.mp4</v>
      </c>
    </row>
    <row r="389" spans="1:10" x14ac:dyDescent="0.3">
      <c r="A389" s="1">
        <f t="shared" si="39"/>
        <v>44418</v>
      </c>
      <c r="B389" s="36">
        <f t="shared" si="40"/>
        <v>0.67626157407407406</v>
      </c>
      <c r="C389" s="36">
        <f t="shared" si="41"/>
        <v>44418.676261574074</v>
      </c>
      <c r="D389" s="71" t="str">
        <f t="shared" si="42"/>
        <v>2021-08-10</v>
      </c>
      <c r="E389" s="38" t="s">
        <v>1318</v>
      </c>
      <c r="F389" s="37" t="str">
        <f t="shared" si="37"/>
        <v>2021-08-10_16-13-49</v>
      </c>
      <c r="G389" s="39">
        <v>14731185</v>
      </c>
      <c r="H389" s="40">
        <v>12204849</v>
      </c>
      <c r="I389" s="21" t="str">
        <f>IF(OR(COUNTIF(Monitoring!C:C, F389) &gt; 0, COUNTIF(Monitoring!F:F, F389) &gt; 0), "yes", "no")</f>
        <v>yes</v>
      </c>
      <c r="J389" s="72" t="str">
        <f t="shared" si="38"/>
        <v>Z:\FAIR_Device_data\Experiment_JulAug_2021\Video_captures\2021-08-10\2021-08-10_16-13-49.mp4</v>
      </c>
    </row>
    <row r="390" spans="1:10" x14ac:dyDescent="0.3">
      <c r="A390" s="1">
        <f t="shared" si="39"/>
        <v>44418</v>
      </c>
      <c r="B390" s="36">
        <f t="shared" si="40"/>
        <v>0.67656249999999996</v>
      </c>
      <c r="C390" s="36">
        <f t="shared" si="41"/>
        <v>44418.676562499997</v>
      </c>
      <c r="D390" s="71" t="str">
        <f t="shared" si="42"/>
        <v>2021-08-10</v>
      </c>
      <c r="E390" s="38" t="s">
        <v>1319</v>
      </c>
      <c r="F390" s="37" t="str">
        <f t="shared" si="37"/>
        <v>2021-08-10_16-14-15</v>
      </c>
      <c r="G390" s="39">
        <v>21929060</v>
      </c>
      <c r="H390" s="40">
        <v>14749239</v>
      </c>
      <c r="I390" s="21" t="str">
        <f>IF(OR(COUNTIF(Monitoring!C:C, F390) &gt; 0, COUNTIF(Monitoring!F:F, F390) &gt; 0), "yes", "no")</f>
        <v>yes</v>
      </c>
      <c r="J390" s="72" t="str">
        <f t="shared" si="38"/>
        <v>Z:\FAIR_Device_data\Experiment_JulAug_2021\Video_captures\2021-08-10\2021-08-10_16-14-15.mp4</v>
      </c>
    </row>
    <row r="391" spans="1:10" x14ac:dyDescent="0.3">
      <c r="A391" s="1">
        <f t="shared" si="39"/>
        <v>44418</v>
      </c>
      <c r="B391" s="36">
        <f t="shared" si="40"/>
        <v>0.68193287037037043</v>
      </c>
      <c r="C391" s="36">
        <f t="shared" si="41"/>
        <v>44418.681932870371</v>
      </c>
      <c r="D391" s="71" t="str">
        <f t="shared" si="42"/>
        <v>2021-08-10</v>
      </c>
      <c r="E391" s="38" t="s">
        <v>1320</v>
      </c>
      <c r="F391" s="37" t="str">
        <f t="shared" si="37"/>
        <v>2021-08-10_16-21-59</v>
      </c>
      <c r="G391" s="39">
        <v>303213151</v>
      </c>
      <c r="H391" s="40">
        <v>297243379</v>
      </c>
      <c r="I391" s="21" t="str">
        <f>IF(OR(COUNTIF(Monitoring!C:C, F391) &gt; 0, COUNTIF(Monitoring!F:F, F391) &gt; 0), "yes", "no")</f>
        <v>yes</v>
      </c>
      <c r="J391" s="72" t="str">
        <f t="shared" si="38"/>
        <v>Z:\FAIR_Device_data\Experiment_JulAug_2021\Video_captures\2021-08-10\2021-08-10_16-21-59.mp4</v>
      </c>
    </row>
    <row r="392" spans="1:10" x14ac:dyDescent="0.3">
      <c r="A392" s="1">
        <f t="shared" si="39"/>
        <v>44418</v>
      </c>
      <c r="B392" s="36">
        <f t="shared" si="40"/>
        <v>0.69285879629629632</v>
      </c>
      <c r="C392" s="36">
        <f t="shared" si="41"/>
        <v>44418.692858796298</v>
      </c>
      <c r="D392" s="71" t="str">
        <f t="shared" si="42"/>
        <v>2021-08-10</v>
      </c>
      <c r="E392" s="38" t="s">
        <v>1321</v>
      </c>
      <c r="F392" s="37" t="str">
        <f t="shared" si="37"/>
        <v>2021-08-10_16-37-43</v>
      </c>
      <c r="G392" s="39">
        <v>168539583</v>
      </c>
      <c r="H392" s="40">
        <v>186171426</v>
      </c>
      <c r="I392" s="21" t="str">
        <f>IF(OR(COUNTIF(Monitoring!C:C, F392) &gt; 0, COUNTIF(Monitoring!F:F, F392) &gt; 0), "yes", "no")</f>
        <v>yes</v>
      </c>
      <c r="J392" s="72" t="str">
        <f t="shared" si="38"/>
        <v>Z:\FAIR_Device_data\Experiment_JulAug_2021\Video_captures\2021-08-10\2021-08-10_16-37-43.mp4</v>
      </c>
    </row>
    <row r="393" spans="1:10" x14ac:dyDescent="0.3">
      <c r="A393" s="1">
        <f t="shared" si="39"/>
        <v>44418</v>
      </c>
      <c r="B393" s="36">
        <f t="shared" si="40"/>
        <v>0.69483796296296296</v>
      </c>
      <c r="C393" s="36">
        <f t="shared" si="41"/>
        <v>44418.694837962961</v>
      </c>
      <c r="D393" s="71" t="str">
        <f t="shared" si="42"/>
        <v>2021-08-10</v>
      </c>
      <c r="E393" s="38" t="s">
        <v>1322</v>
      </c>
      <c r="F393" s="37" t="str">
        <f t="shared" si="37"/>
        <v>2021-08-10_16-40-34</v>
      </c>
      <c r="G393" s="39">
        <v>10517704</v>
      </c>
      <c r="H393" s="40">
        <v>9654237</v>
      </c>
      <c r="I393" s="21" t="str">
        <f>IF(OR(COUNTIF(Monitoring!C:C, F393) &gt; 0, COUNTIF(Monitoring!F:F, F393) &gt; 0), "yes", "no")</f>
        <v>yes</v>
      </c>
      <c r="J393" s="72" t="str">
        <f t="shared" si="38"/>
        <v>Z:\FAIR_Device_data\Experiment_JulAug_2021\Video_captures\2021-08-10\2021-08-10_16-40-34.mp4</v>
      </c>
    </row>
    <row r="394" spans="1:10" x14ac:dyDescent="0.3">
      <c r="A394" s="1">
        <f t="shared" si="39"/>
        <v>44418</v>
      </c>
      <c r="B394" s="36">
        <f t="shared" si="40"/>
        <v>0.71777777777777774</v>
      </c>
      <c r="C394" s="36">
        <f t="shared" si="41"/>
        <v>44418.717777777776</v>
      </c>
      <c r="D394" s="71" t="str">
        <f t="shared" si="42"/>
        <v>2021-08-10</v>
      </c>
      <c r="E394" s="38" t="s">
        <v>1323</v>
      </c>
      <c r="F394" s="37" t="str">
        <f t="shared" si="37"/>
        <v>2021-08-10_17-13-36</v>
      </c>
      <c r="G394" s="39">
        <v>9668710</v>
      </c>
      <c r="H394" s="40">
        <v>9824616</v>
      </c>
      <c r="I394" s="21" t="str">
        <f>IF(OR(COUNTIF(Monitoring!C:C, F394) &gt; 0, COUNTIF(Monitoring!F:F, F394) &gt; 0), "yes", "no")</f>
        <v>yes</v>
      </c>
      <c r="J394" s="72" t="str">
        <f t="shared" si="38"/>
        <v>Z:\FAIR_Device_data\Experiment_JulAug_2021\Video_captures\2021-08-10\2021-08-10_17-13-36.mp4</v>
      </c>
    </row>
    <row r="395" spans="1:10" x14ac:dyDescent="0.3">
      <c r="A395" s="1">
        <f t="shared" si="39"/>
        <v>44418</v>
      </c>
      <c r="B395" s="36">
        <f t="shared" si="40"/>
        <v>0.73335648148148147</v>
      </c>
      <c r="C395" s="36">
        <f t="shared" si="41"/>
        <v>44418.733356481483</v>
      </c>
      <c r="D395" s="71" t="str">
        <f t="shared" si="42"/>
        <v>2021-08-10</v>
      </c>
      <c r="E395" s="38" t="s">
        <v>1324</v>
      </c>
      <c r="F395" s="37" t="str">
        <f t="shared" si="37"/>
        <v>2021-08-10_17-36-02</v>
      </c>
      <c r="G395" s="39">
        <v>185421484</v>
      </c>
      <c r="H395" s="40">
        <v>258682334</v>
      </c>
      <c r="I395" s="21" t="str">
        <f>IF(OR(COUNTIF(Monitoring!C:C, F395) &gt; 0, COUNTIF(Monitoring!F:F, F395) &gt; 0), "yes", "no")</f>
        <v>yes</v>
      </c>
      <c r="J395" s="72" t="str">
        <f t="shared" si="38"/>
        <v>Z:\FAIR_Device_data\Experiment_JulAug_2021\Video_captures\2021-08-10\2021-08-10_17-36-02.mp4</v>
      </c>
    </row>
    <row r="396" spans="1:10" x14ac:dyDescent="0.3">
      <c r="A396" s="1">
        <f t="shared" si="39"/>
        <v>44418</v>
      </c>
      <c r="B396" s="36">
        <f t="shared" si="40"/>
        <v>0.7406018518518519</v>
      </c>
      <c r="C396" s="36">
        <f t="shared" si="41"/>
        <v>44418.740601851852</v>
      </c>
      <c r="D396" s="71" t="str">
        <f t="shared" si="42"/>
        <v>2021-08-10</v>
      </c>
      <c r="E396" s="38" t="s">
        <v>1325</v>
      </c>
      <c r="F396" s="37" t="str">
        <f t="shared" si="37"/>
        <v>2021-08-10_17-46-28</v>
      </c>
      <c r="G396" s="39">
        <v>214686979</v>
      </c>
      <c r="H396" s="40">
        <v>298694166</v>
      </c>
      <c r="I396" s="21" t="str">
        <f>IF(OR(COUNTIF(Monitoring!C:C, F396) &gt; 0, COUNTIF(Monitoring!F:F, F396) &gt; 0), "yes", "no")</f>
        <v>yes</v>
      </c>
      <c r="J396" s="72" t="str">
        <f t="shared" si="38"/>
        <v>Z:\FAIR_Device_data\Experiment_JulAug_2021\Video_captures\2021-08-10\2021-08-10_17-46-28.mp4</v>
      </c>
    </row>
    <row r="397" spans="1:10" x14ac:dyDescent="0.3">
      <c r="A397" s="1">
        <f t="shared" si="39"/>
        <v>44418</v>
      </c>
      <c r="B397" s="36">
        <f t="shared" si="40"/>
        <v>0.74349537037037039</v>
      </c>
      <c r="C397" s="36">
        <f t="shared" si="41"/>
        <v>44418.743495370371</v>
      </c>
      <c r="D397" s="71" t="str">
        <f t="shared" si="42"/>
        <v>2021-08-10</v>
      </c>
      <c r="E397" s="38" t="s">
        <v>1326</v>
      </c>
      <c r="F397" s="37" t="str">
        <f t="shared" si="37"/>
        <v>2021-08-10_17-50-38</v>
      </c>
      <c r="G397" s="39">
        <v>11221484</v>
      </c>
      <c r="H397" s="40">
        <v>10321168</v>
      </c>
      <c r="I397" s="21" t="str">
        <f>IF(OR(COUNTIF(Monitoring!C:C, F397) &gt; 0, COUNTIF(Monitoring!F:F, F397) &gt; 0), "yes", "no")</f>
        <v>yes</v>
      </c>
      <c r="J397" s="72" t="str">
        <f t="shared" si="38"/>
        <v>Z:\FAIR_Device_data\Experiment_JulAug_2021\Video_captures\2021-08-10\2021-08-10_17-50-38.mp4</v>
      </c>
    </row>
    <row r="398" spans="1:10" x14ac:dyDescent="0.3">
      <c r="A398" s="1">
        <f t="shared" si="39"/>
        <v>44418</v>
      </c>
      <c r="B398" s="36">
        <f t="shared" si="40"/>
        <v>0.74608796296296298</v>
      </c>
      <c r="C398" s="36">
        <f t="shared" si="41"/>
        <v>44418.746087962965</v>
      </c>
      <c r="D398" s="71" t="str">
        <f t="shared" si="42"/>
        <v>2021-08-10</v>
      </c>
      <c r="E398" s="38" t="s">
        <v>1327</v>
      </c>
      <c r="F398" s="37" t="str">
        <f t="shared" si="37"/>
        <v>2021-08-10_17-54-22</v>
      </c>
      <c r="G398" s="39">
        <v>65218685</v>
      </c>
      <c r="H398" s="40">
        <v>92562086</v>
      </c>
      <c r="I398" s="21" t="str">
        <f>IF(OR(COUNTIF(Monitoring!C:C, F398) &gt; 0, COUNTIF(Monitoring!F:F, F398) &gt; 0), "yes", "no")</f>
        <v>yes</v>
      </c>
      <c r="J398" s="72" t="str">
        <f t="shared" si="38"/>
        <v>Z:\FAIR_Device_data\Experiment_JulAug_2021\Video_captures\2021-08-10\2021-08-10_17-54-22.mp4</v>
      </c>
    </row>
    <row r="399" spans="1:10" x14ac:dyDescent="0.3">
      <c r="A399" s="1">
        <f t="shared" si="39"/>
        <v>44418</v>
      </c>
      <c r="B399" s="36">
        <f t="shared" si="40"/>
        <v>0.74689814814814814</v>
      </c>
      <c r="C399" s="36">
        <f t="shared" si="41"/>
        <v>44418.746898148151</v>
      </c>
      <c r="D399" s="71" t="str">
        <f t="shared" si="42"/>
        <v>2021-08-10</v>
      </c>
      <c r="E399" s="38" t="s">
        <v>1328</v>
      </c>
      <c r="F399" s="37" t="str">
        <f t="shared" si="37"/>
        <v>2021-08-10_17-55-32</v>
      </c>
      <c r="G399" s="39">
        <v>19121940</v>
      </c>
      <c r="H399" s="40">
        <v>14883257</v>
      </c>
      <c r="I399" s="21" t="str">
        <f>IF(OR(COUNTIF(Monitoring!C:C, F399) &gt; 0, COUNTIF(Monitoring!F:F, F399) &gt; 0), "yes", "no")</f>
        <v>yes</v>
      </c>
      <c r="J399" s="72" t="str">
        <f t="shared" si="38"/>
        <v>Z:\FAIR_Device_data\Experiment_JulAug_2021\Video_captures\2021-08-10\2021-08-10_17-55-32.mp4</v>
      </c>
    </row>
    <row r="400" spans="1:10" x14ac:dyDescent="0.3">
      <c r="A400" s="1">
        <f t="shared" si="39"/>
        <v>44418</v>
      </c>
      <c r="B400" s="36">
        <f t="shared" si="40"/>
        <v>0.75856481481481486</v>
      </c>
      <c r="C400" s="36">
        <f t="shared" si="41"/>
        <v>44418.758564814816</v>
      </c>
      <c r="D400" s="71" t="str">
        <f t="shared" si="42"/>
        <v>2021-08-10</v>
      </c>
      <c r="E400" s="38" t="s">
        <v>1329</v>
      </c>
      <c r="F400" s="37" t="str">
        <f t="shared" si="37"/>
        <v>2021-08-10_18-12-20</v>
      </c>
      <c r="G400" s="39">
        <v>9498047</v>
      </c>
      <c r="H400" s="40">
        <v>9605060</v>
      </c>
      <c r="I400" s="21" t="str">
        <f>IF(OR(COUNTIF(Monitoring!C:C, F400) &gt; 0, COUNTIF(Monitoring!F:F, F400) &gt; 0), "yes", "no")</f>
        <v>yes</v>
      </c>
      <c r="J400" s="72" t="str">
        <f t="shared" si="38"/>
        <v>Z:\FAIR_Device_data\Experiment_JulAug_2021\Video_captures\2021-08-10\2021-08-10_18-12-20.mp4</v>
      </c>
    </row>
    <row r="401" spans="1:10" x14ac:dyDescent="0.3">
      <c r="A401" s="1">
        <f t="shared" si="39"/>
        <v>44418</v>
      </c>
      <c r="B401" s="36">
        <f t="shared" si="40"/>
        <v>0.75962962962962965</v>
      </c>
      <c r="C401" s="36">
        <f t="shared" si="41"/>
        <v>44418.759629629632</v>
      </c>
      <c r="D401" s="71" t="str">
        <f t="shared" si="42"/>
        <v>2021-08-10</v>
      </c>
      <c r="E401" s="38" t="s">
        <v>1330</v>
      </c>
      <c r="F401" s="37" t="str">
        <f t="shared" si="37"/>
        <v>2021-08-10_18-13-52</v>
      </c>
      <c r="G401" s="39">
        <v>9966992</v>
      </c>
      <c r="H401" s="40">
        <v>10195593</v>
      </c>
      <c r="I401" s="21" t="str">
        <f>IF(OR(COUNTIF(Monitoring!C:C, F401) &gt; 0, COUNTIF(Monitoring!F:F, F401) &gt; 0), "yes", "no")</f>
        <v>yes</v>
      </c>
      <c r="J401" s="72" t="str">
        <f t="shared" si="38"/>
        <v>Z:\FAIR_Device_data\Experiment_JulAug_2021\Video_captures\2021-08-10\2021-08-10_18-13-52.mp4</v>
      </c>
    </row>
    <row r="402" spans="1:10" x14ac:dyDescent="0.3">
      <c r="A402" s="1">
        <f t="shared" si="39"/>
        <v>44418</v>
      </c>
      <c r="B402" s="36">
        <f t="shared" si="40"/>
        <v>0.77576388888888892</v>
      </c>
      <c r="C402" s="36">
        <f t="shared" si="41"/>
        <v>44418.775763888887</v>
      </c>
      <c r="D402" s="71" t="str">
        <f t="shared" si="42"/>
        <v>2021-08-10</v>
      </c>
      <c r="E402" s="38" t="s">
        <v>1331</v>
      </c>
      <c r="F402" s="37" t="str">
        <f t="shared" si="37"/>
        <v>2021-08-10_18-37-06</v>
      </c>
      <c r="G402" s="39">
        <v>9947135</v>
      </c>
      <c r="H402" s="40">
        <v>10441352</v>
      </c>
      <c r="I402" s="21" t="str">
        <f>IF(OR(COUNTIF(Monitoring!C:C, F402) &gt; 0, COUNTIF(Monitoring!F:F, F402) &gt; 0), "yes", "no")</f>
        <v>yes</v>
      </c>
      <c r="J402" s="72" t="str">
        <f t="shared" si="38"/>
        <v>Z:\FAIR_Device_data\Experiment_JulAug_2021\Video_captures\2021-08-10\2021-08-10_18-37-06.mp4</v>
      </c>
    </row>
    <row r="403" spans="1:10" x14ac:dyDescent="0.3">
      <c r="A403" s="1">
        <f t="shared" si="39"/>
        <v>44418</v>
      </c>
      <c r="B403" s="36">
        <f t="shared" si="40"/>
        <v>0.79027777777777775</v>
      </c>
      <c r="C403" s="36">
        <f t="shared" si="41"/>
        <v>44418.790277777778</v>
      </c>
      <c r="D403" s="71" t="str">
        <f t="shared" si="42"/>
        <v>2021-08-10</v>
      </c>
      <c r="E403" s="38" t="s">
        <v>1332</v>
      </c>
      <c r="F403" s="37" t="str">
        <f t="shared" si="37"/>
        <v>2021-08-10_18-58-00</v>
      </c>
      <c r="G403" s="39">
        <v>11652409</v>
      </c>
      <c r="H403" s="40">
        <v>13405977</v>
      </c>
      <c r="I403" s="21" t="str">
        <f>IF(OR(COUNTIF(Monitoring!C:C, F403) &gt; 0, COUNTIF(Monitoring!F:F, F403) &gt; 0), "yes", "no")</f>
        <v>yes</v>
      </c>
      <c r="J403" s="72" t="str">
        <f t="shared" si="38"/>
        <v>Z:\FAIR_Device_data\Experiment_JulAug_2021\Video_captures\2021-08-10\2021-08-10_18-58-00.mp4</v>
      </c>
    </row>
    <row r="404" spans="1:10" x14ac:dyDescent="0.3">
      <c r="A404" s="1">
        <f t="shared" si="39"/>
        <v>44418</v>
      </c>
      <c r="B404" s="36">
        <f t="shared" si="40"/>
        <v>0.80489583333333337</v>
      </c>
      <c r="C404" s="36">
        <f t="shared" si="41"/>
        <v>44418.804895833331</v>
      </c>
      <c r="D404" s="71" t="str">
        <f t="shared" si="42"/>
        <v>2021-08-10</v>
      </c>
      <c r="E404" s="38" t="s">
        <v>1333</v>
      </c>
      <c r="F404" s="37" t="str">
        <f t="shared" si="37"/>
        <v>2021-08-10_19-19-03</v>
      </c>
      <c r="G404" s="39">
        <v>9499609</v>
      </c>
      <c r="H404" s="40">
        <v>11056986</v>
      </c>
      <c r="I404" s="21" t="str">
        <f>IF(OR(COUNTIF(Monitoring!C:C, F404) &gt; 0, COUNTIF(Monitoring!F:F, F404) &gt; 0), "yes", "no")</f>
        <v>yes</v>
      </c>
      <c r="J404" s="72" t="str">
        <f t="shared" si="38"/>
        <v>Z:\FAIR_Device_data\Experiment_JulAug_2021\Video_captures\2021-08-10\2021-08-10_19-19-03.mp4</v>
      </c>
    </row>
    <row r="405" spans="1:10" x14ac:dyDescent="0.3">
      <c r="A405" s="1">
        <f t="shared" si="39"/>
        <v>44418</v>
      </c>
      <c r="B405" s="36">
        <f t="shared" si="40"/>
        <v>0.81696759259259255</v>
      </c>
      <c r="C405" s="36">
        <f t="shared" si="41"/>
        <v>44418.816967592589</v>
      </c>
      <c r="D405" s="71" t="str">
        <f t="shared" si="42"/>
        <v>2021-08-10</v>
      </c>
      <c r="E405" s="38" t="s">
        <v>1334</v>
      </c>
      <c r="F405" s="37" t="str">
        <f t="shared" si="37"/>
        <v>2021-08-10_19-36-26</v>
      </c>
      <c r="G405" s="39">
        <v>13264648</v>
      </c>
      <c r="H405" s="40">
        <v>16825964</v>
      </c>
      <c r="I405" s="21" t="str">
        <f>IF(OR(COUNTIF(Monitoring!C:C, F405) &gt; 0, COUNTIF(Monitoring!F:F, F405) &gt; 0), "yes", "no")</f>
        <v>yes</v>
      </c>
      <c r="J405" s="72" t="str">
        <f t="shared" si="38"/>
        <v>Z:\FAIR_Device_data\Experiment_JulAug_2021\Video_captures\2021-08-10\2021-08-10_19-36-26.mp4</v>
      </c>
    </row>
    <row r="406" spans="1:10" x14ac:dyDescent="0.3">
      <c r="A406" s="1">
        <f t="shared" si="39"/>
        <v>44418</v>
      </c>
      <c r="B406" s="36">
        <f t="shared" si="40"/>
        <v>0.82865740740740745</v>
      </c>
      <c r="C406" s="36">
        <f t="shared" si="41"/>
        <v>44418.828657407408</v>
      </c>
      <c r="D406" s="71" t="str">
        <f t="shared" si="42"/>
        <v>2021-08-10</v>
      </c>
      <c r="E406" s="38" t="s">
        <v>1335</v>
      </c>
      <c r="F406" s="37" t="str">
        <f t="shared" si="37"/>
        <v>2021-08-10_19-53-16</v>
      </c>
      <c r="G406" s="39">
        <v>10362826</v>
      </c>
      <c r="H406" s="40">
        <v>12101539</v>
      </c>
      <c r="I406" s="21" t="str">
        <f>IF(OR(COUNTIF(Monitoring!C:C, F406) &gt; 0, COUNTIF(Monitoring!F:F, F406) &gt; 0), "yes", "no")</f>
        <v>yes</v>
      </c>
      <c r="J406" s="72" t="str">
        <f t="shared" si="38"/>
        <v>Z:\FAIR_Device_data\Experiment_JulAug_2021\Video_captures\2021-08-10\2021-08-10_19-53-16.mp4</v>
      </c>
    </row>
    <row r="407" spans="1:10" x14ac:dyDescent="0.3">
      <c r="A407" s="1">
        <f t="shared" si="39"/>
        <v>44418</v>
      </c>
      <c r="B407" s="36">
        <f t="shared" si="40"/>
        <v>0.83373842592592595</v>
      </c>
      <c r="C407" s="36">
        <f t="shared" si="41"/>
        <v>44418.833738425928</v>
      </c>
      <c r="D407" s="71" t="str">
        <f t="shared" si="42"/>
        <v>2021-08-10</v>
      </c>
      <c r="E407" s="38" t="s">
        <v>1336</v>
      </c>
      <c r="F407" s="37" t="str">
        <f t="shared" si="37"/>
        <v>2021-08-10_20-00-35</v>
      </c>
      <c r="G407" s="39">
        <v>45649935</v>
      </c>
      <c r="H407" s="40">
        <v>68352740</v>
      </c>
      <c r="I407" s="21" t="str">
        <f>IF(OR(COUNTIF(Monitoring!C:C, F407) &gt; 0, COUNTIF(Monitoring!F:F, F407) &gt; 0), "yes", "no")</f>
        <v>yes</v>
      </c>
      <c r="J407" s="72" t="str">
        <f t="shared" si="38"/>
        <v>Z:\FAIR_Device_data\Experiment_JulAug_2021\Video_captures\2021-08-10\2021-08-10_20-00-35.mp4</v>
      </c>
    </row>
    <row r="408" spans="1:10" x14ac:dyDescent="0.3">
      <c r="A408" s="1">
        <f t="shared" si="39"/>
        <v>44418</v>
      </c>
      <c r="B408" s="36">
        <f t="shared" si="40"/>
        <v>0.83980324074074075</v>
      </c>
      <c r="C408" s="36">
        <f t="shared" si="41"/>
        <v>44418.839803240742</v>
      </c>
      <c r="D408" s="71" t="str">
        <f t="shared" si="42"/>
        <v>2021-08-10</v>
      </c>
      <c r="E408" s="38" t="s">
        <v>1337</v>
      </c>
      <c r="F408" s="37" t="str">
        <f t="shared" si="37"/>
        <v>2021-08-10_20-09-19</v>
      </c>
      <c r="G408" s="39">
        <v>10001237</v>
      </c>
      <c r="H408" s="40">
        <v>11477756</v>
      </c>
      <c r="I408" s="21" t="str">
        <f>IF(OR(COUNTIF(Monitoring!C:C, F408) &gt; 0, COUNTIF(Monitoring!F:F, F408) &gt; 0), "yes", "no")</f>
        <v>yes</v>
      </c>
      <c r="J408" s="72" t="str">
        <f t="shared" si="38"/>
        <v>Z:\FAIR_Device_data\Experiment_JulAug_2021\Video_captures\2021-08-10\2021-08-10_20-09-19.mp4</v>
      </c>
    </row>
    <row r="409" spans="1:10" x14ac:dyDescent="0.3">
      <c r="A409" s="1">
        <f t="shared" si="39"/>
        <v>44418</v>
      </c>
      <c r="B409" s="36">
        <f t="shared" si="40"/>
        <v>0.84881944444444446</v>
      </c>
      <c r="C409" s="36">
        <f t="shared" si="41"/>
        <v>44418.848819444444</v>
      </c>
      <c r="D409" s="71" t="str">
        <f t="shared" si="42"/>
        <v>2021-08-10</v>
      </c>
      <c r="E409" s="38" t="s">
        <v>1338</v>
      </c>
      <c r="F409" s="37" t="str">
        <f t="shared" si="37"/>
        <v>2021-08-10_20-22-18</v>
      </c>
      <c r="G409" s="39">
        <v>12698503</v>
      </c>
      <c r="H409" s="40">
        <v>15793795</v>
      </c>
      <c r="I409" s="21" t="str">
        <f>IF(OR(COUNTIF(Monitoring!C:C, F409) &gt; 0, COUNTIF(Monitoring!F:F, F409) &gt; 0), "yes", "no")</f>
        <v>yes</v>
      </c>
      <c r="J409" s="72" t="str">
        <f t="shared" si="38"/>
        <v>Z:\FAIR_Device_data\Experiment_JulAug_2021\Video_captures\2021-08-10\2021-08-10_20-22-18.mp4</v>
      </c>
    </row>
    <row r="410" spans="1:10" x14ac:dyDescent="0.3">
      <c r="A410" s="1">
        <f t="shared" si="39"/>
        <v>44418</v>
      </c>
      <c r="B410" s="36">
        <f t="shared" si="40"/>
        <v>0.85040509259259256</v>
      </c>
      <c r="C410" s="36">
        <f t="shared" si="41"/>
        <v>44418.850405092591</v>
      </c>
      <c r="D410" s="71" t="str">
        <f t="shared" si="42"/>
        <v>2021-08-10</v>
      </c>
      <c r="E410" s="38" t="s">
        <v>1339</v>
      </c>
      <c r="F410" s="37" t="str">
        <f t="shared" si="37"/>
        <v>2021-08-10_20-24-35</v>
      </c>
      <c r="G410" s="39">
        <v>14703516</v>
      </c>
      <c r="H410" s="40">
        <v>19237891</v>
      </c>
      <c r="I410" s="21" t="str">
        <f>IF(OR(COUNTIF(Monitoring!C:C, F410) &gt; 0, COUNTIF(Monitoring!F:F, F410) &gt; 0), "yes", "no")</f>
        <v>yes</v>
      </c>
      <c r="J410" s="72" t="str">
        <f t="shared" si="38"/>
        <v>Z:\FAIR_Device_data\Experiment_JulAug_2021\Video_captures\2021-08-10\2021-08-10_20-24-35.mp4</v>
      </c>
    </row>
    <row r="411" spans="1:10" x14ac:dyDescent="0.3">
      <c r="A411" s="1">
        <f t="shared" si="39"/>
        <v>44418</v>
      </c>
      <c r="B411" s="36">
        <f t="shared" si="40"/>
        <v>0.8510416666666667</v>
      </c>
      <c r="C411" s="36">
        <f t="shared" si="41"/>
        <v>44418.851041666669</v>
      </c>
      <c r="D411" s="71" t="str">
        <f t="shared" si="42"/>
        <v>2021-08-10</v>
      </c>
      <c r="E411" s="38" t="s">
        <v>1340</v>
      </c>
      <c r="F411" s="37" t="str">
        <f t="shared" si="37"/>
        <v>2021-08-10_20-25-30</v>
      </c>
      <c r="G411" s="39">
        <v>21135026</v>
      </c>
      <c r="H411" s="40">
        <v>29581076</v>
      </c>
      <c r="I411" s="21" t="str">
        <f>IF(OR(COUNTIF(Monitoring!C:C, F411) &gt; 0, COUNTIF(Monitoring!F:F, F411) &gt; 0), "yes", "no")</f>
        <v>yes</v>
      </c>
      <c r="J411" s="72" t="str">
        <f t="shared" si="38"/>
        <v>Z:\FAIR_Device_data\Experiment_JulAug_2021\Video_captures\2021-08-10\2021-08-10_20-25-30.mp4</v>
      </c>
    </row>
    <row r="412" spans="1:10" x14ac:dyDescent="0.3">
      <c r="A412" s="1">
        <f t="shared" si="39"/>
        <v>44418</v>
      </c>
      <c r="B412" s="36">
        <f t="shared" si="40"/>
        <v>0.85153935185185181</v>
      </c>
      <c r="C412" s="36">
        <f t="shared" si="41"/>
        <v>44418.851539351854</v>
      </c>
      <c r="D412" s="71" t="str">
        <f t="shared" si="42"/>
        <v>2021-08-10</v>
      </c>
      <c r="E412" s="38" t="s">
        <v>1341</v>
      </c>
      <c r="F412" s="37" t="str">
        <f t="shared" si="37"/>
        <v>2021-08-10_20-26-13</v>
      </c>
      <c r="G412" s="39">
        <v>12493294</v>
      </c>
      <c r="H412" s="40">
        <v>15372083</v>
      </c>
      <c r="I412" s="21" t="str">
        <f>IF(OR(COUNTIF(Monitoring!C:C, F412) &gt; 0, COUNTIF(Monitoring!F:F, F412) &gt; 0), "yes", "no")</f>
        <v>no</v>
      </c>
      <c r="J412" s="72" t="str">
        <f t="shared" si="38"/>
        <v>Z:\FAIR_Device_data\Experiment_JulAug_2021\Video_captures\2021-08-10\2021-08-10_20-26-13.mp4</v>
      </c>
    </row>
    <row r="413" spans="1:10" x14ac:dyDescent="0.3">
      <c r="A413" s="1">
        <f t="shared" si="39"/>
        <v>44418</v>
      </c>
      <c r="B413" s="36">
        <f t="shared" si="40"/>
        <v>0.85929398148148151</v>
      </c>
      <c r="C413" s="36">
        <f t="shared" si="41"/>
        <v>44418.859293981484</v>
      </c>
      <c r="D413" s="71" t="str">
        <f t="shared" si="42"/>
        <v>2021-08-10</v>
      </c>
      <c r="E413" s="38" t="s">
        <v>1342</v>
      </c>
      <c r="F413" s="37" t="str">
        <f t="shared" si="37"/>
        <v>2021-08-10_20-37-23</v>
      </c>
      <c r="G413" s="39">
        <v>11954232</v>
      </c>
      <c r="H413" s="40">
        <v>14084992</v>
      </c>
      <c r="I413" s="21" t="str">
        <f>IF(OR(COUNTIF(Monitoring!C:C, F413) &gt; 0, COUNTIF(Monitoring!F:F, F413) &gt; 0), "yes", "no")</f>
        <v>yes</v>
      </c>
      <c r="J413" s="72" t="str">
        <f t="shared" si="38"/>
        <v>Z:\FAIR_Device_data\Experiment_JulAug_2021\Video_captures\2021-08-10\2021-08-10_20-37-23.mp4</v>
      </c>
    </row>
    <row r="414" spans="1:10" x14ac:dyDescent="0.3">
      <c r="A414" s="1">
        <f t="shared" si="39"/>
        <v>44418</v>
      </c>
      <c r="B414" s="36">
        <f t="shared" si="40"/>
        <v>0.86896990740740743</v>
      </c>
      <c r="C414" s="36">
        <f t="shared" si="41"/>
        <v>44418.868969907409</v>
      </c>
      <c r="D414" s="71" t="str">
        <f t="shared" si="42"/>
        <v>2021-08-10</v>
      </c>
      <c r="E414" s="38" t="s">
        <v>1343</v>
      </c>
      <c r="F414" s="37" t="str">
        <f t="shared" si="37"/>
        <v>2021-08-10_20-51-19</v>
      </c>
      <c r="G414" s="39">
        <v>17340951</v>
      </c>
      <c r="H414" s="40">
        <v>23314309</v>
      </c>
      <c r="I414" s="21" t="str">
        <f>IF(OR(COUNTIF(Monitoring!C:C, F414) &gt; 0, COUNTIF(Monitoring!F:F, F414) &gt; 0), "yes", "no")</f>
        <v>yes</v>
      </c>
      <c r="J414" s="72" t="str">
        <f t="shared" si="38"/>
        <v>Z:\FAIR_Device_data\Experiment_JulAug_2021\Video_captures\2021-08-10\2021-08-10_20-51-19.mp4</v>
      </c>
    </row>
    <row r="415" spans="1:10" x14ac:dyDescent="0.3">
      <c r="A415" s="1">
        <f t="shared" si="39"/>
        <v>44418</v>
      </c>
      <c r="B415" s="36">
        <f t="shared" si="40"/>
        <v>0.86987268518518523</v>
      </c>
      <c r="C415" s="36">
        <f t="shared" si="41"/>
        <v>44418.869872685187</v>
      </c>
      <c r="D415" s="71" t="str">
        <f t="shared" si="42"/>
        <v>2021-08-10</v>
      </c>
      <c r="E415" s="38" t="s">
        <v>1344</v>
      </c>
      <c r="F415" s="37" t="str">
        <f t="shared" si="37"/>
        <v>2021-08-10_20-52-37</v>
      </c>
      <c r="G415" s="39">
        <v>15912500</v>
      </c>
      <c r="H415" s="40">
        <v>21014626</v>
      </c>
      <c r="I415" s="21" t="str">
        <f>IF(OR(COUNTIF(Monitoring!C:C, F415) &gt; 0, COUNTIF(Monitoring!F:F, F415) &gt; 0), "yes", "no")</f>
        <v>yes</v>
      </c>
      <c r="J415" s="72" t="str">
        <f t="shared" si="38"/>
        <v>Z:\FAIR_Device_data\Experiment_JulAug_2021\Video_captures\2021-08-10\2021-08-10_20-52-37.mp4</v>
      </c>
    </row>
    <row r="416" spans="1:10" x14ac:dyDescent="0.3">
      <c r="A416" s="1">
        <f t="shared" si="39"/>
        <v>44418</v>
      </c>
      <c r="B416" s="36">
        <f t="shared" si="40"/>
        <v>0.87459490740740742</v>
      </c>
      <c r="C416" s="36">
        <f t="shared" si="41"/>
        <v>44418.874594907407</v>
      </c>
      <c r="D416" s="71" t="str">
        <f t="shared" si="42"/>
        <v>2021-08-10</v>
      </c>
      <c r="E416" s="38" t="s">
        <v>1345</v>
      </c>
      <c r="F416" s="37" t="str">
        <f t="shared" si="37"/>
        <v>2021-08-10_20-59-25</v>
      </c>
      <c r="G416" s="39">
        <v>29784701</v>
      </c>
      <c r="H416" s="40">
        <v>43496169</v>
      </c>
      <c r="I416" s="21" t="str">
        <f>IF(OR(COUNTIF(Monitoring!C:C, F416) &gt; 0, COUNTIF(Monitoring!F:F, F416) &gt; 0), "yes", "no")</f>
        <v>yes</v>
      </c>
      <c r="J416" s="72" t="str">
        <f t="shared" si="38"/>
        <v>Z:\FAIR_Device_data\Experiment_JulAug_2021\Video_captures\2021-08-10\2021-08-10_20-59-25.mp4</v>
      </c>
    </row>
    <row r="417" spans="1:10" x14ac:dyDescent="0.3">
      <c r="A417" s="1">
        <f t="shared" si="39"/>
        <v>44418</v>
      </c>
      <c r="B417" s="36">
        <f t="shared" si="40"/>
        <v>0.87717592592592597</v>
      </c>
      <c r="C417" s="36">
        <f t="shared" si="41"/>
        <v>44418.877175925925</v>
      </c>
      <c r="D417" s="71" t="str">
        <f t="shared" si="42"/>
        <v>2021-08-10</v>
      </c>
      <c r="E417" s="38" t="s">
        <v>1346</v>
      </c>
      <c r="F417" s="37" t="str">
        <f t="shared" si="37"/>
        <v>2021-08-10_21-03-08</v>
      </c>
      <c r="G417" s="39">
        <v>29749089</v>
      </c>
      <c r="H417" s="40">
        <v>43243801</v>
      </c>
      <c r="I417" s="21" t="str">
        <f>IF(OR(COUNTIF(Monitoring!C:C, F417) &gt; 0, COUNTIF(Monitoring!F:F, F417) &gt; 0), "yes", "no")</f>
        <v>yes</v>
      </c>
      <c r="J417" s="72" t="str">
        <f t="shared" si="38"/>
        <v>Z:\FAIR_Device_data\Experiment_JulAug_2021\Video_captures\2021-08-10\2021-08-10_21-03-08.mp4</v>
      </c>
    </row>
    <row r="418" spans="1:10" x14ac:dyDescent="0.3">
      <c r="A418" s="1">
        <f t="shared" si="39"/>
        <v>44418</v>
      </c>
      <c r="B418" s="36">
        <f t="shared" si="40"/>
        <v>0.87831018518518522</v>
      </c>
      <c r="C418" s="36">
        <f t="shared" si="41"/>
        <v>44418.878310185188</v>
      </c>
      <c r="D418" s="71" t="str">
        <f t="shared" si="42"/>
        <v>2021-08-10</v>
      </c>
      <c r="E418" s="38" t="s">
        <v>1347</v>
      </c>
      <c r="F418" s="37" t="str">
        <f t="shared" si="37"/>
        <v>2021-08-10_21-04-46</v>
      </c>
      <c r="G418" s="39">
        <v>11288021</v>
      </c>
      <c r="H418" s="40">
        <v>13589491</v>
      </c>
      <c r="I418" s="21" t="str">
        <f>IF(OR(COUNTIF(Monitoring!C:C, F418) &gt; 0, COUNTIF(Monitoring!F:F, F418) &gt; 0), "yes", "no")</f>
        <v>yes</v>
      </c>
      <c r="J418" s="72" t="str">
        <f t="shared" si="38"/>
        <v>Z:\FAIR_Device_data\Experiment_JulAug_2021\Video_captures\2021-08-10\2021-08-10_21-04-46.mp4</v>
      </c>
    </row>
    <row r="419" spans="1:10" x14ac:dyDescent="0.3">
      <c r="A419" s="1">
        <f t="shared" si="39"/>
        <v>44418</v>
      </c>
      <c r="B419" s="36">
        <f t="shared" si="40"/>
        <v>0.87990740740740736</v>
      </c>
      <c r="C419" s="36">
        <f t="shared" si="41"/>
        <v>44418.879907407405</v>
      </c>
      <c r="D419" s="71" t="str">
        <f t="shared" si="42"/>
        <v>2021-08-10</v>
      </c>
      <c r="E419" s="38" t="s">
        <v>1348</v>
      </c>
      <c r="F419" s="37" t="str">
        <f t="shared" si="37"/>
        <v>2021-08-10_21-07-04</v>
      </c>
      <c r="G419" s="39">
        <v>34490560</v>
      </c>
      <c r="H419" s="40">
        <v>51108749</v>
      </c>
      <c r="I419" s="21" t="str">
        <f>IF(OR(COUNTIF(Monitoring!C:C, F419) &gt; 0, COUNTIF(Monitoring!F:F, F419) &gt; 0), "yes", "no")</f>
        <v>yes</v>
      </c>
      <c r="J419" s="72" t="str">
        <f t="shared" si="38"/>
        <v>Z:\FAIR_Device_data\Experiment_JulAug_2021\Video_captures\2021-08-10\2021-08-10_21-07-04.mp4</v>
      </c>
    </row>
    <row r="420" spans="1:10" x14ac:dyDescent="0.3">
      <c r="A420" s="1">
        <f t="shared" si="39"/>
        <v>44418</v>
      </c>
      <c r="B420" s="36">
        <f t="shared" si="40"/>
        <v>0.88155092592592588</v>
      </c>
      <c r="C420" s="36">
        <f t="shared" si="41"/>
        <v>44418.881550925929</v>
      </c>
      <c r="D420" s="71" t="str">
        <f t="shared" si="42"/>
        <v>2021-08-10</v>
      </c>
      <c r="E420" s="38" t="s">
        <v>1349</v>
      </c>
      <c r="F420" s="37" t="str">
        <f t="shared" si="37"/>
        <v>2021-08-10_21-09-26</v>
      </c>
      <c r="G420" s="39">
        <v>12417513</v>
      </c>
      <c r="H420" s="40">
        <v>14634281</v>
      </c>
      <c r="I420" s="21" t="str">
        <f>IF(OR(COUNTIF(Monitoring!C:C, F420) &gt; 0, COUNTIF(Monitoring!F:F, F420) &gt; 0), "yes", "no")</f>
        <v>no</v>
      </c>
      <c r="J420" s="72" t="str">
        <f t="shared" si="38"/>
        <v>Z:\FAIR_Device_data\Experiment_JulAug_2021\Video_captures\2021-08-10\2021-08-10_21-09-26.mp4</v>
      </c>
    </row>
    <row r="421" spans="1:10" x14ac:dyDescent="0.3">
      <c r="A421" s="1">
        <f t="shared" si="39"/>
        <v>44418</v>
      </c>
      <c r="B421" s="36">
        <f t="shared" si="40"/>
        <v>0.88196759259259261</v>
      </c>
      <c r="C421" s="36">
        <f t="shared" si="41"/>
        <v>44418.881967592592</v>
      </c>
      <c r="D421" s="71" t="str">
        <f t="shared" si="42"/>
        <v>2021-08-10</v>
      </c>
      <c r="E421" s="38" t="s">
        <v>1350</v>
      </c>
      <c r="F421" s="37" t="str">
        <f t="shared" si="37"/>
        <v>2021-08-10_21-10-02</v>
      </c>
      <c r="G421" s="39">
        <v>22137325</v>
      </c>
      <c r="H421" s="40">
        <v>28750495</v>
      </c>
      <c r="I421" s="21" t="str">
        <f>IF(OR(COUNTIF(Monitoring!C:C, F421) &gt; 0, COUNTIF(Monitoring!F:F, F421) &gt; 0), "yes", "no")</f>
        <v>yes</v>
      </c>
      <c r="J421" s="72" t="str">
        <f t="shared" si="38"/>
        <v>Z:\FAIR_Device_data\Experiment_JulAug_2021\Video_captures\2021-08-10\2021-08-10_21-10-02.mp4</v>
      </c>
    </row>
    <row r="422" spans="1:10" x14ac:dyDescent="0.3">
      <c r="A422" s="1">
        <f t="shared" si="39"/>
        <v>44418</v>
      </c>
      <c r="B422" s="36">
        <f t="shared" si="40"/>
        <v>0.88223379629629628</v>
      </c>
      <c r="C422" s="36">
        <f t="shared" si="41"/>
        <v>44418.882233796299</v>
      </c>
      <c r="D422" s="71" t="str">
        <f t="shared" si="42"/>
        <v>2021-08-10</v>
      </c>
      <c r="E422" s="38" t="s">
        <v>1351</v>
      </c>
      <c r="F422" s="37" t="str">
        <f t="shared" si="37"/>
        <v>2021-08-10_21-10-25</v>
      </c>
      <c r="G422" s="39">
        <v>41391328</v>
      </c>
      <c r="H422" s="40">
        <v>51344723</v>
      </c>
      <c r="I422" s="21" t="str">
        <f>IF(OR(COUNTIF(Monitoring!C:C, F422) &gt; 0, COUNTIF(Monitoring!F:F, F422) &gt; 0), "yes", "no")</f>
        <v>no</v>
      </c>
      <c r="J422" s="72" t="str">
        <f t="shared" si="38"/>
        <v>Z:\FAIR_Device_data\Experiment_JulAug_2021\Video_captures\2021-08-10\2021-08-10_21-10-25.mp4</v>
      </c>
    </row>
    <row r="423" spans="1:10" x14ac:dyDescent="0.3">
      <c r="A423" s="1">
        <f t="shared" si="39"/>
        <v>44418</v>
      </c>
      <c r="B423" s="36">
        <f t="shared" si="40"/>
        <v>0.88377314814814811</v>
      </c>
      <c r="C423" s="36">
        <f t="shared" si="41"/>
        <v>44418.883773148147</v>
      </c>
      <c r="D423" s="71" t="str">
        <f t="shared" si="42"/>
        <v>2021-08-10</v>
      </c>
      <c r="E423" s="38" t="s">
        <v>1352</v>
      </c>
      <c r="F423" s="37" t="str">
        <f t="shared" si="37"/>
        <v>2021-08-10_21-12-38</v>
      </c>
      <c r="G423" s="39">
        <v>32921029</v>
      </c>
      <c r="H423" s="40">
        <v>48823763</v>
      </c>
      <c r="I423" s="21" t="str">
        <f>IF(OR(COUNTIF(Monitoring!C:C, F423) &gt; 0, COUNTIF(Monitoring!F:F, F423) &gt; 0), "yes", "no")</f>
        <v>yes</v>
      </c>
      <c r="J423" s="72" t="str">
        <f t="shared" si="38"/>
        <v>Z:\FAIR_Device_data\Experiment_JulAug_2021\Video_captures\2021-08-10\2021-08-10_21-12-38.mp4</v>
      </c>
    </row>
    <row r="424" spans="1:10" x14ac:dyDescent="0.3">
      <c r="A424" s="1">
        <f t="shared" si="39"/>
        <v>44418</v>
      </c>
      <c r="B424" s="36">
        <f t="shared" si="40"/>
        <v>0.8869097222222222</v>
      </c>
      <c r="C424" s="36">
        <f t="shared" si="41"/>
        <v>44418.88690972222</v>
      </c>
      <c r="D424" s="71" t="str">
        <f t="shared" si="42"/>
        <v>2021-08-10</v>
      </c>
      <c r="E424" s="38" t="s">
        <v>1353</v>
      </c>
      <c r="F424" s="37" t="str">
        <f t="shared" si="37"/>
        <v>2021-08-10_21-17-09</v>
      </c>
      <c r="G424" s="39">
        <v>29453385</v>
      </c>
      <c r="H424" s="40">
        <v>42768444</v>
      </c>
      <c r="I424" s="21" t="str">
        <f>IF(OR(COUNTIF(Monitoring!C:C, F424) &gt; 0, COUNTIF(Monitoring!F:F, F424) &gt; 0), "yes", "no")</f>
        <v>yes</v>
      </c>
      <c r="J424" s="72" t="str">
        <f t="shared" si="38"/>
        <v>Z:\FAIR_Device_data\Experiment_JulAug_2021\Video_captures\2021-08-10\2021-08-10_21-17-09.mp4</v>
      </c>
    </row>
    <row r="425" spans="1:10" x14ac:dyDescent="0.3">
      <c r="A425" s="1">
        <f t="shared" si="39"/>
        <v>44418</v>
      </c>
      <c r="B425" s="36">
        <f t="shared" si="40"/>
        <v>0.88885416666666661</v>
      </c>
      <c r="C425" s="36">
        <f t="shared" si="41"/>
        <v>44418.888854166667</v>
      </c>
      <c r="D425" s="71" t="str">
        <f t="shared" si="42"/>
        <v>2021-08-10</v>
      </c>
      <c r="E425" s="38" t="s">
        <v>1354</v>
      </c>
      <c r="F425" s="37" t="str">
        <f t="shared" si="37"/>
        <v>2021-08-10_21-19-57</v>
      </c>
      <c r="G425" s="39">
        <v>33071680</v>
      </c>
      <c r="H425" s="40">
        <v>49435842</v>
      </c>
      <c r="I425" s="21" t="str">
        <f>IF(OR(COUNTIF(Monitoring!C:C, F425) &gt; 0, COUNTIF(Monitoring!F:F, F425) &gt; 0), "yes", "no")</f>
        <v>yes</v>
      </c>
      <c r="J425" s="72" t="str">
        <f t="shared" si="38"/>
        <v>Z:\FAIR_Device_data\Experiment_JulAug_2021\Video_captures\2021-08-10\2021-08-10_21-19-57.mp4</v>
      </c>
    </row>
    <row r="426" spans="1:10" x14ac:dyDescent="0.3">
      <c r="A426" s="1">
        <f t="shared" si="39"/>
        <v>44418</v>
      </c>
      <c r="B426" s="36">
        <f t="shared" si="40"/>
        <v>0.88954861111111116</v>
      </c>
      <c r="C426" s="36">
        <f t="shared" si="41"/>
        <v>44418.889548611114</v>
      </c>
      <c r="D426" s="71" t="str">
        <f t="shared" si="42"/>
        <v>2021-08-10</v>
      </c>
      <c r="E426" s="38" t="s">
        <v>1355</v>
      </c>
      <c r="F426" s="37" t="str">
        <f t="shared" si="37"/>
        <v>2021-08-10_21-20-57</v>
      </c>
      <c r="G426" s="39">
        <v>292405013</v>
      </c>
      <c r="H426" s="40">
        <v>444066432</v>
      </c>
      <c r="I426" s="21" t="str">
        <f>IF(OR(COUNTIF(Monitoring!C:C, F426) &gt; 0, COUNTIF(Monitoring!F:F, F426) &gt; 0), "yes", "no")</f>
        <v>yes</v>
      </c>
      <c r="J426" s="72" t="str">
        <f t="shared" si="38"/>
        <v>Z:\FAIR_Device_data\Experiment_JulAug_2021\Video_captures\2021-08-10\2021-08-10_21-20-57.mp4</v>
      </c>
    </row>
    <row r="427" spans="1:10" x14ac:dyDescent="0.3">
      <c r="A427" s="1">
        <f t="shared" si="39"/>
        <v>44418</v>
      </c>
      <c r="B427" s="36">
        <f t="shared" si="40"/>
        <v>0.89314814814814814</v>
      </c>
      <c r="C427" s="36">
        <f t="shared" si="41"/>
        <v>44418.893148148149</v>
      </c>
      <c r="D427" s="71" t="str">
        <f t="shared" si="42"/>
        <v>2021-08-10</v>
      </c>
      <c r="E427" s="38" t="s">
        <v>1356</v>
      </c>
      <c r="F427" s="37" t="str">
        <f t="shared" si="37"/>
        <v>2021-08-10_21-26-08</v>
      </c>
      <c r="G427" s="39">
        <v>64221940</v>
      </c>
      <c r="H427" s="40">
        <v>93380512</v>
      </c>
      <c r="I427" s="21" t="str">
        <f>IF(OR(COUNTIF(Monitoring!C:C, F427) &gt; 0, COUNTIF(Monitoring!F:F, F427) &gt; 0), "yes", "no")</f>
        <v>yes</v>
      </c>
      <c r="J427" s="72" t="str">
        <f t="shared" si="38"/>
        <v>Z:\FAIR_Device_data\Experiment_JulAug_2021\Video_captures\2021-08-10\2021-08-10_21-26-08.mp4</v>
      </c>
    </row>
    <row r="428" spans="1:10" x14ac:dyDescent="0.3">
      <c r="A428" s="1">
        <f t="shared" si="39"/>
        <v>44418</v>
      </c>
      <c r="B428" s="36">
        <f t="shared" si="40"/>
        <v>0.89465277777777774</v>
      </c>
      <c r="C428" s="36">
        <f t="shared" si="41"/>
        <v>44418.894652777781</v>
      </c>
      <c r="D428" s="71" t="str">
        <f t="shared" si="42"/>
        <v>2021-08-10</v>
      </c>
      <c r="E428" s="38" t="s">
        <v>1357</v>
      </c>
      <c r="F428" s="37" t="str">
        <f t="shared" si="37"/>
        <v>2021-08-10_21-28-18</v>
      </c>
      <c r="G428" s="39">
        <v>10237109</v>
      </c>
      <c r="H428" s="40">
        <v>11715081</v>
      </c>
      <c r="I428" s="21" t="str">
        <f>IF(OR(COUNTIF(Monitoring!C:C, F428) &gt; 0, COUNTIF(Monitoring!F:F, F428) &gt; 0), "yes", "no")</f>
        <v>yes</v>
      </c>
      <c r="J428" s="72" t="str">
        <f t="shared" si="38"/>
        <v>Z:\FAIR_Device_data\Experiment_JulAug_2021\Video_captures\2021-08-10\2021-08-10_21-28-18.mp4</v>
      </c>
    </row>
    <row r="429" spans="1:10" x14ac:dyDescent="0.3">
      <c r="A429" s="1">
        <f t="shared" si="39"/>
        <v>44418</v>
      </c>
      <c r="B429" s="36">
        <f t="shared" si="40"/>
        <v>0.89591435185185186</v>
      </c>
      <c r="C429" s="36">
        <f t="shared" si="41"/>
        <v>44418.895914351851</v>
      </c>
      <c r="D429" s="71" t="str">
        <f t="shared" si="42"/>
        <v>2021-08-10</v>
      </c>
      <c r="E429" s="38" t="s">
        <v>1358</v>
      </c>
      <c r="F429" s="37" t="str">
        <f t="shared" si="37"/>
        <v>2021-08-10_21-30-07</v>
      </c>
      <c r="G429" s="39">
        <v>25949479</v>
      </c>
      <c r="H429" s="40">
        <v>25520064</v>
      </c>
      <c r="I429" s="21" t="str">
        <f>IF(OR(COUNTIF(Monitoring!C:C, F429) &gt; 0, COUNTIF(Monitoring!F:F, F429) &gt; 0), "yes", "no")</f>
        <v>yes</v>
      </c>
      <c r="J429" s="72" t="str">
        <f t="shared" si="38"/>
        <v>Z:\FAIR_Device_data\Experiment_JulAug_2021\Video_captures\2021-08-10\2021-08-10_21-30-07.mp4</v>
      </c>
    </row>
    <row r="430" spans="1:10" x14ac:dyDescent="0.3">
      <c r="A430" s="1">
        <f t="shared" si="39"/>
        <v>44418</v>
      </c>
      <c r="B430" s="36">
        <f t="shared" si="40"/>
        <v>0.89658564814814812</v>
      </c>
      <c r="C430" s="36">
        <f t="shared" si="41"/>
        <v>44418.896585648145</v>
      </c>
      <c r="D430" s="71" t="str">
        <f t="shared" si="42"/>
        <v>2021-08-10</v>
      </c>
      <c r="E430" s="38" t="s">
        <v>1359</v>
      </c>
      <c r="F430" s="37" t="str">
        <f t="shared" si="37"/>
        <v>2021-08-10_21-31-05</v>
      </c>
      <c r="G430" s="39">
        <v>100959049</v>
      </c>
      <c r="H430" s="40">
        <v>149672033</v>
      </c>
      <c r="I430" s="21" t="str">
        <f>IF(OR(COUNTIF(Monitoring!C:C, F430) &gt; 0, COUNTIF(Monitoring!F:F, F430) &gt; 0), "yes", "no")</f>
        <v>yes</v>
      </c>
      <c r="J430" s="72" t="str">
        <f t="shared" si="38"/>
        <v>Z:\FAIR_Device_data\Experiment_JulAug_2021\Video_captures\2021-08-10\2021-08-10_21-31-05.mp4</v>
      </c>
    </row>
    <row r="431" spans="1:10" x14ac:dyDescent="0.3">
      <c r="A431" s="1">
        <f t="shared" si="39"/>
        <v>44418</v>
      </c>
      <c r="B431" s="36">
        <f t="shared" si="40"/>
        <v>0.9046643518518519</v>
      </c>
      <c r="C431" s="36">
        <f t="shared" si="41"/>
        <v>44418.904664351852</v>
      </c>
      <c r="D431" s="71" t="str">
        <f t="shared" si="42"/>
        <v>2021-08-10</v>
      </c>
      <c r="E431" s="38" t="s">
        <v>1360</v>
      </c>
      <c r="F431" s="37" t="str">
        <f t="shared" si="37"/>
        <v>2021-08-10_21-42-43</v>
      </c>
      <c r="G431" s="39">
        <v>9694531</v>
      </c>
      <c r="H431" s="40">
        <v>11069139</v>
      </c>
      <c r="I431" s="21" t="str">
        <f>IF(OR(COUNTIF(Monitoring!C:C, F431) &gt; 0, COUNTIF(Monitoring!F:F, F431) &gt; 0), "yes", "no")</f>
        <v>yes</v>
      </c>
      <c r="J431" s="72" t="str">
        <f t="shared" si="38"/>
        <v>Z:\FAIR_Device_data\Experiment_JulAug_2021\Video_captures\2021-08-10\2021-08-10_21-42-43.mp4</v>
      </c>
    </row>
    <row r="432" spans="1:10" x14ac:dyDescent="0.3">
      <c r="A432" s="1">
        <f t="shared" si="39"/>
        <v>44418</v>
      </c>
      <c r="B432" s="36">
        <f t="shared" si="40"/>
        <v>0.91408564814814819</v>
      </c>
      <c r="C432" s="36">
        <f t="shared" si="41"/>
        <v>44418.914085648146</v>
      </c>
      <c r="D432" s="71" t="str">
        <f t="shared" si="42"/>
        <v>2021-08-10</v>
      </c>
      <c r="E432" s="38" t="s">
        <v>1361</v>
      </c>
      <c r="F432" s="37" t="str">
        <f t="shared" si="37"/>
        <v>2021-08-10_21-56-17</v>
      </c>
      <c r="G432" s="39">
        <v>13640169</v>
      </c>
      <c r="H432" s="40">
        <v>17020709</v>
      </c>
      <c r="I432" s="21" t="str">
        <f>IF(OR(COUNTIF(Monitoring!C:C, F432) &gt; 0, COUNTIF(Monitoring!F:F, F432) &gt; 0), "yes", "no")</f>
        <v>yes</v>
      </c>
      <c r="J432" s="72" t="str">
        <f t="shared" si="38"/>
        <v>Z:\FAIR_Device_data\Experiment_JulAug_2021\Video_captures\2021-08-10\2021-08-10_21-56-17.mp4</v>
      </c>
    </row>
    <row r="433" spans="1:10" x14ac:dyDescent="0.3">
      <c r="A433" s="1">
        <f t="shared" si="39"/>
        <v>44418</v>
      </c>
      <c r="B433" s="36">
        <f t="shared" si="40"/>
        <v>0.91540509259259262</v>
      </c>
      <c r="C433" s="36">
        <f t="shared" si="41"/>
        <v>44418.915405092594</v>
      </c>
      <c r="D433" s="71" t="str">
        <f t="shared" si="42"/>
        <v>2021-08-10</v>
      </c>
      <c r="E433" s="38" t="s">
        <v>1362</v>
      </c>
      <c r="F433" s="37" t="str">
        <f t="shared" si="37"/>
        <v>2021-08-10_21-58-11</v>
      </c>
      <c r="G433" s="39">
        <v>54058333</v>
      </c>
      <c r="H433" s="40">
        <v>78568514</v>
      </c>
      <c r="I433" s="21" t="str">
        <f>IF(OR(COUNTIF(Monitoring!C:C, F433) &gt; 0, COUNTIF(Monitoring!F:F, F433) &gt; 0), "yes", "no")</f>
        <v>yes</v>
      </c>
      <c r="J433" s="72" t="str">
        <f t="shared" si="38"/>
        <v>Z:\FAIR_Device_data\Experiment_JulAug_2021\Video_captures\2021-08-10\2021-08-10_21-58-11.mp4</v>
      </c>
    </row>
    <row r="434" spans="1:10" x14ac:dyDescent="0.3">
      <c r="A434" s="1">
        <f t="shared" si="39"/>
        <v>44418</v>
      </c>
      <c r="B434" s="36">
        <f t="shared" si="40"/>
        <v>0.91688657407407403</v>
      </c>
      <c r="C434" s="36">
        <f t="shared" si="41"/>
        <v>44418.916886574072</v>
      </c>
      <c r="D434" s="71" t="str">
        <f t="shared" si="42"/>
        <v>2021-08-10</v>
      </c>
      <c r="E434" s="38" t="s">
        <v>1363</v>
      </c>
      <c r="F434" s="37" t="str">
        <f t="shared" si="37"/>
        <v>2021-08-10_22-00-19</v>
      </c>
      <c r="G434" s="39">
        <v>41396289</v>
      </c>
      <c r="H434" s="40">
        <v>51197631</v>
      </c>
      <c r="I434" s="21" t="str">
        <f>IF(OR(COUNTIF(Monitoring!C:C, F434) &gt; 0, COUNTIF(Monitoring!F:F, F434) &gt; 0), "yes", "no")</f>
        <v>yes</v>
      </c>
      <c r="J434" s="72" t="str">
        <f t="shared" si="38"/>
        <v>Z:\FAIR_Device_data\Experiment_JulAug_2021\Video_captures\2021-08-10\2021-08-10_22-00-19.mp4</v>
      </c>
    </row>
    <row r="435" spans="1:10" x14ac:dyDescent="0.3">
      <c r="A435" s="1">
        <f t="shared" si="39"/>
        <v>44418</v>
      </c>
      <c r="B435" s="36">
        <f t="shared" si="40"/>
        <v>0.91813657407407412</v>
      </c>
      <c r="C435" s="36">
        <f t="shared" si="41"/>
        <v>44418.918136574073</v>
      </c>
      <c r="D435" s="71" t="str">
        <f t="shared" si="42"/>
        <v>2021-08-10</v>
      </c>
      <c r="E435" s="38" t="s">
        <v>1364</v>
      </c>
      <c r="F435" s="37" t="str">
        <f t="shared" si="37"/>
        <v>2021-08-10_22-02-07</v>
      </c>
      <c r="G435" s="39">
        <v>26957552</v>
      </c>
      <c r="H435" s="40">
        <v>37384282</v>
      </c>
      <c r="I435" s="21" t="str">
        <f>IF(OR(COUNTIF(Monitoring!C:C, F435) &gt; 0, COUNTIF(Monitoring!F:F, F435) &gt; 0), "yes", "no")</f>
        <v>yes</v>
      </c>
      <c r="J435" s="72" t="str">
        <f t="shared" si="38"/>
        <v>Z:\FAIR_Device_data\Experiment_JulAug_2021\Video_captures\2021-08-10\2021-08-10_22-02-07.mp4</v>
      </c>
    </row>
    <row r="436" spans="1:10" x14ac:dyDescent="0.3">
      <c r="A436" s="1">
        <f t="shared" si="39"/>
        <v>44418</v>
      </c>
      <c r="B436" s="36">
        <f t="shared" si="40"/>
        <v>0.99416666666666664</v>
      </c>
      <c r="C436" s="36">
        <f t="shared" si="41"/>
        <v>44418.994166666664</v>
      </c>
      <c r="D436" s="71" t="str">
        <f t="shared" si="42"/>
        <v>2021-08-10</v>
      </c>
      <c r="E436" s="38" t="s">
        <v>1365</v>
      </c>
      <c r="F436" s="37" t="str">
        <f t="shared" si="37"/>
        <v>2021-08-10_23-51-36</v>
      </c>
      <c r="G436" s="39">
        <v>10381466</v>
      </c>
      <c r="H436" s="40">
        <v>11356106</v>
      </c>
      <c r="I436" s="21" t="str">
        <f>IF(OR(COUNTIF(Monitoring!C:C, F436) &gt; 0, COUNTIF(Monitoring!F:F, F436) &gt; 0), "yes", "no")</f>
        <v>yes</v>
      </c>
      <c r="J436" s="72" t="str">
        <f t="shared" si="38"/>
        <v>Z:\FAIR_Device_data\Experiment_JulAug_2021\Video_captures\2021-08-10\2021-08-10_23-51-36.mp4</v>
      </c>
    </row>
    <row r="437" spans="1:10" x14ac:dyDescent="0.3">
      <c r="A437" s="1">
        <f t="shared" si="39"/>
        <v>44419</v>
      </c>
      <c r="B437" s="36">
        <f t="shared" si="40"/>
        <v>2.1643518518518517E-2</v>
      </c>
      <c r="C437" s="36">
        <f t="shared" si="41"/>
        <v>44419.021643518521</v>
      </c>
      <c r="D437" s="71" t="str">
        <f t="shared" si="42"/>
        <v>2021-08-11</v>
      </c>
      <c r="E437" s="38" t="s">
        <v>1366</v>
      </c>
      <c r="F437" s="37" t="str">
        <f t="shared" si="37"/>
        <v>2021-08-11_00-31-10</v>
      </c>
      <c r="G437" s="39">
        <v>9997104</v>
      </c>
      <c r="H437" s="40">
        <v>11513790</v>
      </c>
      <c r="I437" s="21" t="str">
        <f>IF(OR(COUNTIF(Monitoring!C:C, F437) &gt; 0, COUNTIF(Monitoring!F:F, F437) &gt; 0), "yes", "no")</f>
        <v>yes</v>
      </c>
      <c r="J437" s="72" t="str">
        <f t="shared" si="38"/>
        <v>Z:\FAIR_Device_data\Experiment_JulAug_2021\Video_captures\2021-08-11\2021-08-11_00-31-10.mp4</v>
      </c>
    </row>
    <row r="438" spans="1:10" x14ac:dyDescent="0.3">
      <c r="A438" s="1">
        <f t="shared" si="39"/>
        <v>44419</v>
      </c>
      <c r="B438" s="36">
        <f t="shared" si="40"/>
        <v>0.40437499999999998</v>
      </c>
      <c r="C438" s="36">
        <f t="shared" si="41"/>
        <v>44419.404374999998</v>
      </c>
      <c r="D438" s="71" t="str">
        <f t="shared" si="42"/>
        <v>2021-08-11</v>
      </c>
      <c r="E438" s="38" t="s">
        <v>1367</v>
      </c>
      <c r="F438" s="37" t="str">
        <f t="shared" si="37"/>
        <v>2021-08-11_09-42-18</v>
      </c>
      <c r="G438" s="39">
        <v>103322005</v>
      </c>
      <c r="H438" s="40">
        <v>141559076</v>
      </c>
      <c r="I438" s="21" t="str">
        <f>IF(OR(COUNTIF(Monitoring!C:C, F438) &gt; 0, COUNTIF(Monitoring!F:F, F438) &gt; 0), "yes", "no")</f>
        <v>yes</v>
      </c>
      <c r="J438" s="72" t="str">
        <f t="shared" si="38"/>
        <v>Z:\FAIR_Device_data\Experiment_JulAug_2021\Video_captures\2021-08-11\2021-08-11_09-42-18.mp4</v>
      </c>
    </row>
    <row r="439" spans="1:10" x14ac:dyDescent="0.3">
      <c r="A439" s="1">
        <f t="shared" si="39"/>
        <v>44419</v>
      </c>
      <c r="B439" s="36">
        <f t="shared" si="40"/>
        <v>0.45234953703703706</v>
      </c>
      <c r="C439" s="36">
        <f t="shared" si="41"/>
        <v>44419.452349537038</v>
      </c>
      <c r="D439" s="71" t="str">
        <f t="shared" si="42"/>
        <v>2021-08-11</v>
      </c>
      <c r="E439" s="38" t="s">
        <v>1368</v>
      </c>
      <c r="F439" s="37" t="str">
        <f t="shared" si="37"/>
        <v>2021-08-11_10-51-23</v>
      </c>
      <c r="G439" s="39">
        <v>38353125</v>
      </c>
      <c r="H439" s="40">
        <v>34872331</v>
      </c>
      <c r="I439" s="21" t="str">
        <f>IF(OR(COUNTIF(Monitoring!C:C, F439) &gt; 0, COUNTIF(Monitoring!F:F, F439) &gt; 0), "yes", "no")</f>
        <v>yes</v>
      </c>
      <c r="J439" s="72" t="str">
        <f t="shared" si="38"/>
        <v>Z:\FAIR_Device_data\Experiment_JulAug_2021\Video_captures\2021-08-11\2021-08-11_10-51-23.mp4</v>
      </c>
    </row>
    <row r="440" spans="1:10" x14ac:dyDescent="0.3">
      <c r="A440" s="1">
        <f t="shared" si="39"/>
        <v>44419</v>
      </c>
      <c r="B440" s="36">
        <f t="shared" si="40"/>
        <v>0.47075231481481483</v>
      </c>
      <c r="C440" s="36">
        <f t="shared" si="41"/>
        <v>44419.470752314817</v>
      </c>
      <c r="D440" s="71" t="str">
        <f t="shared" si="42"/>
        <v>2021-08-11</v>
      </c>
      <c r="E440" s="38" t="s">
        <v>1369</v>
      </c>
      <c r="F440" s="37" t="str">
        <f t="shared" si="37"/>
        <v>2021-08-11_11-17-53</v>
      </c>
      <c r="G440" s="39">
        <v>10137190</v>
      </c>
      <c r="H440" s="40">
        <v>10413753</v>
      </c>
      <c r="I440" s="21" t="str">
        <f>IF(OR(COUNTIF(Monitoring!C:C, F440) &gt; 0, COUNTIF(Monitoring!F:F, F440) &gt; 0), "yes", "no")</f>
        <v>yes</v>
      </c>
      <c r="J440" s="72" t="str">
        <f t="shared" si="38"/>
        <v>Z:\FAIR_Device_data\Experiment_JulAug_2021\Video_captures\2021-08-11\2021-08-11_11-17-53.mp4</v>
      </c>
    </row>
    <row r="441" spans="1:10" x14ac:dyDescent="0.3">
      <c r="A441" s="1">
        <f t="shared" si="39"/>
        <v>44419</v>
      </c>
      <c r="B441" s="36">
        <f t="shared" si="40"/>
        <v>0.47335648148148146</v>
      </c>
      <c r="C441" s="36">
        <f t="shared" si="41"/>
        <v>44419.473356481481</v>
      </c>
      <c r="D441" s="71" t="str">
        <f t="shared" si="42"/>
        <v>2021-08-11</v>
      </c>
      <c r="E441" s="38" t="s">
        <v>1370</v>
      </c>
      <c r="F441" s="37" t="str">
        <f t="shared" si="37"/>
        <v>2021-08-11_11-21-38</v>
      </c>
      <c r="G441" s="39">
        <v>26496159</v>
      </c>
      <c r="H441" s="40">
        <v>34537077</v>
      </c>
      <c r="I441" s="21" t="str">
        <f>IF(OR(COUNTIF(Monitoring!C:C, F441) &gt; 0, COUNTIF(Monitoring!F:F, F441) &gt; 0), "yes", "no")</f>
        <v>yes</v>
      </c>
      <c r="J441" s="72" t="str">
        <f t="shared" si="38"/>
        <v>Z:\FAIR_Device_data\Experiment_JulAug_2021\Video_captures\2021-08-11\2021-08-11_11-21-38.mp4</v>
      </c>
    </row>
    <row r="442" spans="1:10" x14ac:dyDescent="0.3">
      <c r="A442" s="1">
        <f t="shared" si="39"/>
        <v>44419</v>
      </c>
      <c r="B442" s="36">
        <f t="shared" si="40"/>
        <v>0.50618055555555552</v>
      </c>
      <c r="C442" s="36">
        <f t="shared" si="41"/>
        <v>44419.506180555552</v>
      </c>
      <c r="D442" s="71" t="str">
        <f t="shared" si="42"/>
        <v>2021-08-11</v>
      </c>
      <c r="E442" s="38" t="s">
        <v>1371</v>
      </c>
      <c r="F442" s="37" t="str">
        <f t="shared" si="37"/>
        <v>2021-08-11_12-08-54</v>
      </c>
      <c r="G442" s="39">
        <v>21784896</v>
      </c>
      <c r="H442" s="40">
        <v>25345222</v>
      </c>
      <c r="I442" s="21" t="str">
        <f>IF(OR(COUNTIF(Monitoring!C:C, F442) &gt; 0, COUNTIF(Monitoring!F:F, F442) &gt; 0), "yes", "no")</f>
        <v>yes</v>
      </c>
      <c r="J442" s="72" t="str">
        <f t="shared" si="38"/>
        <v>Z:\FAIR_Device_data\Experiment_JulAug_2021\Video_captures\2021-08-11\2021-08-11_12-08-54.mp4</v>
      </c>
    </row>
    <row r="443" spans="1:10" x14ac:dyDescent="0.3">
      <c r="A443" s="1">
        <f t="shared" si="39"/>
        <v>44419</v>
      </c>
      <c r="B443" s="36">
        <f t="shared" si="40"/>
        <v>0.53006944444444448</v>
      </c>
      <c r="C443" s="36">
        <f t="shared" si="41"/>
        <v>44419.530069444445</v>
      </c>
      <c r="D443" s="71" t="str">
        <f t="shared" si="42"/>
        <v>2021-08-11</v>
      </c>
      <c r="E443" s="38" t="s">
        <v>1372</v>
      </c>
      <c r="F443" s="37" t="str">
        <f t="shared" si="37"/>
        <v>2021-08-11_12-43-18</v>
      </c>
      <c r="G443" s="39">
        <v>13892708</v>
      </c>
      <c r="H443" s="40">
        <v>16001495</v>
      </c>
      <c r="I443" s="21" t="str">
        <f>IF(OR(COUNTIF(Monitoring!C:C, F443) &gt; 0, COUNTIF(Monitoring!F:F, F443) &gt; 0), "yes", "no")</f>
        <v>yes</v>
      </c>
      <c r="J443" s="72" t="str">
        <f t="shared" si="38"/>
        <v>Z:\FAIR_Device_data\Experiment_JulAug_2021\Video_captures\2021-08-11\2021-08-11_12-43-18.mp4</v>
      </c>
    </row>
    <row r="444" spans="1:10" x14ac:dyDescent="0.3">
      <c r="A444" s="1">
        <f t="shared" si="39"/>
        <v>44419</v>
      </c>
      <c r="B444" s="36">
        <f t="shared" si="40"/>
        <v>0.58946759259259263</v>
      </c>
      <c r="C444" s="36">
        <f t="shared" si="41"/>
        <v>44419.589467592596</v>
      </c>
      <c r="D444" s="71" t="str">
        <f t="shared" si="42"/>
        <v>2021-08-11</v>
      </c>
      <c r="E444" s="38" t="s">
        <v>1373</v>
      </c>
      <c r="F444" s="37" t="str">
        <f t="shared" si="37"/>
        <v>2021-08-11_14-08-50</v>
      </c>
      <c r="G444" s="39">
        <v>17015885</v>
      </c>
      <c r="H444" s="40">
        <v>15456461</v>
      </c>
      <c r="I444" s="21" t="str">
        <f>IF(OR(COUNTIF(Monitoring!C:C, F444) &gt; 0, COUNTIF(Monitoring!F:F, F444) &gt; 0), "yes", "no")</f>
        <v>yes</v>
      </c>
      <c r="J444" s="72" t="str">
        <f t="shared" si="38"/>
        <v>Z:\FAIR_Device_data\Experiment_JulAug_2021\Video_captures\2021-08-11\2021-08-11_14-08-50.mp4</v>
      </c>
    </row>
    <row r="445" spans="1:10" x14ac:dyDescent="0.3">
      <c r="A445" s="1">
        <f t="shared" si="39"/>
        <v>44419</v>
      </c>
      <c r="B445" s="36">
        <f t="shared" si="40"/>
        <v>0.61280092592592594</v>
      </c>
      <c r="C445" s="36">
        <f t="shared" si="41"/>
        <v>44419.612800925926</v>
      </c>
      <c r="D445" s="71" t="str">
        <f t="shared" si="42"/>
        <v>2021-08-11</v>
      </c>
      <c r="E445" s="38" t="s">
        <v>1374</v>
      </c>
      <c r="F445" s="37" t="str">
        <f t="shared" si="37"/>
        <v>2021-08-11_14-42-26</v>
      </c>
      <c r="G445" s="39">
        <v>11512565</v>
      </c>
      <c r="H445" s="40">
        <v>9516730</v>
      </c>
      <c r="I445" s="21" t="str">
        <f>IF(OR(COUNTIF(Monitoring!C:C, F445) &gt; 0, COUNTIF(Monitoring!F:F, F445) &gt; 0), "yes", "no")</f>
        <v>yes</v>
      </c>
      <c r="J445" s="72" t="str">
        <f t="shared" si="38"/>
        <v>Z:\FAIR_Device_data\Experiment_JulAug_2021\Video_captures\2021-08-11\2021-08-11_14-42-26.mp4</v>
      </c>
    </row>
    <row r="446" spans="1:10" x14ac:dyDescent="0.3">
      <c r="A446" s="1">
        <f t="shared" si="39"/>
        <v>44419</v>
      </c>
      <c r="B446" s="36">
        <f t="shared" si="40"/>
        <v>0.62178240740740742</v>
      </c>
      <c r="C446" s="36">
        <f t="shared" si="41"/>
        <v>44419.621782407405</v>
      </c>
      <c r="D446" s="71" t="str">
        <f t="shared" si="42"/>
        <v>2021-08-11</v>
      </c>
      <c r="E446" s="38" t="s">
        <v>1375</v>
      </c>
      <c r="F446" s="37" t="str">
        <f t="shared" si="37"/>
        <v>2021-08-11_14-55-22</v>
      </c>
      <c r="G446" s="39">
        <v>12452539</v>
      </c>
      <c r="H446" s="40">
        <v>10095679</v>
      </c>
      <c r="I446" s="21" t="str">
        <f>IF(OR(COUNTIF(Monitoring!C:C, F446) &gt; 0, COUNTIF(Monitoring!F:F, F446) &gt; 0), "yes", "no")</f>
        <v>yes</v>
      </c>
      <c r="J446" s="72" t="str">
        <f t="shared" si="38"/>
        <v>Z:\FAIR_Device_data\Experiment_JulAug_2021\Video_captures\2021-08-11\2021-08-11_14-55-22.mp4</v>
      </c>
    </row>
    <row r="447" spans="1:10" x14ac:dyDescent="0.3">
      <c r="A447" s="1">
        <f t="shared" si="39"/>
        <v>44424</v>
      </c>
      <c r="B447" s="36">
        <f t="shared" si="40"/>
        <v>0.1330787037037037</v>
      </c>
      <c r="C447" s="36">
        <f t="shared" si="41"/>
        <v>44424.1330787037</v>
      </c>
      <c r="D447" s="71" t="str">
        <f t="shared" si="42"/>
        <v>2021-08-16</v>
      </c>
      <c r="E447" s="38" t="s">
        <v>1376</v>
      </c>
      <c r="F447" s="37" t="str">
        <f t="shared" si="37"/>
        <v>2021-08-16_03-11-38</v>
      </c>
      <c r="G447" s="39">
        <v>8296549</v>
      </c>
      <c r="H447" s="40">
        <v>8509286</v>
      </c>
      <c r="I447" s="21" t="str">
        <f>IF(OR(COUNTIF(Monitoring!C:C, F447) &gt; 0, COUNTIF(Monitoring!F:F, F447) &gt; 0), "yes", "no")</f>
        <v>no</v>
      </c>
      <c r="J447" s="72" t="str">
        <f t="shared" si="38"/>
        <v>Z:\FAIR_Device_data\Experiment_JulAug_2021\Video_captures\2021-08-16\2021-08-16_03-11-38.mp4</v>
      </c>
    </row>
    <row r="448" spans="1:10" x14ac:dyDescent="0.3">
      <c r="A448" s="1">
        <f t="shared" si="39"/>
        <v>44424</v>
      </c>
      <c r="B448" s="36">
        <f t="shared" si="40"/>
        <v>0.50938657407407406</v>
      </c>
      <c r="C448" s="36">
        <f t="shared" si="41"/>
        <v>44424.509386574071</v>
      </c>
      <c r="D448" s="71" t="str">
        <f t="shared" si="42"/>
        <v>2021-08-16</v>
      </c>
      <c r="E448" s="38" t="s">
        <v>1377</v>
      </c>
      <c r="F448" s="37" t="str">
        <f t="shared" si="37"/>
        <v>2021-08-16_12-13-31</v>
      </c>
      <c r="G448" s="39">
        <v>599665625</v>
      </c>
      <c r="H448" s="40">
        <v>830534855</v>
      </c>
      <c r="I448" s="21" t="str">
        <f>IF(OR(COUNTIF(Monitoring!C:C, F448) &gt; 0, COUNTIF(Monitoring!F:F, F448) &gt; 0), "yes", "no")</f>
        <v>yes</v>
      </c>
      <c r="J448" s="72" t="str">
        <f t="shared" si="38"/>
        <v>Z:\FAIR_Device_data\Experiment_JulAug_2021\Video_captures\2021-08-16\2021-08-16_12-13-31.mp4</v>
      </c>
    </row>
    <row r="449" spans="1:10" x14ac:dyDescent="0.3">
      <c r="A449" s="1">
        <f t="shared" si="39"/>
        <v>44424</v>
      </c>
      <c r="B449" s="36">
        <f t="shared" si="40"/>
        <v>0.54099537037037038</v>
      </c>
      <c r="C449" s="36">
        <f t="shared" si="41"/>
        <v>44424.540995370371</v>
      </c>
      <c r="D449" s="71" t="str">
        <f t="shared" si="42"/>
        <v>2021-08-16</v>
      </c>
      <c r="E449" s="38" t="s">
        <v>1378</v>
      </c>
      <c r="F449" s="37" t="str">
        <f t="shared" si="37"/>
        <v>2021-08-16_12-59-02</v>
      </c>
      <c r="G449" s="39">
        <v>17021350</v>
      </c>
      <c r="H449" s="40">
        <v>13992962</v>
      </c>
      <c r="I449" s="21" t="str">
        <f>IF(OR(COUNTIF(Monitoring!C:C, F449) &gt; 0, COUNTIF(Monitoring!F:F, F449) &gt; 0), "yes", "no")</f>
        <v>yes</v>
      </c>
      <c r="J449" s="72" t="str">
        <f t="shared" si="38"/>
        <v>Z:\FAIR_Device_data\Experiment_JulAug_2021\Video_captures\2021-08-16\2021-08-16_12-59-02.mp4</v>
      </c>
    </row>
    <row r="450" spans="1:10" x14ac:dyDescent="0.3">
      <c r="A450" s="1">
        <f t="shared" si="39"/>
        <v>44424</v>
      </c>
      <c r="B450" s="36">
        <f t="shared" si="40"/>
        <v>0.54120370370370374</v>
      </c>
      <c r="C450" s="36">
        <f t="shared" si="41"/>
        <v>44424.541203703702</v>
      </c>
      <c r="D450" s="71" t="str">
        <f t="shared" si="42"/>
        <v>2021-08-16</v>
      </c>
      <c r="E450" s="38" t="s">
        <v>1379</v>
      </c>
      <c r="F450" s="37" t="str">
        <f t="shared" ref="F450:F487" si="43">+LEFT(E450,19)</f>
        <v>2021-08-16_12-59-20</v>
      </c>
      <c r="G450" s="39">
        <v>36338157</v>
      </c>
      <c r="H450" s="40">
        <v>25289835</v>
      </c>
      <c r="I450" s="21" t="str">
        <f>IF(OR(COUNTIF(Monitoring!C:C, F450) &gt; 0, COUNTIF(Monitoring!F:F, F450) &gt; 0), "yes", "no")</f>
        <v>no</v>
      </c>
      <c r="J450" s="72" t="str">
        <f t="shared" ref="J450:J487" si="44">HYPERLINK(_xlfn.CONCAT("Z:\FAIR_Device_data\Experiment_JulAug_2021","\","Video_captures","\",D450,"\",E450))</f>
        <v>Z:\FAIR_Device_data\Experiment_JulAug_2021\Video_captures\2021-08-16\2021-08-16_12-59-20.mp4</v>
      </c>
    </row>
    <row r="451" spans="1:10" x14ac:dyDescent="0.3">
      <c r="A451" s="1">
        <f t="shared" ref="A451:A487" si="45">VALUE(MID(F451,1,10))</f>
        <v>44426</v>
      </c>
      <c r="B451" s="36">
        <f t="shared" ref="B451:B487" si="46">IF(ISBLANK(F451),"",TIME(LEFT(RIGHT(F451,8),2),LEFT(RIGHT(F451,5),2),RIGHT(F451,2)))</f>
        <v>0.77009259259259255</v>
      </c>
      <c r="C451" s="36">
        <f t="shared" ref="C451:C487" si="47">+A451+B451</f>
        <v>44426.770092592589</v>
      </c>
      <c r="D451" s="71" t="str">
        <f t="shared" ref="D451:D487" si="48">+_xlfn.CONCAT(YEAR(A451),"-",TEXT(MONTH(A451),"00"),"-",TEXT(DAY(A451),"00"))</f>
        <v>2021-08-18</v>
      </c>
      <c r="E451" s="38" t="s">
        <v>1380</v>
      </c>
      <c r="F451" s="37" t="str">
        <f t="shared" si="43"/>
        <v>2021-08-18_18-28-56</v>
      </c>
      <c r="G451" s="39">
        <v>125862956</v>
      </c>
      <c r="H451" s="40">
        <v>11180056</v>
      </c>
      <c r="I451" s="21" t="str">
        <f>IF(OR(COUNTIF(Monitoring!C:C, F451) &gt; 0, COUNTIF(Monitoring!F:F, F451) &gt; 0), "yes", "no")</f>
        <v>yes</v>
      </c>
      <c r="J451" s="72" t="str">
        <f t="shared" si="44"/>
        <v>Z:\FAIR_Device_data\Experiment_JulAug_2021\Video_captures\2021-08-18\2021-08-18_18-28-56.mp4</v>
      </c>
    </row>
    <row r="452" spans="1:10" x14ac:dyDescent="0.3">
      <c r="A452" s="1">
        <f t="shared" si="45"/>
        <v>44426</v>
      </c>
      <c r="B452" s="36">
        <f t="shared" si="46"/>
        <v>0.80797453703703703</v>
      </c>
      <c r="C452" s="36">
        <f t="shared" si="47"/>
        <v>44426.807974537034</v>
      </c>
      <c r="D452" s="71" t="str">
        <f t="shared" si="48"/>
        <v>2021-08-18</v>
      </c>
      <c r="E452" s="38" t="s">
        <v>1381</v>
      </c>
      <c r="F452" s="37" t="str">
        <f t="shared" si="43"/>
        <v>2021-08-18_19-23-29</v>
      </c>
      <c r="G452" s="39">
        <v>9410417</v>
      </c>
      <c r="H452" s="40">
        <v>10616289</v>
      </c>
      <c r="I452" s="21" t="str">
        <f>IF(OR(COUNTIF(Monitoring!C:C, F452) &gt; 0, COUNTIF(Monitoring!F:F, F452) &gt; 0), "yes", "no")</f>
        <v>yes</v>
      </c>
      <c r="J452" s="72" t="str">
        <f t="shared" si="44"/>
        <v>Z:\FAIR_Device_data\Experiment_JulAug_2021\Video_captures\2021-08-18\2021-08-18_19-23-29.mp4</v>
      </c>
    </row>
    <row r="453" spans="1:10" x14ac:dyDescent="0.3">
      <c r="A453" s="1">
        <f t="shared" si="45"/>
        <v>44426</v>
      </c>
      <c r="B453" s="36">
        <f t="shared" si="46"/>
        <v>0.8109143518518519</v>
      </c>
      <c r="C453" s="36">
        <f t="shared" si="47"/>
        <v>44426.810914351852</v>
      </c>
      <c r="D453" s="71" t="str">
        <f t="shared" si="48"/>
        <v>2021-08-18</v>
      </c>
      <c r="E453" s="38" t="s">
        <v>1382</v>
      </c>
      <c r="F453" s="37" t="str">
        <f t="shared" si="43"/>
        <v>2021-08-18_19-27-43</v>
      </c>
      <c r="G453" s="39">
        <v>10060286</v>
      </c>
      <c r="H453" s="40">
        <v>11420159</v>
      </c>
      <c r="I453" s="21" t="str">
        <f>IF(OR(COUNTIF(Monitoring!C:C, F453) &gt; 0, COUNTIF(Monitoring!F:F, F453) &gt; 0), "yes", "no")</f>
        <v>yes</v>
      </c>
      <c r="J453" s="72" t="str">
        <f t="shared" si="44"/>
        <v>Z:\FAIR_Device_data\Experiment_JulAug_2021\Video_captures\2021-08-18\2021-08-18_19-27-43.mp4</v>
      </c>
    </row>
    <row r="454" spans="1:10" x14ac:dyDescent="0.3">
      <c r="A454" s="1">
        <f t="shared" si="45"/>
        <v>44426</v>
      </c>
      <c r="B454" s="36">
        <f t="shared" si="46"/>
        <v>0.83182870370370365</v>
      </c>
      <c r="C454" s="36">
        <f t="shared" si="47"/>
        <v>44426.831828703704</v>
      </c>
      <c r="D454" s="71" t="str">
        <f t="shared" si="48"/>
        <v>2021-08-18</v>
      </c>
      <c r="E454" s="38" t="s">
        <v>1383</v>
      </c>
      <c r="F454" s="37" t="str">
        <f t="shared" si="43"/>
        <v>2021-08-18_19-57-50</v>
      </c>
      <c r="G454" s="39">
        <v>41192578</v>
      </c>
      <c r="H454" s="40">
        <v>62422398</v>
      </c>
      <c r="I454" s="21" t="str">
        <f>IF(OR(COUNTIF(Monitoring!C:C, F454) &gt; 0, COUNTIF(Monitoring!F:F, F454) &gt; 0), "yes", "no")</f>
        <v>yes</v>
      </c>
      <c r="J454" s="72" t="str">
        <f t="shared" si="44"/>
        <v>Z:\FAIR_Device_data\Experiment_JulAug_2021\Video_captures\2021-08-18\2021-08-18_19-57-50.mp4</v>
      </c>
    </row>
    <row r="455" spans="1:10" x14ac:dyDescent="0.3">
      <c r="A455" s="1">
        <f t="shared" si="45"/>
        <v>44426</v>
      </c>
      <c r="B455" s="36">
        <f t="shared" si="46"/>
        <v>0.85521990740740739</v>
      </c>
      <c r="C455" s="36">
        <f t="shared" si="47"/>
        <v>44426.855219907404</v>
      </c>
      <c r="D455" s="71" t="str">
        <f t="shared" si="48"/>
        <v>2021-08-18</v>
      </c>
      <c r="E455" s="38" t="s">
        <v>1384</v>
      </c>
      <c r="F455" s="37" t="str">
        <f t="shared" si="43"/>
        <v>2021-08-18_20-31-31</v>
      </c>
      <c r="G455" s="39">
        <v>9631641</v>
      </c>
      <c r="H455" s="40">
        <v>11312242</v>
      </c>
      <c r="I455" s="21" t="str">
        <f>IF(OR(COUNTIF(Monitoring!C:C, F455) &gt; 0, COUNTIF(Monitoring!F:F, F455) &gt; 0), "yes", "no")</f>
        <v>yes</v>
      </c>
      <c r="J455" s="72" t="str">
        <f t="shared" si="44"/>
        <v>Z:\FAIR_Device_data\Experiment_JulAug_2021\Video_captures\2021-08-18\2021-08-18_20-31-31.mp4</v>
      </c>
    </row>
    <row r="456" spans="1:10" x14ac:dyDescent="0.3">
      <c r="A456" s="1">
        <f t="shared" si="45"/>
        <v>44426</v>
      </c>
      <c r="B456" s="36">
        <f t="shared" si="46"/>
        <v>0.87092592592592588</v>
      </c>
      <c r="C456" s="36">
        <f t="shared" si="47"/>
        <v>44426.870925925927</v>
      </c>
      <c r="D456" s="71" t="str">
        <f t="shared" si="48"/>
        <v>2021-08-18</v>
      </c>
      <c r="E456" s="38" t="s">
        <v>1385</v>
      </c>
      <c r="F456" s="37" t="str">
        <f t="shared" si="43"/>
        <v>2021-08-18_20-54-08</v>
      </c>
      <c r="G456" s="39">
        <v>10839583</v>
      </c>
      <c r="H456" s="40">
        <v>13267312</v>
      </c>
      <c r="I456" s="21" t="str">
        <f>IF(OR(COUNTIF(Monitoring!C:C, F456) &gt; 0, COUNTIF(Monitoring!F:F, F456) &gt; 0), "yes", "no")</f>
        <v>yes</v>
      </c>
      <c r="J456" s="72" t="str">
        <f t="shared" si="44"/>
        <v>Z:\FAIR_Device_data\Experiment_JulAug_2021\Video_captures\2021-08-18\2021-08-18_20-54-08.mp4</v>
      </c>
    </row>
    <row r="457" spans="1:10" x14ac:dyDescent="0.3">
      <c r="A457" s="1">
        <f t="shared" si="45"/>
        <v>44426</v>
      </c>
      <c r="B457" s="36">
        <f t="shared" si="46"/>
        <v>0.87106481481481479</v>
      </c>
      <c r="C457" s="36">
        <f t="shared" si="47"/>
        <v>44426.871064814812</v>
      </c>
      <c r="D457" s="71" t="str">
        <f t="shared" si="48"/>
        <v>2021-08-18</v>
      </c>
      <c r="E457" s="38" t="s">
        <v>1386</v>
      </c>
      <c r="F457" s="37" t="str">
        <f t="shared" si="43"/>
        <v>2021-08-18_20-54-20</v>
      </c>
      <c r="G457" s="39">
        <v>15319619</v>
      </c>
      <c r="H457" s="40">
        <v>14965966</v>
      </c>
      <c r="I457" s="21" t="str">
        <f>IF(OR(COUNTIF(Monitoring!C:C, F457) &gt; 0, COUNTIF(Monitoring!F:F, F457) &gt; 0), "yes", "no")</f>
        <v>yes</v>
      </c>
      <c r="J457" s="72" t="str">
        <f t="shared" si="44"/>
        <v>Z:\FAIR_Device_data\Experiment_JulAug_2021\Video_captures\2021-08-18\2021-08-18_20-54-20.mp4</v>
      </c>
    </row>
    <row r="458" spans="1:10" x14ac:dyDescent="0.3">
      <c r="A458" s="1">
        <f t="shared" si="45"/>
        <v>44426</v>
      </c>
      <c r="B458" s="36">
        <f t="shared" si="46"/>
        <v>0.87428240740740737</v>
      </c>
      <c r="C458" s="36">
        <f t="shared" si="47"/>
        <v>44426.874282407407</v>
      </c>
      <c r="D458" s="71" t="str">
        <f t="shared" si="48"/>
        <v>2021-08-18</v>
      </c>
      <c r="E458" s="38" t="s">
        <v>1387</v>
      </c>
      <c r="F458" s="37" t="str">
        <f t="shared" si="43"/>
        <v>2021-08-18_20-58-58</v>
      </c>
      <c r="G458" s="39">
        <v>24987565</v>
      </c>
      <c r="H458" s="40">
        <v>35028928</v>
      </c>
      <c r="I458" s="21" t="str">
        <f>IF(OR(COUNTIF(Monitoring!C:C, F458) &gt; 0, COUNTIF(Monitoring!F:F, F458) &gt; 0), "yes", "no")</f>
        <v>yes</v>
      </c>
      <c r="J458" s="72" t="str">
        <f t="shared" si="44"/>
        <v>Z:\FAIR_Device_data\Experiment_JulAug_2021\Video_captures\2021-08-18\2021-08-18_20-58-58.mp4</v>
      </c>
    </row>
    <row r="459" spans="1:10" x14ac:dyDescent="0.3">
      <c r="A459" s="1">
        <f t="shared" si="45"/>
        <v>44426</v>
      </c>
      <c r="B459" s="36">
        <f t="shared" si="46"/>
        <v>0.87457175925925923</v>
      </c>
      <c r="C459" s="36">
        <f t="shared" si="47"/>
        <v>44426.874571759261</v>
      </c>
      <c r="D459" s="71" t="str">
        <f t="shared" si="48"/>
        <v>2021-08-18</v>
      </c>
      <c r="E459" s="38" t="s">
        <v>1388</v>
      </c>
      <c r="F459" s="37" t="str">
        <f t="shared" si="43"/>
        <v>2021-08-18_20-59-23</v>
      </c>
      <c r="G459" s="39">
        <v>9691536</v>
      </c>
      <c r="H459" s="40">
        <v>10901460</v>
      </c>
      <c r="I459" s="21" t="str">
        <f>IF(OR(COUNTIF(Monitoring!C:C, F459) &gt; 0, COUNTIF(Monitoring!F:F, F459) &gt; 0), "yes", "no")</f>
        <v>yes</v>
      </c>
      <c r="J459" s="72" t="str">
        <f t="shared" si="44"/>
        <v>Z:\FAIR_Device_data\Experiment_JulAug_2021\Video_captures\2021-08-18\2021-08-18_20-59-23.mp4</v>
      </c>
    </row>
    <row r="460" spans="1:10" x14ac:dyDescent="0.3">
      <c r="A460" s="1">
        <f t="shared" si="45"/>
        <v>44426</v>
      </c>
      <c r="B460" s="36">
        <f t="shared" si="46"/>
        <v>0.88850694444444445</v>
      </c>
      <c r="C460" s="36">
        <f t="shared" si="47"/>
        <v>44426.888506944444</v>
      </c>
      <c r="D460" s="71" t="str">
        <f t="shared" si="48"/>
        <v>2021-08-18</v>
      </c>
      <c r="E460" s="38" t="s">
        <v>1389</v>
      </c>
      <c r="F460" s="37" t="str">
        <f t="shared" si="43"/>
        <v>2021-08-18_21-19-27</v>
      </c>
      <c r="G460" s="39">
        <v>10472005</v>
      </c>
      <c r="H460" s="40">
        <v>12641431</v>
      </c>
      <c r="I460" s="21" t="str">
        <f>IF(OR(COUNTIF(Monitoring!C:C, F460) &gt; 0, COUNTIF(Monitoring!F:F, F460) &gt; 0), "yes", "no")</f>
        <v>yes</v>
      </c>
      <c r="J460" s="72" t="str">
        <f t="shared" si="44"/>
        <v>Z:\FAIR_Device_data\Experiment_JulAug_2021\Video_captures\2021-08-18\2021-08-18_21-19-27.mp4</v>
      </c>
    </row>
    <row r="461" spans="1:10" x14ac:dyDescent="0.3">
      <c r="A461" s="1">
        <f t="shared" si="45"/>
        <v>44426</v>
      </c>
      <c r="B461" s="36">
        <f t="shared" si="46"/>
        <v>0.94087962962962968</v>
      </c>
      <c r="C461" s="36">
        <f t="shared" si="47"/>
        <v>44426.940879629627</v>
      </c>
      <c r="D461" s="71" t="str">
        <f t="shared" si="48"/>
        <v>2021-08-18</v>
      </c>
      <c r="E461" s="38" t="s">
        <v>1390</v>
      </c>
      <c r="F461" s="37" t="str">
        <f t="shared" si="43"/>
        <v>2021-08-18_22-34-52</v>
      </c>
      <c r="G461" s="39">
        <v>16305599</v>
      </c>
      <c r="H461" s="40">
        <v>21686692</v>
      </c>
      <c r="I461" s="21" t="str">
        <f>IF(OR(COUNTIF(Monitoring!C:C, F461) &gt; 0, COUNTIF(Monitoring!F:F, F461) &gt; 0), "yes", "no")</f>
        <v>yes</v>
      </c>
      <c r="J461" s="72" t="str">
        <f t="shared" si="44"/>
        <v>Z:\FAIR_Device_data\Experiment_JulAug_2021\Video_captures\2021-08-18\2021-08-18_22-34-52.mp4</v>
      </c>
    </row>
    <row r="462" spans="1:10" x14ac:dyDescent="0.3">
      <c r="A462" s="1">
        <f t="shared" si="45"/>
        <v>44427</v>
      </c>
      <c r="B462" s="36">
        <f t="shared" si="46"/>
        <v>0.65956018518518522</v>
      </c>
      <c r="C462" s="36">
        <f t="shared" si="47"/>
        <v>44427.659560185188</v>
      </c>
      <c r="D462" s="71" t="str">
        <f t="shared" si="48"/>
        <v>2021-08-19</v>
      </c>
      <c r="E462" s="38" t="s">
        <v>1391</v>
      </c>
      <c r="F462" s="37" t="str">
        <f t="shared" si="43"/>
        <v>2021-08-19_15-49-46</v>
      </c>
      <c r="G462" s="39">
        <v>10434310</v>
      </c>
      <c r="H462" s="40">
        <v>10296980</v>
      </c>
      <c r="I462" s="21" t="str">
        <f>IF(OR(COUNTIF(Monitoring!C:C, F462) &gt; 0, COUNTIF(Monitoring!F:F, F462) &gt; 0), "yes", "no")</f>
        <v>yes</v>
      </c>
      <c r="J462" s="72" t="str">
        <f t="shared" si="44"/>
        <v>Z:\FAIR_Device_data\Experiment_JulAug_2021\Video_captures\2021-08-19\2021-08-19_15-49-46.mp4</v>
      </c>
    </row>
    <row r="463" spans="1:10" x14ac:dyDescent="0.3">
      <c r="A463" s="1">
        <f t="shared" si="45"/>
        <v>44427</v>
      </c>
      <c r="B463" s="36">
        <f t="shared" si="46"/>
        <v>0.66158564814814813</v>
      </c>
      <c r="C463" s="36">
        <f t="shared" si="47"/>
        <v>44427.661585648151</v>
      </c>
      <c r="D463" s="71" t="str">
        <f t="shared" si="48"/>
        <v>2021-08-19</v>
      </c>
      <c r="E463" s="38" t="s">
        <v>1392</v>
      </c>
      <c r="F463" s="37" t="str">
        <f t="shared" si="43"/>
        <v>2021-08-19_15-52-41</v>
      </c>
      <c r="G463" s="39">
        <v>9406055</v>
      </c>
      <c r="H463" s="40">
        <v>9869883</v>
      </c>
      <c r="I463" s="21" t="str">
        <f>IF(OR(COUNTIF(Monitoring!C:C, F463) &gt; 0, COUNTIF(Monitoring!F:F, F463) &gt; 0), "yes", "no")</f>
        <v>yes</v>
      </c>
      <c r="J463" s="72" t="str">
        <f t="shared" si="44"/>
        <v>Z:\FAIR_Device_data\Experiment_JulAug_2021\Video_captures\2021-08-19\2021-08-19_15-52-41.mp4</v>
      </c>
    </row>
    <row r="464" spans="1:10" x14ac:dyDescent="0.3">
      <c r="A464" s="1">
        <f t="shared" si="45"/>
        <v>44427</v>
      </c>
      <c r="B464" s="36">
        <f t="shared" si="46"/>
        <v>0.81969907407407405</v>
      </c>
      <c r="C464" s="36">
        <f t="shared" si="47"/>
        <v>44427.819699074076</v>
      </c>
      <c r="D464" s="71" t="str">
        <f t="shared" si="48"/>
        <v>2021-08-19</v>
      </c>
      <c r="E464" s="38" t="s">
        <v>1393</v>
      </c>
      <c r="F464" s="37" t="str">
        <f t="shared" si="43"/>
        <v>2021-08-19_19-40-22</v>
      </c>
      <c r="G464" s="39">
        <v>10486589</v>
      </c>
      <c r="H464" s="40">
        <v>12289110</v>
      </c>
      <c r="I464" s="21" t="str">
        <f>IF(OR(COUNTIF(Monitoring!C:C, F464) &gt; 0, COUNTIF(Monitoring!F:F, F464) &gt; 0), "yes", "no")</f>
        <v>yes</v>
      </c>
      <c r="J464" s="72" t="str">
        <f t="shared" si="44"/>
        <v>Z:\FAIR_Device_data\Experiment_JulAug_2021\Video_captures\2021-08-19\2021-08-19_19-40-22.mp4</v>
      </c>
    </row>
    <row r="465" spans="1:10" x14ac:dyDescent="0.3">
      <c r="A465" s="1">
        <f t="shared" si="45"/>
        <v>44427</v>
      </c>
      <c r="B465" s="36">
        <f t="shared" si="46"/>
        <v>0.82125000000000004</v>
      </c>
      <c r="C465" s="36">
        <f t="shared" si="47"/>
        <v>44427.821250000001</v>
      </c>
      <c r="D465" s="71" t="str">
        <f t="shared" si="48"/>
        <v>2021-08-19</v>
      </c>
      <c r="E465" s="38" t="s">
        <v>1394</v>
      </c>
      <c r="F465" s="37" t="str">
        <f t="shared" si="43"/>
        <v>2021-08-19_19-42-36</v>
      </c>
      <c r="G465" s="39">
        <v>12906250</v>
      </c>
      <c r="H465" s="40">
        <v>15960809</v>
      </c>
      <c r="I465" s="21" t="str">
        <f>IF(OR(COUNTIF(Monitoring!C:C, F465) &gt; 0, COUNTIF(Monitoring!F:F, F465) &gt; 0), "yes", "no")</f>
        <v>yes</v>
      </c>
      <c r="J465" s="72" t="str">
        <f t="shared" si="44"/>
        <v>Z:\FAIR_Device_data\Experiment_JulAug_2021\Video_captures\2021-08-19\2021-08-19_19-42-36.mp4</v>
      </c>
    </row>
    <row r="466" spans="1:10" x14ac:dyDescent="0.3">
      <c r="A466" s="1">
        <f t="shared" si="45"/>
        <v>44427</v>
      </c>
      <c r="B466" s="36">
        <f t="shared" si="46"/>
        <v>0.82149305555555552</v>
      </c>
      <c r="C466" s="36">
        <f t="shared" si="47"/>
        <v>44427.821493055555</v>
      </c>
      <c r="D466" s="71" t="str">
        <f t="shared" si="48"/>
        <v>2021-08-19</v>
      </c>
      <c r="E466" s="38" t="s">
        <v>1395</v>
      </c>
      <c r="F466" s="37" t="str">
        <f t="shared" si="43"/>
        <v>2021-08-19_19-42-57</v>
      </c>
      <c r="G466" s="39">
        <v>17266433</v>
      </c>
      <c r="H466" s="40">
        <v>14890420</v>
      </c>
      <c r="I466" s="21" t="str">
        <f>IF(OR(COUNTIF(Monitoring!C:C, F466) &gt; 0, COUNTIF(Monitoring!F:F, F466) &gt; 0), "yes", "no")</f>
        <v>yes</v>
      </c>
      <c r="J466" s="72" t="str">
        <f t="shared" si="44"/>
        <v>Z:\FAIR_Device_data\Experiment_JulAug_2021\Video_captures\2021-08-19\2021-08-19_19-42-57.mp4</v>
      </c>
    </row>
    <row r="467" spans="1:10" x14ac:dyDescent="0.3">
      <c r="A467" s="1">
        <f t="shared" si="45"/>
        <v>44427</v>
      </c>
      <c r="B467" s="36">
        <f t="shared" si="46"/>
        <v>0.83967592592592588</v>
      </c>
      <c r="C467" s="36">
        <f t="shared" si="47"/>
        <v>44427.839675925927</v>
      </c>
      <c r="D467" s="71" t="str">
        <f t="shared" si="48"/>
        <v>2021-08-19</v>
      </c>
      <c r="E467" s="38" t="s">
        <v>1396</v>
      </c>
      <c r="F467" s="37" t="str">
        <f t="shared" si="43"/>
        <v>2021-08-19_20-09-08</v>
      </c>
      <c r="G467" s="39">
        <v>13145182</v>
      </c>
      <c r="H467" s="40">
        <v>16422093</v>
      </c>
      <c r="I467" s="21" t="str">
        <f>IF(OR(COUNTIF(Monitoring!C:C, F467) &gt; 0, COUNTIF(Monitoring!F:F, F467) &gt; 0), "yes", "no")</f>
        <v>yes</v>
      </c>
      <c r="J467" s="72" t="str">
        <f t="shared" si="44"/>
        <v>Z:\FAIR_Device_data\Experiment_JulAug_2021\Video_captures\2021-08-19\2021-08-19_20-09-08.mp4</v>
      </c>
    </row>
    <row r="468" spans="1:10" x14ac:dyDescent="0.3">
      <c r="A468" s="1">
        <f t="shared" si="45"/>
        <v>44427</v>
      </c>
      <c r="B468" s="36">
        <f t="shared" si="46"/>
        <v>0.86378472222222225</v>
      </c>
      <c r="C468" s="36">
        <f t="shared" si="47"/>
        <v>44427.86378472222</v>
      </c>
      <c r="D468" s="71" t="str">
        <f t="shared" si="48"/>
        <v>2021-08-19</v>
      </c>
      <c r="E468" s="38" t="s">
        <v>1397</v>
      </c>
      <c r="F468" s="37" t="str">
        <f t="shared" si="43"/>
        <v>2021-08-19_20-43-51</v>
      </c>
      <c r="G468" s="39">
        <v>13349219</v>
      </c>
      <c r="H468" s="40">
        <v>16894873</v>
      </c>
      <c r="I468" s="21" t="str">
        <f>IF(OR(COUNTIF(Monitoring!C:C, F468) &gt; 0, COUNTIF(Monitoring!F:F, F468) &gt; 0), "yes", "no")</f>
        <v>yes</v>
      </c>
      <c r="J468" s="72" t="str">
        <f t="shared" si="44"/>
        <v>Z:\FAIR_Device_data\Experiment_JulAug_2021\Video_captures\2021-08-19\2021-08-19_20-43-51.mp4</v>
      </c>
    </row>
    <row r="469" spans="1:10" x14ac:dyDescent="0.3">
      <c r="A469" s="1">
        <f t="shared" si="45"/>
        <v>44427</v>
      </c>
      <c r="B469" s="36">
        <f t="shared" si="46"/>
        <v>0.87259259259259259</v>
      </c>
      <c r="C469" s="36">
        <f t="shared" si="47"/>
        <v>44427.87259259259</v>
      </c>
      <c r="D469" s="71" t="str">
        <f t="shared" si="48"/>
        <v>2021-08-19</v>
      </c>
      <c r="E469" s="38" t="s">
        <v>1398</v>
      </c>
      <c r="F469" s="37" t="str">
        <f t="shared" si="43"/>
        <v>2021-08-19_20-56-32</v>
      </c>
      <c r="G469" s="39">
        <v>27523893</v>
      </c>
      <c r="H469" s="40">
        <v>40037215</v>
      </c>
      <c r="I469" s="21" t="str">
        <f>IF(OR(COUNTIF(Monitoring!C:C, F469) &gt; 0, COUNTIF(Monitoring!F:F, F469) &gt; 0), "yes", "no")</f>
        <v>no</v>
      </c>
      <c r="J469" s="72" t="str">
        <f t="shared" si="44"/>
        <v>Z:\FAIR_Device_data\Experiment_JulAug_2021\Video_captures\2021-08-19\2021-08-19_20-56-32.mp4</v>
      </c>
    </row>
    <row r="470" spans="1:10" x14ac:dyDescent="0.3">
      <c r="A470" s="1">
        <f t="shared" si="45"/>
        <v>44427</v>
      </c>
      <c r="B470" s="36">
        <f t="shared" si="46"/>
        <v>0.93760416666666668</v>
      </c>
      <c r="C470" s="36">
        <f t="shared" si="47"/>
        <v>44427.937604166669</v>
      </c>
      <c r="D470" s="71" t="str">
        <f t="shared" si="48"/>
        <v>2021-08-19</v>
      </c>
      <c r="E470" s="38" t="s">
        <v>1399</v>
      </c>
      <c r="F470" s="37" t="str">
        <f t="shared" si="43"/>
        <v>2021-08-19_22-30-09</v>
      </c>
      <c r="G470" s="39">
        <v>25344792</v>
      </c>
      <c r="H470" s="40">
        <v>26468303</v>
      </c>
      <c r="I470" s="21" t="str">
        <f>IF(OR(COUNTIF(Monitoring!C:C, F470) &gt; 0, COUNTIF(Monitoring!F:F, F470) &gt; 0), "yes", "no")</f>
        <v>yes</v>
      </c>
      <c r="J470" s="72" t="str">
        <f t="shared" si="44"/>
        <v>Z:\FAIR_Device_data\Experiment_JulAug_2021\Video_captures\2021-08-19\2021-08-19_22-30-09.mp4</v>
      </c>
    </row>
    <row r="471" spans="1:10" x14ac:dyDescent="0.3">
      <c r="A471" s="1">
        <f t="shared" si="45"/>
        <v>44427</v>
      </c>
      <c r="B471" s="36">
        <f t="shared" si="46"/>
        <v>0.97564814814814815</v>
      </c>
      <c r="C471" s="36">
        <f t="shared" si="47"/>
        <v>44427.975648148145</v>
      </c>
      <c r="D471" s="71" t="str">
        <f t="shared" si="48"/>
        <v>2021-08-19</v>
      </c>
      <c r="E471" s="38" t="s">
        <v>1400</v>
      </c>
      <c r="F471" s="37" t="str">
        <f t="shared" si="43"/>
        <v>2021-08-19_23-24-56</v>
      </c>
      <c r="G471" s="39">
        <v>12600716</v>
      </c>
      <c r="H471" s="40">
        <v>15872222</v>
      </c>
      <c r="I471" s="21" t="str">
        <f>IF(OR(COUNTIF(Monitoring!C:C, F471) &gt; 0, COUNTIF(Monitoring!F:F, F471) &gt; 0), "yes", "no")</f>
        <v>yes</v>
      </c>
      <c r="J471" s="72" t="str">
        <f t="shared" si="44"/>
        <v>Z:\FAIR_Device_data\Experiment_JulAug_2021\Video_captures\2021-08-19\2021-08-19_23-24-56.mp4</v>
      </c>
    </row>
    <row r="472" spans="1:10" x14ac:dyDescent="0.3">
      <c r="A472" s="1">
        <f t="shared" si="45"/>
        <v>44428</v>
      </c>
      <c r="B472" s="36">
        <f t="shared" si="46"/>
        <v>0.11667824074074074</v>
      </c>
      <c r="C472" s="36">
        <f t="shared" si="47"/>
        <v>44428.116678240738</v>
      </c>
      <c r="D472" s="71" t="str">
        <f t="shared" si="48"/>
        <v>2021-08-20</v>
      </c>
      <c r="E472" s="38" t="s">
        <v>1401</v>
      </c>
      <c r="F472" s="37" t="str">
        <f t="shared" si="43"/>
        <v>2021-08-20_02-48-01</v>
      </c>
      <c r="G472" s="39">
        <v>9589518</v>
      </c>
      <c r="H472" s="40">
        <v>11130772</v>
      </c>
      <c r="I472" s="21" t="str">
        <f>IF(OR(COUNTIF(Monitoring!C:C, F472) &gt; 0, COUNTIF(Monitoring!F:F, F472) &gt; 0), "yes", "no")</f>
        <v>yes</v>
      </c>
      <c r="J472" s="72" t="str">
        <f t="shared" si="44"/>
        <v>Z:\FAIR_Device_data\Experiment_JulAug_2021\Video_captures\2021-08-20\2021-08-20_02-48-01.mp4</v>
      </c>
    </row>
    <row r="473" spans="1:10" x14ac:dyDescent="0.3">
      <c r="A473" s="1">
        <f t="shared" si="45"/>
        <v>44428</v>
      </c>
      <c r="B473" s="36">
        <f t="shared" si="46"/>
        <v>0.14105324074074074</v>
      </c>
      <c r="C473" s="36">
        <f t="shared" si="47"/>
        <v>44428.141053240739</v>
      </c>
      <c r="D473" s="71" t="str">
        <f t="shared" si="48"/>
        <v>2021-08-20</v>
      </c>
      <c r="E473" s="38" t="s">
        <v>1402</v>
      </c>
      <c r="F473" s="37" t="str">
        <f t="shared" si="43"/>
        <v>2021-08-20_03-23-07</v>
      </c>
      <c r="G473" s="39">
        <v>10276888</v>
      </c>
      <c r="H473" s="40">
        <v>12073910</v>
      </c>
      <c r="I473" s="21" t="str">
        <f>IF(OR(COUNTIF(Monitoring!C:C, F473) &gt; 0, COUNTIF(Monitoring!F:F, F473) &gt; 0), "yes", "no")</f>
        <v>yes</v>
      </c>
      <c r="J473" s="72" t="str">
        <f t="shared" si="44"/>
        <v>Z:\FAIR_Device_data\Experiment_JulAug_2021\Video_captures\2021-08-20\2021-08-20_03-23-07.mp4</v>
      </c>
    </row>
    <row r="474" spans="1:10" x14ac:dyDescent="0.3">
      <c r="A474" s="1">
        <f t="shared" si="45"/>
        <v>44428</v>
      </c>
      <c r="B474" s="36">
        <f t="shared" si="46"/>
        <v>0.58179398148148154</v>
      </c>
      <c r="C474" s="36">
        <f t="shared" si="47"/>
        <v>44428.581793981481</v>
      </c>
      <c r="D474" s="71" t="str">
        <f t="shared" si="48"/>
        <v>2021-08-20</v>
      </c>
      <c r="E474" s="38" t="s">
        <v>1403</v>
      </c>
      <c r="F474" s="37" t="str">
        <f t="shared" si="43"/>
        <v>2021-08-20_13-57-47</v>
      </c>
      <c r="G474" s="39">
        <v>9966341</v>
      </c>
      <c r="H474" s="40">
        <v>10298477</v>
      </c>
      <c r="I474" s="21" t="str">
        <f>IF(OR(COUNTIF(Monitoring!C:C, F474) &gt; 0, COUNTIF(Monitoring!F:F, F474) &gt; 0), "yes", "no")</f>
        <v>yes</v>
      </c>
      <c r="J474" s="72" t="str">
        <f t="shared" si="44"/>
        <v>Z:\FAIR_Device_data\Experiment_JulAug_2021\Video_captures\2021-08-20\2021-08-20_13-57-47.mp4</v>
      </c>
    </row>
    <row r="475" spans="1:10" x14ac:dyDescent="0.3">
      <c r="A475" s="1">
        <f t="shared" si="45"/>
        <v>44428</v>
      </c>
      <c r="B475" s="36">
        <f t="shared" si="46"/>
        <v>0.72660879629629627</v>
      </c>
      <c r="C475" s="36">
        <f t="shared" si="47"/>
        <v>44428.7266087963</v>
      </c>
      <c r="D475" s="71" t="str">
        <f t="shared" si="48"/>
        <v>2021-08-20</v>
      </c>
      <c r="E475" s="38" t="s">
        <v>1404</v>
      </c>
      <c r="F475" s="37" t="str">
        <f t="shared" si="43"/>
        <v>2021-08-20_17-26-19</v>
      </c>
      <c r="G475" s="39">
        <v>17250651</v>
      </c>
      <c r="H475" s="40">
        <v>21442822</v>
      </c>
      <c r="I475" s="21" t="str">
        <f>IF(OR(COUNTIF(Monitoring!C:C, F475) &gt; 0, COUNTIF(Monitoring!F:F, F475) &gt; 0), "yes", "no")</f>
        <v>yes</v>
      </c>
      <c r="J475" s="72" t="str">
        <f t="shared" si="44"/>
        <v>Z:\FAIR_Device_data\Experiment_JulAug_2021\Video_captures\2021-08-20\2021-08-20_17-26-19.mp4</v>
      </c>
    </row>
    <row r="476" spans="1:10" x14ac:dyDescent="0.3">
      <c r="A476" s="1">
        <f t="shared" si="45"/>
        <v>44428</v>
      </c>
      <c r="B476" s="36">
        <f t="shared" si="46"/>
        <v>0.72984953703703703</v>
      </c>
      <c r="C476" s="36">
        <f t="shared" si="47"/>
        <v>44428.729849537034</v>
      </c>
      <c r="D476" s="71" t="str">
        <f t="shared" si="48"/>
        <v>2021-08-20</v>
      </c>
      <c r="E476" s="38" t="s">
        <v>1405</v>
      </c>
      <c r="F476" s="37" t="str">
        <f t="shared" si="43"/>
        <v>2021-08-20_17-30-59</v>
      </c>
      <c r="G476" s="39">
        <v>11519206</v>
      </c>
      <c r="H476" s="40">
        <v>12870392</v>
      </c>
      <c r="I476" s="21" t="str">
        <f>IF(OR(COUNTIF(Monitoring!C:C, F476) &gt; 0, COUNTIF(Monitoring!F:F, F476) &gt; 0), "yes", "no")</f>
        <v>yes</v>
      </c>
      <c r="J476" s="72" t="str">
        <f t="shared" si="44"/>
        <v>Z:\FAIR_Device_data\Experiment_JulAug_2021\Video_captures\2021-08-20\2021-08-20_17-30-59.mp4</v>
      </c>
    </row>
    <row r="477" spans="1:10" x14ac:dyDescent="0.3">
      <c r="A477" s="1">
        <f t="shared" si="45"/>
        <v>44428</v>
      </c>
      <c r="B477" s="36">
        <f t="shared" si="46"/>
        <v>0.73211805555555554</v>
      </c>
      <c r="C477" s="36">
        <f t="shared" si="47"/>
        <v>44428.732118055559</v>
      </c>
      <c r="D477" s="71" t="str">
        <f t="shared" si="48"/>
        <v>2021-08-20</v>
      </c>
      <c r="E477" s="38" t="s">
        <v>1406</v>
      </c>
      <c r="F477" s="37" t="str">
        <f t="shared" si="43"/>
        <v>2021-08-20_17-34-15</v>
      </c>
      <c r="G477" s="39">
        <v>20144336</v>
      </c>
      <c r="H477" s="40">
        <v>24543656</v>
      </c>
      <c r="I477" s="21" t="str">
        <f>IF(OR(COUNTIF(Monitoring!C:C, F477) &gt; 0, COUNTIF(Monitoring!F:F, F477) &gt; 0), "yes", "no")</f>
        <v>yes</v>
      </c>
      <c r="J477" s="72" t="str">
        <f t="shared" si="44"/>
        <v>Z:\FAIR_Device_data\Experiment_JulAug_2021\Video_captures\2021-08-20\2021-08-20_17-34-15.mp4</v>
      </c>
    </row>
    <row r="478" spans="1:10" x14ac:dyDescent="0.3">
      <c r="A478" s="1">
        <f t="shared" si="45"/>
        <v>44428</v>
      </c>
      <c r="B478" s="36">
        <f t="shared" si="46"/>
        <v>0.76249999999999996</v>
      </c>
      <c r="C478" s="36">
        <f t="shared" si="47"/>
        <v>44428.762499999997</v>
      </c>
      <c r="D478" s="71" t="str">
        <f t="shared" si="48"/>
        <v>2021-08-20</v>
      </c>
      <c r="E478" s="38" t="s">
        <v>1407</v>
      </c>
      <c r="F478" s="37" t="str">
        <f t="shared" si="43"/>
        <v>2021-08-20_18-18-00</v>
      </c>
      <c r="G478" s="39">
        <v>21567188</v>
      </c>
      <c r="H478" s="40">
        <v>28087016</v>
      </c>
      <c r="I478" s="21" t="str">
        <f>IF(OR(COUNTIF(Monitoring!C:C, F478) &gt; 0, COUNTIF(Monitoring!F:F, F478) &gt; 0), "yes", "no")</f>
        <v>yes</v>
      </c>
      <c r="J478" s="72" t="str">
        <f t="shared" si="44"/>
        <v>Z:\FAIR_Device_data\Experiment_JulAug_2021\Video_captures\2021-08-20\2021-08-20_18-18-00.mp4</v>
      </c>
    </row>
    <row r="479" spans="1:10" x14ac:dyDescent="0.3">
      <c r="A479" s="1">
        <f t="shared" si="45"/>
        <v>44428</v>
      </c>
      <c r="B479" s="36">
        <f t="shared" si="46"/>
        <v>0.79807870370370371</v>
      </c>
      <c r="C479" s="36">
        <f t="shared" si="47"/>
        <v>44428.798078703701</v>
      </c>
      <c r="D479" s="71" t="str">
        <f t="shared" si="48"/>
        <v>2021-08-20</v>
      </c>
      <c r="E479" s="38" t="s">
        <v>1408</v>
      </c>
      <c r="F479" s="37" t="str">
        <f t="shared" si="43"/>
        <v>2021-08-20_19-09-14</v>
      </c>
      <c r="G479" s="39">
        <v>28519661</v>
      </c>
      <c r="H479" s="40">
        <v>37571528</v>
      </c>
      <c r="I479" s="21" t="str">
        <f>IF(OR(COUNTIF(Monitoring!C:C, F479) &gt; 0, COUNTIF(Monitoring!F:F, F479) &gt; 0), "yes", "no")</f>
        <v>yes</v>
      </c>
      <c r="J479" s="72" t="str">
        <f t="shared" si="44"/>
        <v>Z:\FAIR_Device_data\Experiment_JulAug_2021\Video_captures\2021-08-20\2021-08-20_19-09-14.mp4</v>
      </c>
    </row>
    <row r="480" spans="1:10" x14ac:dyDescent="0.3">
      <c r="A480" s="1">
        <f t="shared" si="45"/>
        <v>44428</v>
      </c>
      <c r="B480" s="36">
        <f t="shared" si="46"/>
        <v>0.80583333333333329</v>
      </c>
      <c r="C480" s="36">
        <f t="shared" si="47"/>
        <v>44428.805833333332</v>
      </c>
      <c r="D480" s="71" t="str">
        <f t="shared" si="48"/>
        <v>2021-08-20</v>
      </c>
      <c r="E480" s="38" t="s">
        <v>1409</v>
      </c>
      <c r="F480" s="37" t="str">
        <f t="shared" si="43"/>
        <v>2021-08-20_19-20-24</v>
      </c>
      <c r="G480" s="39">
        <v>26805273</v>
      </c>
      <c r="H480" s="40">
        <v>34075249</v>
      </c>
      <c r="I480" s="21" t="str">
        <f>IF(OR(COUNTIF(Monitoring!C:C, F480) &gt; 0, COUNTIF(Monitoring!F:F, F480) &gt; 0), "yes", "no")</f>
        <v>yes</v>
      </c>
      <c r="J480" s="72" t="str">
        <f t="shared" si="44"/>
        <v>Z:\FAIR_Device_data\Experiment_JulAug_2021\Video_captures\2021-08-20\2021-08-20_19-20-24.mp4</v>
      </c>
    </row>
    <row r="481" spans="1:10" x14ac:dyDescent="0.3">
      <c r="A481" s="1">
        <f t="shared" si="45"/>
        <v>44428</v>
      </c>
      <c r="B481" s="36">
        <f t="shared" si="46"/>
        <v>0.82576388888888885</v>
      </c>
      <c r="C481" s="36">
        <f t="shared" si="47"/>
        <v>44428.82576388889</v>
      </c>
      <c r="D481" s="71" t="str">
        <f t="shared" si="48"/>
        <v>2021-08-20</v>
      </c>
      <c r="E481" s="38" t="s">
        <v>1410</v>
      </c>
      <c r="F481" s="37" t="str">
        <f t="shared" si="43"/>
        <v>2021-08-20_19-49-06</v>
      </c>
      <c r="G481" s="39">
        <v>30604492</v>
      </c>
      <c r="H481" s="40">
        <v>40331508</v>
      </c>
      <c r="I481" s="21" t="str">
        <f>IF(OR(COUNTIF(Monitoring!C:C, F481) &gt; 0, COUNTIF(Monitoring!F:F, F481) &gt; 0), "yes", "no")</f>
        <v>yes</v>
      </c>
      <c r="J481" s="72" t="str">
        <f t="shared" si="44"/>
        <v>Z:\FAIR_Device_data\Experiment_JulAug_2021\Video_captures\2021-08-20\2021-08-20_19-49-06.mp4</v>
      </c>
    </row>
    <row r="482" spans="1:10" x14ac:dyDescent="0.3">
      <c r="A482" s="1">
        <f t="shared" si="45"/>
        <v>44428</v>
      </c>
      <c r="B482" s="36">
        <f t="shared" si="46"/>
        <v>0.82673611111111112</v>
      </c>
      <c r="C482" s="36">
        <f t="shared" si="47"/>
        <v>44428.826736111114</v>
      </c>
      <c r="D482" s="71" t="str">
        <f t="shared" si="48"/>
        <v>2021-08-20</v>
      </c>
      <c r="E482" s="38" t="s">
        <v>1411</v>
      </c>
      <c r="F482" s="37" t="str">
        <f t="shared" si="43"/>
        <v>2021-08-20_19-50-30</v>
      </c>
      <c r="G482" s="39">
        <v>15832422</v>
      </c>
      <c r="H482" s="40">
        <v>20392851</v>
      </c>
      <c r="I482" s="21" t="str">
        <f>IF(OR(COUNTIF(Monitoring!C:C, F482) &gt; 0, COUNTIF(Monitoring!F:F, F482) &gt; 0), "yes", "no")</f>
        <v>no</v>
      </c>
      <c r="J482" s="72" t="str">
        <f t="shared" si="44"/>
        <v>Z:\FAIR_Device_data\Experiment_JulAug_2021\Video_captures\2021-08-20\2021-08-20_19-50-30.mp4</v>
      </c>
    </row>
    <row r="483" spans="1:10" x14ac:dyDescent="0.3">
      <c r="A483" s="1">
        <f t="shared" si="45"/>
        <v>44428</v>
      </c>
      <c r="B483" s="36">
        <f t="shared" si="46"/>
        <v>0.84792824074074069</v>
      </c>
      <c r="C483" s="36">
        <f t="shared" si="47"/>
        <v>44428.847928240742</v>
      </c>
      <c r="D483" s="71" t="str">
        <f t="shared" si="48"/>
        <v>2021-08-20</v>
      </c>
      <c r="E483" s="38" t="s">
        <v>1412</v>
      </c>
      <c r="F483" s="37" t="str">
        <f t="shared" si="43"/>
        <v>2021-08-20_20-21-01</v>
      </c>
      <c r="G483" s="39">
        <v>25907161</v>
      </c>
      <c r="H483" s="40">
        <v>36747308</v>
      </c>
      <c r="I483" s="21" t="str">
        <f>IF(OR(COUNTIF(Monitoring!C:C, F483) &gt; 0, COUNTIF(Monitoring!F:F, F483) &gt; 0), "yes", "no")</f>
        <v>yes</v>
      </c>
      <c r="J483" s="72" t="str">
        <f t="shared" si="44"/>
        <v>Z:\FAIR_Device_data\Experiment_JulAug_2021\Video_captures\2021-08-20\2021-08-20_20-21-01.mp4</v>
      </c>
    </row>
    <row r="484" spans="1:10" x14ac:dyDescent="0.3">
      <c r="A484" s="1">
        <f t="shared" si="45"/>
        <v>44428</v>
      </c>
      <c r="B484" s="36">
        <f t="shared" si="46"/>
        <v>0.84916666666666663</v>
      </c>
      <c r="C484" s="36">
        <f t="shared" si="47"/>
        <v>44428.849166666667</v>
      </c>
      <c r="D484" s="71" t="str">
        <f t="shared" si="48"/>
        <v>2021-08-20</v>
      </c>
      <c r="E484" s="38" t="s">
        <v>1413</v>
      </c>
      <c r="F484" s="37" t="str">
        <f t="shared" si="43"/>
        <v>2021-08-20_20-22-48</v>
      </c>
      <c r="G484" s="39">
        <v>11870313</v>
      </c>
      <c r="H484" s="40">
        <v>14169301</v>
      </c>
      <c r="I484" s="21" t="str">
        <f>IF(OR(COUNTIF(Monitoring!C:C, F484) &gt; 0, COUNTIF(Monitoring!F:F, F484) &gt; 0), "yes", "no")</f>
        <v>yes</v>
      </c>
      <c r="J484" s="72" t="str">
        <f t="shared" si="44"/>
        <v>Z:\FAIR_Device_data\Experiment_JulAug_2021\Video_captures\2021-08-20\2021-08-20_20-22-48.mp4</v>
      </c>
    </row>
    <row r="485" spans="1:10" x14ac:dyDescent="0.3">
      <c r="A485" s="1">
        <f t="shared" si="45"/>
        <v>44428</v>
      </c>
      <c r="B485" s="36">
        <f t="shared" si="46"/>
        <v>0.85335648148148147</v>
      </c>
      <c r="C485" s="36">
        <f t="shared" si="47"/>
        <v>44428.853356481479</v>
      </c>
      <c r="D485" s="71" t="str">
        <f t="shared" si="48"/>
        <v>2021-08-20</v>
      </c>
      <c r="E485" s="38" t="s">
        <v>1414</v>
      </c>
      <c r="F485" s="37" t="str">
        <f t="shared" si="43"/>
        <v>2021-08-20_20-28-50</v>
      </c>
      <c r="G485" s="39">
        <v>10126172</v>
      </c>
      <c r="H485" s="40">
        <v>11846814</v>
      </c>
      <c r="I485" s="21" t="str">
        <f>IF(OR(COUNTIF(Monitoring!C:C, F485) &gt; 0, COUNTIF(Monitoring!F:F, F485) &gt; 0), "yes", "no")</f>
        <v>yes</v>
      </c>
      <c r="J485" s="72" t="str">
        <f t="shared" si="44"/>
        <v>Z:\FAIR_Device_data\Experiment_JulAug_2021\Video_captures\2021-08-20\2021-08-20_20-28-50.mp4</v>
      </c>
    </row>
    <row r="486" spans="1:10" x14ac:dyDescent="0.3">
      <c r="A486" s="1">
        <f t="shared" si="45"/>
        <v>44428</v>
      </c>
      <c r="B486" s="36">
        <f t="shared" si="46"/>
        <v>0.85373842592592597</v>
      </c>
      <c r="C486" s="36">
        <f t="shared" si="47"/>
        <v>44428.853738425925</v>
      </c>
      <c r="D486" s="71" t="str">
        <f t="shared" si="48"/>
        <v>2021-08-20</v>
      </c>
      <c r="E486" s="38" t="s">
        <v>1415</v>
      </c>
      <c r="F486" s="37" t="str">
        <f t="shared" si="43"/>
        <v>2021-08-20_20-29-23</v>
      </c>
      <c r="G486" s="39">
        <v>9500911</v>
      </c>
      <c r="H486" s="40">
        <v>11118435</v>
      </c>
      <c r="I486" s="21" t="str">
        <f>IF(OR(COUNTIF(Monitoring!C:C, F486) &gt; 0, COUNTIF(Monitoring!F:F, F486) &gt; 0), "yes", "no")</f>
        <v>no</v>
      </c>
      <c r="J486" s="72" t="str">
        <f t="shared" si="44"/>
        <v>Z:\FAIR_Device_data\Experiment_JulAug_2021\Video_captures\2021-08-20\2021-08-20_20-29-23.mp4</v>
      </c>
    </row>
    <row r="487" spans="1:10" x14ac:dyDescent="0.3">
      <c r="A487" s="1">
        <f t="shared" si="45"/>
        <v>44428</v>
      </c>
      <c r="B487" s="36">
        <f t="shared" si="46"/>
        <v>0.85394675925925922</v>
      </c>
      <c r="C487" s="36">
        <f t="shared" si="47"/>
        <v>44428.853946759256</v>
      </c>
      <c r="D487" s="71" t="str">
        <f t="shared" si="48"/>
        <v>2021-08-20</v>
      </c>
      <c r="E487" s="38" t="s">
        <v>1416</v>
      </c>
      <c r="F487" s="37" t="str">
        <f t="shared" si="43"/>
        <v>2021-08-20_20-29-41</v>
      </c>
      <c r="G487" s="39">
        <v>167322461</v>
      </c>
      <c r="H487" s="40">
        <v>252409456</v>
      </c>
      <c r="I487" s="21" t="str">
        <f>IF(OR(COUNTIF(Monitoring!C:C, F487) &gt; 0, COUNTIF(Monitoring!F:F, F487) &gt; 0), "yes", "no")</f>
        <v>yes</v>
      </c>
      <c r="J487" s="72" t="str">
        <f t="shared" si="44"/>
        <v>Z:\FAIR_Device_data\Experiment_JulAug_2021\Video_captures\2021-08-20\2021-08-20_20-29-41.mp4</v>
      </c>
    </row>
    <row r="488" spans="1:10" x14ac:dyDescent="0.3">
      <c r="A488" s="1">
        <f t="shared" ref="A488" si="49">VALUE(MID(F488,1,10))</f>
        <v>44411</v>
      </c>
      <c r="B488" s="36">
        <f t="shared" ref="B488" si="50">IF(ISBLANK(F488),"",TIME(LEFT(RIGHT(F488,8),2),LEFT(RIGHT(F488,5),2),RIGHT(F488,2)))</f>
        <v>0.5304861111111111</v>
      </c>
      <c r="C488" s="36">
        <f t="shared" ref="C488" si="51">+A488+B488</f>
        <v>44411.530486111114</v>
      </c>
      <c r="D488" s="71" t="str">
        <f t="shared" ref="D488" si="52">+_xlfn.CONCAT(YEAR(A488),"-",TEXT(MONTH(A488),"00"),"-",TEXT(DAY(A488),"00"))</f>
        <v>2021-08-03</v>
      </c>
      <c r="E488" s="3" t="s">
        <v>1421</v>
      </c>
      <c r="F488" s="37" t="str">
        <f t="shared" ref="F488" si="53">+LEFT(E488,19)</f>
        <v>2021-08-03_12-43-54</v>
      </c>
      <c r="G488" s="39">
        <v>167322461</v>
      </c>
      <c r="H488" s="40">
        <v>252409456</v>
      </c>
      <c r="I488" s="21" t="str">
        <f>IF(OR(COUNTIF(Monitoring!C:C, F488) &gt; 0, COUNTIF(Monitoring!F:F, F488) &gt; 0), "yes", "no")</f>
        <v>yes</v>
      </c>
      <c r="J488" s="72" t="str">
        <f t="shared" ref="J488" si="54">HYPERLINK(_xlfn.CONCAT("Z:\FAIR_Device_data\Experiment_JulAug_2021","\","Video_captures","\",D488,"\",E488))</f>
        <v>Z:\FAIR_Device_data\Experiment_JulAug_2021\Video_captures\2021-08-03\2021-08-03_12-43-54.avi</v>
      </c>
    </row>
    <row r="489" spans="1:10" x14ac:dyDescent="0.3">
      <c r="A489" s="1">
        <f t="shared" ref="A489" si="55">VALUE(MID(F489,1,10))</f>
        <v>44408</v>
      </c>
      <c r="B489" s="36">
        <f t="shared" ref="B489" si="56">IF(ISBLANK(F489),"",TIME(LEFT(RIGHT(F489,8),2),LEFT(RIGHT(F489,5),2),RIGHT(F489,2)))</f>
        <v>0.54309027777777774</v>
      </c>
      <c r="C489" s="36">
        <f t="shared" ref="C489" si="57">+A489+B489</f>
        <v>44408.543090277781</v>
      </c>
      <c r="D489" s="71" t="str">
        <f t="shared" ref="D489" si="58">+_xlfn.CONCAT(YEAR(A489),"-",TEXT(MONTH(A489),"00"),"-",TEXT(DAY(A489),"00"))</f>
        <v>2021-07-31</v>
      </c>
      <c r="E489" s="3" t="s">
        <v>1422</v>
      </c>
      <c r="F489" s="37" t="str">
        <f t="shared" ref="F489" si="59">+LEFT(E489,19)</f>
        <v>2021-07-31_13-02-03</v>
      </c>
      <c r="G489" s="39">
        <v>167322461</v>
      </c>
      <c r="H489" s="40">
        <v>252409456</v>
      </c>
      <c r="I489" s="21" t="str">
        <f>IF(OR(COUNTIF(Monitoring!C:C, F489) &gt; 0, COUNTIF(Monitoring!F:F, F489) &gt; 0), "yes", "no")</f>
        <v>yes</v>
      </c>
      <c r="J489" s="72" t="str">
        <f t="shared" ref="J489" si="60">HYPERLINK(_xlfn.CONCAT("Z:\FAIR_Device_data\Experiment_JulAug_2021","\","Video_captures","\",D489,"\",E489))</f>
        <v>Z:\FAIR_Device_data\Experiment_JulAug_2021\Video_captures\2021-07-31\2021-07-31_13-02-03.avi</v>
      </c>
    </row>
    <row r="490" spans="1:10" x14ac:dyDescent="0.3">
      <c r="B490" s="36"/>
      <c r="C490" s="36"/>
      <c r="D490" s="71"/>
      <c r="F490" s="37"/>
    </row>
    <row r="491" spans="1:10" x14ac:dyDescent="0.3">
      <c r="B491" s="36"/>
      <c r="C491" s="36"/>
      <c r="D491" s="71"/>
      <c r="F491" s="37"/>
    </row>
    <row r="492" spans="1:10" x14ac:dyDescent="0.3">
      <c r="B492" s="36"/>
      <c r="C492" s="36"/>
      <c r="D492" s="71"/>
      <c r="F492" s="37"/>
    </row>
    <row r="493" spans="1:10" x14ac:dyDescent="0.3">
      <c r="B493" s="36"/>
      <c r="C493" s="36"/>
      <c r="D493" s="71"/>
      <c r="F493" s="37"/>
    </row>
    <row r="494" spans="1:10" x14ac:dyDescent="0.3">
      <c r="B494" s="36"/>
      <c r="C494" s="36"/>
      <c r="D494" s="71"/>
      <c r="F494" s="37"/>
    </row>
    <row r="495" spans="1:10" x14ac:dyDescent="0.3">
      <c r="B495" s="36"/>
      <c r="C495" s="36"/>
      <c r="D495" s="71"/>
      <c r="F495" s="37"/>
    </row>
    <row r="496" spans="1:10" x14ac:dyDescent="0.3">
      <c r="B496" s="36"/>
      <c r="C496" s="36"/>
      <c r="D496" s="71"/>
      <c r="F496" s="37"/>
    </row>
    <row r="497" spans="2:6" x14ac:dyDescent="0.3">
      <c r="B497" s="36"/>
      <c r="C497" s="36"/>
      <c r="D497" s="71"/>
      <c r="F497" s="37"/>
    </row>
    <row r="498" spans="2:6" x14ac:dyDescent="0.3">
      <c r="B498" s="36"/>
      <c r="C498" s="36"/>
      <c r="D498" s="71"/>
      <c r="F498" s="37"/>
    </row>
    <row r="499" spans="2:6" x14ac:dyDescent="0.3">
      <c r="B499" s="36"/>
      <c r="C499" s="36"/>
      <c r="D499" s="71"/>
      <c r="F499" s="37"/>
    </row>
    <row r="500" spans="2:6" x14ac:dyDescent="0.3">
      <c r="B500" s="36"/>
      <c r="C500" s="36"/>
      <c r="D500" s="71"/>
      <c r="F500" s="37"/>
    </row>
    <row r="501" spans="2:6" x14ac:dyDescent="0.3">
      <c r="B501" s="36"/>
      <c r="C501" s="36"/>
      <c r="D501" s="71"/>
      <c r="E501" s="1"/>
      <c r="F501" s="37"/>
    </row>
    <row r="502" spans="2:6" x14ac:dyDescent="0.3">
      <c r="B502" s="36"/>
      <c r="C502" s="36"/>
      <c r="D502" s="71"/>
      <c r="F502" s="37"/>
    </row>
    <row r="503" spans="2:6" x14ac:dyDescent="0.3">
      <c r="B503" s="36"/>
      <c r="C503" s="36"/>
      <c r="D503" s="71"/>
      <c r="F503" s="37"/>
    </row>
    <row r="504" spans="2:6" x14ac:dyDescent="0.3">
      <c r="B504" s="36"/>
      <c r="C504" s="36"/>
      <c r="D504" s="71"/>
      <c r="F504" s="37"/>
    </row>
    <row r="505" spans="2:6" x14ac:dyDescent="0.3">
      <c r="B505" s="36"/>
      <c r="C505" s="36"/>
      <c r="D505" s="71"/>
      <c r="F505" s="37"/>
    </row>
    <row r="506" spans="2:6" x14ac:dyDescent="0.3">
      <c r="B506" s="36"/>
      <c r="C506" s="36"/>
      <c r="D506" s="71"/>
      <c r="F506" s="37"/>
    </row>
    <row r="507" spans="2:6" x14ac:dyDescent="0.3">
      <c r="B507" s="36"/>
      <c r="C507" s="36"/>
      <c r="D507" s="71"/>
      <c r="F507" s="37"/>
    </row>
    <row r="508" spans="2:6" x14ac:dyDescent="0.3">
      <c r="B508" s="36"/>
      <c r="C508" s="36"/>
      <c r="D508" s="71"/>
      <c r="F508" s="37"/>
    </row>
    <row r="509" spans="2:6" x14ac:dyDescent="0.3">
      <c r="B509" s="36"/>
      <c r="C509" s="36"/>
      <c r="D509" s="71"/>
      <c r="F509" s="37"/>
    </row>
    <row r="510" spans="2:6" x14ac:dyDescent="0.3">
      <c r="B510" s="36"/>
      <c r="C510" s="36"/>
      <c r="D510" s="71"/>
      <c r="F510" s="37"/>
    </row>
    <row r="511" spans="2:6" x14ac:dyDescent="0.3">
      <c r="B511" s="36"/>
      <c r="C511" s="36"/>
      <c r="D511" s="71"/>
      <c r="F511" s="37"/>
    </row>
    <row r="512" spans="2:6" x14ac:dyDescent="0.3">
      <c r="B512" s="36"/>
      <c r="C512" s="36"/>
      <c r="D512" s="71"/>
      <c r="F512" s="37"/>
    </row>
    <row r="513" spans="2:6" x14ac:dyDescent="0.3">
      <c r="B513" s="36"/>
      <c r="C513" s="36"/>
      <c r="D513" s="71"/>
      <c r="F513" s="37"/>
    </row>
    <row r="514" spans="2:6" x14ac:dyDescent="0.3">
      <c r="B514" s="36"/>
      <c r="C514" s="36"/>
      <c r="D514" s="71"/>
      <c r="F514" s="37"/>
    </row>
    <row r="515" spans="2:6" x14ac:dyDescent="0.3">
      <c r="B515" s="36"/>
      <c r="C515" s="36"/>
      <c r="D515" s="71"/>
      <c r="F515" s="37"/>
    </row>
    <row r="516" spans="2:6" x14ac:dyDescent="0.3">
      <c r="B516" s="36"/>
      <c r="C516" s="36"/>
      <c r="D516" s="71"/>
      <c r="F516" s="37"/>
    </row>
    <row r="517" spans="2:6" x14ac:dyDescent="0.3">
      <c r="B517" s="36"/>
      <c r="C517" s="36"/>
      <c r="D517" s="71"/>
      <c r="F517" s="37"/>
    </row>
    <row r="518" spans="2:6" x14ac:dyDescent="0.3">
      <c r="B518" s="36"/>
      <c r="C518" s="36"/>
      <c r="D518" s="71"/>
      <c r="F518" s="37"/>
    </row>
    <row r="519" spans="2:6" x14ac:dyDescent="0.3">
      <c r="B519" s="36"/>
      <c r="C519" s="36"/>
      <c r="D519" s="71"/>
      <c r="F519" s="37"/>
    </row>
    <row r="520" spans="2:6" x14ac:dyDescent="0.3">
      <c r="B520" s="36"/>
      <c r="C520" s="36"/>
      <c r="D520" s="71"/>
      <c r="F520" s="37"/>
    </row>
    <row r="521" spans="2:6" x14ac:dyDescent="0.3">
      <c r="B521" s="36"/>
      <c r="C521" s="36"/>
      <c r="D521" s="71"/>
      <c r="F521" s="37"/>
    </row>
    <row r="522" spans="2:6" x14ac:dyDescent="0.3">
      <c r="B522" s="36"/>
      <c r="C522" s="36"/>
      <c r="D522" s="71"/>
      <c r="F522" s="37"/>
    </row>
    <row r="523" spans="2:6" x14ac:dyDescent="0.3">
      <c r="B523" s="36"/>
      <c r="C523" s="36"/>
      <c r="D523" s="71"/>
      <c r="F523" s="37"/>
    </row>
    <row r="524" spans="2:6" x14ac:dyDescent="0.3">
      <c r="B524" s="36"/>
      <c r="C524" s="36"/>
      <c r="D524" s="71"/>
      <c r="F524" s="37"/>
    </row>
    <row r="525" spans="2:6" x14ac:dyDescent="0.3">
      <c r="B525" s="36"/>
      <c r="C525" s="36"/>
      <c r="D525" s="71"/>
      <c r="F525" s="37"/>
    </row>
    <row r="526" spans="2:6" x14ac:dyDescent="0.3">
      <c r="B526" s="36"/>
      <c r="C526" s="36"/>
      <c r="D526" s="71"/>
      <c r="F526" s="37"/>
    </row>
    <row r="527" spans="2:6" x14ac:dyDescent="0.3">
      <c r="B527" s="36"/>
      <c r="C527" s="36"/>
      <c r="D527" s="71"/>
      <c r="F527" s="37"/>
    </row>
    <row r="528" spans="2:6" x14ac:dyDescent="0.3">
      <c r="B528" s="36"/>
      <c r="C528" s="36"/>
      <c r="D528" s="71"/>
      <c r="F528" s="37"/>
    </row>
    <row r="529" spans="2:6" x14ac:dyDescent="0.3">
      <c r="B529" s="36"/>
      <c r="C529" s="36"/>
      <c r="D529" s="71"/>
      <c r="F529" s="37"/>
    </row>
    <row r="530" spans="2:6" x14ac:dyDescent="0.3">
      <c r="B530" s="36"/>
      <c r="C530" s="36"/>
      <c r="D530" s="71"/>
      <c r="F530" s="37"/>
    </row>
    <row r="531" spans="2:6" x14ac:dyDescent="0.3">
      <c r="B531" s="36"/>
      <c r="C531" s="36"/>
      <c r="D531" s="71"/>
      <c r="F531" s="37"/>
    </row>
    <row r="532" spans="2:6" x14ac:dyDescent="0.3">
      <c r="B532" s="36"/>
      <c r="C532" s="36"/>
      <c r="D532" s="71"/>
      <c r="F532" s="37"/>
    </row>
    <row r="533" spans="2:6" x14ac:dyDescent="0.3">
      <c r="B533" s="36"/>
      <c r="C533" s="36"/>
      <c r="D533" s="71"/>
      <c r="F533" s="37"/>
    </row>
    <row r="534" spans="2:6" x14ac:dyDescent="0.3">
      <c r="B534" s="36"/>
      <c r="C534" s="36"/>
      <c r="D534" s="71"/>
      <c r="F534" s="37"/>
    </row>
    <row r="535" spans="2:6" x14ac:dyDescent="0.3">
      <c r="B535" s="36"/>
      <c r="C535" s="36"/>
      <c r="D535" s="71"/>
      <c r="F535" s="37"/>
    </row>
    <row r="536" spans="2:6" x14ac:dyDescent="0.3">
      <c r="B536" s="36"/>
      <c r="C536" s="36"/>
      <c r="D536" s="71"/>
      <c r="F536" s="37"/>
    </row>
    <row r="537" spans="2:6" x14ac:dyDescent="0.3">
      <c r="B537" s="36"/>
      <c r="C537" s="36"/>
      <c r="D537" s="71"/>
      <c r="F537" s="37"/>
    </row>
    <row r="538" spans="2:6" x14ac:dyDescent="0.3">
      <c r="B538" s="36"/>
      <c r="C538" s="36"/>
      <c r="D538" s="71"/>
      <c r="F538" s="37"/>
    </row>
    <row r="539" spans="2:6" x14ac:dyDescent="0.3">
      <c r="B539" s="36"/>
      <c r="C539" s="36"/>
      <c r="D539" s="71"/>
      <c r="F539" s="37"/>
    </row>
    <row r="540" spans="2:6" x14ac:dyDescent="0.3">
      <c r="B540" s="36"/>
      <c r="C540" s="36"/>
      <c r="D540" s="71"/>
      <c r="F540" s="37"/>
    </row>
    <row r="541" spans="2:6" x14ac:dyDescent="0.3">
      <c r="B541" s="36"/>
      <c r="C541" s="36"/>
      <c r="D541" s="71"/>
      <c r="F541" s="37"/>
    </row>
    <row r="542" spans="2:6" x14ac:dyDescent="0.3">
      <c r="B542" s="36"/>
      <c r="C542" s="36"/>
      <c r="D542" s="71"/>
      <c r="F542" s="37"/>
    </row>
    <row r="543" spans="2:6" x14ac:dyDescent="0.3">
      <c r="B543" s="36"/>
      <c r="C543" s="36"/>
      <c r="D543" s="71"/>
      <c r="F543" s="37"/>
    </row>
    <row r="544" spans="2:6" x14ac:dyDescent="0.3">
      <c r="B544" s="36"/>
      <c r="C544" s="36"/>
      <c r="D544" s="71"/>
      <c r="F544" s="37"/>
    </row>
    <row r="545" spans="2:6" x14ac:dyDescent="0.3">
      <c r="B545" s="36"/>
      <c r="C545" s="36"/>
      <c r="D545" s="71"/>
      <c r="F545" s="37"/>
    </row>
    <row r="546" spans="2:6" x14ac:dyDescent="0.3">
      <c r="B546" s="36"/>
      <c r="C546" s="36"/>
      <c r="D546" s="71"/>
      <c r="F546" s="37"/>
    </row>
    <row r="547" spans="2:6" x14ac:dyDescent="0.3">
      <c r="B547" s="36"/>
      <c r="C547" s="36"/>
      <c r="D547" s="71"/>
      <c r="F547" s="37"/>
    </row>
    <row r="548" spans="2:6" x14ac:dyDescent="0.3">
      <c r="B548" s="36"/>
      <c r="C548" s="36"/>
      <c r="D548" s="71"/>
      <c r="F548" s="37"/>
    </row>
    <row r="549" spans="2:6" x14ac:dyDescent="0.3">
      <c r="B549" s="36"/>
      <c r="C549" s="36"/>
      <c r="D549" s="71"/>
      <c r="F549" s="37"/>
    </row>
    <row r="550" spans="2:6" x14ac:dyDescent="0.3">
      <c r="B550" s="36"/>
      <c r="C550" s="36"/>
      <c r="D550" s="71"/>
      <c r="F550" s="37"/>
    </row>
    <row r="551" spans="2:6" x14ac:dyDescent="0.3">
      <c r="B551" s="36"/>
      <c r="C551" s="36"/>
      <c r="D551" s="71"/>
      <c r="F551" s="37"/>
    </row>
    <row r="552" spans="2:6" x14ac:dyDescent="0.3">
      <c r="B552" s="36"/>
      <c r="C552" s="36"/>
      <c r="D552" s="71"/>
      <c r="F552" s="37"/>
    </row>
    <row r="553" spans="2:6" x14ac:dyDescent="0.3">
      <c r="B553" s="36"/>
      <c r="C553" s="36"/>
      <c r="D553" s="71"/>
      <c r="F553" s="37"/>
    </row>
    <row r="554" spans="2:6" x14ac:dyDescent="0.3">
      <c r="B554" s="36"/>
      <c r="C554" s="36"/>
      <c r="D554" s="71"/>
      <c r="F554" s="37"/>
    </row>
    <row r="555" spans="2:6" x14ac:dyDescent="0.3">
      <c r="B555" s="36"/>
      <c r="C555" s="36"/>
      <c r="D555" s="71"/>
      <c r="F555" s="37"/>
    </row>
    <row r="556" spans="2:6" x14ac:dyDescent="0.3">
      <c r="B556" s="36"/>
      <c r="C556" s="36"/>
      <c r="D556" s="71"/>
      <c r="F556" s="37"/>
    </row>
    <row r="557" spans="2:6" x14ac:dyDescent="0.3">
      <c r="B557" s="36"/>
      <c r="C557" s="36"/>
      <c r="D557" s="71"/>
      <c r="F557" s="37"/>
    </row>
    <row r="558" spans="2:6" x14ac:dyDescent="0.3">
      <c r="B558" s="36"/>
      <c r="C558" s="36"/>
      <c r="D558" s="71"/>
      <c r="F558" s="37"/>
    </row>
    <row r="559" spans="2:6" x14ac:dyDescent="0.3">
      <c r="B559" s="36"/>
      <c r="C559" s="36"/>
      <c r="D559" s="71"/>
      <c r="F559" s="37"/>
    </row>
    <row r="560" spans="2:6" x14ac:dyDescent="0.3">
      <c r="B560" s="36"/>
      <c r="C560" s="36"/>
      <c r="D560" s="71"/>
      <c r="F560" s="37"/>
    </row>
    <row r="561" spans="2:6" x14ac:dyDescent="0.3">
      <c r="B561" s="36"/>
      <c r="C561" s="36"/>
      <c r="D561" s="71"/>
      <c r="F561" s="37"/>
    </row>
    <row r="562" spans="2:6" x14ac:dyDescent="0.3">
      <c r="B562" s="36"/>
      <c r="C562" s="36"/>
      <c r="D562" s="71"/>
      <c r="F562" s="37"/>
    </row>
    <row r="563" spans="2:6" x14ac:dyDescent="0.3">
      <c r="B563" s="36"/>
      <c r="C563" s="36"/>
      <c r="D563" s="71"/>
      <c r="F563" s="37"/>
    </row>
    <row r="564" spans="2:6" x14ac:dyDescent="0.3">
      <c r="B564" s="36"/>
      <c r="C564" s="36"/>
      <c r="D564" s="71"/>
      <c r="F564" s="37"/>
    </row>
    <row r="565" spans="2:6" x14ac:dyDescent="0.3">
      <c r="B565" s="36"/>
      <c r="C565" s="36"/>
      <c r="D565" s="71"/>
      <c r="F565" s="37"/>
    </row>
    <row r="566" spans="2:6" x14ac:dyDescent="0.3">
      <c r="B566" s="36"/>
      <c r="C566" s="36"/>
      <c r="D566" s="71"/>
      <c r="F566" s="37"/>
    </row>
    <row r="567" spans="2:6" x14ac:dyDescent="0.3">
      <c r="B567" s="36"/>
      <c r="C567" s="36"/>
      <c r="D567" s="71"/>
      <c r="F567" s="37"/>
    </row>
    <row r="568" spans="2:6" x14ac:dyDescent="0.3">
      <c r="B568" s="36"/>
      <c r="C568" s="36"/>
      <c r="D568" s="71"/>
      <c r="F568" s="37"/>
    </row>
    <row r="569" spans="2:6" x14ac:dyDescent="0.3">
      <c r="B569" s="36"/>
      <c r="C569" s="36"/>
      <c r="D569" s="71"/>
      <c r="F569" s="37"/>
    </row>
    <row r="570" spans="2:6" x14ac:dyDescent="0.3">
      <c r="B570" s="36"/>
      <c r="C570" s="36"/>
      <c r="D570" s="71"/>
      <c r="F570" s="37"/>
    </row>
    <row r="571" spans="2:6" x14ac:dyDescent="0.3">
      <c r="B571" s="36"/>
      <c r="C571" s="36"/>
      <c r="D571" s="71"/>
      <c r="F571" s="37"/>
    </row>
    <row r="572" spans="2:6" x14ac:dyDescent="0.3">
      <c r="B572" s="36"/>
      <c r="C572" s="36"/>
      <c r="D572" s="71"/>
      <c r="F572" s="37"/>
    </row>
    <row r="573" spans="2:6" x14ac:dyDescent="0.3">
      <c r="B573" s="36"/>
      <c r="C573" s="36"/>
      <c r="D573" s="71"/>
      <c r="F573" s="37"/>
    </row>
    <row r="574" spans="2:6" x14ac:dyDescent="0.3">
      <c r="B574" s="36"/>
      <c r="C574" s="36"/>
      <c r="D574" s="71"/>
      <c r="F574" s="37"/>
    </row>
    <row r="575" spans="2:6" x14ac:dyDescent="0.3">
      <c r="B575" s="36"/>
      <c r="C575" s="36"/>
      <c r="D575" s="71"/>
      <c r="F575" s="37"/>
    </row>
    <row r="576" spans="2:6" x14ac:dyDescent="0.3">
      <c r="B576" s="36"/>
      <c r="C576" s="36"/>
      <c r="D576" s="71"/>
      <c r="F576" s="37"/>
    </row>
    <row r="577" spans="2:6" x14ac:dyDescent="0.3">
      <c r="B577" s="36"/>
      <c r="C577" s="36"/>
      <c r="D577" s="71"/>
      <c r="F577" s="37"/>
    </row>
    <row r="578" spans="2:6" x14ac:dyDescent="0.3">
      <c r="B578" s="36"/>
      <c r="C578" s="36"/>
      <c r="D578" s="71"/>
      <c r="F578" s="37"/>
    </row>
    <row r="579" spans="2:6" x14ac:dyDescent="0.3">
      <c r="B579" s="36"/>
      <c r="C579" s="36"/>
      <c r="D579" s="71"/>
      <c r="F579" s="37"/>
    </row>
    <row r="580" spans="2:6" x14ac:dyDescent="0.3">
      <c r="B580" s="36"/>
      <c r="C580" s="36"/>
      <c r="D580" s="71"/>
      <c r="F580" s="37"/>
    </row>
    <row r="581" spans="2:6" x14ac:dyDescent="0.3">
      <c r="B581" s="36"/>
      <c r="C581" s="36"/>
      <c r="D581" s="71"/>
      <c r="F581" s="37"/>
    </row>
    <row r="582" spans="2:6" x14ac:dyDescent="0.3">
      <c r="B582" s="36"/>
      <c r="C582" s="36"/>
      <c r="D582" s="71"/>
      <c r="F582" s="37"/>
    </row>
    <row r="583" spans="2:6" x14ac:dyDescent="0.3">
      <c r="B583" s="36"/>
      <c r="C583" s="36"/>
      <c r="D583" s="71"/>
      <c r="F583" s="37"/>
    </row>
    <row r="584" spans="2:6" x14ac:dyDescent="0.3">
      <c r="B584" s="36"/>
      <c r="C584" s="36"/>
      <c r="D584" s="71"/>
      <c r="F584" s="37"/>
    </row>
    <row r="585" spans="2:6" x14ac:dyDescent="0.3">
      <c r="B585" s="36"/>
      <c r="C585" s="36"/>
      <c r="D585" s="71"/>
      <c r="F585" s="37"/>
    </row>
    <row r="586" spans="2:6" x14ac:dyDescent="0.3">
      <c r="B586" s="36"/>
      <c r="C586" s="36"/>
      <c r="D586" s="71"/>
      <c r="F586" s="37"/>
    </row>
    <row r="587" spans="2:6" x14ac:dyDescent="0.3">
      <c r="B587" s="36"/>
      <c r="C587" s="36"/>
      <c r="D587" s="71"/>
      <c r="F587" s="37"/>
    </row>
    <row r="588" spans="2:6" x14ac:dyDescent="0.3">
      <c r="B588" s="36"/>
      <c r="C588" s="36"/>
      <c r="D588" s="71"/>
      <c r="F588" s="37"/>
    </row>
    <row r="589" spans="2:6" x14ac:dyDescent="0.3">
      <c r="B589" s="36"/>
      <c r="C589" s="36"/>
      <c r="D589" s="71"/>
      <c r="F589" s="37"/>
    </row>
    <row r="590" spans="2:6" x14ac:dyDescent="0.3">
      <c r="B590" s="36"/>
      <c r="C590" s="36"/>
      <c r="D590" s="71"/>
      <c r="F590" s="37"/>
    </row>
    <row r="591" spans="2:6" x14ac:dyDescent="0.3">
      <c r="B591" s="36"/>
      <c r="C591" s="36"/>
      <c r="D591" s="71"/>
      <c r="F591" s="37"/>
    </row>
    <row r="592" spans="2:6" x14ac:dyDescent="0.3">
      <c r="B592" s="36"/>
      <c r="C592" s="36"/>
      <c r="D592" s="71"/>
      <c r="F592" s="37"/>
    </row>
    <row r="593" spans="2:6" x14ac:dyDescent="0.3">
      <c r="B593" s="36"/>
      <c r="C593" s="36"/>
      <c r="D593" s="71"/>
      <c r="F593" s="37"/>
    </row>
    <row r="594" spans="2:6" x14ac:dyDescent="0.3">
      <c r="B594" s="36"/>
      <c r="C594" s="36"/>
      <c r="D594" s="71"/>
      <c r="F594" s="37"/>
    </row>
    <row r="595" spans="2:6" x14ac:dyDescent="0.3">
      <c r="B595" s="36"/>
      <c r="C595" s="36"/>
      <c r="D595" s="71"/>
      <c r="F595" s="37"/>
    </row>
    <row r="596" spans="2:6" x14ac:dyDescent="0.3">
      <c r="B596" s="36"/>
      <c r="C596" s="36"/>
      <c r="D596" s="71"/>
      <c r="F596" s="37"/>
    </row>
    <row r="597" spans="2:6" x14ac:dyDescent="0.3">
      <c r="B597" s="36"/>
      <c r="C597" s="36"/>
      <c r="D597" s="71"/>
      <c r="F597" s="37"/>
    </row>
    <row r="598" spans="2:6" x14ac:dyDescent="0.3">
      <c r="B598" s="36"/>
      <c r="C598" s="36"/>
      <c r="D598" s="71"/>
      <c r="F598" s="37"/>
    </row>
    <row r="599" spans="2:6" x14ac:dyDescent="0.3">
      <c r="B599" s="36"/>
      <c r="C599" s="36"/>
      <c r="D599" s="71"/>
      <c r="F599" s="37"/>
    </row>
    <row r="600" spans="2:6" x14ac:dyDescent="0.3">
      <c r="B600" s="36"/>
      <c r="C600" s="36"/>
      <c r="D600" s="71"/>
      <c r="F600" s="37"/>
    </row>
    <row r="601" spans="2:6" x14ac:dyDescent="0.3">
      <c r="B601" s="36"/>
      <c r="C601" s="36"/>
      <c r="D601" s="71"/>
      <c r="F601" s="37"/>
    </row>
    <row r="602" spans="2:6" x14ac:dyDescent="0.3">
      <c r="B602" s="36"/>
      <c r="C602" s="36"/>
      <c r="D602" s="71"/>
      <c r="F602" s="37"/>
    </row>
    <row r="603" spans="2:6" x14ac:dyDescent="0.3">
      <c r="B603" s="36"/>
      <c r="C603" s="36"/>
      <c r="D603" s="71"/>
      <c r="F603" s="37"/>
    </row>
    <row r="604" spans="2:6" x14ac:dyDescent="0.3">
      <c r="B604" s="36"/>
      <c r="C604" s="36"/>
      <c r="D604" s="71"/>
      <c r="F604" s="37"/>
    </row>
    <row r="605" spans="2:6" x14ac:dyDescent="0.3">
      <c r="B605" s="36"/>
      <c r="C605" s="36"/>
      <c r="D605" s="71"/>
      <c r="F605" s="37"/>
    </row>
    <row r="606" spans="2:6" x14ac:dyDescent="0.3">
      <c r="B606" s="36"/>
      <c r="C606" s="36"/>
      <c r="D606" s="71"/>
      <c r="F606" s="37"/>
    </row>
    <row r="607" spans="2:6" x14ac:dyDescent="0.3">
      <c r="B607" s="36"/>
      <c r="C607" s="36"/>
      <c r="D607" s="71"/>
      <c r="F607" s="37"/>
    </row>
    <row r="608" spans="2:6" x14ac:dyDescent="0.3">
      <c r="B608" s="36"/>
      <c r="C608" s="36"/>
      <c r="D608" s="71"/>
      <c r="F608" s="37"/>
    </row>
    <row r="609" spans="2:6" x14ac:dyDescent="0.3">
      <c r="B609" s="36"/>
      <c r="C609" s="36"/>
      <c r="D609" s="71"/>
      <c r="F609" s="37"/>
    </row>
    <row r="610" spans="2:6" x14ac:dyDescent="0.3">
      <c r="B610" s="36"/>
      <c r="C610" s="36"/>
      <c r="D610" s="71"/>
      <c r="F610" s="37"/>
    </row>
    <row r="611" spans="2:6" x14ac:dyDescent="0.3">
      <c r="B611" s="36"/>
      <c r="C611" s="36"/>
      <c r="D611" s="71"/>
      <c r="F611" s="37"/>
    </row>
    <row r="612" spans="2:6" x14ac:dyDescent="0.3">
      <c r="B612" s="36"/>
      <c r="C612" s="36"/>
      <c r="D612" s="71"/>
      <c r="F612" s="37"/>
    </row>
    <row r="613" spans="2:6" x14ac:dyDescent="0.3">
      <c r="B613" s="36"/>
      <c r="C613" s="36"/>
      <c r="D613" s="71"/>
      <c r="F613" s="37"/>
    </row>
    <row r="614" spans="2:6" x14ac:dyDescent="0.3">
      <c r="B614" s="36"/>
      <c r="C614" s="36"/>
      <c r="D614" s="71"/>
      <c r="F614" s="37"/>
    </row>
    <row r="615" spans="2:6" x14ac:dyDescent="0.3">
      <c r="B615" s="36"/>
      <c r="C615" s="36"/>
      <c r="D615" s="71"/>
      <c r="F615" s="37"/>
    </row>
    <row r="616" spans="2:6" x14ac:dyDescent="0.3">
      <c r="B616" s="36"/>
      <c r="C616" s="36"/>
      <c r="D616" s="71"/>
      <c r="F616" s="37"/>
    </row>
    <row r="617" spans="2:6" x14ac:dyDescent="0.3">
      <c r="B617" s="36"/>
      <c r="C617" s="36"/>
      <c r="D617" s="71"/>
      <c r="F617" s="37"/>
    </row>
    <row r="618" spans="2:6" x14ac:dyDescent="0.3">
      <c r="B618" s="36"/>
      <c r="C618" s="36"/>
      <c r="D618" s="71"/>
      <c r="F618" s="37"/>
    </row>
    <row r="619" spans="2:6" x14ac:dyDescent="0.3">
      <c r="B619" s="36"/>
      <c r="C619" s="36"/>
      <c r="D619" s="71"/>
      <c r="F619" s="37"/>
    </row>
    <row r="620" spans="2:6" x14ac:dyDescent="0.3">
      <c r="B620" s="36"/>
      <c r="C620" s="36"/>
      <c r="D620" s="71"/>
      <c r="F620" s="37"/>
    </row>
    <row r="621" spans="2:6" x14ac:dyDescent="0.3">
      <c r="B621" s="36"/>
      <c r="C621" s="36"/>
      <c r="D621" s="71"/>
      <c r="F621" s="37"/>
    </row>
    <row r="622" spans="2:6" x14ac:dyDescent="0.3">
      <c r="B622" s="36"/>
      <c r="C622" s="36"/>
      <c r="D622" s="71"/>
      <c r="F622" s="37"/>
    </row>
    <row r="623" spans="2:6" x14ac:dyDescent="0.3">
      <c r="B623" s="36"/>
      <c r="C623" s="36"/>
      <c r="D623" s="71"/>
      <c r="F623" s="37"/>
    </row>
    <row r="624" spans="2:6" x14ac:dyDescent="0.3">
      <c r="B624" s="36"/>
      <c r="C624" s="36"/>
      <c r="D624" s="71"/>
      <c r="F624" s="37"/>
    </row>
    <row r="625" spans="2:6" x14ac:dyDescent="0.3">
      <c r="B625" s="36"/>
      <c r="C625" s="36"/>
      <c r="D625" s="71"/>
      <c r="F625" s="37"/>
    </row>
    <row r="626" spans="2:6" x14ac:dyDescent="0.3">
      <c r="B626" s="36"/>
      <c r="C626" s="36"/>
      <c r="D626" s="71"/>
      <c r="F626" s="37"/>
    </row>
    <row r="627" spans="2:6" x14ac:dyDescent="0.3">
      <c r="B627" s="36"/>
      <c r="C627" s="36"/>
      <c r="D627" s="71"/>
      <c r="F627" s="37"/>
    </row>
    <row r="628" spans="2:6" x14ac:dyDescent="0.3">
      <c r="B628" s="36"/>
      <c r="C628" s="36"/>
      <c r="D628" s="71"/>
      <c r="F628" s="37"/>
    </row>
    <row r="629" spans="2:6" x14ac:dyDescent="0.3">
      <c r="B629" s="36"/>
      <c r="C629" s="36"/>
      <c r="D629" s="71"/>
      <c r="F629" s="37"/>
    </row>
    <row r="630" spans="2:6" x14ac:dyDescent="0.3">
      <c r="B630" s="36"/>
      <c r="C630" s="36"/>
      <c r="D630" s="71"/>
      <c r="F630" s="37"/>
    </row>
    <row r="631" spans="2:6" x14ac:dyDescent="0.3">
      <c r="B631" s="36"/>
      <c r="C631" s="36"/>
      <c r="D631" s="71"/>
      <c r="F631" s="37"/>
    </row>
    <row r="632" spans="2:6" x14ac:dyDescent="0.3">
      <c r="B632" s="36"/>
      <c r="C632" s="36"/>
      <c r="D632" s="71"/>
      <c r="F632" s="37"/>
    </row>
    <row r="633" spans="2:6" x14ac:dyDescent="0.3">
      <c r="B633" s="36"/>
      <c r="C633" s="36"/>
      <c r="D633" s="71"/>
      <c r="F633" s="37"/>
    </row>
    <row r="634" spans="2:6" x14ac:dyDescent="0.3">
      <c r="B634" s="36"/>
      <c r="C634" s="36"/>
      <c r="D634" s="71"/>
      <c r="F634" s="37"/>
    </row>
    <row r="635" spans="2:6" x14ac:dyDescent="0.3">
      <c r="B635" s="36"/>
      <c r="C635" s="36"/>
      <c r="D635" s="71"/>
      <c r="F635" s="37"/>
    </row>
    <row r="636" spans="2:6" x14ac:dyDescent="0.3">
      <c r="B636" s="36"/>
      <c r="C636" s="36"/>
      <c r="D636" s="71"/>
      <c r="F636" s="37"/>
    </row>
    <row r="637" spans="2:6" x14ac:dyDescent="0.3">
      <c r="B637" s="36"/>
      <c r="C637" s="36"/>
      <c r="D637" s="71"/>
      <c r="F637" s="37"/>
    </row>
    <row r="638" spans="2:6" x14ac:dyDescent="0.3">
      <c r="B638" s="36"/>
      <c r="C638" s="36"/>
      <c r="D638" s="71"/>
      <c r="F638" s="37"/>
    </row>
    <row r="639" spans="2:6" x14ac:dyDescent="0.3">
      <c r="B639" s="36"/>
      <c r="C639" s="36"/>
      <c r="D639" s="71"/>
      <c r="F639" s="37"/>
    </row>
    <row r="640" spans="2:6" x14ac:dyDescent="0.3">
      <c r="B640" s="36"/>
      <c r="C640" s="36"/>
      <c r="D640" s="71"/>
      <c r="F640" s="37"/>
    </row>
    <row r="641" spans="2:6" x14ac:dyDescent="0.3">
      <c r="B641" s="36"/>
      <c r="C641" s="36"/>
      <c r="D641" s="71"/>
      <c r="F641" s="37"/>
    </row>
    <row r="642" spans="2:6" x14ac:dyDescent="0.3">
      <c r="B642" s="36"/>
      <c r="C642" s="36"/>
      <c r="D642" s="71"/>
      <c r="F642" s="37"/>
    </row>
    <row r="643" spans="2:6" x14ac:dyDescent="0.3">
      <c r="B643" s="36"/>
      <c r="C643" s="36"/>
      <c r="D643" s="71"/>
      <c r="F643" s="37"/>
    </row>
    <row r="644" spans="2:6" x14ac:dyDescent="0.3">
      <c r="B644" s="36"/>
      <c r="C644" s="36"/>
      <c r="D644" s="71"/>
      <c r="F644" s="37"/>
    </row>
    <row r="645" spans="2:6" x14ac:dyDescent="0.3">
      <c r="B645" s="36"/>
      <c r="C645" s="36"/>
      <c r="D645" s="71"/>
      <c r="F645" s="37"/>
    </row>
    <row r="646" spans="2:6" x14ac:dyDescent="0.3">
      <c r="B646" s="36"/>
      <c r="C646" s="36"/>
      <c r="D646" s="71"/>
      <c r="F646" s="37"/>
    </row>
    <row r="647" spans="2:6" x14ac:dyDescent="0.3">
      <c r="B647" s="36"/>
      <c r="C647" s="36"/>
      <c r="D647" s="71"/>
      <c r="F647" s="37"/>
    </row>
    <row r="648" spans="2:6" x14ac:dyDescent="0.3">
      <c r="B648" s="36"/>
      <c r="C648" s="36"/>
      <c r="D648" s="71"/>
      <c r="F648" s="37"/>
    </row>
    <row r="649" spans="2:6" x14ac:dyDescent="0.3">
      <c r="B649" s="36"/>
      <c r="C649" s="36"/>
      <c r="D649" s="71"/>
      <c r="F649" s="37"/>
    </row>
    <row r="650" spans="2:6" x14ac:dyDescent="0.3">
      <c r="B650" s="36"/>
      <c r="C650" s="36"/>
      <c r="D650" s="71"/>
      <c r="F650" s="37"/>
    </row>
    <row r="651" spans="2:6" x14ac:dyDescent="0.3">
      <c r="B651" s="36"/>
      <c r="C651" s="36"/>
      <c r="D651" s="71"/>
      <c r="F651" s="37"/>
    </row>
    <row r="652" spans="2:6" x14ac:dyDescent="0.3">
      <c r="B652" s="36"/>
      <c r="C652" s="36"/>
      <c r="D652" s="71"/>
      <c r="F652" s="37"/>
    </row>
    <row r="653" spans="2:6" x14ac:dyDescent="0.3">
      <c r="B653" s="36"/>
      <c r="C653" s="36"/>
      <c r="D653" s="71"/>
      <c r="F653" s="37"/>
    </row>
    <row r="654" spans="2:6" x14ac:dyDescent="0.3">
      <c r="B654" s="36"/>
      <c r="C654" s="36"/>
      <c r="D654" s="71"/>
      <c r="F654" s="37"/>
    </row>
    <row r="655" spans="2:6" x14ac:dyDescent="0.3">
      <c r="B655" s="36"/>
      <c r="C655" s="36"/>
      <c r="D655" s="71"/>
      <c r="F655" s="37"/>
    </row>
    <row r="656" spans="2:6" x14ac:dyDescent="0.3">
      <c r="B656" s="36"/>
      <c r="C656" s="36"/>
      <c r="D656" s="71"/>
      <c r="F656" s="37"/>
    </row>
    <row r="657" spans="2:6" x14ac:dyDescent="0.3">
      <c r="B657" s="36"/>
      <c r="C657" s="36"/>
      <c r="D657" s="71"/>
      <c r="F657" s="37"/>
    </row>
    <row r="658" spans="2:6" x14ac:dyDescent="0.3">
      <c r="B658" s="36"/>
      <c r="C658" s="36"/>
      <c r="D658" s="71"/>
      <c r="F658" s="37"/>
    </row>
    <row r="659" spans="2:6" x14ac:dyDescent="0.3">
      <c r="B659" s="36"/>
      <c r="C659" s="36"/>
      <c r="D659" s="71"/>
      <c r="F659" s="37"/>
    </row>
    <row r="660" spans="2:6" x14ac:dyDescent="0.3">
      <c r="B660" s="36"/>
      <c r="C660" s="36"/>
      <c r="D660" s="71"/>
      <c r="F660" s="37"/>
    </row>
    <row r="661" spans="2:6" x14ac:dyDescent="0.3">
      <c r="B661" s="36"/>
      <c r="C661" s="36"/>
      <c r="D661" s="71"/>
      <c r="F661" s="37"/>
    </row>
    <row r="662" spans="2:6" x14ac:dyDescent="0.3">
      <c r="B662" s="36"/>
      <c r="C662" s="36"/>
      <c r="D662" s="71"/>
      <c r="F662" s="37"/>
    </row>
    <row r="663" spans="2:6" x14ac:dyDescent="0.3">
      <c r="B663" s="36"/>
      <c r="C663" s="36"/>
      <c r="D663" s="71"/>
      <c r="F663" s="37"/>
    </row>
    <row r="664" spans="2:6" x14ac:dyDescent="0.3">
      <c r="B664" s="36"/>
      <c r="C664" s="36"/>
      <c r="D664" s="71"/>
      <c r="F664" s="37"/>
    </row>
    <row r="665" spans="2:6" x14ac:dyDescent="0.3">
      <c r="B665" s="36"/>
      <c r="C665" s="36"/>
      <c r="D665" s="71"/>
      <c r="F665" s="37"/>
    </row>
    <row r="666" spans="2:6" x14ac:dyDescent="0.3">
      <c r="B666" s="36"/>
      <c r="C666" s="36"/>
      <c r="D666" s="71"/>
      <c r="F666" s="37"/>
    </row>
    <row r="667" spans="2:6" x14ac:dyDescent="0.3">
      <c r="B667" s="36"/>
      <c r="C667" s="36"/>
      <c r="D667" s="71"/>
      <c r="F667" s="37"/>
    </row>
    <row r="668" spans="2:6" x14ac:dyDescent="0.3">
      <c r="B668" s="36"/>
      <c r="C668" s="36"/>
      <c r="D668" s="71"/>
      <c r="F668" s="37"/>
    </row>
    <row r="669" spans="2:6" x14ac:dyDescent="0.3">
      <c r="B669" s="36"/>
      <c r="C669" s="36"/>
      <c r="D669" s="71"/>
      <c r="F669" s="37"/>
    </row>
    <row r="670" spans="2:6" x14ac:dyDescent="0.3">
      <c r="B670" s="36"/>
      <c r="C670" s="36"/>
      <c r="D670" s="71"/>
      <c r="F670" s="37"/>
    </row>
    <row r="671" spans="2:6" x14ac:dyDescent="0.3">
      <c r="B671" s="36"/>
      <c r="C671" s="36"/>
      <c r="D671" s="71"/>
      <c r="F671" s="37"/>
    </row>
    <row r="672" spans="2:6" x14ac:dyDescent="0.3">
      <c r="B672" s="36"/>
      <c r="C672" s="36"/>
      <c r="D672" s="71"/>
      <c r="F672" s="37"/>
    </row>
    <row r="673" spans="2:6" x14ac:dyDescent="0.3">
      <c r="B673" s="36"/>
      <c r="C673" s="36"/>
      <c r="D673" s="71"/>
      <c r="F673" s="37"/>
    </row>
    <row r="674" spans="2:6" x14ac:dyDescent="0.3">
      <c r="B674" s="36"/>
      <c r="C674" s="36"/>
      <c r="D674" s="71"/>
      <c r="F674" s="37"/>
    </row>
    <row r="675" spans="2:6" x14ac:dyDescent="0.3">
      <c r="B675" s="36"/>
      <c r="C675" s="36"/>
      <c r="D675" s="71"/>
      <c r="F675" s="37"/>
    </row>
    <row r="676" spans="2:6" x14ac:dyDescent="0.3">
      <c r="B676" s="36"/>
      <c r="C676" s="36"/>
      <c r="D676" s="71"/>
      <c r="F676" s="37"/>
    </row>
    <row r="677" spans="2:6" x14ac:dyDescent="0.3">
      <c r="B677" s="36"/>
      <c r="C677" s="36"/>
      <c r="D677" s="71"/>
      <c r="F677" s="37"/>
    </row>
    <row r="678" spans="2:6" x14ac:dyDescent="0.3">
      <c r="B678" s="36"/>
      <c r="C678" s="36"/>
      <c r="D678" s="71"/>
      <c r="F678" s="37"/>
    </row>
    <row r="679" spans="2:6" x14ac:dyDescent="0.3">
      <c r="B679" s="36"/>
      <c r="C679" s="36"/>
      <c r="D679" s="71"/>
      <c r="F679" s="37"/>
    </row>
    <row r="680" spans="2:6" x14ac:dyDescent="0.3">
      <c r="B680" s="36"/>
      <c r="C680" s="36"/>
      <c r="D680" s="71"/>
      <c r="F680" s="37"/>
    </row>
    <row r="681" spans="2:6" x14ac:dyDescent="0.3">
      <c r="B681" s="36"/>
      <c r="C681" s="36"/>
      <c r="D681" s="71"/>
      <c r="F681" s="37"/>
    </row>
    <row r="682" spans="2:6" x14ac:dyDescent="0.3">
      <c r="B682" s="36"/>
      <c r="C682" s="36"/>
      <c r="D682" s="71"/>
      <c r="F682" s="37"/>
    </row>
    <row r="683" spans="2:6" x14ac:dyDescent="0.3">
      <c r="B683" s="36"/>
      <c r="C683" s="36"/>
      <c r="D683" s="71"/>
      <c r="F683" s="37"/>
    </row>
    <row r="684" spans="2:6" x14ac:dyDescent="0.3">
      <c r="B684" s="36"/>
      <c r="C684" s="36"/>
      <c r="D684" s="71"/>
      <c r="F684" s="37"/>
    </row>
    <row r="685" spans="2:6" x14ac:dyDescent="0.3">
      <c r="B685" s="36"/>
      <c r="C685" s="36"/>
      <c r="D685" s="71"/>
      <c r="F685" s="37"/>
    </row>
    <row r="686" spans="2:6" x14ac:dyDescent="0.3">
      <c r="B686" s="36"/>
      <c r="C686" s="36"/>
      <c r="D686" s="71"/>
      <c r="F686" s="37"/>
    </row>
    <row r="687" spans="2:6" x14ac:dyDescent="0.3">
      <c r="B687" s="36"/>
      <c r="C687" s="36"/>
      <c r="D687" s="71"/>
      <c r="F687" s="37"/>
    </row>
    <row r="688" spans="2:6" x14ac:dyDescent="0.3">
      <c r="B688" s="36"/>
      <c r="C688" s="36"/>
      <c r="D688" s="71"/>
      <c r="F688" s="37"/>
    </row>
    <row r="689" spans="2:6" x14ac:dyDescent="0.3">
      <c r="B689" s="36"/>
      <c r="C689" s="36"/>
      <c r="D689" s="71"/>
      <c r="F689" s="37"/>
    </row>
    <row r="690" spans="2:6" x14ac:dyDescent="0.3">
      <c r="B690" s="36"/>
      <c r="C690" s="36"/>
      <c r="D690" s="71"/>
      <c r="F690" s="37"/>
    </row>
    <row r="691" spans="2:6" x14ac:dyDescent="0.3">
      <c r="B691" s="36"/>
      <c r="C691" s="36"/>
      <c r="D691" s="71"/>
      <c r="F691" s="37"/>
    </row>
    <row r="692" spans="2:6" x14ac:dyDescent="0.3">
      <c r="B692" s="36"/>
      <c r="C692" s="36"/>
      <c r="D692" s="71"/>
      <c r="F692" s="37"/>
    </row>
    <row r="693" spans="2:6" x14ac:dyDescent="0.3">
      <c r="B693" s="36"/>
      <c r="C693" s="36"/>
      <c r="D693" s="71"/>
      <c r="F693" s="37"/>
    </row>
    <row r="694" spans="2:6" x14ac:dyDescent="0.3">
      <c r="B694" s="36"/>
      <c r="C694" s="36"/>
      <c r="D694" s="71"/>
      <c r="F694" s="37"/>
    </row>
    <row r="695" spans="2:6" x14ac:dyDescent="0.3">
      <c r="B695" s="36"/>
      <c r="C695" s="36"/>
      <c r="D695" s="71"/>
      <c r="F695" s="37"/>
    </row>
    <row r="696" spans="2:6" x14ac:dyDescent="0.3">
      <c r="B696" s="36"/>
      <c r="C696" s="36"/>
      <c r="D696" s="71"/>
      <c r="F696" s="37"/>
    </row>
    <row r="697" spans="2:6" x14ac:dyDescent="0.3">
      <c r="B697" s="36"/>
      <c r="C697" s="36"/>
      <c r="D697" s="71"/>
      <c r="F697" s="37"/>
    </row>
    <row r="698" spans="2:6" x14ac:dyDescent="0.3">
      <c r="B698" s="36"/>
      <c r="C698" s="36"/>
      <c r="D698" s="71"/>
      <c r="F698" s="37"/>
    </row>
    <row r="699" spans="2:6" x14ac:dyDescent="0.3">
      <c r="B699" s="36"/>
      <c r="C699" s="36"/>
      <c r="D699" s="71"/>
      <c r="F699" s="37"/>
    </row>
    <row r="700" spans="2:6" x14ac:dyDescent="0.3">
      <c r="B700" s="36"/>
      <c r="C700" s="36"/>
      <c r="D700" s="71"/>
      <c r="F700" s="37"/>
    </row>
    <row r="701" spans="2:6" x14ac:dyDescent="0.3">
      <c r="B701" s="36"/>
      <c r="C701" s="36"/>
      <c r="D701" s="71"/>
      <c r="F701" s="37"/>
    </row>
    <row r="702" spans="2:6" x14ac:dyDescent="0.3">
      <c r="B702" s="36"/>
      <c r="C702" s="36"/>
      <c r="D702" s="71"/>
      <c r="F702" s="37"/>
    </row>
    <row r="703" spans="2:6" x14ac:dyDescent="0.3">
      <c r="B703" s="36"/>
      <c r="C703" s="36"/>
      <c r="D703" s="71"/>
      <c r="F703" s="37"/>
    </row>
    <row r="704" spans="2:6" x14ac:dyDescent="0.3">
      <c r="B704" s="36"/>
      <c r="C704" s="36"/>
      <c r="D704" s="71"/>
      <c r="F704" s="37"/>
    </row>
    <row r="705" spans="2:6" x14ac:dyDescent="0.3">
      <c r="B705" s="36"/>
      <c r="C705" s="36"/>
      <c r="D705" s="71"/>
      <c r="F705" s="37"/>
    </row>
    <row r="706" spans="2:6" x14ac:dyDescent="0.3">
      <c r="B706" s="36"/>
      <c r="C706" s="36"/>
      <c r="D706" s="71"/>
      <c r="F706" s="37"/>
    </row>
    <row r="707" spans="2:6" x14ac:dyDescent="0.3">
      <c r="B707" s="36"/>
      <c r="C707" s="36"/>
      <c r="D707" s="71"/>
      <c r="F707" s="37"/>
    </row>
    <row r="708" spans="2:6" x14ac:dyDescent="0.3">
      <c r="B708" s="36"/>
      <c r="C708" s="36"/>
      <c r="D708" s="71"/>
      <c r="F708" s="37"/>
    </row>
    <row r="709" spans="2:6" x14ac:dyDescent="0.3">
      <c r="B709" s="36"/>
      <c r="C709" s="36"/>
      <c r="D709" s="71"/>
      <c r="F709" s="37"/>
    </row>
    <row r="710" spans="2:6" x14ac:dyDescent="0.3">
      <c r="B710" s="36"/>
      <c r="C710" s="36"/>
      <c r="D710" s="71"/>
      <c r="F710" s="37"/>
    </row>
    <row r="711" spans="2:6" x14ac:dyDescent="0.3">
      <c r="B711" s="36"/>
      <c r="C711" s="36"/>
      <c r="D711" s="71"/>
      <c r="F711" s="37"/>
    </row>
    <row r="712" spans="2:6" x14ac:dyDescent="0.3">
      <c r="B712" s="36"/>
      <c r="C712" s="36"/>
      <c r="D712" s="71"/>
      <c r="F712" s="37"/>
    </row>
    <row r="713" spans="2:6" x14ac:dyDescent="0.3">
      <c r="B713" s="36"/>
      <c r="C713" s="36"/>
      <c r="D713" s="71"/>
      <c r="F713" s="37"/>
    </row>
    <row r="714" spans="2:6" x14ac:dyDescent="0.3">
      <c r="B714" s="36"/>
      <c r="C714" s="36"/>
      <c r="D714" s="71"/>
      <c r="F714" s="37"/>
    </row>
    <row r="715" spans="2:6" x14ac:dyDescent="0.3">
      <c r="B715" s="36"/>
      <c r="C715" s="36"/>
      <c r="D715" s="71"/>
      <c r="F715" s="37"/>
    </row>
    <row r="716" spans="2:6" x14ac:dyDescent="0.3">
      <c r="B716" s="36"/>
      <c r="C716" s="36"/>
      <c r="D716" s="71"/>
      <c r="F716" s="37"/>
    </row>
    <row r="717" spans="2:6" x14ac:dyDescent="0.3">
      <c r="B717" s="36"/>
      <c r="C717" s="36"/>
      <c r="D717" s="71"/>
      <c r="F717" s="37"/>
    </row>
    <row r="718" spans="2:6" x14ac:dyDescent="0.3">
      <c r="B718" s="36"/>
      <c r="C718" s="36"/>
      <c r="D718" s="71"/>
      <c r="F718" s="37"/>
    </row>
    <row r="719" spans="2:6" x14ac:dyDescent="0.3">
      <c r="B719" s="36"/>
      <c r="C719" s="36"/>
      <c r="D719" s="71"/>
      <c r="F719" s="37"/>
    </row>
    <row r="720" spans="2:6" x14ac:dyDescent="0.3">
      <c r="B720" s="36"/>
      <c r="C720" s="36"/>
      <c r="D720" s="71"/>
      <c r="F720" s="37"/>
    </row>
    <row r="721" spans="2:6" x14ac:dyDescent="0.3">
      <c r="B721" s="36"/>
      <c r="C721" s="36"/>
      <c r="D721" s="71"/>
      <c r="F721" s="37"/>
    </row>
    <row r="722" spans="2:6" x14ac:dyDescent="0.3">
      <c r="B722" s="36"/>
      <c r="C722" s="36"/>
      <c r="D722" s="71"/>
      <c r="F722" s="37"/>
    </row>
    <row r="723" spans="2:6" x14ac:dyDescent="0.3">
      <c r="B723" s="36"/>
      <c r="C723" s="36"/>
      <c r="D723" s="71"/>
      <c r="F723" s="37"/>
    </row>
    <row r="724" spans="2:6" x14ac:dyDescent="0.3">
      <c r="B724" s="36"/>
      <c r="C724" s="36"/>
      <c r="D724" s="71"/>
      <c r="F724" s="37"/>
    </row>
    <row r="725" spans="2:6" x14ac:dyDescent="0.3">
      <c r="B725" s="36"/>
      <c r="C725" s="36"/>
      <c r="D725" s="71"/>
      <c r="F725" s="37"/>
    </row>
    <row r="726" spans="2:6" x14ac:dyDescent="0.3">
      <c r="B726" s="36"/>
      <c r="C726" s="36"/>
      <c r="D726" s="71"/>
      <c r="F726" s="37"/>
    </row>
    <row r="727" spans="2:6" x14ac:dyDescent="0.3">
      <c r="B727" s="36"/>
      <c r="C727" s="36"/>
      <c r="D727" s="71"/>
      <c r="F727" s="37"/>
    </row>
    <row r="728" spans="2:6" x14ac:dyDescent="0.3">
      <c r="B728" s="36"/>
      <c r="C728" s="36"/>
      <c r="D728" s="71"/>
      <c r="F728" s="37"/>
    </row>
    <row r="729" spans="2:6" x14ac:dyDescent="0.3">
      <c r="B729" s="36"/>
      <c r="C729" s="36"/>
      <c r="D729" s="71"/>
      <c r="F729" s="37"/>
    </row>
    <row r="730" spans="2:6" x14ac:dyDescent="0.3">
      <c r="B730" s="36"/>
      <c r="C730" s="36"/>
      <c r="D730" s="71"/>
      <c r="F730" s="37"/>
    </row>
    <row r="731" spans="2:6" x14ac:dyDescent="0.3">
      <c r="B731" s="36"/>
      <c r="C731" s="36"/>
      <c r="D731" s="71"/>
      <c r="F731" s="37"/>
    </row>
    <row r="732" spans="2:6" x14ac:dyDescent="0.3">
      <c r="B732" s="36"/>
      <c r="C732" s="36"/>
      <c r="D732" s="71"/>
      <c r="F732" s="37"/>
    </row>
    <row r="733" spans="2:6" x14ac:dyDescent="0.3">
      <c r="B733" s="36"/>
      <c r="C733" s="36"/>
      <c r="D733" s="71"/>
      <c r="F733" s="37"/>
    </row>
    <row r="734" spans="2:6" x14ac:dyDescent="0.3">
      <c r="B734" s="36"/>
      <c r="C734" s="36"/>
      <c r="D734" s="71"/>
      <c r="F734" s="37"/>
    </row>
    <row r="735" spans="2:6" x14ac:dyDescent="0.3">
      <c r="B735" s="36"/>
      <c r="C735" s="36"/>
      <c r="D735" s="71"/>
      <c r="F735" s="37"/>
    </row>
    <row r="736" spans="2:6" x14ac:dyDescent="0.3">
      <c r="B736" s="36"/>
      <c r="C736" s="36"/>
      <c r="D736" s="71"/>
      <c r="F736" s="37"/>
    </row>
    <row r="737" spans="2:6" x14ac:dyDescent="0.3">
      <c r="B737" s="36"/>
      <c r="C737" s="36"/>
      <c r="D737" s="71"/>
      <c r="F737" s="37"/>
    </row>
    <row r="738" spans="2:6" x14ac:dyDescent="0.3">
      <c r="B738" s="36"/>
      <c r="C738" s="36"/>
      <c r="D738" s="71"/>
      <c r="F738" s="37"/>
    </row>
    <row r="739" spans="2:6" x14ac:dyDescent="0.3">
      <c r="B739" s="36"/>
      <c r="C739" s="36"/>
      <c r="D739" s="71"/>
      <c r="F739" s="37"/>
    </row>
    <row r="740" spans="2:6" x14ac:dyDescent="0.3">
      <c r="B740" s="36"/>
      <c r="C740" s="36"/>
      <c r="D740" s="71"/>
      <c r="F740" s="37"/>
    </row>
    <row r="741" spans="2:6" x14ac:dyDescent="0.3">
      <c r="B741" s="36"/>
      <c r="C741" s="36"/>
      <c r="D741" s="71"/>
      <c r="F741" s="37"/>
    </row>
    <row r="742" spans="2:6" x14ac:dyDescent="0.3">
      <c r="B742" s="36"/>
      <c r="C742" s="36"/>
      <c r="D742" s="71"/>
      <c r="F742" s="37"/>
    </row>
    <row r="743" spans="2:6" x14ac:dyDescent="0.3">
      <c r="B743" s="36"/>
      <c r="C743" s="36"/>
      <c r="D743" s="71"/>
      <c r="F743" s="37"/>
    </row>
    <row r="744" spans="2:6" x14ac:dyDescent="0.3">
      <c r="B744" s="36"/>
      <c r="C744" s="36"/>
      <c r="D744" s="71"/>
      <c r="F744" s="37"/>
    </row>
    <row r="745" spans="2:6" x14ac:dyDescent="0.3">
      <c r="B745" s="36"/>
      <c r="C745" s="36"/>
      <c r="D745" s="71"/>
      <c r="F745" s="37"/>
    </row>
    <row r="746" spans="2:6" x14ac:dyDescent="0.3">
      <c r="B746" s="36"/>
      <c r="C746" s="36"/>
      <c r="D746" s="71"/>
      <c r="F746" s="37"/>
    </row>
    <row r="747" spans="2:6" x14ac:dyDescent="0.3">
      <c r="B747" s="36"/>
      <c r="C747" s="36"/>
      <c r="D747" s="71"/>
      <c r="F747" s="37"/>
    </row>
    <row r="748" spans="2:6" x14ac:dyDescent="0.3">
      <c r="B748" s="36"/>
      <c r="C748" s="36"/>
      <c r="D748" s="71"/>
      <c r="F748" s="37"/>
    </row>
    <row r="749" spans="2:6" x14ac:dyDescent="0.3">
      <c r="B749" s="36"/>
      <c r="C749" s="36"/>
      <c r="D749" s="71"/>
      <c r="F749" s="37"/>
    </row>
    <row r="750" spans="2:6" x14ac:dyDescent="0.3">
      <c r="B750" s="36"/>
      <c r="C750" s="36"/>
      <c r="D750" s="71"/>
      <c r="F750" s="37"/>
    </row>
    <row r="751" spans="2:6" x14ac:dyDescent="0.3">
      <c r="B751" s="36"/>
      <c r="C751" s="36"/>
      <c r="D751" s="71"/>
      <c r="F751" s="37"/>
    </row>
    <row r="752" spans="2:6" x14ac:dyDescent="0.3">
      <c r="B752" s="36"/>
      <c r="C752" s="36"/>
      <c r="D752" s="71"/>
      <c r="F752" s="37"/>
    </row>
    <row r="753" spans="2:6" x14ac:dyDescent="0.3">
      <c r="B753" s="36"/>
      <c r="C753" s="36"/>
      <c r="D753" s="71"/>
      <c r="F753" s="37"/>
    </row>
    <row r="754" spans="2:6" x14ac:dyDescent="0.3">
      <c r="B754" s="36"/>
      <c r="C754" s="36"/>
      <c r="D754" s="71"/>
      <c r="F754" s="37"/>
    </row>
    <row r="755" spans="2:6" x14ac:dyDescent="0.3">
      <c r="B755" s="36"/>
      <c r="C755" s="36"/>
      <c r="D755" s="71"/>
      <c r="F755" s="37"/>
    </row>
    <row r="756" spans="2:6" x14ac:dyDescent="0.3">
      <c r="B756" s="36"/>
      <c r="C756" s="36"/>
      <c r="D756" s="71"/>
      <c r="F756" s="37"/>
    </row>
    <row r="757" spans="2:6" x14ac:dyDescent="0.3">
      <c r="B757" s="36"/>
      <c r="C757" s="36"/>
      <c r="D757" s="71"/>
      <c r="F757" s="37"/>
    </row>
    <row r="758" spans="2:6" x14ac:dyDescent="0.3">
      <c r="B758" s="36"/>
      <c r="C758" s="36"/>
      <c r="D758" s="71"/>
      <c r="F758" s="37"/>
    </row>
    <row r="759" spans="2:6" x14ac:dyDescent="0.3">
      <c r="B759" s="36"/>
      <c r="C759" s="36"/>
      <c r="D759" s="71"/>
      <c r="F759" s="37"/>
    </row>
    <row r="760" spans="2:6" x14ac:dyDescent="0.3">
      <c r="B760" s="36"/>
      <c r="C760" s="36"/>
      <c r="D760" s="71"/>
      <c r="F760" s="37"/>
    </row>
    <row r="761" spans="2:6" x14ac:dyDescent="0.3">
      <c r="B761" s="36"/>
      <c r="C761" s="36"/>
      <c r="D761" s="71"/>
      <c r="F761" s="37"/>
    </row>
    <row r="762" spans="2:6" x14ac:dyDescent="0.3">
      <c r="B762" s="36"/>
      <c r="C762" s="36"/>
      <c r="D762" s="71"/>
      <c r="F762" s="37"/>
    </row>
    <row r="763" spans="2:6" x14ac:dyDescent="0.3">
      <c r="B763" s="36"/>
      <c r="C763" s="36"/>
      <c r="D763" s="71"/>
      <c r="F763" s="37"/>
    </row>
    <row r="764" spans="2:6" x14ac:dyDescent="0.3">
      <c r="B764" s="36"/>
      <c r="C764" s="36"/>
      <c r="D764" s="71"/>
      <c r="F764" s="37"/>
    </row>
    <row r="765" spans="2:6" x14ac:dyDescent="0.3">
      <c r="B765" s="36"/>
      <c r="C765" s="36"/>
      <c r="D765" s="71"/>
      <c r="F765" s="37"/>
    </row>
    <row r="766" spans="2:6" x14ac:dyDescent="0.3">
      <c r="B766" s="36"/>
      <c r="C766" s="36"/>
      <c r="D766" s="71"/>
      <c r="F766" s="37"/>
    </row>
    <row r="767" spans="2:6" x14ac:dyDescent="0.3">
      <c r="B767" s="36"/>
      <c r="C767" s="36"/>
      <c r="D767" s="71"/>
      <c r="F767" s="37"/>
    </row>
    <row r="768" spans="2:6" x14ac:dyDescent="0.3">
      <c r="B768" s="36"/>
      <c r="C768" s="36"/>
      <c r="D768" s="71"/>
      <c r="F768" s="37"/>
    </row>
    <row r="769" spans="2:6" x14ac:dyDescent="0.3">
      <c r="B769" s="36"/>
      <c r="C769" s="36"/>
      <c r="D769" s="71"/>
      <c r="F769" s="37"/>
    </row>
    <row r="770" spans="2:6" x14ac:dyDescent="0.3">
      <c r="B770" s="36"/>
      <c r="C770" s="36"/>
      <c r="D770" s="71"/>
      <c r="F770" s="37"/>
    </row>
    <row r="771" spans="2:6" x14ac:dyDescent="0.3">
      <c r="B771" s="36"/>
      <c r="C771" s="36"/>
      <c r="D771" s="71"/>
      <c r="F771" s="37"/>
    </row>
    <row r="772" spans="2:6" x14ac:dyDescent="0.3">
      <c r="B772" s="36"/>
      <c r="C772" s="36"/>
      <c r="D772" s="71"/>
      <c r="F772" s="37"/>
    </row>
    <row r="773" spans="2:6" x14ac:dyDescent="0.3">
      <c r="B773" s="36"/>
      <c r="C773" s="36"/>
      <c r="D773" s="71"/>
      <c r="F773" s="37"/>
    </row>
    <row r="774" spans="2:6" x14ac:dyDescent="0.3">
      <c r="B774" s="36"/>
      <c r="C774" s="36"/>
      <c r="D774" s="71"/>
      <c r="F774" s="37"/>
    </row>
    <row r="775" spans="2:6" x14ac:dyDescent="0.3">
      <c r="B775" s="36"/>
      <c r="C775" s="36"/>
      <c r="D775" s="71"/>
      <c r="F775" s="37"/>
    </row>
    <row r="776" spans="2:6" x14ac:dyDescent="0.3">
      <c r="B776" s="36"/>
      <c r="C776" s="36"/>
      <c r="D776" s="71"/>
      <c r="F776" s="37"/>
    </row>
    <row r="777" spans="2:6" x14ac:dyDescent="0.3">
      <c r="B777" s="36"/>
      <c r="C777" s="36"/>
      <c r="D777" s="71"/>
      <c r="F777" s="37"/>
    </row>
    <row r="778" spans="2:6" x14ac:dyDescent="0.3">
      <c r="B778" s="36"/>
      <c r="C778" s="36"/>
      <c r="D778" s="71"/>
      <c r="F778" s="37"/>
    </row>
    <row r="779" spans="2:6" x14ac:dyDescent="0.3">
      <c r="B779" s="36"/>
      <c r="C779" s="36"/>
      <c r="D779" s="71"/>
      <c r="F779" s="37"/>
    </row>
    <row r="780" spans="2:6" x14ac:dyDescent="0.3">
      <c r="B780" s="36"/>
      <c r="C780" s="36"/>
      <c r="D780" s="71"/>
      <c r="F780" s="37"/>
    </row>
    <row r="781" spans="2:6" x14ac:dyDescent="0.3">
      <c r="B781" s="36"/>
      <c r="C781" s="36"/>
      <c r="D781" s="71"/>
      <c r="F781" s="37"/>
    </row>
    <row r="782" spans="2:6" x14ac:dyDescent="0.3">
      <c r="B782" s="36"/>
      <c r="C782" s="36"/>
      <c r="D782" s="71"/>
      <c r="F782" s="37"/>
    </row>
    <row r="783" spans="2:6" x14ac:dyDescent="0.3">
      <c r="B783" s="36"/>
      <c r="C783" s="36"/>
      <c r="D783" s="71"/>
      <c r="F783" s="37"/>
    </row>
    <row r="784" spans="2:6" x14ac:dyDescent="0.3">
      <c r="B784" s="36"/>
      <c r="C784" s="36"/>
      <c r="D784" s="71"/>
      <c r="F784" s="37"/>
    </row>
    <row r="785" spans="2:6" x14ac:dyDescent="0.3">
      <c r="B785" s="36"/>
      <c r="C785" s="36"/>
      <c r="D785" s="71"/>
      <c r="F785" s="37"/>
    </row>
    <row r="786" spans="2:6" x14ac:dyDescent="0.3">
      <c r="B786" s="36"/>
      <c r="C786" s="36"/>
      <c r="D786" s="71"/>
      <c r="F786" s="37"/>
    </row>
    <row r="787" spans="2:6" x14ac:dyDescent="0.3">
      <c r="B787" s="36"/>
      <c r="C787" s="36"/>
      <c r="D787" s="71"/>
      <c r="F787" s="37"/>
    </row>
    <row r="788" spans="2:6" x14ac:dyDescent="0.3">
      <c r="B788" s="36"/>
      <c r="C788" s="36"/>
      <c r="D788" s="71"/>
      <c r="F788" s="37"/>
    </row>
    <row r="789" spans="2:6" x14ac:dyDescent="0.3">
      <c r="B789" s="36"/>
      <c r="C789" s="36"/>
      <c r="D789" s="71"/>
      <c r="F789" s="37"/>
    </row>
    <row r="790" spans="2:6" x14ac:dyDescent="0.3">
      <c r="B790" s="36"/>
      <c r="C790" s="36"/>
      <c r="D790" s="71"/>
      <c r="F790" s="37"/>
    </row>
    <row r="791" spans="2:6" x14ac:dyDescent="0.3">
      <c r="B791" s="36"/>
      <c r="C791" s="36"/>
      <c r="D791" s="71"/>
      <c r="F791" s="37"/>
    </row>
    <row r="792" spans="2:6" x14ac:dyDescent="0.3">
      <c r="B792" s="36"/>
      <c r="C792" s="36"/>
      <c r="D792" s="71"/>
      <c r="F792" s="37"/>
    </row>
    <row r="793" spans="2:6" x14ac:dyDescent="0.3">
      <c r="B793" s="36"/>
      <c r="C793" s="36"/>
      <c r="D793" s="71"/>
      <c r="F793" s="37"/>
    </row>
    <row r="794" spans="2:6" x14ac:dyDescent="0.3">
      <c r="B794" s="36"/>
      <c r="C794" s="36"/>
      <c r="D794" s="71"/>
      <c r="F794" s="37"/>
    </row>
    <row r="795" spans="2:6" x14ac:dyDescent="0.3">
      <c r="B795" s="36"/>
      <c r="C795" s="36"/>
      <c r="D795" s="71"/>
      <c r="F795" s="37"/>
    </row>
    <row r="796" spans="2:6" x14ac:dyDescent="0.3">
      <c r="B796" s="36"/>
      <c r="C796" s="36"/>
      <c r="D796" s="71"/>
      <c r="F796" s="37"/>
    </row>
    <row r="797" spans="2:6" x14ac:dyDescent="0.3">
      <c r="B797" s="36"/>
      <c r="C797" s="36"/>
      <c r="D797" s="71"/>
      <c r="F797" s="37"/>
    </row>
    <row r="798" spans="2:6" x14ac:dyDescent="0.3">
      <c r="B798" s="36"/>
      <c r="C798" s="36"/>
      <c r="D798" s="71"/>
      <c r="F798" s="37"/>
    </row>
    <row r="799" spans="2:6" x14ac:dyDescent="0.3">
      <c r="B799" s="36"/>
      <c r="C799" s="36"/>
      <c r="D799" s="71"/>
      <c r="F799" s="37"/>
    </row>
    <row r="800" spans="2:6" x14ac:dyDescent="0.3">
      <c r="B800" s="36"/>
      <c r="C800" s="36"/>
      <c r="D800" s="71"/>
      <c r="F800" s="37"/>
    </row>
    <row r="801" spans="2:6" x14ac:dyDescent="0.3">
      <c r="B801" s="36"/>
      <c r="C801" s="36"/>
      <c r="D801" s="71"/>
      <c r="F801" s="37"/>
    </row>
    <row r="802" spans="2:6" x14ac:dyDescent="0.3">
      <c r="B802" s="36"/>
      <c r="C802" s="36"/>
      <c r="D802" s="71"/>
      <c r="F802" s="37"/>
    </row>
    <row r="803" spans="2:6" x14ac:dyDescent="0.3">
      <c r="B803" s="36"/>
      <c r="C803" s="36"/>
      <c r="D803" s="71"/>
      <c r="F803" s="37"/>
    </row>
    <row r="804" spans="2:6" x14ac:dyDescent="0.3">
      <c r="B804" s="36"/>
      <c r="C804" s="36"/>
      <c r="D804" s="71"/>
      <c r="F804" s="37"/>
    </row>
    <row r="805" spans="2:6" x14ac:dyDescent="0.3">
      <c r="B805" s="36"/>
      <c r="C805" s="36"/>
      <c r="D805" s="71"/>
      <c r="F805" s="37"/>
    </row>
    <row r="806" spans="2:6" x14ac:dyDescent="0.3">
      <c r="B806" s="36"/>
      <c r="C806" s="36"/>
      <c r="D806" s="71"/>
      <c r="F806" s="37"/>
    </row>
    <row r="807" spans="2:6" x14ac:dyDescent="0.3">
      <c r="B807" s="36"/>
      <c r="C807" s="36"/>
      <c r="D807" s="71"/>
      <c r="F807" s="37"/>
    </row>
    <row r="808" spans="2:6" x14ac:dyDescent="0.3">
      <c r="B808" s="36"/>
      <c r="C808" s="36"/>
      <c r="D808" s="71"/>
      <c r="F808" s="37"/>
    </row>
    <row r="809" spans="2:6" x14ac:dyDescent="0.3">
      <c r="B809" s="36"/>
      <c r="C809" s="36"/>
      <c r="D809" s="71"/>
      <c r="F809" s="37"/>
    </row>
    <row r="810" spans="2:6" x14ac:dyDescent="0.3">
      <c r="B810" s="36"/>
      <c r="C810" s="36"/>
      <c r="D810" s="71"/>
      <c r="F810" s="37"/>
    </row>
    <row r="811" spans="2:6" x14ac:dyDescent="0.3">
      <c r="B811" s="36"/>
      <c r="C811" s="36"/>
      <c r="D811" s="71"/>
      <c r="F811" s="37"/>
    </row>
    <row r="812" spans="2:6" x14ac:dyDescent="0.3">
      <c r="B812" s="36"/>
      <c r="C812" s="36"/>
      <c r="D812" s="71"/>
      <c r="F812" s="37"/>
    </row>
    <row r="813" spans="2:6" x14ac:dyDescent="0.3">
      <c r="B813" s="36"/>
      <c r="C813" s="36"/>
      <c r="D813" s="71"/>
      <c r="F813" s="37"/>
    </row>
    <row r="814" spans="2:6" x14ac:dyDescent="0.3">
      <c r="B814" s="36"/>
      <c r="C814" s="36"/>
      <c r="D814" s="71"/>
      <c r="F814" s="37"/>
    </row>
    <row r="815" spans="2:6" x14ac:dyDescent="0.3">
      <c r="B815" s="36"/>
      <c r="C815" s="36"/>
      <c r="D815" s="71"/>
      <c r="F815" s="37"/>
    </row>
    <row r="816" spans="2:6" x14ac:dyDescent="0.3">
      <c r="B816" s="36"/>
      <c r="C816" s="36"/>
      <c r="D816" s="71"/>
      <c r="F816" s="37"/>
    </row>
    <row r="817" spans="2:6" x14ac:dyDescent="0.3">
      <c r="B817" s="36"/>
      <c r="C817" s="36"/>
      <c r="D817" s="71"/>
      <c r="F817" s="37"/>
    </row>
    <row r="818" spans="2:6" x14ac:dyDescent="0.3">
      <c r="B818" s="36"/>
      <c r="C818" s="36"/>
      <c r="D818" s="71"/>
      <c r="F818" s="37"/>
    </row>
    <row r="819" spans="2:6" x14ac:dyDescent="0.3">
      <c r="B819" s="36"/>
      <c r="C819" s="36"/>
      <c r="D819" s="71"/>
      <c r="F819" s="37"/>
    </row>
    <row r="820" spans="2:6" x14ac:dyDescent="0.3">
      <c r="B820" s="36"/>
      <c r="C820" s="36"/>
      <c r="D820" s="71"/>
      <c r="F820" s="37"/>
    </row>
    <row r="821" spans="2:6" x14ac:dyDescent="0.3">
      <c r="B821" s="36"/>
      <c r="C821" s="36"/>
      <c r="D821" s="71"/>
      <c r="F821" s="37"/>
    </row>
    <row r="822" spans="2:6" x14ac:dyDescent="0.3">
      <c r="B822" s="36"/>
      <c r="C822" s="36"/>
      <c r="D822" s="71"/>
      <c r="F822" s="37"/>
    </row>
    <row r="823" spans="2:6" x14ac:dyDescent="0.3">
      <c r="B823" s="36"/>
      <c r="C823" s="36"/>
      <c r="D823" s="71"/>
      <c r="F823" s="37"/>
    </row>
    <row r="824" spans="2:6" x14ac:dyDescent="0.3">
      <c r="B824" s="36"/>
      <c r="C824" s="36"/>
      <c r="D824" s="71"/>
      <c r="F824" s="37"/>
    </row>
    <row r="825" spans="2:6" x14ac:dyDescent="0.3">
      <c r="B825" s="36"/>
      <c r="C825" s="36"/>
      <c r="D825" s="71"/>
      <c r="F825" s="37"/>
    </row>
    <row r="826" spans="2:6" x14ac:dyDescent="0.3">
      <c r="B826" s="36"/>
      <c r="C826" s="36"/>
      <c r="D826" s="71"/>
      <c r="F826" s="37"/>
    </row>
    <row r="827" spans="2:6" x14ac:dyDescent="0.3">
      <c r="B827" s="36"/>
      <c r="C827" s="36"/>
      <c r="D827" s="71"/>
      <c r="F827" s="37"/>
    </row>
    <row r="828" spans="2:6" x14ac:dyDescent="0.3">
      <c r="B828" s="36"/>
      <c r="C828" s="36"/>
      <c r="D828" s="71"/>
      <c r="F828" s="37"/>
    </row>
    <row r="829" spans="2:6" x14ac:dyDescent="0.3">
      <c r="B829" s="36"/>
      <c r="C829" s="36"/>
      <c r="D829" s="71"/>
      <c r="F829" s="37"/>
    </row>
    <row r="830" spans="2:6" x14ac:dyDescent="0.3">
      <c r="B830" s="36"/>
      <c r="C830" s="36"/>
      <c r="D830" s="71"/>
      <c r="F830" s="37"/>
    </row>
    <row r="831" spans="2:6" x14ac:dyDescent="0.3">
      <c r="B831" s="36"/>
      <c r="C831" s="36"/>
      <c r="D831" s="71"/>
      <c r="F831" s="37"/>
    </row>
    <row r="832" spans="2:6" x14ac:dyDescent="0.3">
      <c r="B832" s="36"/>
      <c r="C832" s="36"/>
      <c r="D832" s="71"/>
      <c r="F832" s="37"/>
    </row>
    <row r="833" spans="2:6" x14ac:dyDescent="0.3">
      <c r="B833" s="36"/>
      <c r="C833" s="36"/>
      <c r="D833" s="71"/>
      <c r="F833" s="37"/>
    </row>
    <row r="834" spans="2:6" x14ac:dyDescent="0.3">
      <c r="B834" s="36"/>
      <c r="C834" s="36"/>
      <c r="D834" s="71"/>
      <c r="F834" s="37"/>
    </row>
    <row r="835" spans="2:6" x14ac:dyDescent="0.3">
      <c r="B835" s="36"/>
      <c r="C835" s="36"/>
      <c r="D835" s="71"/>
      <c r="F835" s="37"/>
    </row>
    <row r="836" spans="2:6" x14ac:dyDescent="0.3">
      <c r="B836" s="36"/>
      <c r="C836" s="36"/>
      <c r="D836" s="71"/>
      <c r="F836" s="37"/>
    </row>
    <row r="837" spans="2:6" x14ac:dyDescent="0.3">
      <c r="B837" s="36"/>
      <c r="C837" s="36"/>
      <c r="D837" s="71"/>
      <c r="F837" s="37"/>
    </row>
    <row r="838" spans="2:6" x14ac:dyDescent="0.3">
      <c r="B838" s="36"/>
      <c r="C838" s="36"/>
      <c r="D838" s="71"/>
      <c r="F838" s="37"/>
    </row>
    <row r="839" spans="2:6" x14ac:dyDescent="0.3">
      <c r="B839" s="36"/>
      <c r="C839" s="36"/>
      <c r="D839" s="71"/>
      <c r="F839" s="37"/>
    </row>
    <row r="840" spans="2:6" x14ac:dyDescent="0.3">
      <c r="B840" s="36"/>
      <c r="C840" s="36"/>
      <c r="D840" s="71"/>
      <c r="F840" s="37"/>
    </row>
    <row r="841" spans="2:6" x14ac:dyDescent="0.3">
      <c r="B841" s="36"/>
      <c r="C841" s="36"/>
      <c r="D841" s="71"/>
      <c r="F841" s="37"/>
    </row>
    <row r="842" spans="2:6" x14ac:dyDescent="0.3">
      <c r="B842" s="36"/>
      <c r="C842" s="36"/>
      <c r="D842" s="71"/>
      <c r="F842" s="37"/>
    </row>
    <row r="843" spans="2:6" x14ac:dyDescent="0.3">
      <c r="B843" s="36"/>
      <c r="C843" s="36"/>
      <c r="D843" s="71"/>
      <c r="F843" s="37"/>
    </row>
    <row r="844" spans="2:6" x14ac:dyDescent="0.3">
      <c r="B844" s="36"/>
      <c r="C844" s="36"/>
      <c r="D844" s="71"/>
      <c r="F844" s="37"/>
    </row>
    <row r="845" spans="2:6" x14ac:dyDescent="0.3">
      <c r="B845" s="36"/>
      <c r="C845" s="36"/>
      <c r="D845" s="71"/>
      <c r="F845" s="37"/>
    </row>
    <row r="846" spans="2:6" x14ac:dyDescent="0.3">
      <c r="B846" s="36"/>
      <c r="C846" s="36"/>
      <c r="D846" s="71"/>
      <c r="F846" s="37"/>
    </row>
    <row r="847" spans="2:6" x14ac:dyDescent="0.3">
      <c r="B847" s="36"/>
      <c r="C847" s="36"/>
      <c r="D847" s="71"/>
      <c r="F847" s="37"/>
    </row>
    <row r="848" spans="2:6" x14ac:dyDescent="0.3">
      <c r="B848" s="36"/>
      <c r="C848" s="36"/>
      <c r="D848" s="71"/>
      <c r="F848" s="37"/>
    </row>
    <row r="849" spans="2:6" x14ac:dyDescent="0.3">
      <c r="B849" s="36"/>
      <c r="C849" s="36"/>
      <c r="D849" s="71"/>
      <c r="F849" s="37"/>
    </row>
    <row r="850" spans="2:6" x14ac:dyDescent="0.3">
      <c r="B850" s="36"/>
      <c r="C850" s="36"/>
      <c r="D850" s="71"/>
      <c r="F850" s="37"/>
    </row>
    <row r="851" spans="2:6" x14ac:dyDescent="0.3">
      <c r="B851" s="36"/>
      <c r="C851" s="36"/>
      <c r="D851" s="71"/>
      <c r="F851" s="37"/>
    </row>
    <row r="852" spans="2:6" x14ac:dyDescent="0.3">
      <c r="B852" s="36"/>
      <c r="C852" s="36"/>
      <c r="D852" s="71"/>
      <c r="F852" s="37"/>
    </row>
    <row r="853" spans="2:6" x14ac:dyDescent="0.3">
      <c r="B853" s="36"/>
      <c r="C853" s="36"/>
      <c r="D853" s="71"/>
      <c r="F853" s="37"/>
    </row>
    <row r="854" spans="2:6" x14ac:dyDescent="0.3">
      <c r="B854" s="36"/>
      <c r="C854" s="36"/>
      <c r="D854" s="71"/>
      <c r="F854" s="37"/>
    </row>
    <row r="855" spans="2:6" x14ac:dyDescent="0.3">
      <c r="B855" s="36"/>
      <c r="C855" s="36"/>
      <c r="D855" s="71"/>
      <c r="F855" s="37"/>
    </row>
    <row r="856" spans="2:6" x14ac:dyDescent="0.3">
      <c r="B856" s="36"/>
      <c r="C856" s="36"/>
      <c r="D856" s="71"/>
      <c r="F856" s="37"/>
    </row>
    <row r="857" spans="2:6" x14ac:dyDescent="0.3">
      <c r="B857" s="36"/>
      <c r="C857" s="36"/>
      <c r="D857" s="71"/>
      <c r="F857" s="37"/>
    </row>
    <row r="858" spans="2:6" x14ac:dyDescent="0.3">
      <c r="B858" s="36"/>
      <c r="C858" s="36"/>
      <c r="D858" s="71"/>
      <c r="F858" s="37"/>
    </row>
    <row r="859" spans="2:6" x14ac:dyDescent="0.3">
      <c r="B859" s="36"/>
      <c r="C859" s="36"/>
      <c r="D859" s="71"/>
      <c r="F859" s="37"/>
    </row>
    <row r="860" spans="2:6" x14ac:dyDescent="0.3">
      <c r="B860" s="36"/>
      <c r="C860" s="36"/>
      <c r="D860" s="71"/>
      <c r="F860" s="37"/>
    </row>
    <row r="861" spans="2:6" x14ac:dyDescent="0.3">
      <c r="B861" s="36"/>
      <c r="C861" s="36"/>
      <c r="D861" s="71"/>
      <c r="F861" s="37"/>
    </row>
    <row r="862" spans="2:6" x14ac:dyDescent="0.3">
      <c r="B862" s="36"/>
      <c r="C862" s="36"/>
      <c r="D862" s="71"/>
      <c r="F862" s="37"/>
    </row>
    <row r="863" spans="2:6" x14ac:dyDescent="0.3">
      <c r="B863" s="36"/>
      <c r="C863" s="36"/>
      <c r="D863" s="71"/>
      <c r="F863" s="37"/>
    </row>
    <row r="864" spans="2:6" x14ac:dyDescent="0.3">
      <c r="B864" s="36"/>
      <c r="C864" s="36"/>
      <c r="D864" s="71"/>
      <c r="F864" s="37"/>
    </row>
    <row r="865" spans="2:6" x14ac:dyDescent="0.3">
      <c r="B865" s="36"/>
      <c r="C865" s="36"/>
      <c r="D865" s="71"/>
      <c r="F865" s="37"/>
    </row>
    <row r="866" spans="2:6" x14ac:dyDescent="0.3">
      <c r="B866" s="36"/>
      <c r="C866" s="36"/>
      <c r="D866" s="71"/>
      <c r="F866" s="37"/>
    </row>
    <row r="867" spans="2:6" x14ac:dyDescent="0.3">
      <c r="B867" s="36"/>
      <c r="C867" s="36"/>
      <c r="D867" s="71"/>
      <c r="F867" s="37"/>
    </row>
    <row r="868" spans="2:6" x14ac:dyDescent="0.3">
      <c r="B868" s="36"/>
      <c r="C868" s="36"/>
      <c r="D868" s="71"/>
      <c r="F868" s="37"/>
    </row>
    <row r="869" spans="2:6" x14ac:dyDescent="0.3">
      <c r="B869" s="36"/>
      <c r="C869" s="36"/>
      <c r="D869" s="71"/>
      <c r="F869" s="37"/>
    </row>
    <row r="870" spans="2:6" x14ac:dyDescent="0.3">
      <c r="B870" s="36"/>
      <c r="C870" s="36"/>
      <c r="D870" s="71"/>
      <c r="F870" s="37"/>
    </row>
    <row r="871" spans="2:6" x14ac:dyDescent="0.3">
      <c r="B871" s="36"/>
      <c r="C871" s="36"/>
      <c r="D871" s="71"/>
      <c r="F871" s="37"/>
    </row>
    <row r="872" spans="2:6" x14ac:dyDescent="0.3">
      <c r="B872" s="36"/>
      <c r="C872" s="36"/>
      <c r="D872" s="71"/>
      <c r="F872" s="37"/>
    </row>
  </sheetData>
  <autoFilter ref="A1:J488" xr:uid="{00000000-0001-0000-0100-000000000000}"/>
  <conditionalFormatting sqref="E488:E1048576 F873:F1048576">
    <cfRule type="duplicateValues" dxfId="1" priority="4"/>
  </conditionalFormatting>
  <conditionalFormatting sqref="E1:F1">
    <cfRule type="duplicateValues" dxfId="0" priority="1"/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"/>
  <dimension ref="A1:D28"/>
  <sheetViews>
    <sheetView workbookViewId="0">
      <selection activeCell="B10" sqref="B10"/>
    </sheetView>
  </sheetViews>
  <sheetFormatPr baseColWidth="10" defaultColWidth="11.44140625" defaultRowHeight="14.4" x14ac:dyDescent="0.3"/>
  <cols>
    <col min="1" max="1" width="14.5546875" style="3" bestFit="1" customWidth="1"/>
    <col min="2" max="2" width="14.5546875" style="2" bestFit="1" customWidth="1"/>
    <col min="3" max="3" width="15.6640625" style="2" bestFit="1" customWidth="1"/>
    <col min="4" max="16384" width="11.44140625" style="3"/>
  </cols>
  <sheetData>
    <row r="1" spans="1:4" x14ac:dyDescent="0.3">
      <c r="A1" s="3" t="s">
        <v>1417</v>
      </c>
      <c r="B1" s="2" t="s">
        <v>1418</v>
      </c>
      <c r="C1" s="2" t="s">
        <v>1419</v>
      </c>
      <c r="D1" s="6" t="s">
        <v>1420</v>
      </c>
    </row>
    <row r="2" spans="1:4" x14ac:dyDescent="0.3">
      <c r="A2" s="1">
        <v>44389</v>
      </c>
      <c r="B2" s="2">
        <v>0.54166666666666663</v>
      </c>
      <c r="C2" s="2">
        <v>0.875</v>
      </c>
      <c r="D2" s="6">
        <f>+C2-B2</f>
        <v>0.33333333333333337</v>
      </c>
    </row>
    <row r="3" spans="1:4" x14ac:dyDescent="0.3">
      <c r="A3" s="1">
        <v>44390</v>
      </c>
      <c r="B3" s="2">
        <v>0.29166666666666669</v>
      </c>
      <c r="C3" s="2">
        <v>0.875</v>
      </c>
      <c r="D3" s="6">
        <f t="shared" ref="D3:D27" si="0">+C3-B3</f>
        <v>0.58333333333333326</v>
      </c>
    </row>
    <row r="4" spans="1:4" x14ac:dyDescent="0.3">
      <c r="A4" s="1">
        <v>44391</v>
      </c>
      <c r="B4" s="2">
        <v>0.3125</v>
      </c>
      <c r="C4" s="2">
        <v>0.39583333333333331</v>
      </c>
      <c r="D4" s="6">
        <f t="shared" si="0"/>
        <v>8.3333333333333315E-2</v>
      </c>
    </row>
    <row r="5" spans="1:4" x14ac:dyDescent="0.3">
      <c r="A5" s="1">
        <v>44392</v>
      </c>
      <c r="B5" s="2">
        <v>0.75</v>
      </c>
      <c r="C5" s="2">
        <v>0.99998842592592585</v>
      </c>
      <c r="D5" s="6">
        <f t="shared" si="0"/>
        <v>0.24998842592592585</v>
      </c>
    </row>
    <row r="6" spans="1:4" x14ac:dyDescent="0.3">
      <c r="A6" s="1">
        <v>44393</v>
      </c>
      <c r="B6" s="2">
        <v>0</v>
      </c>
      <c r="C6" s="2">
        <v>0.75</v>
      </c>
      <c r="D6" s="6">
        <f t="shared" si="0"/>
        <v>0.75</v>
      </c>
    </row>
    <row r="7" spans="1:4" x14ac:dyDescent="0.3">
      <c r="A7" s="1">
        <v>44396</v>
      </c>
      <c r="B7" s="2">
        <v>0.83333333333333337</v>
      </c>
      <c r="C7" s="2">
        <v>0.99998842592592585</v>
      </c>
      <c r="D7" s="6">
        <f t="shared" si="0"/>
        <v>0.16665509259259248</v>
      </c>
    </row>
    <row r="8" spans="1:4" x14ac:dyDescent="0.3">
      <c r="A8" s="1">
        <v>44397</v>
      </c>
      <c r="B8" s="2">
        <v>0</v>
      </c>
      <c r="C8" s="2">
        <v>0.75</v>
      </c>
      <c r="D8" s="6">
        <f t="shared" si="0"/>
        <v>0.75</v>
      </c>
    </row>
    <row r="9" spans="1:4" x14ac:dyDescent="0.3">
      <c r="A9" s="1">
        <v>44398</v>
      </c>
      <c r="B9" s="2">
        <v>0.79166666666666663</v>
      </c>
      <c r="C9" s="2">
        <v>0.99998842592592585</v>
      </c>
      <c r="D9" s="6">
        <f t="shared" si="0"/>
        <v>0.20832175925925922</v>
      </c>
    </row>
    <row r="10" spans="1:4" x14ac:dyDescent="0.3">
      <c r="A10" s="1">
        <v>44399</v>
      </c>
      <c r="B10" s="2">
        <v>0</v>
      </c>
      <c r="C10" s="2">
        <v>0.99998842592592585</v>
      </c>
      <c r="D10" s="6">
        <f t="shared" si="0"/>
        <v>0.99998842592592585</v>
      </c>
    </row>
    <row r="11" spans="1:4" x14ac:dyDescent="0.3">
      <c r="A11" s="1">
        <v>44400</v>
      </c>
      <c r="B11" s="2">
        <v>0</v>
      </c>
      <c r="C11" s="2">
        <v>0.77083333333333337</v>
      </c>
      <c r="D11" s="6">
        <f t="shared" si="0"/>
        <v>0.77083333333333337</v>
      </c>
    </row>
    <row r="12" spans="1:4" x14ac:dyDescent="0.3">
      <c r="A12" s="1">
        <v>44401</v>
      </c>
      <c r="B12" s="2">
        <v>0.29166666666666669</v>
      </c>
      <c r="C12" s="2">
        <v>0.79166666666666663</v>
      </c>
      <c r="D12" s="6">
        <f t="shared" si="0"/>
        <v>0.49999999999999994</v>
      </c>
    </row>
    <row r="13" spans="1:4" x14ac:dyDescent="0.3">
      <c r="A13" s="1">
        <v>44402</v>
      </c>
      <c r="B13" s="2">
        <v>0.25</v>
      </c>
      <c r="C13" s="2">
        <v>0.79166666666666663</v>
      </c>
      <c r="D13" s="6">
        <f t="shared" si="0"/>
        <v>0.54166666666666663</v>
      </c>
    </row>
    <row r="14" spans="1:4" x14ac:dyDescent="0.3">
      <c r="A14" s="1">
        <v>44403</v>
      </c>
      <c r="B14" s="2">
        <v>0.25</v>
      </c>
      <c r="C14" s="2">
        <v>0.79166666666666663</v>
      </c>
      <c r="D14" s="6">
        <f t="shared" si="0"/>
        <v>0.54166666666666663</v>
      </c>
    </row>
    <row r="15" spans="1:4" x14ac:dyDescent="0.3">
      <c r="A15" s="1">
        <v>44405</v>
      </c>
      <c r="B15" s="2">
        <v>0.5</v>
      </c>
      <c r="C15" s="2">
        <v>0.79166666666666696</v>
      </c>
      <c r="D15" s="6">
        <f t="shared" si="0"/>
        <v>0.29166666666666696</v>
      </c>
    </row>
    <row r="16" spans="1:4" x14ac:dyDescent="0.3">
      <c r="A16" s="1">
        <v>44406</v>
      </c>
      <c r="B16" s="2">
        <v>0.25</v>
      </c>
      <c r="C16" s="2">
        <v>0.79166666666666696</v>
      </c>
      <c r="D16" s="6">
        <f t="shared" si="0"/>
        <v>0.54166666666666696</v>
      </c>
    </row>
    <row r="17" spans="1:4" x14ac:dyDescent="0.3">
      <c r="A17" s="1">
        <v>44407</v>
      </c>
      <c r="B17" s="2">
        <v>0.25</v>
      </c>
      <c r="C17" s="2">
        <v>0.79166666666666696</v>
      </c>
      <c r="D17" s="6">
        <f t="shared" si="0"/>
        <v>0.54166666666666696</v>
      </c>
    </row>
    <row r="18" spans="1:4" x14ac:dyDescent="0.3">
      <c r="A18" s="1">
        <v>44408</v>
      </c>
      <c r="B18" s="2">
        <v>0.25</v>
      </c>
      <c r="C18" s="2">
        <v>0.79166666666666696</v>
      </c>
      <c r="D18" s="6">
        <f t="shared" si="0"/>
        <v>0.54166666666666696</v>
      </c>
    </row>
    <row r="19" spans="1:4" x14ac:dyDescent="0.3">
      <c r="A19" s="1">
        <v>44409</v>
      </c>
      <c r="B19" s="2">
        <v>0.25</v>
      </c>
      <c r="C19" s="2">
        <v>0.79166666666666696</v>
      </c>
      <c r="D19" s="6">
        <f t="shared" si="0"/>
        <v>0.54166666666666696</v>
      </c>
    </row>
    <row r="20" spans="1:4" x14ac:dyDescent="0.3">
      <c r="A20" s="1">
        <v>44410</v>
      </c>
      <c r="B20" s="2">
        <v>0.25</v>
      </c>
      <c r="C20" s="2">
        <v>0.79166666666666696</v>
      </c>
      <c r="D20" s="6">
        <f t="shared" si="0"/>
        <v>0.54166666666666696</v>
      </c>
    </row>
    <row r="21" spans="1:4" x14ac:dyDescent="0.3">
      <c r="A21" s="1">
        <v>44411</v>
      </c>
      <c r="B21" s="2">
        <v>0.25</v>
      </c>
      <c r="C21" s="2">
        <v>0.66666666666666663</v>
      </c>
      <c r="D21" s="6">
        <f t="shared" si="0"/>
        <v>0.41666666666666663</v>
      </c>
    </row>
    <row r="22" spans="1:4" x14ac:dyDescent="0.3">
      <c r="A22" s="1">
        <v>44418</v>
      </c>
      <c r="B22" s="2">
        <v>0.64583333333333337</v>
      </c>
      <c r="C22" s="2">
        <v>0.99998842592592585</v>
      </c>
      <c r="D22" s="6">
        <f t="shared" si="0"/>
        <v>0.35415509259259248</v>
      </c>
    </row>
    <row r="23" spans="1:4" x14ac:dyDescent="0.3">
      <c r="A23" s="1">
        <v>44419</v>
      </c>
      <c r="B23" s="2">
        <v>0</v>
      </c>
      <c r="C23" s="2">
        <v>0.625</v>
      </c>
      <c r="D23" s="6">
        <f t="shared" si="0"/>
        <v>0.625</v>
      </c>
    </row>
    <row r="24" spans="1:4" x14ac:dyDescent="0.3">
      <c r="A24" s="1">
        <v>44424</v>
      </c>
      <c r="B24" s="2">
        <v>0.5</v>
      </c>
      <c r="C24" s="2">
        <v>0.54166666666666663</v>
      </c>
      <c r="D24" s="6">
        <f t="shared" si="0"/>
        <v>4.166666666666663E-2</v>
      </c>
    </row>
    <row r="25" spans="1:4" x14ac:dyDescent="0.3">
      <c r="A25" s="1">
        <v>44426</v>
      </c>
      <c r="B25" s="2">
        <v>0.75</v>
      </c>
      <c r="C25" s="2">
        <v>0.99998842592592585</v>
      </c>
      <c r="D25" s="6">
        <f t="shared" si="0"/>
        <v>0.24998842592592585</v>
      </c>
    </row>
    <row r="26" spans="1:4" x14ac:dyDescent="0.3">
      <c r="A26" s="1">
        <v>44427</v>
      </c>
      <c r="B26" s="2">
        <v>0.64583333333333337</v>
      </c>
      <c r="C26" s="2">
        <v>0.99998842592592585</v>
      </c>
      <c r="D26" s="6">
        <f t="shared" si="0"/>
        <v>0.35415509259259248</v>
      </c>
    </row>
    <row r="27" spans="1:4" x14ac:dyDescent="0.3">
      <c r="A27" s="1">
        <v>44428</v>
      </c>
      <c r="B27" s="2">
        <v>0</v>
      </c>
      <c r="C27" s="2">
        <v>0.99998842592592596</v>
      </c>
      <c r="D27" s="6">
        <f t="shared" si="0"/>
        <v>0.99998842592592596</v>
      </c>
    </row>
    <row r="28" spans="1:4" x14ac:dyDescent="0.3">
      <c r="D28" s="6">
        <f>SUM(D2:D27)</f>
        <v>12.520740740740742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Monitoring</vt:lpstr>
      <vt:lpstr>Taxonomy_UniqueValues</vt:lpstr>
      <vt:lpstr>ClassificationClasses</vt:lpstr>
      <vt:lpstr>Video_List</vt:lpstr>
      <vt:lpstr>OperationInfo</vt:lpstr>
      <vt:lpstr>Taxonomy_UniqueValues!Área_de_extracción</vt:lpstr>
      <vt:lpstr>Monitoring!Área_de_impresión</vt:lpstr>
      <vt:lpstr>Monitoring!Títulos_a_imprimir</vt:lpstr>
    </vt:vector>
  </TitlesOfParts>
  <Manager/>
  <Company>Th?nen Institut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Andres Chiavassa</dc:creator>
  <cp:keywords/>
  <dc:description/>
  <cp:lastModifiedBy>Juan Chiavassa</cp:lastModifiedBy>
  <cp:revision/>
  <dcterms:created xsi:type="dcterms:W3CDTF">2021-12-02T14:38:53Z</dcterms:created>
  <dcterms:modified xsi:type="dcterms:W3CDTF">2025-11-27T11:58:36Z</dcterms:modified>
  <cp:category/>
  <cp:contentStatus/>
</cp:coreProperties>
</file>