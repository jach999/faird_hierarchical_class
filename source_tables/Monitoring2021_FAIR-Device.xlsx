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juan\GitHubProjects\hierarchical_classificaton\source_tables\"/>
    </mc:Choice>
  </mc:AlternateContent>
  <xr:revisionPtr revIDLastSave="0" documentId="13_ncr:1_{910AB3BC-7D22-4255-8D14-99DB3B535847}" xr6:coauthVersionLast="47" xr6:coauthVersionMax="47" xr10:uidLastSave="{00000000-0000-0000-0000-000000000000}"/>
  <bookViews>
    <workbookView xWindow="-108" yWindow="-108" windowWidth="23256" windowHeight="12456" tabRatio="896" xr2:uid="{00000000-000D-0000-FFFF-FFFF00000000}"/>
  </bookViews>
  <sheets>
    <sheet name="Monitoring" sheetId="16" r:id="rId1"/>
    <sheet name="Taxonomy_UniqueValues" sheetId="102" r:id="rId2"/>
    <sheet name="ClassificationClasses" sheetId="103" r:id="rId3"/>
    <sheet name="Video_List" sheetId="101" r:id="rId4"/>
    <sheet name="OperationInfo" sheetId="55" r:id="rId5"/>
  </sheets>
  <externalReferences>
    <externalReference r:id="rId6"/>
  </externalReferences>
  <definedNames>
    <definedName name="_xlnm._FilterDatabase" localSheetId="0" hidden="1">Monitoring!$A$1:$T$432</definedName>
    <definedName name="_xlnm._FilterDatabase" localSheetId="1" hidden="1">Taxonomy_UniqueValues!$A$1:$L$196</definedName>
    <definedName name="_xlnm._FilterDatabase" localSheetId="3" hidden="1">Video_List!$A$1:$J$488</definedName>
    <definedName name="_xlnm.Extract" localSheetId="1">Taxonomy_UniqueValues!$A$1:$I$1</definedName>
    <definedName name="_xlnm.Print_Area" localSheetId="0">Monitoring!$A$1:$T$398</definedName>
    <definedName name="_xlnm.Print_Titles" localSheetId="0">Monitoring!$1:$1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03" l="1"/>
  <c r="J4" i="103"/>
  <c r="J5" i="103"/>
  <c r="J6" i="103"/>
  <c r="J7" i="103"/>
  <c r="J8" i="103"/>
  <c r="J9" i="103"/>
  <c r="J10" i="103"/>
  <c r="J11" i="103"/>
  <c r="J12" i="103"/>
  <c r="J13" i="103"/>
  <c r="J14" i="103"/>
  <c r="J15" i="103"/>
  <c r="J16" i="103"/>
  <c r="J17" i="103"/>
  <c r="J18" i="103"/>
  <c r="J19" i="103"/>
  <c r="J20" i="103"/>
  <c r="J21" i="103"/>
  <c r="J22" i="103"/>
  <c r="J23" i="103"/>
  <c r="J24" i="103"/>
  <c r="J25" i="103"/>
  <c r="J26" i="103"/>
  <c r="J27" i="103"/>
  <c r="J28" i="103"/>
  <c r="J29" i="103"/>
  <c r="J30" i="103"/>
  <c r="J31" i="103"/>
  <c r="J32" i="103"/>
  <c r="J33" i="103"/>
  <c r="J34" i="103"/>
  <c r="J35" i="103"/>
  <c r="J36" i="103"/>
  <c r="J37" i="103"/>
  <c r="J38" i="103"/>
  <c r="J39" i="103"/>
  <c r="J40" i="103"/>
  <c r="J41" i="103"/>
  <c r="J42" i="103"/>
  <c r="J43" i="103"/>
  <c r="J44" i="103"/>
  <c r="J45" i="103"/>
  <c r="J46" i="103"/>
  <c r="J47" i="103"/>
  <c r="J48" i="103"/>
  <c r="J49" i="103"/>
  <c r="J50" i="103"/>
  <c r="J51" i="103"/>
  <c r="J52" i="103"/>
  <c r="J53" i="103"/>
  <c r="J54" i="103"/>
  <c r="J55" i="103"/>
  <c r="J56" i="103"/>
  <c r="J57" i="103"/>
  <c r="J58" i="103"/>
  <c r="J59" i="103"/>
  <c r="J60" i="103"/>
  <c r="J61" i="103"/>
  <c r="J62" i="103"/>
  <c r="J63" i="103"/>
  <c r="J64" i="103"/>
  <c r="J65" i="103"/>
  <c r="J66" i="103"/>
  <c r="J67" i="103"/>
  <c r="J68" i="103"/>
  <c r="J69" i="103"/>
  <c r="J70" i="103"/>
  <c r="J2" i="103"/>
  <c r="R345" i="16"/>
  <c r="Q345" i="16" s="1"/>
  <c r="P345" i="16" s="1"/>
  <c r="Q338" i="16"/>
  <c r="P338" i="16" s="1"/>
  <c r="P348" i="16"/>
  <c r="P347" i="16"/>
  <c r="P339" i="16"/>
  <c r="P337" i="16"/>
  <c r="P335" i="16"/>
  <c r="P328" i="16"/>
  <c r="Q323" i="16"/>
  <c r="P323" i="16" s="1"/>
  <c r="Q317" i="16"/>
  <c r="P317" i="16" s="1"/>
  <c r="Q307" i="16"/>
  <c r="P307" i="16" s="1"/>
  <c r="Q306" i="16"/>
  <c r="P306" i="16" s="1"/>
  <c r="Q299" i="16"/>
  <c r="P299" i="16" s="1"/>
  <c r="Q284" i="16"/>
  <c r="P284" i="16" s="1"/>
  <c r="Q274" i="16"/>
  <c r="P274" i="16" s="1"/>
  <c r="P257" i="16"/>
  <c r="Q46" i="16"/>
  <c r="P46" i="16" s="1"/>
  <c r="R244" i="16"/>
  <c r="Q244" i="16" s="1"/>
  <c r="P244" i="16" s="1"/>
  <c r="R167" i="16"/>
  <c r="Q167" i="16" s="1"/>
  <c r="P167" i="16" s="1"/>
  <c r="R142" i="16"/>
  <c r="Q142" i="16" s="1"/>
  <c r="P142" i="16" s="1"/>
  <c r="R75" i="16"/>
  <c r="Q75" i="16" s="1"/>
  <c r="P75" i="16" s="1"/>
  <c r="J197" i="102" a="1"/>
  <c r="J197" i="102" s="1"/>
  <c r="J196" i="102" a="1"/>
  <c r="J196" i="102" s="1"/>
  <c r="J195" i="102" a="1"/>
  <c r="J195" i="102" s="1"/>
  <c r="J194" i="102" a="1"/>
  <c r="J194" i="102" s="1"/>
  <c r="J193" i="102" a="1"/>
  <c r="J193" i="102" s="1"/>
  <c r="J192" i="102" a="1"/>
  <c r="J192" i="102" s="1"/>
  <c r="J191" i="102" a="1"/>
  <c r="J191" i="102" s="1"/>
  <c r="J190" i="102" a="1"/>
  <c r="J190" i="102" s="1"/>
  <c r="J189" i="102" a="1"/>
  <c r="J189" i="102" s="1"/>
  <c r="J188" i="102" a="1"/>
  <c r="J188" i="102" s="1"/>
  <c r="J187" i="102" a="1"/>
  <c r="J187" i="102" s="1"/>
  <c r="J186" i="102" a="1"/>
  <c r="J186" i="102" s="1"/>
  <c r="J185" i="102" a="1"/>
  <c r="J185" i="102" s="1"/>
  <c r="J184" i="102" a="1"/>
  <c r="J184" i="102" s="1"/>
  <c r="J183" i="102" a="1"/>
  <c r="J183" i="102" s="1"/>
  <c r="J182" i="102" a="1"/>
  <c r="J182" i="102" s="1"/>
  <c r="J181" i="102" a="1"/>
  <c r="J181" i="102" s="1"/>
  <c r="J157" i="102" a="1"/>
  <c r="J157" i="102" s="1"/>
  <c r="J120" i="102" a="1"/>
  <c r="J120" i="102" s="1"/>
  <c r="J119" i="102" a="1"/>
  <c r="J119" i="102" s="1"/>
  <c r="J118" i="102" a="1"/>
  <c r="J118" i="102" s="1"/>
  <c r="J34" i="102" a="1"/>
  <c r="J34" i="102" s="1"/>
  <c r="J33" i="102" a="1"/>
  <c r="J33" i="102" s="1"/>
  <c r="K197" i="102"/>
  <c r="K196" i="102"/>
  <c r="K195" i="102"/>
  <c r="K194" i="102"/>
  <c r="K193" i="102"/>
  <c r="K192" i="102"/>
  <c r="K191" i="102"/>
  <c r="K190" i="102"/>
  <c r="K189" i="102"/>
  <c r="K188" i="102"/>
  <c r="K187" i="102"/>
  <c r="K186" i="102"/>
  <c r="K185" i="102"/>
  <c r="K184" i="102"/>
  <c r="K183" i="102"/>
  <c r="K182" i="102"/>
  <c r="K181" i="102"/>
  <c r="D180" i="102"/>
  <c r="K180" i="102" s="1"/>
  <c r="D179" i="102"/>
  <c r="J179" i="102" s="1" a="1"/>
  <c r="J179" i="102" s="1"/>
  <c r="D178" i="102"/>
  <c r="K178" i="102" s="1"/>
  <c r="D177" i="102"/>
  <c r="J177" i="102" s="1" a="1"/>
  <c r="J177" i="102" s="1"/>
  <c r="D176" i="102"/>
  <c r="J176" i="102" s="1" a="1"/>
  <c r="J176" i="102" s="1"/>
  <c r="D175" i="102"/>
  <c r="J175" i="102" s="1" a="1"/>
  <c r="J175" i="102" s="1"/>
  <c r="D174" i="102"/>
  <c r="J174" i="102" s="1" a="1"/>
  <c r="J174" i="102" s="1"/>
  <c r="D173" i="102"/>
  <c r="J173" i="102" s="1" a="1"/>
  <c r="J173" i="102" s="1"/>
  <c r="D172" i="102"/>
  <c r="J172" i="102" s="1" a="1"/>
  <c r="J172" i="102" s="1"/>
  <c r="D171" i="102"/>
  <c r="J171" i="102" s="1" a="1"/>
  <c r="J171" i="102" s="1"/>
  <c r="D170" i="102"/>
  <c r="K170" i="102" s="1"/>
  <c r="D169" i="102"/>
  <c r="J169" i="102" s="1" a="1"/>
  <c r="J169" i="102" s="1"/>
  <c r="D168" i="102"/>
  <c r="J168" i="102" s="1" a="1"/>
  <c r="J168" i="102" s="1"/>
  <c r="D167" i="102"/>
  <c r="J167" i="102" s="1" a="1"/>
  <c r="J167" i="102" s="1"/>
  <c r="D166" i="102"/>
  <c r="J166" i="102" s="1" a="1"/>
  <c r="J166" i="102" s="1"/>
  <c r="D165" i="102"/>
  <c r="J165" i="102" s="1" a="1"/>
  <c r="J165" i="102" s="1"/>
  <c r="D164" i="102"/>
  <c r="J164" i="102" s="1" a="1"/>
  <c r="J164" i="102" s="1"/>
  <c r="D163" i="102"/>
  <c r="J163" i="102" s="1" a="1"/>
  <c r="J163" i="102" s="1"/>
  <c r="D162" i="102"/>
  <c r="K162" i="102" s="1"/>
  <c r="D161" i="102"/>
  <c r="J161" i="102" s="1" a="1"/>
  <c r="J161" i="102" s="1"/>
  <c r="D160" i="102"/>
  <c r="J160" i="102" s="1" a="1"/>
  <c r="J160" i="102" s="1"/>
  <c r="D159" i="102"/>
  <c r="J159" i="102" s="1" a="1"/>
  <c r="J159" i="102" s="1"/>
  <c r="D158" i="102"/>
  <c r="J158" i="102" s="1" a="1"/>
  <c r="J158" i="102" s="1"/>
  <c r="K157" i="102"/>
  <c r="D156" i="102"/>
  <c r="K156" i="102" s="1"/>
  <c r="D155" i="102"/>
  <c r="J155" i="102" s="1" a="1"/>
  <c r="J155" i="102" s="1"/>
  <c r="D154" i="102"/>
  <c r="J154" i="102" s="1" a="1"/>
  <c r="J154" i="102" s="1"/>
  <c r="D153" i="102"/>
  <c r="K153" i="102" s="1"/>
  <c r="D152" i="102"/>
  <c r="K152" i="102" s="1"/>
  <c r="D151" i="102"/>
  <c r="J151" i="102" s="1" a="1"/>
  <c r="J151" i="102" s="1"/>
  <c r="D150" i="102"/>
  <c r="J150" i="102" s="1" a="1"/>
  <c r="J150" i="102" s="1"/>
  <c r="D149" i="102"/>
  <c r="K149" i="102" s="1"/>
  <c r="D148" i="102"/>
  <c r="K148" i="102" s="1"/>
  <c r="D147" i="102"/>
  <c r="J147" i="102" s="1" a="1"/>
  <c r="J147" i="102" s="1"/>
  <c r="D146" i="102"/>
  <c r="J146" i="102" s="1" a="1"/>
  <c r="J146" i="102" s="1"/>
  <c r="D145" i="102"/>
  <c r="K145" i="102" s="1"/>
  <c r="D144" i="102"/>
  <c r="K144" i="102" s="1"/>
  <c r="D143" i="102"/>
  <c r="D142" i="102"/>
  <c r="J142" i="102" s="1" a="1"/>
  <c r="J142" i="102" s="1"/>
  <c r="D141" i="102"/>
  <c r="K141" i="102" s="1"/>
  <c r="D140" i="102"/>
  <c r="K140" i="102" s="1"/>
  <c r="D139" i="102"/>
  <c r="J139" i="102" s="1" a="1"/>
  <c r="J139" i="102" s="1"/>
  <c r="D138" i="102"/>
  <c r="J138" i="102" s="1" a="1"/>
  <c r="J138" i="102" s="1"/>
  <c r="D137" i="102"/>
  <c r="K137" i="102" s="1"/>
  <c r="D136" i="102"/>
  <c r="K136" i="102" s="1"/>
  <c r="D135" i="102"/>
  <c r="J135" i="102" s="1" a="1"/>
  <c r="J135" i="102" s="1"/>
  <c r="D134" i="102"/>
  <c r="J134" i="102" s="1" a="1"/>
  <c r="J134" i="102" s="1"/>
  <c r="D133" i="102"/>
  <c r="K133" i="102" s="1"/>
  <c r="D132" i="102"/>
  <c r="K132" i="102" s="1"/>
  <c r="D131" i="102"/>
  <c r="J131" i="102" s="1" a="1"/>
  <c r="J131" i="102" s="1"/>
  <c r="D130" i="102"/>
  <c r="J130" i="102" s="1" a="1"/>
  <c r="J130" i="102" s="1"/>
  <c r="D129" i="102"/>
  <c r="K129" i="102" s="1"/>
  <c r="D128" i="102"/>
  <c r="K128" i="102" s="1"/>
  <c r="D127" i="102"/>
  <c r="J127" i="102" s="1" a="1"/>
  <c r="J127" i="102" s="1"/>
  <c r="D126" i="102"/>
  <c r="J126" i="102" s="1" a="1"/>
  <c r="J126" i="102" s="1"/>
  <c r="D125" i="102"/>
  <c r="K125" i="102" s="1"/>
  <c r="D124" i="102"/>
  <c r="K124" i="102" s="1"/>
  <c r="D123" i="102"/>
  <c r="J123" i="102" s="1" a="1"/>
  <c r="J123" i="102" s="1"/>
  <c r="D122" i="102"/>
  <c r="J122" i="102" s="1" a="1"/>
  <c r="J122" i="102" s="1"/>
  <c r="D121" i="102"/>
  <c r="K121" i="102" s="1"/>
  <c r="K120" i="102"/>
  <c r="K119" i="102"/>
  <c r="K118" i="102"/>
  <c r="D117" i="102"/>
  <c r="K117" i="102" s="1"/>
  <c r="D116" i="102"/>
  <c r="K116" i="102" s="1"/>
  <c r="D115" i="102"/>
  <c r="J115" i="102" s="1" a="1"/>
  <c r="J115" i="102" s="1"/>
  <c r="D114" i="102"/>
  <c r="K114" i="102" s="1"/>
  <c r="D113" i="102"/>
  <c r="K113" i="102" s="1"/>
  <c r="D112" i="102"/>
  <c r="J112" i="102" s="1" a="1"/>
  <c r="J112" i="102" s="1"/>
  <c r="D111" i="102"/>
  <c r="J111" i="102" s="1" a="1"/>
  <c r="J111" i="102" s="1"/>
  <c r="D110" i="102"/>
  <c r="K110" i="102" s="1"/>
  <c r="D109" i="102"/>
  <c r="K109" i="102" s="1"/>
  <c r="D108" i="102"/>
  <c r="K108" i="102" s="1"/>
  <c r="D107" i="102"/>
  <c r="J107" i="102" s="1" a="1"/>
  <c r="J107" i="102" s="1"/>
  <c r="D106" i="102"/>
  <c r="J106" i="102" s="1" a="1"/>
  <c r="J106" i="102" s="1"/>
  <c r="D105" i="102"/>
  <c r="K105" i="102" s="1"/>
  <c r="D104" i="102"/>
  <c r="K104" i="102" s="1"/>
  <c r="D103" i="102"/>
  <c r="J103" i="102" s="1" a="1"/>
  <c r="J103" i="102" s="1"/>
  <c r="D102" i="102"/>
  <c r="J102" i="102" s="1" a="1"/>
  <c r="J102" i="102" s="1"/>
  <c r="D101" i="102"/>
  <c r="K101" i="102" s="1"/>
  <c r="D100" i="102"/>
  <c r="K100" i="102" s="1"/>
  <c r="D99" i="102"/>
  <c r="J99" i="102" s="1" a="1"/>
  <c r="J99" i="102" s="1"/>
  <c r="D98" i="102"/>
  <c r="J98" i="102" s="1" a="1"/>
  <c r="J98" i="102" s="1"/>
  <c r="D97" i="102"/>
  <c r="K97" i="102" s="1"/>
  <c r="D96" i="102"/>
  <c r="K96" i="102" s="1"/>
  <c r="D95" i="102"/>
  <c r="J95" i="102" s="1" a="1"/>
  <c r="J95" i="102" s="1"/>
  <c r="D94" i="102"/>
  <c r="J94" i="102" s="1" a="1"/>
  <c r="J94" i="102" s="1"/>
  <c r="D93" i="102"/>
  <c r="K93" i="102" s="1"/>
  <c r="D92" i="102"/>
  <c r="K92" i="102" s="1"/>
  <c r="D91" i="102"/>
  <c r="J91" i="102" s="1" a="1"/>
  <c r="J91" i="102" s="1"/>
  <c r="D90" i="102"/>
  <c r="J90" i="102" s="1" a="1"/>
  <c r="J90" i="102" s="1"/>
  <c r="D89" i="102"/>
  <c r="K89" i="102" s="1"/>
  <c r="D88" i="102"/>
  <c r="K88" i="102" s="1"/>
  <c r="D87" i="102"/>
  <c r="J87" i="102" s="1" a="1"/>
  <c r="J87" i="102" s="1"/>
  <c r="D86" i="102"/>
  <c r="J86" i="102" s="1" a="1"/>
  <c r="J86" i="102" s="1"/>
  <c r="D85" i="102"/>
  <c r="K85" i="102" s="1"/>
  <c r="D84" i="102"/>
  <c r="K84" i="102" s="1"/>
  <c r="D83" i="102"/>
  <c r="J83" i="102" s="1" a="1"/>
  <c r="J83" i="102" s="1"/>
  <c r="D82" i="102"/>
  <c r="J82" i="102" s="1" a="1"/>
  <c r="J82" i="102" s="1"/>
  <c r="D81" i="102"/>
  <c r="K81" i="102" s="1"/>
  <c r="D80" i="102"/>
  <c r="K80" i="102" s="1"/>
  <c r="D79" i="102"/>
  <c r="J79" i="102" s="1" a="1"/>
  <c r="J79" i="102" s="1"/>
  <c r="D78" i="102"/>
  <c r="J78" i="102" s="1" a="1"/>
  <c r="J78" i="102" s="1"/>
  <c r="D77" i="102"/>
  <c r="K77" i="102" s="1"/>
  <c r="D76" i="102"/>
  <c r="K76" i="102" s="1"/>
  <c r="D75" i="102"/>
  <c r="J75" i="102" s="1" a="1"/>
  <c r="J75" i="102" s="1"/>
  <c r="D74" i="102"/>
  <c r="J74" i="102" s="1" a="1"/>
  <c r="J74" i="102" s="1"/>
  <c r="D73" i="102"/>
  <c r="J73" i="102" s="1" a="1"/>
  <c r="J73" i="102" s="1"/>
  <c r="D72" i="102"/>
  <c r="J72" i="102" s="1" a="1"/>
  <c r="J72" i="102" s="1"/>
  <c r="D71" i="102"/>
  <c r="J71" i="102" s="1" a="1"/>
  <c r="J71" i="102" s="1"/>
  <c r="D70" i="102"/>
  <c r="K70" i="102" s="1"/>
  <c r="D69" i="102"/>
  <c r="K69" i="102" s="1"/>
  <c r="D68" i="102"/>
  <c r="J68" i="102" s="1" a="1"/>
  <c r="J68" i="102" s="1"/>
  <c r="D67" i="102"/>
  <c r="J67" i="102" s="1" a="1"/>
  <c r="J67" i="102" s="1"/>
  <c r="D66" i="102"/>
  <c r="K66" i="102" s="1"/>
  <c r="D65" i="102"/>
  <c r="J65" i="102" s="1" a="1"/>
  <c r="J65" i="102" s="1"/>
  <c r="D64" i="102"/>
  <c r="J64" i="102" s="1" a="1"/>
  <c r="J64" i="102" s="1"/>
  <c r="D63" i="102"/>
  <c r="J63" i="102" s="1" a="1"/>
  <c r="J63" i="102" s="1"/>
  <c r="D62" i="102"/>
  <c r="K62" i="102" s="1"/>
  <c r="D61" i="102"/>
  <c r="J61" i="102" s="1" a="1"/>
  <c r="J61" i="102" s="1"/>
  <c r="D60" i="102"/>
  <c r="J60" i="102" s="1" a="1"/>
  <c r="J60" i="102" s="1"/>
  <c r="D59" i="102"/>
  <c r="J59" i="102" s="1" a="1"/>
  <c r="J59" i="102" s="1"/>
  <c r="D58" i="102"/>
  <c r="K58" i="102" s="1"/>
  <c r="D57" i="102"/>
  <c r="J57" i="102" s="1" a="1"/>
  <c r="J57" i="102" s="1"/>
  <c r="D56" i="102"/>
  <c r="K56" i="102" s="1"/>
  <c r="D55" i="102"/>
  <c r="J55" i="102" s="1" a="1"/>
  <c r="J55" i="102" s="1"/>
  <c r="D54" i="102"/>
  <c r="K54" i="102" s="1"/>
  <c r="D53" i="102"/>
  <c r="J53" i="102" s="1" a="1"/>
  <c r="J53" i="102" s="1"/>
  <c r="D52" i="102"/>
  <c r="J52" i="102" s="1" a="1"/>
  <c r="J52" i="102" s="1"/>
  <c r="D51" i="102"/>
  <c r="J51" i="102" s="1" a="1"/>
  <c r="J51" i="102" s="1"/>
  <c r="D50" i="102"/>
  <c r="K50" i="102" s="1"/>
  <c r="D49" i="102"/>
  <c r="J49" i="102" s="1" a="1"/>
  <c r="J49" i="102" s="1"/>
  <c r="D48" i="102"/>
  <c r="J48" i="102" s="1" a="1"/>
  <c r="J48" i="102" s="1"/>
  <c r="D47" i="102"/>
  <c r="J47" i="102" s="1" a="1"/>
  <c r="J47" i="102" s="1"/>
  <c r="D46" i="102"/>
  <c r="K46" i="102" s="1"/>
  <c r="D45" i="102"/>
  <c r="J45" i="102" s="1" a="1"/>
  <c r="J45" i="102" s="1"/>
  <c r="D44" i="102"/>
  <c r="J44" i="102" s="1" a="1"/>
  <c r="J44" i="102" s="1"/>
  <c r="D43" i="102"/>
  <c r="K43" i="102" s="1"/>
  <c r="D42" i="102"/>
  <c r="K42" i="102" s="1"/>
  <c r="D41" i="102"/>
  <c r="J41" i="102" s="1" a="1"/>
  <c r="J41" i="102" s="1"/>
  <c r="D40" i="102"/>
  <c r="J40" i="102" s="1" a="1"/>
  <c r="J40" i="102" s="1"/>
  <c r="D39" i="102"/>
  <c r="K39" i="102" s="1"/>
  <c r="D38" i="102"/>
  <c r="K38" i="102" s="1"/>
  <c r="D37" i="102"/>
  <c r="K37" i="102" s="1"/>
  <c r="D36" i="102"/>
  <c r="J36" i="102" s="1" a="1"/>
  <c r="J36" i="102" s="1"/>
  <c r="D35" i="102"/>
  <c r="J35" i="102" s="1" a="1"/>
  <c r="J35" i="102" s="1"/>
  <c r="K34" i="102"/>
  <c r="K33" i="102"/>
  <c r="D32" i="102"/>
  <c r="K32" i="102" s="1"/>
  <c r="D31" i="102"/>
  <c r="J31" i="102" s="1" a="1"/>
  <c r="J31" i="102" s="1"/>
  <c r="D30" i="102"/>
  <c r="J30" i="102" s="1" a="1"/>
  <c r="J30" i="102" s="1"/>
  <c r="D29" i="102"/>
  <c r="K29" i="102" s="1"/>
  <c r="D28" i="102"/>
  <c r="K28" i="102" s="1"/>
  <c r="D27" i="102"/>
  <c r="J27" i="102" s="1" a="1"/>
  <c r="J27" i="102" s="1"/>
  <c r="D26" i="102"/>
  <c r="J26" i="102" s="1" a="1"/>
  <c r="J26" i="102" s="1"/>
  <c r="D25" i="102"/>
  <c r="K25" i="102" s="1"/>
  <c r="D24" i="102"/>
  <c r="K24" i="102" s="1"/>
  <c r="D23" i="102"/>
  <c r="J23" i="102" s="1" a="1"/>
  <c r="J23" i="102" s="1"/>
  <c r="D22" i="102"/>
  <c r="J22" i="102" s="1" a="1"/>
  <c r="J22" i="102" s="1"/>
  <c r="D21" i="102"/>
  <c r="J21" i="102" s="1" a="1"/>
  <c r="J21" i="102" s="1"/>
  <c r="D20" i="102"/>
  <c r="K20" i="102" s="1"/>
  <c r="D19" i="102"/>
  <c r="J19" i="102" s="1" a="1"/>
  <c r="J19" i="102" s="1"/>
  <c r="D18" i="102"/>
  <c r="J18" i="102" s="1" a="1"/>
  <c r="J18" i="102" s="1"/>
  <c r="D17" i="102"/>
  <c r="K17" i="102" s="1"/>
  <c r="D16" i="102"/>
  <c r="K16" i="102" s="1"/>
  <c r="D15" i="102"/>
  <c r="J15" i="102" s="1" a="1"/>
  <c r="J15" i="102" s="1"/>
  <c r="D14" i="102"/>
  <c r="J14" i="102" s="1" a="1"/>
  <c r="J14" i="102" s="1"/>
  <c r="D13" i="102"/>
  <c r="K13" i="102" s="1"/>
  <c r="D12" i="102"/>
  <c r="K12" i="102" s="1"/>
  <c r="D11" i="102"/>
  <c r="J11" i="102" s="1" a="1"/>
  <c r="J11" i="102" s="1"/>
  <c r="D10" i="102"/>
  <c r="J10" i="102" s="1" a="1"/>
  <c r="J10" i="102" s="1"/>
  <c r="D9" i="102"/>
  <c r="J9" i="102" s="1" a="1"/>
  <c r="J9" i="102" s="1"/>
  <c r="D8" i="102"/>
  <c r="K8" i="102" s="1"/>
  <c r="D7" i="102"/>
  <c r="J7" i="102" s="1" a="1"/>
  <c r="J7" i="102" s="1"/>
  <c r="D6" i="102"/>
  <c r="J6" i="102" s="1" a="1"/>
  <c r="J6" i="102" s="1"/>
  <c r="D5" i="102"/>
  <c r="K5" i="102" s="1"/>
  <c r="D4" i="102"/>
  <c r="K4" i="102" s="1"/>
  <c r="D3" i="102"/>
  <c r="J3" i="102" s="1" a="1"/>
  <c r="J3" i="102" s="1"/>
  <c r="D2" i="102"/>
  <c r="J2" i="102" s="1" a="1"/>
  <c r="J2" i="102" s="1"/>
  <c r="F489" i="101"/>
  <c r="I489" i="101"/>
  <c r="A489" i="101"/>
  <c r="C489" i="101" s="1"/>
  <c r="B489" i="101"/>
  <c r="F488" i="101"/>
  <c r="I488" i="101" s="1"/>
  <c r="F3" i="101"/>
  <c r="F4" i="101"/>
  <c r="A4" i="101" s="1"/>
  <c r="F5" i="101"/>
  <c r="B5" i="101" s="1"/>
  <c r="F6" i="101"/>
  <c r="I6" i="101" s="1"/>
  <c r="F7" i="101"/>
  <c r="F8" i="101"/>
  <c r="F9" i="101"/>
  <c r="F10" i="101"/>
  <c r="I10" i="101" s="1"/>
  <c r="F11" i="101"/>
  <c r="F12" i="101"/>
  <c r="A12" i="101" s="1"/>
  <c r="F13" i="101"/>
  <c r="F14" i="101"/>
  <c r="I14" i="101" s="1"/>
  <c r="F15" i="101"/>
  <c r="F16" i="101"/>
  <c r="A16" i="101" s="1"/>
  <c r="F17" i="101"/>
  <c r="F18" i="101"/>
  <c r="I18" i="101" s="1"/>
  <c r="F19" i="101"/>
  <c r="F20" i="101"/>
  <c r="A20" i="101" s="1"/>
  <c r="F21" i="101"/>
  <c r="B21" i="101" s="1"/>
  <c r="F22" i="101"/>
  <c r="I22" i="101" s="1"/>
  <c r="F23" i="101"/>
  <c r="F24" i="101"/>
  <c r="F25" i="101"/>
  <c r="F26" i="101"/>
  <c r="F27" i="101"/>
  <c r="F28" i="101"/>
  <c r="A28" i="101" s="1"/>
  <c r="F29" i="101"/>
  <c r="B29" i="101" s="1"/>
  <c r="F30" i="101"/>
  <c r="I30" i="101" s="1"/>
  <c r="F31" i="101"/>
  <c r="F32" i="101"/>
  <c r="A32" i="101" s="1"/>
  <c r="F33" i="101"/>
  <c r="F34" i="101"/>
  <c r="I34" i="101" s="1"/>
  <c r="F35" i="101"/>
  <c r="F36" i="101"/>
  <c r="A36" i="101" s="1"/>
  <c r="F37" i="101"/>
  <c r="B37" i="101" s="1"/>
  <c r="F38" i="101"/>
  <c r="I38" i="101" s="1"/>
  <c r="F39" i="101"/>
  <c r="F40" i="101"/>
  <c r="F41" i="101"/>
  <c r="F42" i="101"/>
  <c r="I42" i="101" s="1"/>
  <c r="F43" i="101"/>
  <c r="F44" i="101"/>
  <c r="A44" i="101" s="1"/>
  <c r="F45" i="101"/>
  <c r="B45" i="101" s="1"/>
  <c r="F46" i="101"/>
  <c r="I46" i="101" s="1"/>
  <c r="F47" i="101"/>
  <c r="F48" i="101"/>
  <c r="A48" i="101" s="1"/>
  <c r="F49" i="101"/>
  <c r="F50" i="101"/>
  <c r="I50" i="101" s="1"/>
  <c r="F51" i="101"/>
  <c r="F52" i="101"/>
  <c r="A52" i="101" s="1"/>
  <c r="F53" i="101"/>
  <c r="B53" i="101" s="1"/>
  <c r="F54" i="101"/>
  <c r="I54" i="101" s="1"/>
  <c r="F55" i="101"/>
  <c r="F56" i="101"/>
  <c r="F57" i="101"/>
  <c r="F58" i="101"/>
  <c r="I58" i="101" s="1"/>
  <c r="F59" i="101"/>
  <c r="F60" i="101"/>
  <c r="A60" i="101" s="1"/>
  <c r="F61" i="101"/>
  <c r="F62" i="101"/>
  <c r="I62" i="101" s="1"/>
  <c r="F63" i="101"/>
  <c r="F64" i="101"/>
  <c r="A64" i="101" s="1"/>
  <c r="F65" i="101"/>
  <c r="F66" i="101"/>
  <c r="I66" i="101" s="1"/>
  <c r="F67" i="101"/>
  <c r="F68" i="101"/>
  <c r="A68" i="101" s="1"/>
  <c r="F69" i="101"/>
  <c r="F70" i="101"/>
  <c r="I70" i="101" s="1"/>
  <c r="F71" i="101"/>
  <c r="F72" i="101"/>
  <c r="F73" i="101"/>
  <c r="B73" i="101" s="1"/>
  <c r="F74" i="101"/>
  <c r="I74" i="101" s="1"/>
  <c r="F75" i="101"/>
  <c r="F76" i="101"/>
  <c r="B77" i="101"/>
  <c r="F77" i="101"/>
  <c r="F78" i="101"/>
  <c r="I78" i="101" s="1"/>
  <c r="F79" i="101"/>
  <c r="F80" i="101"/>
  <c r="A80" i="101" s="1"/>
  <c r="F81" i="101"/>
  <c r="F82" i="101"/>
  <c r="A82" i="101" s="1"/>
  <c r="F83" i="101"/>
  <c r="F84" i="101"/>
  <c r="F85" i="101"/>
  <c r="B85" i="101" s="1"/>
  <c r="F86" i="101"/>
  <c r="I86" i="101" s="1"/>
  <c r="F87" i="101"/>
  <c r="I87" i="101" s="1"/>
  <c r="F88" i="101"/>
  <c r="F89" i="101"/>
  <c r="F90" i="101"/>
  <c r="B90" i="101" s="1"/>
  <c r="F91" i="101"/>
  <c r="B92" i="101"/>
  <c r="F92" i="101"/>
  <c r="A92" i="101" s="1"/>
  <c r="F93" i="101"/>
  <c r="F94" i="101"/>
  <c r="B94" i="101" s="1"/>
  <c r="F95" i="101"/>
  <c r="F96" i="101"/>
  <c r="F97" i="101"/>
  <c r="F98" i="101"/>
  <c r="B98" i="101" s="1"/>
  <c r="F99" i="101"/>
  <c r="F100" i="101"/>
  <c r="A100" i="101" s="1"/>
  <c r="F101" i="101"/>
  <c r="B102" i="101"/>
  <c r="F102" i="101"/>
  <c r="A102" i="101" s="1"/>
  <c r="F103" i="101"/>
  <c r="I103" i="101" s="1"/>
  <c r="F104" i="101"/>
  <c r="F105" i="101"/>
  <c r="F106" i="101"/>
  <c r="B106" i="101" s="1"/>
  <c r="F107" i="101"/>
  <c r="B108" i="101"/>
  <c r="F108" i="101"/>
  <c r="A108" i="101" s="1"/>
  <c r="F109" i="101"/>
  <c r="F110" i="101"/>
  <c r="B110" i="101" s="1"/>
  <c r="F111" i="101"/>
  <c r="F112" i="101"/>
  <c r="A112" i="101" s="1"/>
  <c r="F113" i="101"/>
  <c r="F114" i="101"/>
  <c r="F115" i="101"/>
  <c r="F116" i="101"/>
  <c r="F117" i="101"/>
  <c r="F118" i="101"/>
  <c r="B118" i="101" s="1"/>
  <c r="F119" i="101"/>
  <c r="I119" i="101" s="1"/>
  <c r="B120" i="101"/>
  <c r="F120" i="101"/>
  <c r="A120" i="101" s="1"/>
  <c r="F121" i="101"/>
  <c r="B122" i="101"/>
  <c r="F122" i="101"/>
  <c r="F123" i="101"/>
  <c r="F124" i="101"/>
  <c r="A124" i="101" s="1"/>
  <c r="D124" i="101" s="1"/>
  <c r="J124" i="101" s="1"/>
  <c r="F125" i="101"/>
  <c r="A125" i="101" s="1"/>
  <c r="D125" i="101" s="1"/>
  <c r="J125" i="101" s="1"/>
  <c r="F126" i="101"/>
  <c r="B126" i="101" s="1"/>
  <c r="F127" i="101"/>
  <c r="B127" i="101" s="1"/>
  <c r="F128" i="101"/>
  <c r="A128" i="101" s="1"/>
  <c r="D128" i="101" s="1"/>
  <c r="J128" i="101" s="1"/>
  <c r="A129" i="101"/>
  <c r="D129" i="101" s="1"/>
  <c r="J129" i="101" s="1"/>
  <c r="F129" i="101"/>
  <c r="F130" i="101"/>
  <c r="B130" i="101" s="1"/>
  <c r="F131" i="101"/>
  <c r="B131" i="101" s="1"/>
  <c r="A132" i="101"/>
  <c r="D132" i="101" s="1"/>
  <c r="J132" i="101" s="1"/>
  <c r="F132" i="101"/>
  <c r="F133" i="101"/>
  <c r="A133" i="101" s="1"/>
  <c r="D133" i="101" s="1"/>
  <c r="J133" i="101" s="1"/>
  <c r="F134" i="101"/>
  <c r="B134" i="101" s="1"/>
  <c r="F135" i="101"/>
  <c r="B135" i="101" s="1"/>
  <c r="F136" i="101"/>
  <c r="A136" i="101" s="1"/>
  <c r="D136" i="101" s="1"/>
  <c r="J136" i="101" s="1"/>
  <c r="F137" i="101"/>
  <c r="A137" i="101" s="1"/>
  <c r="D137" i="101" s="1"/>
  <c r="J137" i="101" s="1"/>
  <c r="F138" i="101"/>
  <c r="B138" i="101" s="1"/>
  <c r="F139" i="101"/>
  <c r="B139" i="101" s="1"/>
  <c r="F140" i="101"/>
  <c r="A140" i="101" s="1"/>
  <c r="D140" i="101" s="1"/>
  <c r="J140" i="101" s="1"/>
  <c r="F141" i="101"/>
  <c r="A141" i="101" s="1"/>
  <c r="D141" i="101" s="1"/>
  <c r="J141" i="101" s="1"/>
  <c r="F142" i="101"/>
  <c r="B142" i="101" s="1"/>
  <c r="F143" i="101"/>
  <c r="B143" i="101" s="1"/>
  <c r="F144" i="101"/>
  <c r="A144" i="101" s="1"/>
  <c r="D144" i="101" s="1"/>
  <c r="J144" i="101" s="1"/>
  <c r="A145" i="101"/>
  <c r="D145" i="101" s="1"/>
  <c r="J145" i="101" s="1"/>
  <c r="F145" i="101"/>
  <c r="F146" i="101"/>
  <c r="B146" i="101" s="1"/>
  <c r="F147" i="101"/>
  <c r="B147" i="101" s="1"/>
  <c r="A148" i="101"/>
  <c r="D148" i="101" s="1"/>
  <c r="J148" i="101" s="1"/>
  <c r="F148" i="101"/>
  <c r="A149" i="101"/>
  <c r="D149" i="101"/>
  <c r="J149" i="101" s="1"/>
  <c r="F149" i="101"/>
  <c r="F150" i="101"/>
  <c r="B150" i="101" s="1"/>
  <c r="F151" i="101"/>
  <c r="B151" i="101" s="1"/>
  <c r="A152" i="101"/>
  <c r="D152" i="101" s="1"/>
  <c r="J152" i="101" s="1"/>
  <c r="F152" i="101"/>
  <c r="F153" i="101"/>
  <c r="A153" i="101" s="1"/>
  <c r="D153" i="101" s="1"/>
  <c r="J153" i="101" s="1"/>
  <c r="F154" i="101"/>
  <c r="B154" i="101" s="1"/>
  <c r="F155" i="101"/>
  <c r="B155" i="101" s="1"/>
  <c r="F156" i="101"/>
  <c r="A156" i="101" s="1"/>
  <c r="D156" i="101" s="1"/>
  <c r="J156" i="101" s="1"/>
  <c r="F157" i="101"/>
  <c r="A157" i="101" s="1"/>
  <c r="D157" i="101" s="1"/>
  <c r="J157" i="101" s="1"/>
  <c r="F158" i="101"/>
  <c r="B158" i="101" s="1"/>
  <c r="B159" i="101"/>
  <c r="F159" i="101"/>
  <c r="I159" i="101" s="1"/>
  <c r="F160" i="101"/>
  <c r="F161" i="101"/>
  <c r="A161" i="101" s="1"/>
  <c r="F162" i="101"/>
  <c r="B162" i="101" s="1"/>
  <c r="F163" i="101"/>
  <c r="F164" i="101"/>
  <c r="I164" i="101" s="1"/>
  <c r="F165" i="101"/>
  <c r="A165" i="101" s="1"/>
  <c r="F166" i="101"/>
  <c r="F167" i="101"/>
  <c r="I167" i="101" s="1"/>
  <c r="A168" i="101"/>
  <c r="B168" i="101"/>
  <c r="F168" i="101"/>
  <c r="I168" i="101" s="1"/>
  <c r="F169" i="101"/>
  <c r="A169" i="101" s="1"/>
  <c r="F170" i="101"/>
  <c r="B170" i="101" s="1"/>
  <c r="F171" i="101"/>
  <c r="F172" i="101"/>
  <c r="I172" i="101" s="1"/>
  <c r="F173" i="101"/>
  <c r="A173" i="101" s="1"/>
  <c r="B174" i="101"/>
  <c r="F174" i="101"/>
  <c r="F175" i="101"/>
  <c r="B176" i="101"/>
  <c r="F176" i="101"/>
  <c r="I176" i="101" s="1"/>
  <c r="F177" i="101"/>
  <c r="A177" i="101" s="1"/>
  <c r="F178" i="101"/>
  <c r="B178" i="101" s="1"/>
  <c r="F179" i="101"/>
  <c r="F180" i="101"/>
  <c r="I180" i="101" s="1"/>
  <c r="F181" i="101"/>
  <c r="B182" i="101"/>
  <c r="F182" i="101"/>
  <c r="F183" i="101"/>
  <c r="F184" i="101"/>
  <c r="F185" i="101"/>
  <c r="F186" i="101"/>
  <c r="B186" i="101" s="1"/>
  <c r="F187" i="101"/>
  <c r="F188" i="101"/>
  <c r="F189" i="101"/>
  <c r="A189" i="101" s="1"/>
  <c r="D189" i="101" s="1"/>
  <c r="J189" i="101" s="1"/>
  <c r="F190" i="101"/>
  <c r="F191" i="101"/>
  <c r="F192" i="101"/>
  <c r="A193" i="101"/>
  <c r="D193" i="101" s="1"/>
  <c r="J193" i="101" s="1"/>
  <c r="F193" i="101"/>
  <c r="F194" i="101"/>
  <c r="F195" i="101"/>
  <c r="A196" i="101"/>
  <c r="F196" i="101"/>
  <c r="I196" i="101" s="1"/>
  <c r="F197" i="101"/>
  <c r="F198" i="101"/>
  <c r="F199" i="101"/>
  <c r="F200" i="101"/>
  <c r="I200" i="101" s="1"/>
  <c r="F201" i="101"/>
  <c r="A201" i="101" s="1"/>
  <c r="D201" i="101" s="1"/>
  <c r="J201" i="101" s="1"/>
  <c r="F202" i="101"/>
  <c r="F203" i="101"/>
  <c r="F204" i="101"/>
  <c r="I204" i="101" s="1"/>
  <c r="F205" i="101"/>
  <c r="F206" i="101"/>
  <c r="B206" i="101" s="1"/>
  <c r="A207" i="101"/>
  <c r="B207" i="101"/>
  <c r="F207" i="101"/>
  <c r="I207" i="101" s="1"/>
  <c r="F208" i="101"/>
  <c r="B208" i="101" s="1"/>
  <c r="F209" i="101"/>
  <c r="B210" i="101"/>
  <c r="F210" i="101"/>
  <c r="F211" i="101"/>
  <c r="I211" i="101" s="1"/>
  <c r="F212" i="101"/>
  <c r="B212" i="101" s="1"/>
  <c r="F213" i="101"/>
  <c r="F214" i="101"/>
  <c r="I214" i="101" s="1"/>
  <c r="B215" i="101"/>
  <c r="F215" i="101"/>
  <c r="F216" i="101"/>
  <c r="F217" i="101"/>
  <c r="B217" i="101" s="1"/>
  <c r="B218" i="101"/>
  <c r="F218" i="101"/>
  <c r="F219" i="101"/>
  <c r="F220" i="101"/>
  <c r="A220" i="101" s="1"/>
  <c r="D220" i="101" s="1"/>
  <c r="J220" i="101" s="1"/>
  <c r="F221" i="101"/>
  <c r="F222" i="101"/>
  <c r="F223" i="101"/>
  <c r="I223" i="101" s="1"/>
  <c r="F224" i="101"/>
  <c r="A224" i="101" s="1"/>
  <c r="D224" i="101" s="1"/>
  <c r="J224" i="101" s="1"/>
  <c r="F225" i="101"/>
  <c r="F226" i="101"/>
  <c r="F227" i="101"/>
  <c r="I227" i="101" s="1"/>
  <c r="F228" i="101"/>
  <c r="A228" i="101" s="1"/>
  <c r="D228" i="101" s="1"/>
  <c r="J228" i="101" s="1"/>
  <c r="F229" i="101"/>
  <c r="F230" i="101"/>
  <c r="F231" i="101"/>
  <c r="A231" i="101" s="1"/>
  <c r="F232" i="101"/>
  <c r="F233" i="101"/>
  <c r="F234" i="101"/>
  <c r="F235" i="101"/>
  <c r="I235" i="101" s="1"/>
  <c r="F236" i="101"/>
  <c r="A236" i="101" s="1"/>
  <c r="D236" i="101" s="1"/>
  <c r="J236" i="101" s="1"/>
  <c r="F237" i="101"/>
  <c r="F238" i="101"/>
  <c r="I238" i="101" s="1"/>
  <c r="F239" i="101"/>
  <c r="I239" i="101" s="1"/>
  <c r="F240" i="101"/>
  <c r="F241" i="101"/>
  <c r="B241" i="101" s="1"/>
  <c r="F242" i="101"/>
  <c r="I242" i="101" s="1"/>
  <c r="F243" i="101"/>
  <c r="I243" i="101" s="1"/>
  <c r="F244" i="101"/>
  <c r="F245" i="101"/>
  <c r="B245" i="101" s="1"/>
  <c r="A246" i="101"/>
  <c r="F246" i="101"/>
  <c r="I246" i="101" s="1"/>
  <c r="F247" i="101"/>
  <c r="I247" i="101" s="1"/>
  <c r="F248" i="101"/>
  <c r="F249" i="101"/>
  <c r="B249" i="101" s="1"/>
  <c r="F250" i="101"/>
  <c r="I250" i="101" s="1"/>
  <c r="B251" i="101"/>
  <c r="F251" i="101"/>
  <c r="F252" i="101"/>
  <c r="A252" i="101" s="1"/>
  <c r="D252" i="101" s="1"/>
  <c r="J252" i="101" s="1"/>
  <c r="F253" i="101"/>
  <c r="B253" i="101" s="1"/>
  <c r="F254" i="101"/>
  <c r="B254" i="101" s="1"/>
  <c r="F255" i="101"/>
  <c r="F256" i="101"/>
  <c r="F257" i="101"/>
  <c r="B257" i="101" s="1"/>
  <c r="F258" i="101"/>
  <c r="F259" i="101"/>
  <c r="B259" i="101" s="1"/>
  <c r="F260" i="101"/>
  <c r="F261" i="101"/>
  <c r="F262" i="101"/>
  <c r="I262" i="101" s="1"/>
  <c r="B263" i="101"/>
  <c r="F263" i="101"/>
  <c r="I263" i="101" s="1"/>
  <c r="F264" i="101"/>
  <c r="A264" i="101" s="1"/>
  <c r="D264" i="101" s="1"/>
  <c r="J264" i="101" s="1"/>
  <c r="F265" i="101"/>
  <c r="B265" i="101" s="1"/>
  <c r="F266" i="101"/>
  <c r="B266" i="101" s="1"/>
  <c r="F267" i="101"/>
  <c r="B267" i="101" s="1"/>
  <c r="F268" i="101"/>
  <c r="F269" i="101"/>
  <c r="B269" i="101" s="1"/>
  <c r="F270" i="101"/>
  <c r="I270" i="101" s="1"/>
  <c r="F271" i="101"/>
  <c r="I271" i="101" s="1"/>
  <c r="F272" i="101"/>
  <c r="A272" i="101" s="1"/>
  <c r="F273" i="101"/>
  <c r="B273" i="101" s="1"/>
  <c r="F274" i="101"/>
  <c r="F275" i="101"/>
  <c r="B275" i="101" s="1"/>
  <c r="F276" i="101"/>
  <c r="F277" i="101"/>
  <c r="A277" i="101" s="1"/>
  <c r="D277" i="101" s="1"/>
  <c r="J277" i="101" s="1"/>
  <c r="F278" i="101"/>
  <c r="A278" i="101" s="1"/>
  <c r="D278" i="101" s="1"/>
  <c r="J278" i="101" s="1"/>
  <c r="F279" i="101"/>
  <c r="F280" i="101"/>
  <c r="B280" i="101" s="1"/>
  <c r="F281" i="101"/>
  <c r="F282" i="101"/>
  <c r="F283" i="101"/>
  <c r="F284" i="101"/>
  <c r="B284" i="101" s="1"/>
  <c r="F285" i="101"/>
  <c r="A285" i="101" s="1"/>
  <c r="D285" i="101" s="1"/>
  <c r="J285" i="101" s="1"/>
  <c r="F286" i="101"/>
  <c r="F287" i="101"/>
  <c r="B287" i="101" s="1"/>
  <c r="F288" i="101"/>
  <c r="B288" i="101" s="1"/>
  <c r="F289" i="101"/>
  <c r="F290" i="101"/>
  <c r="A290" i="101" s="1"/>
  <c r="D290" i="101" s="1"/>
  <c r="J290" i="101" s="1"/>
  <c r="F291" i="101"/>
  <c r="F292" i="101"/>
  <c r="F293" i="101"/>
  <c r="A293" i="101" s="1"/>
  <c r="D293" i="101" s="1"/>
  <c r="J293" i="101" s="1"/>
  <c r="F294" i="101"/>
  <c r="A294" i="101" s="1"/>
  <c r="D294" i="101" s="1"/>
  <c r="J294" i="101" s="1"/>
  <c r="F295" i="101"/>
  <c r="F296" i="101"/>
  <c r="F297" i="101"/>
  <c r="A297" i="101" s="1"/>
  <c r="D297" i="101" s="1"/>
  <c r="J297" i="101" s="1"/>
  <c r="F298" i="101"/>
  <c r="F299" i="101"/>
  <c r="A299" i="101" s="1"/>
  <c r="F300" i="101"/>
  <c r="B300" i="101" s="1"/>
  <c r="F301" i="101"/>
  <c r="A301" i="101" s="1"/>
  <c r="D301" i="101" s="1"/>
  <c r="J301" i="101" s="1"/>
  <c r="F302" i="101"/>
  <c r="F303" i="101"/>
  <c r="B303" i="101" s="1"/>
  <c r="F304" i="101"/>
  <c r="B304" i="101" s="1"/>
  <c r="F305" i="101"/>
  <c r="F306" i="101"/>
  <c r="A306" i="101" s="1"/>
  <c r="D306" i="101" s="1"/>
  <c r="J306" i="101" s="1"/>
  <c r="F307" i="101"/>
  <c r="A307" i="101" s="1"/>
  <c r="F308" i="101"/>
  <c r="F309" i="101"/>
  <c r="A309" i="101" s="1"/>
  <c r="D309" i="101" s="1"/>
  <c r="J309" i="101" s="1"/>
  <c r="F310" i="101"/>
  <c r="F311" i="101"/>
  <c r="F312" i="101"/>
  <c r="A313" i="101"/>
  <c r="D313" i="101" s="1"/>
  <c r="J313" i="101" s="1"/>
  <c r="F313" i="101"/>
  <c r="F314" i="101"/>
  <c r="F315" i="101"/>
  <c r="A315" i="101" s="1"/>
  <c r="B316" i="101"/>
  <c r="F316" i="101"/>
  <c r="F317" i="101"/>
  <c r="F318" i="101"/>
  <c r="A318" i="101" s="1"/>
  <c r="D318" i="101" s="1"/>
  <c r="J318" i="101" s="1"/>
  <c r="F319" i="101"/>
  <c r="A319" i="101" s="1"/>
  <c r="F320" i="101"/>
  <c r="F321" i="101"/>
  <c r="A321" i="101" s="1"/>
  <c r="D321" i="101" s="1"/>
  <c r="J321" i="101" s="1"/>
  <c r="F322" i="101"/>
  <c r="A322" i="101" s="1"/>
  <c r="D322" i="101" s="1"/>
  <c r="J322" i="101" s="1"/>
  <c r="F323" i="101"/>
  <c r="F324" i="101"/>
  <c r="B324" i="101" s="1"/>
  <c r="F325" i="101"/>
  <c r="A325" i="101" s="1"/>
  <c r="D325" i="101" s="1"/>
  <c r="J325" i="101" s="1"/>
  <c r="F326" i="101"/>
  <c r="F327" i="101"/>
  <c r="A327" i="101" s="1"/>
  <c r="D327" i="101" s="1"/>
  <c r="J327" i="101" s="1"/>
  <c r="F328" i="101"/>
  <c r="B328" i="101" s="1"/>
  <c r="F329" i="101"/>
  <c r="F330" i="101"/>
  <c r="A330" i="101" s="1"/>
  <c r="D330" i="101" s="1"/>
  <c r="J330" i="101" s="1"/>
  <c r="A331" i="101"/>
  <c r="F331" i="101"/>
  <c r="F332" i="101"/>
  <c r="B332" i="101" s="1"/>
  <c r="F333" i="101"/>
  <c r="A334" i="101"/>
  <c r="D334" i="101" s="1"/>
  <c r="J334" i="101" s="1"/>
  <c r="F334" i="101"/>
  <c r="F335" i="101"/>
  <c r="A335" i="101" s="1"/>
  <c r="F336" i="101"/>
  <c r="A337" i="101"/>
  <c r="D337" i="101" s="1"/>
  <c r="J337" i="101" s="1"/>
  <c r="F337" i="101"/>
  <c r="F338" i="101"/>
  <c r="A338" i="101" s="1"/>
  <c r="D338" i="101" s="1"/>
  <c r="J338" i="101" s="1"/>
  <c r="F339" i="101"/>
  <c r="B340" i="101"/>
  <c r="F340" i="101"/>
  <c r="F341" i="101"/>
  <c r="A341" i="101" s="1"/>
  <c r="D341" i="101" s="1"/>
  <c r="J341" i="101" s="1"/>
  <c r="F342" i="101"/>
  <c r="F343" i="101"/>
  <c r="A343" i="101" s="1"/>
  <c r="D343" i="101" s="1"/>
  <c r="J343" i="101" s="1"/>
  <c r="F344" i="101"/>
  <c r="B344" i="101" s="1"/>
  <c r="F345" i="101"/>
  <c r="A346" i="101"/>
  <c r="D346" i="101" s="1"/>
  <c r="J346" i="101" s="1"/>
  <c r="F346" i="101"/>
  <c r="F347" i="101"/>
  <c r="A347" i="101" s="1"/>
  <c r="F348" i="101"/>
  <c r="B348" i="101" s="1"/>
  <c r="F349" i="101"/>
  <c r="F350" i="101"/>
  <c r="A350" i="101" s="1"/>
  <c r="D350" i="101" s="1"/>
  <c r="J350" i="101" s="1"/>
  <c r="F351" i="101"/>
  <c r="A351" i="101" s="1"/>
  <c r="F352" i="101"/>
  <c r="F353" i="101"/>
  <c r="A353" i="101" s="1"/>
  <c r="D353" i="101" s="1"/>
  <c r="J353" i="101" s="1"/>
  <c r="F354" i="101"/>
  <c r="A354" i="101" s="1"/>
  <c r="D354" i="101" s="1"/>
  <c r="J354" i="101" s="1"/>
  <c r="F355" i="101"/>
  <c r="F356" i="101"/>
  <c r="B356" i="101" s="1"/>
  <c r="A357" i="101"/>
  <c r="D357" i="101" s="1"/>
  <c r="J357" i="101" s="1"/>
  <c r="F357" i="101"/>
  <c r="F358" i="101"/>
  <c r="F359" i="101"/>
  <c r="F360" i="101"/>
  <c r="F361" i="101"/>
  <c r="F362" i="101"/>
  <c r="B362" i="101" s="1"/>
  <c r="F363" i="101"/>
  <c r="F364" i="101"/>
  <c r="B364" i="101" s="1"/>
  <c r="F365" i="101"/>
  <c r="F366" i="101"/>
  <c r="F367" i="101"/>
  <c r="F368" i="101"/>
  <c r="F369" i="101"/>
  <c r="F370" i="101"/>
  <c r="B370" i="101" s="1"/>
  <c r="F371" i="101"/>
  <c r="F372" i="101"/>
  <c r="B372" i="101" s="1"/>
  <c r="F373" i="101"/>
  <c r="F374" i="101"/>
  <c r="F375" i="101"/>
  <c r="F376" i="101"/>
  <c r="F377" i="101"/>
  <c r="B378" i="101"/>
  <c r="F378" i="101"/>
  <c r="F379" i="101"/>
  <c r="F380" i="101"/>
  <c r="B380" i="101" s="1"/>
  <c r="F381" i="101"/>
  <c r="F382" i="101"/>
  <c r="F383" i="101"/>
  <c r="F384" i="101"/>
  <c r="F385" i="101"/>
  <c r="B386" i="101"/>
  <c r="F386" i="101"/>
  <c r="F387" i="101"/>
  <c r="F388" i="101"/>
  <c r="B388" i="101" s="1"/>
  <c r="F389" i="101"/>
  <c r="F390" i="101"/>
  <c r="F391" i="101"/>
  <c r="F392" i="101"/>
  <c r="F393" i="101"/>
  <c r="F394" i="101"/>
  <c r="B394" i="101" s="1"/>
  <c r="F395" i="101"/>
  <c r="F396" i="101"/>
  <c r="B396" i="101" s="1"/>
  <c r="F397" i="101"/>
  <c r="F398" i="101"/>
  <c r="F399" i="101"/>
  <c r="F400" i="101"/>
  <c r="F401" i="101"/>
  <c r="F402" i="101"/>
  <c r="B402" i="101" s="1"/>
  <c r="F403" i="101"/>
  <c r="F404" i="101"/>
  <c r="B404" i="101" s="1"/>
  <c r="F405" i="101"/>
  <c r="F406" i="101"/>
  <c r="F407" i="101"/>
  <c r="F408" i="101"/>
  <c r="F409" i="101"/>
  <c r="B410" i="101"/>
  <c r="F410" i="101"/>
  <c r="F411" i="101"/>
  <c r="F412" i="101"/>
  <c r="B412" i="101" s="1"/>
  <c r="F413" i="101"/>
  <c r="F414" i="101"/>
  <c r="F415" i="101"/>
  <c r="F416" i="101"/>
  <c r="F417" i="101"/>
  <c r="B418" i="101"/>
  <c r="F418" i="101"/>
  <c r="F419" i="101"/>
  <c r="F420" i="101"/>
  <c r="B420" i="101" s="1"/>
  <c r="F421" i="101"/>
  <c r="F422" i="101"/>
  <c r="F423" i="101"/>
  <c r="F424" i="101"/>
  <c r="F425" i="101"/>
  <c r="F426" i="101"/>
  <c r="B426" i="101" s="1"/>
  <c r="F427" i="101"/>
  <c r="F428" i="101"/>
  <c r="B428" i="101" s="1"/>
  <c r="F429" i="101"/>
  <c r="F430" i="101"/>
  <c r="F431" i="101"/>
  <c r="F432" i="101"/>
  <c r="F433" i="101"/>
  <c r="F434" i="101"/>
  <c r="B434" i="101" s="1"/>
  <c r="F435" i="101"/>
  <c r="F436" i="101"/>
  <c r="B436" i="101" s="1"/>
  <c r="F437" i="101"/>
  <c r="F438" i="101"/>
  <c r="F439" i="101"/>
  <c r="F440" i="101"/>
  <c r="F441" i="101"/>
  <c r="B442" i="101"/>
  <c r="F442" i="101"/>
  <c r="F443" i="101"/>
  <c r="F444" i="101"/>
  <c r="B444" i="101" s="1"/>
  <c r="F445" i="101"/>
  <c r="F446" i="101"/>
  <c r="F447" i="101"/>
  <c r="F448" i="101"/>
  <c r="F449" i="101"/>
  <c r="F450" i="101"/>
  <c r="B450" i="101" s="1"/>
  <c r="F451" i="101"/>
  <c r="F452" i="101"/>
  <c r="B452" i="101" s="1"/>
  <c r="F453" i="101"/>
  <c r="F454" i="101"/>
  <c r="B454" i="101" s="1"/>
  <c r="F455" i="101"/>
  <c r="F456" i="101"/>
  <c r="B456" i="101" s="1"/>
  <c r="F457" i="101"/>
  <c r="F458" i="101"/>
  <c r="B458" i="101" s="1"/>
  <c r="F459" i="101"/>
  <c r="F460" i="101"/>
  <c r="F461" i="101"/>
  <c r="A461" i="101" s="1"/>
  <c r="F462" i="101"/>
  <c r="F463" i="101"/>
  <c r="F464" i="101"/>
  <c r="F465" i="101"/>
  <c r="F466" i="101"/>
  <c r="B466" i="101" s="1"/>
  <c r="F467" i="101"/>
  <c r="B468" i="101"/>
  <c r="F468" i="101"/>
  <c r="F469" i="101"/>
  <c r="F470" i="101"/>
  <c r="B470" i="101" s="1"/>
  <c r="F471" i="101"/>
  <c r="F472" i="101"/>
  <c r="B472" i="101" s="1"/>
  <c r="F473" i="101"/>
  <c r="F474" i="101"/>
  <c r="B474" i="101" s="1"/>
  <c r="F475" i="101"/>
  <c r="F476" i="101"/>
  <c r="F477" i="101"/>
  <c r="A477" i="101" s="1"/>
  <c r="F478" i="101"/>
  <c r="F479" i="101"/>
  <c r="F480" i="101"/>
  <c r="F481" i="101"/>
  <c r="F482" i="101"/>
  <c r="B482" i="101" s="1"/>
  <c r="F483" i="101"/>
  <c r="B484" i="101"/>
  <c r="F484" i="101"/>
  <c r="F485" i="101"/>
  <c r="F486" i="101"/>
  <c r="B486" i="101" s="1"/>
  <c r="F487" i="101"/>
  <c r="O337" i="16" l="1"/>
  <c r="N337" i="16" s="1"/>
  <c r="M337" i="16" s="1"/>
  <c r="L337" i="16" s="1"/>
  <c r="K139" i="102"/>
  <c r="K131" i="102"/>
  <c r="K168" i="102"/>
  <c r="K151" i="102"/>
  <c r="K158" i="102"/>
  <c r="K41" i="102"/>
  <c r="K48" i="102"/>
  <c r="K103" i="102"/>
  <c r="K166" i="102"/>
  <c r="K53" i="102"/>
  <c r="K123" i="102"/>
  <c r="K147" i="102"/>
  <c r="K174" i="102"/>
  <c r="K135" i="102"/>
  <c r="K155" i="102"/>
  <c r="K60" i="102"/>
  <c r="K112" i="102"/>
  <c r="J12" i="102" a="1"/>
  <c r="J12" i="102" s="1"/>
  <c r="J32" i="102" a="1"/>
  <c r="J32" i="102" s="1"/>
  <c r="J56" i="102" a="1"/>
  <c r="J56" i="102" s="1"/>
  <c r="J76" i="102" a="1"/>
  <c r="J76" i="102" s="1"/>
  <c r="J96" i="102" a="1"/>
  <c r="J96" i="102" s="1"/>
  <c r="J116" i="102" a="1"/>
  <c r="J116" i="102" s="1"/>
  <c r="J124" i="102" a="1"/>
  <c r="J124" i="102" s="1"/>
  <c r="J140" i="102" a="1"/>
  <c r="J140" i="102" s="1"/>
  <c r="O348" i="16"/>
  <c r="N348" i="16" s="1"/>
  <c r="M348" i="16" s="1"/>
  <c r="L348" i="16" s="1"/>
  <c r="O306" i="16"/>
  <c r="N306" i="16" s="1"/>
  <c r="M306" i="16" s="1"/>
  <c r="L306" i="16" s="1"/>
  <c r="O328" i="16"/>
  <c r="N328" i="16" s="1"/>
  <c r="M328" i="16" s="1"/>
  <c r="L328" i="16" s="1"/>
  <c r="O347" i="16"/>
  <c r="N347" i="16" s="1"/>
  <c r="M347" i="16" s="1"/>
  <c r="L347" i="16" s="1"/>
  <c r="K65" i="102"/>
  <c r="K72" i="102"/>
  <c r="K23" i="102"/>
  <c r="K47" i="102"/>
  <c r="K49" i="102"/>
  <c r="K52" i="102"/>
  <c r="K87" i="102"/>
  <c r="K127" i="102"/>
  <c r="K143" i="102"/>
  <c r="K160" i="102"/>
  <c r="K176" i="102"/>
  <c r="J16" i="102" a="1"/>
  <c r="J16" i="102" s="1"/>
  <c r="J80" i="102" a="1"/>
  <c r="J80" i="102" s="1"/>
  <c r="J104" i="102" a="1"/>
  <c r="J104" i="102" s="1"/>
  <c r="J128" i="102" a="1"/>
  <c r="J128" i="102" s="1"/>
  <c r="J144" i="102" a="1"/>
  <c r="J144" i="102" s="1"/>
  <c r="K7" i="102"/>
  <c r="K61" i="102"/>
  <c r="K64" i="102"/>
  <c r="K73" i="102"/>
  <c r="J24" i="102" a="1"/>
  <c r="J24" i="102" s="1"/>
  <c r="J88" i="102" a="1"/>
  <c r="J88" i="102" s="1"/>
  <c r="J108" i="102" a="1"/>
  <c r="J108" i="102" s="1"/>
  <c r="J132" i="102" a="1"/>
  <c r="J132" i="102" s="1"/>
  <c r="J148" i="102" a="1"/>
  <c r="J148" i="102" s="1"/>
  <c r="J8" i="102" a="1"/>
  <c r="J8" i="102" s="1"/>
  <c r="J28" i="102" a="1"/>
  <c r="J28" i="102" s="1"/>
  <c r="J92" i="102" a="1"/>
  <c r="J92" i="102" s="1"/>
  <c r="J136" i="102" a="1"/>
  <c r="J136" i="102" s="1"/>
  <c r="J152" i="102" a="1"/>
  <c r="J152" i="102" s="1"/>
  <c r="O244" i="16"/>
  <c r="N244" i="16" s="1"/>
  <c r="M244" i="16" s="1"/>
  <c r="L244" i="16" s="1"/>
  <c r="O299" i="16"/>
  <c r="N299" i="16" s="1"/>
  <c r="M299" i="16" s="1"/>
  <c r="L299" i="16" s="1"/>
  <c r="K11" i="102"/>
  <c r="K27" i="102"/>
  <c r="K45" i="102"/>
  <c r="K57" i="102"/>
  <c r="K68" i="102"/>
  <c r="K75" i="102"/>
  <c r="K91" i="102"/>
  <c r="K107" i="102"/>
  <c r="K164" i="102"/>
  <c r="K172" i="102"/>
  <c r="J5" i="102" a="1"/>
  <c r="J5" i="102" s="1"/>
  <c r="J13" i="102" a="1"/>
  <c r="J13" i="102" s="1"/>
  <c r="J17" i="102" a="1"/>
  <c r="J17" i="102" s="1"/>
  <c r="J25" i="102" a="1"/>
  <c r="J25" i="102" s="1"/>
  <c r="J29" i="102" a="1"/>
  <c r="J29" i="102" s="1"/>
  <c r="J37" i="102" a="1"/>
  <c r="J37" i="102" s="1"/>
  <c r="J69" i="102" a="1"/>
  <c r="J69" i="102" s="1"/>
  <c r="J77" i="102" a="1"/>
  <c r="J77" i="102" s="1"/>
  <c r="J81" i="102" a="1"/>
  <c r="J81" i="102" s="1"/>
  <c r="J85" i="102" a="1"/>
  <c r="J85" i="102" s="1"/>
  <c r="J89" i="102" a="1"/>
  <c r="J89" i="102" s="1"/>
  <c r="J93" i="102" a="1"/>
  <c r="J93" i="102" s="1"/>
  <c r="J97" i="102" a="1"/>
  <c r="J97" i="102" s="1"/>
  <c r="J101" i="102" a="1"/>
  <c r="J101" i="102" s="1"/>
  <c r="J105" i="102" a="1"/>
  <c r="J105" i="102" s="1"/>
  <c r="J109" i="102" a="1"/>
  <c r="J109" i="102" s="1"/>
  <c r="J113" i="102" a="1"/>
  <c r="J113" i="102" s="1"/>
  <c r="J117" i="102" a="1"/>
  <c r="J117" i="102" s="1"/>
  <c r="J121" i="102" a="1"/>
  <c r="J121" i="102" s="1"/>
  <c r="J125" i="102" a="1"/>
  <c r="J125" i="102" s="1"/>
  <c r="J129" i="102" a="1"/>
  <c r="J129" i="102" s="1"/>
  <c r="J133" i="102" a="1"/>
  <c r="J133" i="102" s="1"/>
  <c r="J137" i="102" a="1"/>
  <c r="J137" i="102" s="1"/>
  <c r="J141" i="102" a="1"/>
  <c r="J141" i="102" s="1"/>
  <c r="J145" i="102" a="1"/>
  <c r="J145" i="102" s="1"/>
  <c r="J149" i="102" a="1"/>
  <c r="J149" i="102" s="1"/>
  <c r="J153" i="102" a="1"/>
  <c r="J153" i="102" s="1"/>
  <c r="J162" i="102" a="1"/>
  <c r="J162" i="102" s="1"/>
  <c r="J170" i="102" a="1"/>
  <c r="J170" i="102" s="1"/>
  <c r="J178" i="102" a="1"/>
  <c r="J178" i="102" s="1"/>
  <c r="O75" i="16"/>
  <c r="N75" i="16" s="1"/>
  <c r="M75" i="16" s="1"/>
  <c r="L75" i="16" s="1"/>
  <c r="O317" i="16"/>
  <c r="N317" i="16" s="1"/>
  <c r="M317" i="16" s="1"/>
  <c r="L317" i="16" s="1"/>
  <c r="O274" i="16"/>
  <c r="N274" i="16" s="1"/>
  <c r="M274" i="16" s="1"/>
  <c r="L274" i="16" s="1"/>
  <c r="O307" i="16"/>
  <c r="N307" i="16" s="1"/>
  <c r="M307" i="16" s="1"/>
  <c r="L307" i="16" s="1"/>
  <c r="J4" i="102" a="1"/>
  <c r="J4" i="102" s="1"/>
  <c r="J20" i="102" a="1"/>
  <c r="J20" i="102" s="1"/>
  <c r="J84" i="102" a="1"/>
  <c r="J84" i="102" s="1"/>
  <c r="J100" i="102" a="1"/>
  <c r="J100" i="102" s="1"/>
  <c r="K15" i="102"/>
  <c r="K31" i="102"/>
  <c r="K79" i="102"/>
  <c r="K95" i="102"/>
  <c r="J38" i="102" a="1"/>
  <c r="J38" i="102" s="1"/>
  <c r="J42" i="102" a="1"/>
  <c r="J42" i="102" s="1"/>
  <c r="J46" i="102" a="1"/>
  <c r="J46" i="102" s="1"/>
  <c r="J50" i="102" a="1"/>
  <c r="J50" i="102" s="1"/>
  <c r="J54" i="102" a="1"/>
  <c r="J54" i="102" s="1"/>
  <c r="J58" i="102" a="1"/>
  <c r="J58" i="102" s="1"/>
  <c r="J62" i="102" a="1"/>
  <c r="J62" i="102" s="1"/>
  <c r="J66" i="102" a="1"/>
  <c r="J66" i="102" s="1"/>
  <c r="J70" i="102" a="1"/>
  <c r="J70" i="102" s="1"/>
  <c r="J110" i="102" a="1"/>
  <c r="J110" i="102" s="1"/>
  <c r="J114" i="102" a="1"/>
  <c r="J114" i="102" s="1"/>
  <c r="O142" i="16"/>
  <c r="N142" i="16" s="1"/>
  <c r="M142" i="16" s="1"/>
  <c r="L142" i="16" s="1"/>
  <c r="O257" i="16"/>
  <c r="N257" i="16" s="1"/>
  <c r="M257" i="16" s="1"/>
  <c r="L257" i="16" s="1"/>
  <c r="O335" i="16"/>
  <c r="N335" i="16" s="1"/>
  <c r="M335" i="16" s="1"/>
  <c r="L335" i="16" s="1"/>
  <c r="O338" i="16"/>
  <c r="N338" i="16" s="1"/>
  <c r="M338" i="16" s="1"/>
  <c r="L338" i="16" s="1"/>
  <c r="K3" i="102"/>
  <c r="K19" i="102"/>
  <c r="K63" i="102"/>
  <c r="K67" i="102"/>
  <c r="K83" i="102"/>
  <c r="K99" i="102"/>
  <c r="J39" i="102" a="1"/>
  <c r="J39" i="102" s="1"/>
  <c r="J43" i="102" a="1"/>
  <c r="J43" i="102" s="1"/>
  <c r="J143" i="102" a="1"/>
  <c r="J143" i="102" s="1"/>
  <c r="J180" i="102" a="1"/>
  <c r="J180" i="102" s="1"/>
  <c r="O167" i="16"/>
  <c r="N167" i="16" s="1"/>
  <c r="M167" i="16" s="1"/>
  <c r="L167" i="16" s="1"/>
  <c r="O284" i="16"/>
  <c r="N284" i="16" s="1"/>
  <c r="M284" i="16" s="1"/>
  <c r="L284" i="16" s="1"/>
  <c r="O323" i="16"/>
  <c r="N323" i="16" s="1"/>
  <c r="M323" i="16" s="1"/>
  <c r="L323" i="16" s="1"/>
  <c r="O339" i="16"/>
  <c r="N339" i="16" s="1"/>
  <c r="M339" i="16" s="1"/>
  <c r="L339" i="16" s="1"/>
  <c r="O345" i="16"/>
  <c r="N345" i="16" s="1"/>
  <c r="M345" i="16" s="1"/>
  <c r="L345" i="16" s="1"/>
  <c r="J156" i="102" a="1"/>
  <c r="J156" i="102" s="1"/>
  <c r="K82" i="102"/>
  <c r="K98" i="102"/>
  <c r="K2" i="102"/>
  <c r="K6" i="102"/>
  <c r="K9" i="102"/>
  <c r="K10" i="102"/>
  <c r="K14" i="102"/>
  <c r="K18" i="102"/>
  <c r="K21" i="102"/>
  <c r="K22" i="102"/>
  <c r="K26" i="102"/>
  <c r="K30" i="102"/>
  <c r="K35" i="102"/>
  <c r="K36" i="102"/>
  <c r="K40" i="102"/>
  <c r="K44" i="102"/>
  <c r="K55" i="102"/>
  <c r="K71" i="102"/>
  <c r="K86" i="102"/>
  <c r="K102" i="102"/>
  <c r="K51" i="102"/>
  <c r="K59" i="102"/>
  <c r="K74" i="102"/>
  <c r="K90" i="102"/>
  <c r="K106" i="102"/>
  <c r="K78" i="102"/>
  <c r="K94" i="102"/>
  <c r="K115" i="102"/>
  <c r="K126" i="102"/>
  <c r="K134" i="102"/>
  <c r="K142" i="102"/>
  <c r="K146" i="102"/>
  <c r="K150" i="102"/>
  <c r="K159" i="102"/>
  <c r="K167" i="102"/>
  <c r="K111" i="102"/>
  <c r="K122" i="102"/>
  <c r="K130" i="102"/>
  <c r="K138" i="102"/>
  <c r="K161" i="102"/>
  <c r="K169" i="102"/>
  <c r="K163" i="102"/>
  <c r="K173" i="102"/>
  <c r="K165" i="102"/>
  <c r="K177" i="102"/>
  <c r="K154" i="102"/>
  <c r="K171" i="102"/>
  <c r="K175" i="102"/>
  <c r="K179" i="102"/>
  <c r="D489" i="101"/>
  <c r="J489" i="101" s="1"/>
  <c r="B211" i="101"/>
  <c r="I64" i="101"/>
  <c r="A256" i="101"/>
  <c r="D256" i="101" s="1"/>
  <c r="J256" i="101" s="1"/>
  <c r="B238" i="101"/>
  <c r="A223" i="101"/>
  <c r="A271" i="101"/>
  <c r="B242" i="101"/>
  <c r="A238" i="101"/>
  <c r="A211" i="101"/>
  <c r="B180" i="101"/>
  <c r="B172" i="101"/>
  <c r="B164" i="101"/>
  <c r="B100" i="101"/>
  <c r="A287" i="101"/>
  <c r="C287" i="101" s="1"/>
  <c r="B246" i="101"/>
  <c r="A242" i="101"/>
  <c r="B203" i="101"/>
  <c r="A203" i="101"/>
  <c r="I160" i="101"/>
  <c r="B160" i="101"/>
  <c r="A96" i="101"/>
  <c r="I96" i="101"/>
  <c r="B96" i="101"/>
  <c r="I183" i="101"/>
  <c r="A183" i="101"/>
  <c r="B183" i="101"/>
  <c r="I179" i="101"/>
  <c r="A179" i="101"/>
  <c r="B179" i="101"/>
  <c r="I171" i="101"/>
  <c r="A171" i="101"/>
  <c r="B171" i="101"/>
  <c r="I163" i="101"/>
  <c r="B163" i="101"/>
  <c r="A116" i="101"/>
  <c r="B116" i="101"/>
  <c r="I175" i="101"/>
  <c r="A175" i="101"/>
  <c r="B175" i="101"/>
  <c r="B61" i="101"/>
  <c r="I26" i="101"/>
  <c r="I192" i="101"/>
  <c r="A192" i="101"/>
  <c r="A104" i="101"/>
  <c r="B104" i="101"/>
  <c r="A88" i="101"/>
  <c r="B88" i="101"/>
  <c r="I48" i="101"/>
  <c r="A303" i="101"/>
  <c r="C303" i="101" s="1"/>
  <c r="B262" i="101"/>
  <c r="B247" i="101"/>
  <c r="A243" i="101"/>
  <c r="B239" i="101"/>
  <c r="B235" i="101"/>
  <c r="A227" i="101"/>
  <c r="B214" i="101"/>
  <c r="B204" i="101"/>
  <c r="A200" i="101"/>
  <c r="B167" i="101"/>
  <c r="B112" i="101"/>
  <c r="I32" i="101"/>
  <c r="A262" i="101"/>
  <c r="A235" i="101"/>
  <c r="A214" i="101"/>
  <c r="A204" i="101"/>
  <c r="A167" i="101"/>
  <c r="I80" i="101"/>
  <c r="I16" i="101"/>
  <c r="B488" i="101"/>
  <c r="A488" i="101"/>
  <c r="D351" i="101"/>
  <c r="J351" i="101" s="1"/>
  <c r="D335" i="101"/>
  <c r="J335" i="101" s="1"/>
  <c r="D319" i="101"/>
  <c r="J319" i="101" s="1"/>
  <c r="D307" i="101"/>
  <c r="J307" i="101" s="1"/>
  <c r="B485" i="101"/>
  <c r="I485" i="101"/>
  <c r="A483" i="101"/>
  <c r="D483" i="101" s="1"/>
  <c r="J483" i="101" s="1"/>
  <c r="I483" i="101"/>
  <c r="B481" i="101"/>
  <c r="I481" i="101"/>
  <c r="A478" i="101"/>
  <c r="D478" i="101" s="1"/>
  <c r="J478" i="101" s="1"/>
  <c r="I478" i="101"/>
  <c r="A476" i="101"/>
  <c r="I476" i="101"/>
  <c r="B469" i="101"/>
  <c r="C469" i="101" s="1"/>
  <c r="I469" i="101"/>
  <c r="A467" i="101"/>
  <c r="D467" i="101" s="1"/>
  <c r="J467" i="101" s="1"/>
  <c r="I467" i="101"/>
  <c r="B465" i="101"/>
  <c r="I465" i="101"/>
  <c r="A462" i="101"/>
  <c r="I462" i="101"/>
  <c r="A460" i="101"/>
  <c r="I460" i="101"/>
  <c r="B453" i="101"/>
  <c r="I453" i="101"/>
  <c r="A451" i="101"/>
  <c r="D451" i="101" s="1"/>
  <c r="J451" i="101" s="1"/>
  <c r="I451" i="101"/>
  <c r="B449" i="101"/>
  <c r="I449" i="101"/>
  <c r="A446" i="101"/>
  <c r="C446" i="101" s="1"/>
  <c r="I446" i="101"/>
  <c r="B441" i="101"/>
  <c r="I441" i="101"/>
  <c r="A438" i="101"/>
  <c r="I438" i="101"/>
  <c r="B433" i="101"/>
  <c r="I433" i="101"/>
  <c r="A430" i="101"/>
  <c r="C430" i="101" s="1"/>
  <c r="I430" i="101"/>
  <c r="B425" i="101"/>
  <c r="I425" i="101"/>
  <c r="A422" i="101"/>
  <c r="I422" i="101"/>
  <c r="B417" i="101"/>
  <c r="I417" i="101"/>
  <c r="A414" i="101"/>
  <c r="D414" i="101" s="1"/>
  <c r="J414" i="101" s="1"/>
  <c r="I414" i="101"/>
  <c r="B409" i="101"/>
  <c r="I409" i="101"/>
  <c r="A406" i="101"/>
  <c r="D406" i="101" s="1"/>
  <c r="J406" i="101" s="1"/>
  <c r="I406" i="101"/>
  <c r="B401" i="101"/>
  <c r="I401" i="101"/>
  <c r="A398" i="101"/>
  <c r="C398" i="101" s="1"/>
  <c r="I398" i="101"/>
  <c r="B393" i="101"/>
  <c r="I393" i="101"/>
  <c r="A390" i="101"/>
  <c r="D390" i="101" s="1"/>
  <c r="J390" i="101" s="1"/>
  <c r="I390" i="101"/>
  <c r="B385" i="101"/>
  <c r="I385" i="101"/>
  <c r="A382" i="101"/>
  <c r="I382" i="101"/>
  <c r="B377" i="101"/>
  <c r="I377" i="101"/>
  <c r="A374" i="101"/>
  <c r="C374" i="101" s="1"/>
  <c r="I374" i="101"/>
  <c r="B369" i="101"/>
  <c r="I369" i="101"/>
  <c r="A366" i="101"/>
  <c r="C366" i="101" s="1"/>
  <c r="I366" i="101"/>
  <c r="B361" i="101"/>
  <c r="I361" i="101"/>
  <c r="B358" i="101"/>
  <c r="I358" i="101"/>
  <c r="B355" i="101"/>
  <c r="I355" i="101"/>
  <c r="A352" i="101"/>
  <c r="I352" i="101"/>
  <c r="B345" i="101"/>
  <c r="I345" i="101"/>
  <c r="B342" i="101"/>
  <c r="I342" i="101"/>
  <c r="B339" i="101"/>
  <c r="I339" i="101"/>
  <c r="A336" i="101"/>
  <c r="I336" i="101"/>
  <c r="B329" i="101"/>
  <c r="I329" i="101"/>
  <c r="B326" i="101"/>
  <c r="I326" i="101"/>
  <c r="B323" i="101"/>
  <c r="I323" i="101"/>
  <c r="A320" i="101"/>
  <c r="I320" i="101"/>
  <c r="B314" i="101"/>
  <c r="I314" i="101"/>
  <c r="A314" i="101"/>
  <c r="D314" i="101" s="1"/>
  <c r="J314" i="101" s="1"/>
  <c r="A312" i="101"/>
  <c r="I312" i="101"/>
  <c r="B310" i="101"/>
  <c r="I310" i="101"/>
  <c r="B302" i="101"/>
  <c r="I302" i="101"/>
  <c r="D299" i="101"/>
  <c r="J299" i="101" s="1"/>
  <c r="B291" i="101"/>
  <c r="I291" i="101"/>
  <c r="B283" i="101"/>
  <c r="I283" i="101"/>
  <c r="B281" i="101"/>
  <c r="I281" i="101"/>
  <c r="B279" i="101"/>
  <c r="I279" i="101"/>
  <c r="A279" i="101"/>
  <c r="I274" i="101"/>
  <c r="A274" i="101"/>
  <c r="D262" i="101"/>
  <c r="J262" i="101" s="1"/>
  <c r="I258" i="101"/>
  <c r="A258" i="101"/>
  <c r="B244" i="101"/>
  <c r="I244" i="101"/>
  <c r="A244" i="101"/>
  <c r="D244" i="101" s="1"/>
  <c r="J244" i="101" s="1"/>
  <c r="I234" i="101"/>
  <c r="B234" i="101"/>
  <c r="B232" i="101"/>
  <c r="I232" i="101"/>
  <c r="I230" i="101"/>
  <c r="A230" i="101"/>
  <c r="B230" i="101"/>
  <c r="A225" i="101"/>
  <c r="D225" i="101" s="1"/>
  <c r="J225" i="101" s="1"/>
  <c r="I225" i="101"/>
  <c r="B225" i="101"/>
  <c r="A221" i="101"/>
  <c r="D221" i="101" s="1"/>
  <c r="J221" i="101" s="1"/>
  <c r="I221" i="101"/>
  <c r="B221" i="101"/>
  <c r="C221" i="101" s="1"/>
  <c r="A219" i="101"/>
  <c r="I219" i="101"/>
  <c r="B219" i="101"/>
  <c r="B209" i="101"/>
  <c r="I209" i="101"/>
  <c r="A209" i="101"/>
  <c r="B205" i="101"/>
  <c r="I205" i="101"/>
  <c r="A205" i="101"/>
  <c r="D205" i="101" s="1"/>
  <c r="J205" i="101" s="1"/>
  <c r="A198" i="101"/>
  <c r="I198" i="101"/>
  <c r="B198" i="101"/>
  <c r="I187" i="101"/>
  <c r="A187" i="101"/>
  <c r="A487" i="101"/>
  <c r="D487" i="101" s="1"/>
  <c r="J487" i="101" s="1"/>
  <c r="I487" i="101"/>
  <c r="A485" i="101"/>
  <c r="A482" i="101"/>
  <c r="I482" i="101"/>
  <c r="A480" i="101"/>
  <c r="I480" i="101"/>
  <c r="B478" i="101"/>
  <c r="B476" i="101"/>
  <c r="A471" i="101"/>
  <c r="D471" i="101" s="1"/>
  <c r="J471" i="101" s="1"/>
  <c r="I471" i="101"/>
  <c r="A469" i="101"/>
  <c r="A466" i="101"/>
  <c r="I466" i="101"/>
  <c r="A464" i="101"/>
  <c r="I464" i="101"/>
  <c r="B462" i="101"/>
  <c r="B460" i="101"/>
  <c r="A455" i="101"/>
  <c r="D455" i="101" s="1"/>
  <c r="J455" i="101" s="1"/>
  <c r="I455" i="101"/>
  <c r="A453" i="101"/>
  <c r="C453" i="101" s="1"/>
  <c r="A450" i="101"/>
  <c r="I450" i="101"/>
  <c r="A448" i="101"/>
  <c r="I448" i="101"/>
  <c r="B446" i="101"/>
  <c r="A443" i="101"/>
  <c r="I443" i="101"/>
  <c r="A440" i="101"/>
  <c r="I440" i="101"/>
  <c r="B438" i="101"/>
  <c r="A435" i="101"/>
  <c r="I435" i="101"/>
  <c r="A432" i="101"/>
  <c r="I432" i="101"/>
  <c r="B430" i="101"/>
  <c r="A427" i="101"/>
  <c r="I427" i="101"/>
  <c r="A424" i="101"/>
  <c r="I424" i="101"/>
  <c r="B422" i="101"/>
  <c r="A419" i="101"/>
  <c r="I419" i="101"/>
  <c r="A416" i="101"/>
  <c r="I416" i="101"/>
  <c r="B414" i="101"/>
  <c r="A411" i="101"/>
  <c r="I411" i="101"/>
  <c r="A408" i="101"/>
  <c r="I408" i="101"/>
  <c r="B406" i="101"/>
  <c r="A403" i="101"/>
  <c r="I403" i="101"/>
  <c r="A400" i="101"/>
  <c r="I400" i="101"/>
  <c r="B398" i="101"/>
  <c r="A395" i="101"/>
  <c r="I395" i="101"/>
  <c r="A392" i="101"/>
  <c r="I392" i="101"/>
  <c r="B390" i="101"/>
  <c r="A387" i="101"/>
  <c r="I387" i="101"/>
  <c r="A384" i="101"/>
  <c r="I384" i="101"/>
  <c r="B382" i="101"/>
  <c r="A379" i="101"/>
  <c r="I379" i="101"/>
  <c r="A376" i="101"/>
  <c r="I376" i="101"/>
  <c r="B374" i="101"/>
  <c r="A371" i="101"/>
  <c r="I371" i="101"/>
  <c r="A368" i="101"/>
  <c r="I368" i="101"/>
  <c r="B366" i="101"/>
  <c r="A363" i="101"/>
  <c r="I363" i="101"/>
  <c r="A360" i="101"/>
  <c r="I360" i="101"/>
  <c r="A356" i="101"/>
  <c r="I356" i="101"/>
  <c r="B349" i="101"/>
  <c r="I349" i="101"/>
  <c r="B346" i="101"/>
  <c r="I346" i="101"/>
  <c r="A345" i="101"/>
  <c r="D345" i="101" s="1"/>
  <c r="J345" i="101" s="1"/>
  <c r="B343" i="101"/>
  <c r="I343" i="101"/>
  <c r="A340" i="101"/>
  <c r="I340" i="101"/>
  <c r="B333" i="101"/>
  <c r="I333" i="101"/>
  <c r="B330" i="101"/>
  <c r="I330" i="101"/>
  <c r="A329" i="101"/>
  <c r="D329" i="101" s="1"/>
  <c r="J329" i="101" s="1"/>
  <c r="B327" i="101"/>
  <c r="C327" i="101" s="1"/>
  <c r="I327" i="101"/>
  <c r="A324" i="101"/>
  <c r="I324" i="101"/>
  <c r="B317" i="101"/>
  <c r="I317" i="101"/>
  <c r="B312" i="101"/>
  <c r="A308" i="101"/>
  <c r="I308" i="101"/>
  <c r="B308" i="101"/>
  <c r="B305" i="101"/>
  <c r="I305" i="101"/>
  <c r="A305" i="101"/>
  <c r="D305" i="101" s="1"/>
  <c r="J305" i="101" s="1"/>
  <c r="A302" i="101"/>
  <c r="D302" i="101" s="1"/>
  <c r="J302" i="101" s="1"/>
  <c r="B298" i="101"/>
  <c r="I298" i="101"/>
  <c r="A298" i="101"/>
  <c r="D298" i="101" s="1"/>
  <c r="J298" i="101" s="1"/>
  <c r="A296" i="101"/>
  <c r="I296" i="101"/>
  <c r="B294" i="101"/>
  <c r="I294" i="101"/>
  <c r="B286" i="101"/>
  <c r="I286" i="101"/>
  <c r="A283" i="101"/>
  <c r="A281" i="101"/>
  <c r="D281" i="101" s="1"/>
  <c r="J281" i="101" s="1"/>
  <c r="I275" i="101"/>
  <c r="A275" i="101"/>
  <c r="B270" i="101"/>
  <c r="B268" i="101"/>
  <c r="I268" i="101"/>
  <c r="A268" i="101"/>
  <c r="A265" i="101"/>
  <c r="D265" i="101" s="1"/>
  <c r="J265" i="101" s="1"/>
  <c r="I265" i="101"/>
  <c r="A263" i="101"/>
  <c r="A261" i="101"/>
  <c r="D261" i="101" s="1"/>
  <c r="J261" i="101" s="1"/>
  <c r="I261" i="101"/>
  <c r="I259" i="101"/>
  <c r="A259" i="101"/>
  <c r="I255" i="101"/>
  <c r="B255" i="101"/>
  <c r="A253" i="101"/>
  <c r="D253" i="101" s="1"/>
  <c r="J253" i="101" s="1"/>
  <c r="I253" i="101"/>
  <c r="B250" i="101"/>
  <c r="A247" i="101"/>
  <c r="D247" i="101" s="1"/>
  <c r="J247" i="101" s="1"/>
  <c r="A245" i="101"/>
  <c r="I245" i="101"/>
  <c r="B240" i="101"/>
  <c r="I240" i="101"/>
  <c r="A240" i="101"/>
  <c r="A239" i="101"/>
  <c r="A237" i="101"/>
  <c r="D237" i="101" s="1"/>
  <c r="J237" i="101" s="1"/>
  <c r="I237" i="101"/>
  <c r="A234" i="101"/>
  <c r="D234" i="101" s="1"/>
  <c r="J234" i="101" s="1"/>
  <c r="A232" i="101"/>
  <c r="D232" i="101" s="1"/>
  <c r="J232" i="101" s="1"/>
  <c r="A229" i="101"/>
  <c r="I229" i="101"/>
  <c r="B229" i="101"/>
  <c r="I218" i="101"/>
  <c r="A218" i="101"/>
  <c r="I212" i="101"/>
  <c r="A212" i="101"/>
  <c r="D212" i="101" s="1"/>
  <c r="J212" i="101" s="1"/>
  <c r="I208" i="101"/>
  <c r="A208" i="101"/>
  <c r="B187" i="101"/>
  <c r="C187" i="101" s="1"/>
  <c r="D177" i="101"/>
  <c r="J177" i="101" s="1"/>
  <c r="D173" i="101"/>
  <c r="J173" i="101" s="1"/>
  <c r="D169" i="101"/>
  <c r="J169" i="101" s="1"/>
  <c r="D165" i="101"/>
  <c r="J165" i="101" s="1"/>
  <c r="A486" i="101"/>
  <c r="C486" i="101" s="1"/>
  <c r="I486" i="101"/>
  <c r="A484" i="101"/>
  <c r="I484" i="101"/>
  <c r="B480" i="101"/>
  <c r="B477" i="101"/>
  <c r="I477" i="101"/>
  <c r="A475" i="101"/>
  <c r="D475" i="101" s="1"/>
  <c r="J475" i="101" s="1"/>
  <c r="I475" i="101"/>
  <c r="B473" i="101"/>
  <c r="I473" i="101"/>
  <c r="A470" i="101"/>
  <c r="C470" i="101" s="1"/>
  <c r="I470" i="101"/>
  <c r="A468" i="101"/>
  <c r="I468" i="101"/>
  <c r="B464" i="101"/>
  <c r="B461" i="101"/>
  <c r="C461" i="101" s="1"/>
  <c r="I461" i="101"/>
  <c r="A459" i="101"/>
  <c r="D459" i="101" s="1"/>
  <c r="J459" i="101" s="1"/>
  <c r="I459" i="101"/>
  <c r="B457" i="101"/>
  <c r="I457" i="101"/>
  <c r="A454" i="101"/>
  <c r="C454" i="101" s="1"/>
  <c r="I454" i="101"/>
  <c r="A452" i="101"/>
  <c r="C452" i="101" s="1"/>
  <c r="I452" i="101"/>
  <c r="B448" i="101"/>
  <c r="B445" i="101"/>
  <c r="I445" i="101"/>
  <c r="A442" i="101"/>
  <c r="I442" i="101"/>
  <c r="B440" i="101"/>
  <c r="B437" i="101"/>
  <c r="I437" i="101"/>
  <c r="A434" i="101"/>
  <c r="I434" i="101"/>
  <c r="B432" i="101"/>
  <c r="C432" i="101" s="1"/>
  <c r="B429" i="101"/>
  <c r="I429" i="101"/>
  <c r="A426" i="101"/>
  <c r="D426" i="101" s="1"/>
  <c r="J426" i="101" s="1"/>
  <c r="I426" i="101"/>
  <c r="B424" i="101"/>
  <c r="B421" i="101"/>
  <c r="I421" i="101"/>
  <c r="A418" i="101"/>
  <c r="D418" i="101" s="1"/>
  <c r="J418" i="101" s="1"/>
  <c r="I418" i="101"/>
  <c r="B416" i="101"/>
  <c r="B413" i="101"/>
  <c r="I413" i="101"/>
  <c r="A410" i="101"/>
  <c r="I410" i="101"/>
  <c r="B408" i="101"/>
  <c r="B405" i="101"/>
  <c r="I405" i="101"/>
  <c r="A402" i="101"/>
  <c r="I402" i="101"/>
  <c r="B400" i="101"/>
  <c r="C400" i="101" s="1"/>
  <c r="B397" i="101"/>
  <c r="I397" i="101"/>
  <c r="A394" i="101"/>
  <c r="D394" i="101" s="1"/>
  <c r="J394" i="101" s="1"/>
  <c r="I394" i="101"/>
  <c r="B392" i="101"/>
  <c r="B389" i="101"/>
  <c r="I389" i="101"/>
  <c r="A386" i="101"/>
  <c r="I386" i="101"/>
  <c r="B384" i="101"/>
  <c r="B381" i="101"/>
  <c r="I381" i="101"/>
  <c r="A378" i="101"/>
  <c r="I378" i="101"/>
  <c r="B376" i="101"/>
  <c r="B373" i="101"/>
  <c r="I373" i="101"/>
  <c r="A370" i="101"/>
  <c r="I370" i="101"/>
  <c r="B368" i="101"/>
  <c r="C368" i="101" s="1"/>
  <c r="B365" i="101"/>
  <c r="I365" i="101"/>
  <c r="A362" i="101"/>
  <c r="C362" i="101" s="1"/>
  <c r="I362" i="101"/>
  <c r="B360" i="101"/>
  <c r="A358" i="101"/>
  <c r="D358" i="101" s="1"/>
  <c r="J358" i="101" s="1"/>
  <c r="A355" i="101"/>
  <c r="B353" i="101"/>
  <c r="C353" i="101" s="1"/>
  <c r="I353" i="101"/>
  <c r="B352" i="101"/>
  <c r="B350" i="101"/>
  <c r="I350" i="101"/>
  <c r="A349" i="101"/>
  <c r="D349" i="101" s="1"/>
  <c r="J349" i="101" s="1"/>
  <c r="B347" i="101"/>
  <c r="C347" i="101" s="1"/>
  <c r="I347" i="101"/>
  <c r="A344" i="101"/>
  <c r="I344" i="101"/>
  <c r="A342" i="101"/>
  <c r="D342" i="101" s="1"/>
  <c r="J342" i="101" s="1"/>
  <c r="A339" i="101"/>
  <c r="B337" i="101"/>
  <c r="C337" i="101" s="1"/>
  <c r="I337" i="101"/>
  <c r="B336" i="101"/>
  <c r="B334" i="101"/>
  <c r="I334" i="101"/>
  <c r="A333" i="101"/>
  <c r="D333" i="101" s="1"/>
  <c r="J333" i="101" s="1"/>
  <c r="B331" i="101"/>
  <c r="C331" i="101" s="1"/>
  <c r="I331" i="101"/>
  <c r="A328" i="101"/>
  <c r="I328" i="101"/>
  <c r="A326" i="101"/>
  <c r="D326" i="101" s="1"/>
  <c r="J326" i="101" s="1"/>
  <c r="A323" i="101"/>
  <c r="B321" i="101"/>
  <c r="C321" i="101" s="1"/>
  <c r="I321" i="101"/>
  <c r="B320" i="101"/>
  <c r="B318" i="101"/>
  <c r="I318" i="101"/>
  <c r="A317" i="101"/>
  <c r="D317" i="101" s="1"/>
  <c r="J317" i="101" s="1"/>
  <c r="B315" i="101"/>
  <c r="I315" i="101"/>
  <c r="B313" i="101"/>
  <c r="C313" i="101" s="1"/>
  <c r="I313" i="101"/>
  <c r="B311" i="101"/>
  <c r="I311" i="101"/>
  <c r="A311" i="101"/>
  <c r="A310" i="101"/>
  <c r="D310" i="101" s="1"/>
  <c r="J310" i="101" s="1"/>
  <c r="A304" i="101"/>
  <c r="I304" i="101"/>
  <c r="D303" i="101"/>
  <c r="J303" i="101" s="1"/>
  <c r="B301" i="101"/>
  <c r="C301" i="101" s="1"/>
  <c r="I301" i="101"/>
  <c r="B296" i="101"/>
  <c r="A292" i="101"/>
  <c r="I292" i="101"/>
  <c r="B292" i="101"/>
  <c r="A291" i="101"/>
  <c r="B289" i="101"/>
  <c r="I289" i="101"/>
  <c r="A289" i="101"/>
  <c r="D289" i="101" s="1"/>
  <c r="J289" i="101" s="1"/>
  <c r="A286" i="101"/>
  <c r="D286" i="101" s="1"/>
  <c r="J286" i="101" s="1"/>
  <c r="B282" i="101"/>
  <c r="C282" i="101" s="1"/>
  <c r="I282" i="101"/>
  <c r="A282" i="101"/>
  <c r="D282" i="101" s="1"/>
  <c r="J282" i="101" s="1"/>
  <c r="A280" i="101"/>
  <c r="I280" i="101"/>
  <c r="B278" i="101"/>
  <c r="I278" i="101"/>
  <c r="B274" i="101"/>
  <c r="B271" i="101"/>
  <c r="A270" i="101"/>
  <c r="I266" i="101"/>
  <c r="A266" i="101"/>
  <c r="B261" i="101"/>
  <c r="C261" i="101" s="1"/>
  <c r="B258" i="101"/>
  <c r="A255" i="101"/>
  <c r="A251" i="101"/>
  <c r="D251" i="101" s="1"/>
  <c r="J251" i="101" s="1"/>
  <c r="I251" i="101"/>
  <c r="A250" i="101"/>
  <c r="B248" i="101"/>
  <c r="I248" i="101"/>
  <c r="A248" i="101"/>
  <c r="D248" i="101" s="1"/>
  <c r="J248" i="101" s="1"/>
  <c r="B243" i="101"/>
  <c r="B237" i="101"/>
  <c r="C237" i="101" s="1"/>
  <c r="A233" i="101"/>
  <c r="D233" i="101" s="1"/>
  <c r="J233" i="101" s="1"/>
  <c r="I233" i="101"/>
  <c r="B233" i="101"/>
  <c r="I231" i="101"/>
  <c r="B231" i="101"/>
  <c r="C231" i="101" s="1"/>
  <c r="A202" i="101"/>
  <c r="D202" i="101" s="1"/>
  <c r="J202" i="101" s="1"/>
  <c r="I202" i="101"/>
  <c r="B202" i="101"/>
  <c r="B197" i="101"/>
  <c r="I197" i="101"/>
  <c r="I195" i="101"/>
  <c r="A195" i="101"/>
  <c r="B195" i="101"/>
  <c r="C195" i="101" s="1"/>
  <c r="I191" i="101"/>
  <c r="A191" i="101"/>
  <c r="B191" i="101"/>
  <c r="I184" i="101"/>
  <c r="B184" i="101"/>
  <c r="C184" i="101" s="1"/>
  <c r="A184" i="101"/>
  <c r="A479" i="101"/>
  <c r="D479" i="101" s="1"/>
  <c r="J479" i="101" s="1"/>
  <c r="I479" i="101"/>
  <c r="A474" i="101"/>
  <c r="I474" i="101"/>
  <c r="A472" i="101"/>
  <c r="I472" i="101"/>
  <c r="A463" i="101"/>
  <c r="D463" i="101" s="1"/>
  <c r="J463" i="101" s="1"/>
  <c r="I463" i="101"/>
  <c r="A458" i="101"/>
  <c r="I458" i="101"/>
  <c r="A456" i="101"/>
  <c r="I456" i="101"/>
  <c r="A447" i="101"/>
  <c r="D447" i="101" s="1"/>
  <c r="J447" i="101" s="1"/>
  <c r="I447" i="101"/>
  <c r="A444" i="101"/>
  <c r="C444" i="101" s="1"/>
  <c r="I444" i="101"/>
  <c r="A439" i="101"/>
  <c r="I439" i="101"/>
  <c r="A436" i="101"/>
  <c r="D436" i="101" s="1"/>
  <c r="J436" i="101" s="1"/>
  <c r="I436" i="101"/>
  <c r="A431" i="101"/>
  <c r="I431" i="101"/>
  <c r="A428" i="101"/>
  <c r="I428" i="101"/>
  <c r="A423" i="101"/>
  <c r="I423" i="101"/>
  <c r="A420" i="101"/>
  <c r="C420" i="101" s="1"/>
  <c r="I420" i="101"/>
  <c r="A415" i="101"/>
  <c r="I415" i="101"/>
  <c r="A412" i="101"/>
  <c r="C412" i="101" s="1"/>
  <c r="I412" i="101"/>
  <c r="A407" i="101"/>
  <c r="I407" i="101"/>
  <c r="A404" i="101"/>
  <c r="D404" i="101" s="1"/>
  <c r="J404" i="101" s="1"/>
  <c r="I404" i="101"/>
  <c r="A399" i="101"/>
  <c r="I399" i="101"/>
  <c r="A396" i="101"/>
  <c r="I396" i="101"/>
  <c r="A391" i="101"/>
  <c r="I391" i="101"/>
  <c r="A388" i="101"/>
  <c r="C388" i="101" s="1"/>
  <c r="I388" i="101"/>
  <c r="A383" i="101"/>
  <c r="I383" i="101"/>
  <c r="A380" i="101"/>
  <c r="C380" i="101" s="1"/>
  <c r="I380" i="101"/>
  <c r="A375" i="101"/>
  <c r="I375" i="101"/>
  <c r="A372" i="101"/>
  <c r="D372" i="101" s="1"/>
  <c r="J372" i="101" s="1"/>
  <c r="I372" i="101"/>
  <c r="A367" i="101"/>
  <c r="I367" i="101"/>
  <c r="A364" i="101"/>
  <c r="I364" i="101"/>
  <c r="A359" i="101"/>
  <c r="I359" i="101"/>
  <c r="B357" i="101"/>
  <c r="C357" i="101" s="1"/>
  <c r="I357" i="101"/>
  <c r="B354" i="101"/>
  <c r="I354" i="101"/>
  <c r="B351" i="101"/>
  <c r="C351" i="101" s="1"/>
  <c r="I351" i="101"/>
  <c r="A348" i="101"/>
  <c r="I348" i="101"/>
  <c r="D347" i="101"/>
  <c r="J347" i="101" s="1"/>
  <c r="C343" i="101"/>
  <c r="B341" i="101"/>
  <c r="C341" i="101" s="1"/>
  <c r="I341" i="101"/>
  <c r="B338" i="101"/>
  <c r="I338" i="101"/>
  <c r="B335" i="101"/>
  <c r="C335" i="101" s="1"/>
  <c r="I335" i="101"/>
  <c r="A332" i="101"/>
  <c r="I332" i="101"/>
  <c r="D331" i="101"/>
  <c r="J331" i="101" s="1"/>
  <c r="B325" i="101"/>
  <c r="C325" i="101" s="1"/>
  <c r="I325" i="101"/>
  <c r="B322" i="101"/>
  <c r="I322" i="101"/>
  <c r="B319" i="101"/>
  <c r="C319" i="101" s="1"/>
  <c r="I319" i="101"/>
  <c r="C315" i="101"/>
  <c r="D315" i="101"/>
  <c r="J315" i="101" s="1"/>
  <c r="B307" i="101"/>
  <c r="C307" i="101" s="1"/>
  <c r="I307" i="101"/>
  <c r="B299" i="101"/>
  <c r="C299" i="101" s="1"/>
  <c r="I299" i="101"/>
  <c r="B297" i="101"/>
  <c r="C297" i="101" s="1"/>
  <c r="I297" i="101"/>
  <c r="B295" i="101"/>
  <c r="I295" i="101"/>
  <c r="A295" i="101"/>
  <c r="A288" i="101"/>
  <c r="I288" i="101"/>
  <c r="D287" i="101"/>
  <c r="J287" i="101" s="1"/>
  <c r="B285" i="101"/>
  <c r="C285" i="101" s="1"/>
  <c r="I285" i="101"/>
  <c r="B276" i="101"/>
  <c r="I276" i="101"/>
  <c r="A276" i="101"/>
  <c r="A273" i="101"/>
  <c r="D273" i="101" s="1"/>
  <c r="J273" i="101" s="1"/>
  <c r="I273" i="101"/>
  <c r="D272" i="101"/>
  <c r="J272" i="101" s="1"/>
  <c r="C271" i="101"/>
  <c r="D271" i="101"/>
  <c r="J271" i="101" s="1"/>
  <c r="A269" i="101"/>
  <c r="D269" i="101" s="1"/>
  <c r="J269" i="101" s="1"/>
  <c r="I269" i="101"/>
  <c r="A267" i="101"/>
  <c r="I267" i="101"/>
  <c r="B260" i="101"/>
  <c r="I260" i="101"/>
  <c r="A260" i="101"/>
  <c r="A257" i="101"/>
  <c r="D257" i="101" s="1"/>
  <c r="J257" i="101" s="1"/>
  <c r="I257" i="101"/>
  <c r="I254" i="101"/>
  <c r="A254" i="101"/>
  <c r="C254" i="101" s="1"/>
  <c r="A241" i="101"/>
  <c r="D241" i="101" s="1"/>
  <c r="J241" i="101" s="1"/>
  <c r="I241" i="101"/>
  <c r="B236" i="101"/>
  <c r="C236" i="101" s="1"/>
  <c r="I236" i="101"/>
  <c r="B228" i="101"/>
  <c r="C228" i="101" s="1"/>
  <c r="I228" i="101"/>
  <c r="I226" i="101"/>
  <c r="A226" i="101"/>
  <c r="B226" i="101"/>
  <c r="I222" i="101"/>
  <c r="A222" i="101"/>
  <c r="D222" i="101" s="1"/>
  <c r="J222" i="101" s="1"/>
  <c r="B222" i="101"/>
  <c r="I215" i="101"/>
  <c r="A215" i="101"/>
  <c r="B201" i="101"/>
  <c r="I201" i="101"/>
  <c r="I199" i="101"/>
  <c r="A199" i="101"/>
  <c r="B199" i="101"/>
  <c r="A197" i="101"/>
  <c r="D197" i="101" s="1"/>
  <c r="J197" i="101" s="1"/>
  <c r="A194" i="101"/>
  <c r="D194" i="101" s="1"/>
  <c r="J194" i="101" s="1"/>
  <c r="I194" i="101"/>
  <c r="B194" i="101"/>
  <c r="A190" i="101"/>
  <c r="D190" i="101" s="1"/>
  <c r="J190" i="101" s="1"/>
  <c r="I190" i="101"/>
  <c r="B190" i="101"/>
  <c r="I188" i="101"/>
  <c r="A188" i="101"/>
  <c r="B188" i="101"/>
  <c r="D161" i="101"/>
  <c r="J161" i="101" s="1"/>
  <c r="B216" i="101"/>
  <c r="I216" i="101"/>
  <c r="B213" i="101"/>
  <c r="I213" i="101"/>
  <c r="A210" i="101"/>
  <c r="D210" i="101" s="1"/>
  <c r="J210" i="101" s="1"/>
  <c r="I210" i="101"/>
  <c r="A206" i="101"/>
  <c r="D206" i="101" s="1"/>
  <c r="J206" i="101" s="1"/>
  <c r="I206" i="101"/>
  <c r="B185" i="101"/>
  <c r="I185" i="101"/>
  <c r="A182" i="101"/>
  <c r="I182" i="101"/>
  <c r="B181" i="101"/>
  <c r="I181" i="101"/>
  <c r="A180" i="101"/>
  <c r="C180" i="101" s="1"/>
  <c r="A178" i="101"/>
  <c r="D178" i="101" s="1"/>
  <c r="J178" i="101" s="1"/>
  <c r="I178" i="101"/>
  <c r="A176" i="101"/>
  <c r="C176" i="101" s="1"/>
  <c r="A174" i="101"/>
  <c r="D174" i="101" s="1"/>
  <c r="J174" i="101" s="1"/>
  <c r="I174" i="101"/>
  <c r="A172" i="101"/>
  <c r="C172" i="101" s="1"/>
  <c r="A170" i="101"/>
  <c r="D170" i="101" s="1"/>
  <c r="J170" i="101" s="1"/>
  <c r="I170" i="101"/>
  <c r="A166" i="101"/>
  <c r="D166" i="101" s="1"/>
  <c r="J166" i="101" s="1"/>
  <c r="I166" i="101"/>
  <c r="B123" i="101"/>
  <c r="A123" i="101"/>
  <c r="B121" i="101"/>
  <c r="I121" i="101"/>
  <c r="A114" i="101"/>
  <c r="C114" i="101" s="1"/>
  <c r="I114" i="101"/>
  <c r="B107" i="101"/>
  <c r="A107" i="101"/>
  <c r="B105" i="101"/>
  <c r="I105" i="101"/>
  <c r="B91" i="101"/>
  <c r="I91" i="101"/>
  <c r="A91" i="101"/>
  <c r="B89" i="101"/>
  <c r="I89" i="101"/>
  <c r="B83" i="101"/>
  <c r="I83" i="101"/>
  <c r="A43" i="101"/>
  <c r="I43" i="101"/>
  <c r="I203" i="101"/>
  <c r="I155" i="101"/>
  <c r="I139" i="101"/>
  <c r="I123" i="101"/>
  <c r="I107" i="101"/>
  <c r="A316" i="101"/>
  <c r="I316" i="101"/>
  <c r="B309" i="101"/>
  <c r="C309" i="101" s="1"/>
  <c r="I309" i="101"/>
  <c r="B306" i="101"/>
  <c r="I306" i="101"/>
  <c r="A300" i="101"/>
  <c r="I300" i="101"/>
  <c r="B293" i="101"/>
  <c r="C293" i="101" s="1"/>
  <c r="I293" i="101"/>
  <c r="B290" i="101"/>
  <c r="I290" i="101"/>
  <c r="A284" i="101"/>
  <c r="I284" i="101"/>
  <c r="B277" i="101"/>
  <c r="C277" i="101" s="1"/>
  <c r="I277" i="101"/>
  <c r="B272" i="101"/>
  <c r="C272" i="101" s="1"/>
  <c r="I272" i="101"/>
  <c r="B264" i="101"/>
  <c r="C264" i="101" s="1"/>
  <c r="I264" i="101"/>
  <c r="B256" i="101"/>
  <c r="C256" i="101" s="1"/>
  <c r="I256" i="101"/>
  <c r="B252" i="101"/>
  <c r="I252" i="101"/>
  <c r="A249" i="101"/>
  <c r="D249" i="101" s="1"/>
  <c r="J249" i="101" s="1"/>
  <c r="I249" i="101"/>
  <c r="B227" i="101"/>
  <c r="B224" i="101"/>
  <c r="C224" i="101" s="1"/>
  <c r="I224" i="101"/>
  <c r="B223" i="101"/>
  <c r="B220" i="101"/>
  <c r="I220" i="101"/>
  <c r="A217" i="101"/>
  <c r="D217" i="101" s="1"/>
  <c r="J217" i="101" s="1"/>
  <c r="I217" i="101"/>
  <c r="A216" i="101"/>
  <c r="D216" i="101" s="1"/>
  <c r="J216" i="101" s="1"/>
  <c r="A213" i="101"/>
  <c r="D213" i="101" s="1"/>
  <c r="J213" i="101" s="1"/>
  <c r="B200" i="101"/>
  <c r="C200" i="101" s="1"/>
  <c r="B196" i="101"/>
  <c r="C196" i="101" s="1"/>
  <c r="B193" i="101"/>
  <c r="C193" i="101" s="1"/>
  <c r="I193" i="101"/>
  <c r="B192" i="101"/>
  <c r="C192" i="101" s="1"/>
  <c r="B189" i="101"/>
  <c r="I189" i="101"/>
  <c r="A186" i="101"/>
  <c r="D186" i="101" s="1"/>
  <c r="J186" i="101" s="1"/>
  <c r="I186" i="101"/>
  <c r="A185" i="101"/>
  <c r="D185" i="101" s="1"/>
  <c r="J185" i="101" s="1"/>
  <c r="A181" i="101"/>
  <c r="D181" i="101" s="1"/>
  <c r="J181" i="101" s="1"/>
  <c r="A164" i="101"/>
  <c r="D164" i="101" s="1"/>
  <c r="J164" i="101" s="1"/>
  <c r="A163" i="101"/>
  <c r="A160" i="101"/>
  <c r="D160" i="101" s="1"/>
  <c r="J160" i="101" s="1"/>
  <c r="A159" i="101"/>
  <c r="I156" i="101"/>
  <c r="B156" i="101"/>
  <c r="I152" i="101"/>
  <c r="B152" i="101"/>
  <c r="I148" i="101"/>
  <c r="B148" i="101"/>
  <c r="C148" i="101" s="1"/>
  <c r="I144" i="101"/>
  <c r="B144" i="101"/>
  <c r="I140" i="101"/>
  <c r="B140" i="101"/>
  <c r="I136" i="101"/>
  <c r="B136" i="101"/>
  <c r="I132" i="101"/>
  <c r="B132" i="101"/>
  <c r="C132" i="101" s="1"/>
  <c r="I128" i="101"/>
  <c r="B128" i="101"/>
  <c r="I124" i="101"/>
  <c r="B124" i="101"/>
  <c r="A118" i="101"/>
  <c r="D118" i="101" s="1"/>
  <c r="J118" i="101" s="1"/>
  <c r="I118" i="101"/>
  <c r="B114" i="101"/>
  <c r="B111" i="101"/>
  <c r="A111" i="101"/>
  <c r="B109" i="101"/>
  <c r="I109" i="101"/>
  <c r="B95" i="101"/>
  <c r="I95" i="101"/>
  <c r="A95" i="101"/>
  <c r="B93" i="101"/>
  <c r="I93" i="101"/>
  <c r="A56" i="101"/>
  <c r="D56" i="101" s="1"/>
  <c r="J56" i="101" s="1"/>
  <c r="I56" i="101"/>
  <c r="A49" i="101"/>
  <c r="D49" i="101" s="1"/>
  <c r="J49" i="101" s="1"/>
  <c r="I49" i="101"/>
  <c r="B49" i="101"/>
  <c r="A24" i="101"/>
  <c r="I24" i="101"/>
  <c r="A17" i="101"/>
  <c r="C17" i="101" s="1"/>
  <c r="I17" i="101"/>
  <c r="B17" i="101"/>
  <c r="I151" i="101"/>
  <c r="I135" i="101"/>
  <c r="B166" i="101"/>
  <c r="C166" i="101" s="1"/>
  <c r="A162" i="101"/>
  <c r="I162" i="101"/>
  <c r="B161" i="101"/>
  <c r="C161" i="101" s="1"/>
  <c r="I161" i="101"/>
  <c r="A158" i="101"/>
  <c r="I158" i="101"/>
  <c r="B157" i="101"/>
  <c r="C157" i="101" s="1"/>
  <c r="I157" i="101"/>
  <c r="A155" i="101"/>
  <c r="B153" i="101"/>
  <c r="C153" i="101" s="1"/>
  <c r="I153" i="101"/>
  <c r="A151" i="101"/>
  <c r="B149" i="101"/>
  <c r="C149" i="101" s="1"/>
  <c r="I149" i="101"/>
  <c r="A147" i="101"/>
  <c r="B145" i="101"/>
  <c r="C145" i="101" s="1"/>
  <c r="I145" i="101"/>
  <c r="A143" i="101"/>
  <c r="B141" i="101"/>
  <c r="C141" i="101" s="1"/>
  <c r="I141" i="101"/>
  <c r="A139" i="101"/>
  <c r="B137" i="101"/>
  <c r="C137" i="101" s="1"/>
  <c r="I137" i="101"/>
  <c r="A135" i="101"/>
  <c r="B133" i="101"/>
  <c r="C133" i="101" s="1"/>
  <c r="I133" i="101"/>
  <c r="A131" i="101"/>
  <c r="B129" i="101"/>
  <c r="C129" i="101" s="1"/>
  <c r="I129" i="101"/>
  <c r="A127" i="101"/>
  <c r="B125" i="101"/>
  <c r="C125" i="101" s="1"/>
  <c r="I125" i="101"/>
  <c r="A122" i="101"/>
  <c r="C122" i="101" s="1"/>
  <c r="I122" i="101"/>
  <c r="B115" i="101"/>
  <c r="A115" i="101"/>
  <c r="B113" i="101"/>
  <c r="I113" i="101"/>
  <c r="A106" i="101"/>
  <c r="I106" i="101"/>
  <c r="B99" i="101"/>
  <c r="I99" i="101"/>
  <c r="A99" i="101"/>
  <c r="B97" i="101"/>
  <c r="I97" i="101"/>
  <c r="A79" i="101"/>
  <c r="D79" i="101" s="1"/>
  <c r="J79" i="101" s="1"/>
  <c r="I79" i="101"/>
  <c r="A76" i="101"/>
  <c r="I76" i="101"/>
  <c r="A69" i="101"/>
  <c r="I69" i="101"/>
  <c r="A59" i="101"/>
  <c r="I59" i="101"/>
  <c r="A27" i="101"/>
  <c r="D27" i="101" s="1"/>
  <c r="J27" i="101" s="1"/>
  <c r="I27" i="101"/>
  <c r="A8" i="101"/>
  <c r="I8" i="101"/>
  <c r="I147" i="101"/>
  <c r="I131" i="101"/>
  <c r="I115" i="101"/>
  <c r="C186" i="101"/>
  <c r="B177" i="101"/>
  <c r="C177" i="101" s="1"/>
  <c r="I177" i="101"/>
  <c r="B173" i="101"/>
  <c r="C173" i="101" s="1"/>
  <c r="I173" i="101"/>
  <c r="B169" i="101"/>
  <c r="C169" i="101" s="1"/>
  <c r="I169" i="101"/>
  <c r="B165" i="101"/>
  <c r="C165" i="101" s="1"/>
  <c r="I165" i="101"/>
  <c r="A154" i="101"/>
  <c r="I154" i="101"/>
  <c r="A150" i="101"/>
  <c r="I150" i="101"/>
  <c r="A146" i="101"/>
  <c r="I146" i="101"/>
  <c r="A142" i="101"/>
  <c r="I142" i="101"/>
  <c r="A138" i="101"/>
  <c r="I138" i="101"/>
  <c r="A134" i="101"/>
  <c r="I134" i="101"/>
  <c r="A130" i="101"/>
  <c r="I130" i="101"/>
  <c r="A126" i="101"/>
  <c r="I126" i="101"/>
  <c r="B119" i="101"/>
  <c r="A119" i="101"/>
  <c r="B117" i="101"/>
  <c r="I117" i="101"/>
  <c r="A110" i="101"/>
  <c r="C110" i="101" s="1"/>
  <c r="I110" i="101"/>
  <c r="B103" i="101"/>
  <c r="A103" i="101"/>
  <c r="B101" i="101"/>
  <c r="I101" i="101"/>
  <c r="A84" i="101"/>
  <c r="I84" i="101"/>
  <c r="A81" i="101"/>
  <c r="I81" i="101"/>
  <c r="B81" i="101"/>
  <c r="A75" i="101"/>
  <c r="D75" i="101" s="1"/>
  <c r="J75" i="101" s="1"/>
  <c r="I75" i="101"/>
  <c r="A72" i="101"/>
  <c r="I72" i="101"/>
  <c r="B69" i="101"/>
  <c r="C69" i="101" s="1"/>
  <c r="A65" i="101"/>
  <c r="D65" i="101" s="1"/>
  <c r="J65" i="101" s="1"/>
  <c r="I65" i="101"/>
  <c r="B65" i="101"/>
  <c r="A40" i="101"/>
  <c r="D40" i="101" s="1"/>
  <c r="J40" i="101" s="1"/>
  <c r="I40" i="101"/>
  <c r="A33" i="101"/>
  <c r="I33" i="101"/>
  <c r="B33" i="101"/>
  <c r="C33" i="101" s="1"/>
  <c r="A11" i="101"/>
  <c r="D11" i="101" s="1"/>
  <c r="J11" i="101" s="1"/>
  <c r="I11" i="101"/>
  <c r="I303" i="101"/>
  <c r="I287" i="101"/>
  <c r="I143" i="101"/>
  <c r="I127" i="101"/>
  <c r="I111" i="101"/>
  <c r="A85" i="101"/>
  <c r="C85" i="101" s="1"/>
  <c r="I85" i="101"/>
  <c r="B82" i="101"/>
  <c r="I82" i="101"/>
  <c r="A77" i="101"/>
  <c r="C77" i="101" s="1"/>
  <c r="I77" i="101"/>
  <c r="A71" i="101"/>
  <c r="I71" i="101"/>
  <c r="A61" i="101"/>
  <c r="C61" i="101" s="1"/>
  <c r="I61" i="101"/>
  <c r="A55" i="101"/>
  <c r="I55" i="101"/>
  <c r="A45" i="101"/>
  <c r="C45" i="101" s="1"/>
  <c r="I45" i="101"/>
  <c r="A39" i="101"/>
  <c r="I39" i="101"/>
  <c r="A29" i="101"/>
  <c r="C29" i="101" s="1"/>
  <c r="I29" i="101"/>
  <c r="A23" i="101"/>
  <c r="I23" i="101"/>
  <c r="A13" i="101"/>
  <c r="I13" i="101"/>
  <c r="A7" i="101"/>
  <c r="I7" i="101"/>
  <c r="I102" i="101"/>
  <c r="I92" i="101"/>
  <c r="I60" i="101"/>
  <c r="I44" i="101"/>
  <c r="I28" i="101"/>
  <c r="I12" i="101"/>
  <c r="A98" i="101"/>
  <c r="I98" i="101"/>
  <c r="A94" i="101"/>
  <c r="D94" i="101" s="1"/>
  <c r="J94" i="101" s="1"/>
  <c r="I94" i="101"/>
  <c r="A90" i="101"/>
  <c r="I90" i="101"/>
  <c r="A73" i="101"/>
  <c r="D73" i="101" s="1"/>
  <c r="J73" i="101" s="1"/>
  <c r="I73" i="101"/>
  <c r="A67" i="101"/>
  <c r="I67" i="101"/>
  <c r="A57" i="101"/>
  <c r="D57" i="101" s="1"/>
  <c r="J57" i="101" s="1"/>
  <c r="I57" i="101"/>
  <c r="A51" i="101"/>
  <c r="I51" i="101"/>
  <c r="A41" i="101"/>
  <c r="D41" i="101" s="1"/>
  <c r="J41" i="101" s="1"/>
  <c r="I41" i="101"/>
  <c r="A35" i="101"/>
  <c r="I35" i="101"/>
  <c r="A25" i="101"/>
  <c r="D25" i="101" s="1"/>
  <c r="J25" i="101" s="1"/>
  <c r="I25" i="101"/>
  <c r="A19" i="101"/>
  <c r="I19" i="101"/>
  <c r="B13" i="101"/>
  <c r="A9" i="101"/>
  <c r="I9" i="101"/>
  <c r="A3" i="101"/>
  <c r="I3" i="101"/>
  <c r="I88" i="101"/>
  <c r="A63" i="101"/>
  <c r="I63" i="101"/>
  <c r="B57" i="101"/>
  <c r="A53" i="101"/>
  <c r="C53" i="101" s="1"/>
  <c r="I53" i="101"/>
  <c r="A47" i="101"/>
  <c r="I47" i="101"/>
  <c r="B41" i="101"/>
  <c r="A37" i="101"/>
  <c r="I37" i="101"/>
  <c r="A31" i="101"/>
  <c r="I31" i="101"/>
  <c r="B25" i="101"/>
  <c r="A21" i="101"/>
  <c r="C21" i="101" s="1"/>
  <c r="I21" i="101"/>
  <c r="A15" i="101"/>
  <c r="I15" i="101"/>
  <c r="B9" i="101"/>
  <c r="A5" i="101"/>
  <c r="C5" i="101" s="1"/>
  <c r="I5" i="101"/>
  <c r="I120" i="101"/>
  <c r="I116" i="101"/>
  <c r="I112" i="101"/>
  <c r="I108" i="101"/>
  <c r="I104" i="101"/>
  <c r="I100" i="101"/>
  <c r="I68" i="101"/>
  <c r="I52" i="101"/>
  <c r="I36" i="101"/>
  <c r="I20" i="101"/>
  <c r="I4" i="101"/>
  <c r="D430" i="101"/>
  <c r="J430" i="101" s="1"/>
  <c r="C406" i="101"/>
  <c r="D398" i="101"/>
  <c r="J398" i="101" s="1"/>
  <c r="C390" i="101"/>
  <c r="D366" i="101"/>
  <c r="J366" i="101" s="1"/>
  <c r="C476" i="101"/>
  <c r="D476" i="101"/>
  <c r="J476" i="101" s="1"/>
  <c r="A473" i="101"/>
  <c r="D462" i="101"/>
  <c r="J462" i="101" s="1"/>
  <c r="C460" i="101"/>
  <c r="D460" i="101"/>
  <c r="J460" i="101" s="1"/>
  <c r="A457" i="101"/>
  <c r="D443" i="101"/>
  <c r="J443" i="101" s="1"/>
  <c r="C440" i="101"/>
  <c r="D440" i="101"/>
  <c r="J440" i="101" s="1"/>
  <c r="D435" i="101"/>
  <c r="J435" i="101" s="1"/>
  <c r="D432" i="101"/>
  <c r="J432" i="101" s="1"/>
  <c r="D427" i="101"/>
  <c r="J427" i="101" s="1"/>
  <c r="C424" i="101"/>
  <c r="D424" i="101"/>
  <c r="J424" i="101" s="1"/>
  <c r="D419" i="101"/>
  <c r="J419" i="101" s="1"/>
  <c r="C416" i="101"/>
  <c r="D416" i="101"/>
  <c r="J416" i="101" s="1"/>
  <c r="D411" i="101"/>
  <c r="J411" i="101" s="1"/>
  <c r="C408" i="101"/>
  <c r="D408" i="101"/>
  <c r="J408" i="101" s="1"/>
  <c r="D403" i="101"/>
  <c r="J403" i="101" s="1"/>
  <c r="D400" i="101"/>
  <c r="J400" i="101" s="1"/>
  <c r="D395" i="101"/>
  <c r="J395" i="101" s="1"/>
  <c r="C392" i="101"/>
  <c r="D392" i="101"/>
  <c r="J392" i="101" s="1"/>
  <c r="D387" i="101"/>
  <c r="J387" i="101" s="1"/>
  <c r="C384" i="101"/>
  <c r="D384" i="101"/>
  <c r="J384" i="101" s="1"/>
  <c r="D379" i="101"/>
  <c r="J379" i="101" s="1"/>
  <c r="C376" i="101"/>
  <c r="D376" i="101"/>
  <c r="J376" i="101" s="1"/>
  <c r="D371" i="101"/>
  <c r="J371" i="101" s="1"/>
  <c r="D368" i="101"/>
  <c r="J368" i="101" s="1"/>
  <c r="D363" i="101"/>
  <c r="J363" i="101" s="1"/>
  <c r="C360" i="101"/>
  <c r="D360" i="101"/>
  <c r="J360" i="101" s="1"/>
  <c r="C480" i="101"/>
  <c r="D480" i="101"/>
  <c r="J480" i="101" s="1"/>
  <c r="C477" i="101"/>
  <c r="D477" i="101"/>
  <c r="J477" i="101" s="1"/>
  <c r="C464" i="101"/>
  <c r="D464" i="101"/>
  <c r="J464" i="101" s="1"/>
  <c r="C448" i="101"/>
  <c r="D448" i="101"/>
  <c r="J448" i="101" s="1"/>
  <c r="D438" i="101"/>
  <c r="J438" i="101" s="1"/>
  <c r="C438" i="101"/>
  <c r="C414" i="101"/>
  <c r="D382" i="101"/>
  <c r="J382" i="101" s="1"/>
  <c r="C382" i="101"/>
  <c r="C485" i="101"/>
  <c r="D485" i="101"/>
  <c r="J485" i="101" s="1"/>
  <c r="C472" i="101"/>
  <c r="D472" i="101"/>
  <c r="J472" i="101" s="1"/>
  <c r="D469" i="101"/>
  <c r="J469" i="101" s="1"/>
  <c r="C456" i="101"/>
  <c r="D456" i="101"/>
  <c r="J456" i="101" s="1"/>
  <c r="C442" i="101"/>
  <c r="D442" i="101"/>
  <c r="J442" i="101" s="1"/>
  <c r="C434" i="101"/>
  <c r="D434" i="101"/>
  <c r="J434" i="101" s="1"/>
  <c r="C426" i="101"/>
  <c r="C418" i="101"/>
  <c r="C410" i="101"/>
  <c r="D410" i="101"/>
  <c r="J410" i="101" s="1"/>
  <c r="C402" i="101"/>
  <c r="D402" i="101"/>
  <c r="J402" i="101" s="1"/>
  <c r="C394" i="101"/>
  <c r="C386" i="101"/>
  <c r="D386" i="101"/>
  <c r="J386" i="101" s="1"/>
  <c r="C378" i="101"/>
  <c r="D378" i="101"/>
  <c r="J378" i="101" s="1"/>
  <c r="D370" i="101"/>
  <c r="J370" i="101" s="1"/>
  <c r="C370" i="101"/>
  <c r="D362" i="101"/>
  <c r="J362" i="101" s="1"/>
  <c r="D461" i="101"/>
  <c r="J461" i="101" s="1"/>
  <c r="D446" i="101"/>
  <c r="J446" i="101" s="1"/>
  <c r="D422" i="101"/>
  <c r="J422" i="101" s="1"/>
  <c r="C422" i="101"/>
  <c r="D374" i="101"/>
  <c r="J374" i="101" s="1"/>
  <c r="C484" i="101"/>
  <c r="D484" i="101"/>
  <c r="J484" i="101" s="1"/>
  <c r="A481" i="101"/>
  <c r="C468" i="101"/>
  <c r="D468" i="101"/>
  <c r="J468" i="101" s="1"/>
  <c r="A465" i="101"/>
  <c r="D454" i="101"/>
  <c r="J454" i="101" s="1"/>
  <c r="D452" i="101"/>
  <c r="J452" i="101" s="1"/>
  <c r="A449" i="101"/>
  <c r="D439" i="101"/>
  <c r="J439" i="101" s="1"/>
  <c r="C436" i="101"/>
  <c r="D431" i="101"/>
  <c r="J431" i="101" s="1"/>
  <c r="C428" i="101"/>
  <c r="D428" i="101"/>
  <c r="J428" i="101" s="1"/>
  <c r="D423" i="101"/>
  <c r="J423" i="101" s="1"/>
  <c r="D420" i="101"/>
  <c r="J420" i="101" s="1"/>
  <c r="D415" i="101"/>
  <c r="J415" i="101" s="1"/>
  <c r="D407" i="101"/>
  <c r="J407" i="101" s="1"/>
  <c r="C404" i="101"/>
  <c r="D399" i="101"/>
  <c r="J399" i="101" s="1"/>
  <c r="C396" i="101"/>
  <c r="D396" i="101"/>
  <c r="J396" i="101" s="1"/>
  <c r="D391" i="101"/>
  <c r="J391" i="101" s="1"/>
  <c r="D388" i="101"/>
  <c r="J388" i="101" s="1"/>
  <c r="D383" i="101"/>
  <c r="J383" i="101" s="1"/>
  <c r="D375" i="101"/>
  <c r="J375" i="101" s="1"/>
  <c r="C372" i="101"/>
  <c r="D367" i="101"/>
  <c r="J367" i="101" s="1"/>
  <c r="C364" i="101"/>
  <c r="D364" i="101"/>
  <c r="J364" i="101" s="1"/>
  <c r="D359" i="101"/>
  <c r="J359" i="101" s="1"/>
  <c r="A417" i="101"/>
  <c r="A413" i="101"/>
  <c r="A409" i="101"/>
  <c r="A405" i="101"/>
  <c r="A369" i="101"/>
  <c r="A361" i="101"/>
  <c r="C239" i="101"/>
  <c r="D239" i="101"/>
  <c r="J239" i="101" s="1"/>
  <c r="C234" i="101"/>
  <c r="D218" i="101"/>
  <c r="J218" i="101" s="1"/>
  <c r="C218" i="101"/>
  <c r="D192" i="101"/>
  <c r="J192" i="101" s="1"/>
  <c r="D187" i="101"/>
  <c r="J187" i="101" s="1"/>
  <c r="D171" i="101"/>
  <c r="J171" i="101" s="1"/>
  <c r="C171" i="101"/>
  <c r="D76" i="101"/>
  <c r="J76" i="101" s="1"/>
  <c r="B66" i="101"/>
  <c r="A66" i="101"/>
  <c r="D60" i="101"/>
  <c r="J60" i="101" s="1"/>
  <c r="B50" i="101"/>
  <c r="A50" i="101"/>
  <c r="D44" i="101"/>
  <c r="J44" i="101" s="1"/>
  <c r="B34" i="101"/>
  <c r="A34" i="101"/>
  <c r="D28" i="101"/>
  <c r="J28" i="101" s="1"/>
  <c r="B18" i="101"/>
  <c r="A18" i="101"/>
  <c r="B487" i="101"/>
  <c r="B483" i="101"/>
  <c r="C483" i="101" s="1"/>
  <c r="B479" i="101"/>
  <c r="C479" i="101" s="1"/>
  <c r="B475" i="101"/>
  <c r="B471" i="101"/>
  <c r="C471" i="101" s="1"/>
  <c r="B467" i="101"/>
  <c r="C467" i="101" s="1"/>
  <c r="B463" i="101"/>
  <c r="C463" i="101" s="1"/>
  <c r="B459" i="101"/>
  <c r="C459" i="101" s="1"/>
  <c r="B455" i="101"/>
  <c r="C455" i="101" s="1"/>
  <c r="B451" i="101"/>
  <c r="C451" i="101" s="1"/>
  <c r="B447" i="101"/>
  <c r="C447" i="101" s="1"/>
  <c r="B443" i="101"/>
  <c r="C443" i="101" s="1"/>
  <c r="B439" i="101"/>
  <c r="C439" i="101" s="1"/>
  <c r="B435" i="101"/>
  <c r="C435" i="101" s="1"/>
  <c r="B431" i="101"/>
  <c r="C431" i="101" s="1"/>
  <c r="B427" i="101"/>
  <c r="C427" i="101" s="1"/>
  <c r="B423" i="101"/>
  <c r="C423" i="101" s="1"/>
  <c r="B419" i="101"/>
  <c r="C419" i="101" s="1"/>
  <c r="B415" i="101"/>
  <c r="C415" i="101" s="1"/>
  <c r="B411" i="101"/>
  <c r="C411" i="101" s="1"/>
  <c r="B407" i="101"/>
  <c r="C407" i="101" s="1"/>
  <c r="B403" i="101"/>
  <c r="C403" i="101" s="1"/>
  <c r="B399" i="101"/>
  <c r="C399" i="101" s="1"/>
  <c r="B395" i="101"/>
  <c r="C395" i="101" s="1"/>
  <c r="B391" i="101"/>
  <c r="C391" i="101" s="1"/>
  <c r="B387" i="101"/>
  <c r="C387" i="101" s="1"/>
  <c r="B383" i="101"/>
  <c r="C383" i="101" s="1"/>
  <c r="B379" i="101"/>
  <c r="C379" i="101" s="1"/>
  <c r="B375" i="101"/>
  <c r="C375" i="101" s="1"/>
  <c r="B371" i="101"/>
  <c r="C371" i="101" s="1"/>
  <c r="B367" i="101"/>
  <c r="C367" i="101" s="1"/>
  <c r="B363" i="101"/>
  <c r="C363" i="101" s="1"/>
  <c r="B359" i="101"/>
  <c r="C359" i="101" s="1"/>
  <c r="C252" i="101"/>
  <c r="C251" i="101"/>
  <c r="D246" i="101"/>
  <c r="J246" i="101" s="1"/>
  <c r="C246" i="101"/>
  <c r="C235" i="101"/>
  <c r="D235" i="101"/>
  <c r="J235" i="101" s="1"/>
  <c r="D230" i="101"/>
  <c r="J230" i="101" s="1"/>
  <c r="C230" i="101"/>
  <c r="C220" i="101"/>
  <c r="C219" i="101"/>
  <c r="D219" i="101"/>
  <c r="J219" i="101" s="1"/>
  <c r="D214" i="101"/>
  <c r="J214" i="101" s="1"/>
  <c r="C214" i="101"/>
  <c r="C205" i="101"/>
  <c r="C204" i="101"/>
  <c r="D204" i="101"/>
  <c r="J204" i="101" s="1"/>
  <c r="D199" i="101"/>
  <c r="J199" i="101" s="1"/>
  <c r="C199" i="101"/>
  <c r="C189" i="101"/>
  <c r="D188" i="101"/>
  <c r="J188" i="101" s="1"/>
  <c r="D183" i="101"/>
  <c r="J183" i="101" s="1"/>
  <c r="C183" i="101"/>
  <c r="D167" i="101"/>
  <c r="J167" i="101" s="1"/>
  <c r="C167" i="101"/>
  <c r="A437" i="101"/>
  <c r="A433" i="101"/>
  <c r="A429" i="101"/>
  <c r="A425" i="101"/>
  <c r="A397" i="101"/>
  <c r="A393" i="101"/>
  <c r="A373" i="101"/>
  <c r="C255" i="101"/>
  <c r="D255" i="101"/>
  <c r="J255" i="101" s="1"/>
  <c r="D250" i="101"/>
  <c r="J250" i="101" s="1"/>
  <c r="C250" i="101"/>
  <c r="C208" i="101"/>
  <c r="D208" i="101"/>
  <c r="J208" i="101" s="1"/>
  <c r="D12" i="101"/>
  <c r="J12" i="101" s="1"/>
  <c r="C358" i="101"/>
  <c r="C354" i="101"/>
  <c r="C350" i="101"/>
  <c r="C346" i="101"/>
  <c r="C342" i="101"/>
  <c r="C338" i="101"/>
  <c r="C334" i="101"/>
  <c r="C330" i="101"/>
  <c r="C326" i="101"/>
  <c r="C322" i="101"/>
  <c r="C318" i="101"/>
  <c r="C314" i="101"/>
  <c r="C310" i="101"/>
  <c r="C306" i="101"/>
  <c r="C302" i="101"/>
  <c r="C298" i="101"/>
  <c r="C294" i="101"/>
  <c r="C290" i="101"/>
  <c r="C286" i="101"/>
  <c r="C278" i="101"/>
  <c r="C248" i="101"/>
  <c r="C247" i="101"/>
  <c r="D242" i="101"/>
  <c r="J242" i="101" s="1"/>
  <c r="C242" i="101"/>
  <c r="C232" i="101"/>
  <c r="D231" i="101"/>
  <c r="J231" i="101" s="1"/>
  <c r="D226" i="101"/>
  <c r="J226" i="101" s="1"/>
  <c r="C216" i="101"/>
  <c r="C215" i="101"/>
  <c r="D215" i="101"/>
  <c r="J215" i="101" s="1"/>
  <c r="D211" i="101"/>
  <c r="J211" i="101" s="1"/>
  <c r="C211" i="101"/>
  <c r="C201" i="101"/>
  <c r="D200" i="101"/>
  <c r="J200" i="101" s="1"/>
  <c r="D195" i="101"/>
  <c r="J195" i="101" s="1"/>
  <c r="C185" i="101"/>
  <c r="D184" i="101"/>
  <c r="J184" i="101" s="1"/>
  <c r="D179" i="101"/>
  <c r="J179" i="101" s="1"/>
  <c r="C179" i="101"/>
  <c r="C168" i="101"/>
  <c r="D168" i="101"/>
  <c r="J168" i="101" s="1"/>
  <c r="A445" i="101"/>
  <c r="A441" i="101"/>
  <c r="A421" i="101"/>
  <c r="A401" i="101"/>
  <c r="A389" i="101"/>
  <c r="A385" i="101"/>
  <c r="A381" i="101"/>
  <c r="A377" i="101"/>
  <c r="A365" i="101"/>
  <c r="C223" i="101"/>
  <c r="D223" i="101"/>
  <c r="J223" i="101" s="1"/>
  <c r="D203" i="101"/>
  <c r="J203" i="101" s="1"/>
  <c r="C203" i="101"/>
  <c r="D254" i="101"/>
  <c r="J254" i="101" s="1"/>
  <c r="C244" i="101"/>
  <c r="C243" i="101"/>
  <c r="D243" i="101"/>
  <c r="J243" i="101" s="1"/>
  <c r="D238" i="101"/>
  <c r="J238" i="101" s="1"/>
  <c r="C238" i="101"/>
  <c r="C227" i="101"/>
  <c r="D227" i="101"/>
  <c r="J227" i="101" s="1"/>
  <c r="C213" i="101"/>
  <c r="C212" i="101"/>
  <c r="D207" i="101"/>
  <c r="J207" i="101" s="1"/>
  <c r="C207" i="101"/>
  <c r="C197" i="101"/>
  <c r="D196" i="101"/>
  <c r="J196" i="101" s="1"/>
  <c r="D191" i="101"/>
  <c r="J191" i="101" s="1"/>
  <c r="C191" i="101"/>
  <c r="C181" i="101"/>
  <c r="D180" i="101"/>
  <c r="J180" i="101" s="1"/>
  <c r="D175" i="101"/>
  <c r="J175" i="101" s="1"/>
  <c r="C175" i="101"/>
  <c r="A86" i="101"/>
  <c r="B86" i="101"/>
  <c r="C120" i="101"/>
  <c r="D120" i="101"/>
  <c r="J120" i="101" s="1"/>
  <c r="C116" i="101"/>
  <c r="D116" i="101"/>
  <c r="J116" i="101" s="1"/>
  <c r="C112" i="101"/>
  <c r="D112" i="101"/>
  <c r="J112" i="101" s="1"/>
  <c r="C108" i="101"/>
  <c r="D108" i="101"/>
  <c r="J108" i="101" s="1"/>
  <c r="C104" i="101"/>
  <c r="D104" i="101"/>
  <c r="J104" i="101" s="1"/>
  <c r="C100" i="101"/>
  <c r="D100" i="101"/>
  <c r="J100" i="101" s="1"/>
  <c r="C96" i="101"/>
  <c r="D96" i="101"/>
  <c r="J96" i="101" s="1"/>
  <c r="C92" i="101"/>
  <c r="D92" i="101"/>
  <c r="J92" i="101" s="1"/>
  <c r="C88" i="101"/>
  <c r="D88" i="101"/>
  <c r="J88" i="101" s="1"/>
  <c r="D85" i="101"/>
  <c r="J85" i="101" s="1"/>
  <c r="B78" i="101"/>
  <c r="A78" i="101"/>
  <c r="D72" i="101"/>
  <c r="J72" i="101" s="1"/>
  <c r="B62" i="101"/>
  <c r="A62" i="101"/>
  <c r="B46" i="101"/>
  <c r="A46" i="101"/>
  <c r="B30" i="101"/>
  <c r="A30" i="101"/>
  <c r="D24" i="101"/>
  <c r="J24" i="101" s="1"/>
  <c r="B14" i="101"/>
  <c r="A14" i="101"/>
  <c r="D8" i="101"/>
  <c r="J8" i="101" s="1"/>
  <c r="C156" i="101"/>
  <c r="C152" i="101"/>
  <c r="C144" i="101"/>
  <c r="C140" i="101"/>
  <c r="C136" i="101"/>
  <c r="C128" i="101"/>
  <c r="C124" i="101"/>
  <c r="C118" i="101"/>
  <c r="C106" i="101"/>
  <c r="C102" i="101"/>
  <c r="C98" i="101"/>
  <c r="C90" i="101"/>
  <c r="B74" i="101"/>
  <c r="A74" i="101"/>
  <c r="D68" i="101"/>
  <c r="J68" i="101" s="1"/>
  <c r="B58" i="101"/>
  <c r="A58" i="101"/>
  <c r="D52" i="101"/>
  <c r="J52" i="101" s="1"/>
  <c r="B42" i="101"/>
  <c r="A42" i="101"/>
  <c r="D36" i="101"/>
  <c r="J36" i="101" s="1"/>
  <c r="B26" i="101"/>
  <c r="A26" i="101"/>
  <c r="D20" i="101"/>
  <c r="J20" i="101" s="1"/>
  <c r="B10" i="101"/>
  <c r="A10" i="101"/>
  <c r="D4" i="101"/>
  <c r="J4" i="101" s="1"/>
  <c r="A121" i="101"/>
  <c r="A117" i="101"/>
  <c r="D114" i="101"/>
  <c r="J114" i="101" s="1"/>
  <c r="A113" i="101"/>
  <c r="A109" i="101"/>
  <c r="D106" i="101"/>
  <c r="J106" i="101" s="1"/>
  <c r="A105" i="101"/>
  <c r="D102" i="101"/>
  <c r="J102" i="101" s="1"/>
  <c r="A101" i="101"/>
  <c r="D98" i="101"/>
  <c r="J98" i="101" s="1"/>
  <c r="A97" i="101"/>
  <c r="A93" i="101"/>
  <c r="D90" i="101"/>
  <c r="J90" i="101" s="1"/>
  <c r="A89" i="101"/>
  <c r="A87" i="101"/>
  <c r="B87" i="101"/>
  <c r="D84" i="101"/>
  <c r="J84" i="101" s="1"/>
  <c r="C82" i="101"/>
  <c r="D82" i="101"/>
  <c r="J82" i="101" s="1"/>
  <c r="D80" i="101"/>
  <c r="J80" i="101" s="1"/>
  <c r="B70" i="101"/>
  <c r="A70" i="101"/>
  <c r="D64" i="101"/>
  <c r="J64" i="101" s="1"/>
  <c r="B54" i="101"/>
  <c r="A54" i="101"/>
  <c r="D48" i="101"/>
  <c r="J48" i="101" s="1"/>
  <c r="B38" i="101"/>
  <c r="A38" i="101"/>
  <c r="D32" i="101"/>
  <c r="J32" i="101" s="1"/>
  <c r="B22" i="101"/>
  <c r="A22" i="101"/>
  <c r="D16" i="101"/>
  <c r="J16" i="101" s="1"/>
  <c r="B6" i="101"/>
  <c r="A6" i="101"/>
  <c r="A83" i="101"/>
  <c r="D69" i="101"/>
  <c r="J69" i="101" s="1"/>
  <c r="C65" i="101"/>
  <c r="D53" i="101"/>
  <c r="J53" i="101" s="1"/>
  <c r="C49" i="101"/>
  <c r="C37" i="101"/>
  <c r="D37" i="101"/>
  <c r="J37" i="101" s="1"/>
  <c r="D33" i="101"/>
  <c r="J33" i="101" s="1"/>
  <c r="C25" i="101"/>
  <c r="D21" i="101"/>
  <c r="J21" i="101" s="1"/>
  <c r="D17" i="101"/>
  <c r="J17" i="101" s="1"/>
  <c r="C9" i="101"/>
  <c r="D9" i="101"/>
  <c r="J9" i="101" s="1"/>
  <c r="D71" i="101"/>
  <c r="J71" i="101" s="1"/>
  <c r="D67" i="101"/>
  <c r="J67" i="101" s="1"/>
  <c r="D63" i="101"/>
  <c r="J63" i="101" s="1"/>
  <c r="D59" i="101"/>
  <c r="J59" i="101" s="1"/>
  <c r="D55" i="101"/>
  <c r="J55" i="101" s="1"/>
  <c r="D51" i="101"/>
  <c r="J51" i="101" s="1"/>
  <c r="D47" i="101"/>
  <c r="J47" i="101" s="1"/>
  <c r="D43" i="101"/>
  <c r="J43" i="101" s="1"/>
  <c r="D39" i="101"/>
  <c r="J39" i="101" s="1"/>
  <c r="D35" i="101"/>
  <c r="J35" i="101" s="1"/>
  <c r="D31" i="101"/>
  <c r="J31" i="101" s="1"/>
  <c r="D23" i="101"/>
  <c r="J23" i="101" s="1"/>
  <c r="D19" i="101"/>
  <c r="J19" i="101" s="1"/>
  <c r="D15" i="101"/>
  <c r="J15" i="101" s="1"/>
  <c r="D7" i="101"/>
  <c r="J7" i="101" s="1"/>
  <c r="D3" i="101"/>
  <c r="J3" i="101" s="1"/>
  <c r="B84" i="101"/>
  <c r="C84" i="101" s="1"/>
  <c r="B80" i="101"/>
  <c r="C80" i="101" s="1"/>
  <c r="B76" i="101"/>
  <c r="C76" i="101" s="1"/>
  <c r="B72" i="101"/>
  <c r="C72" i="101" s="1"/>
  <c r="B68" i="101"/>
  <c r="C68" i="101" s="1"/>
  <c r="B64" i="101"/>
  <c r="C64" i="101" s="1"/>
  <c r="B60" i="101"/>
  <c r="C60" i="101" s="1"/>
  <c r="B56" i="101"/>
  <c r="B52" i="101"/>
  <c r="C52" i="101" s="1"/>
  <c r="B48" i="101"/>
  <c r="C48" i="101" s="1"/>
  <c r="B44" i="101"/>
  <c r="C44" i="101" s="1"/>
  <c r="B40" i="101"/>
  <c r="B36" i="101"/>
  <c r="C36" i="101" s="1"/>
  <c r="B32" i="101"/>
  <c r="C32" i="101" s="1"/>
  <c r="B28" i="101"/>
  <c r="C28" i="101" s="1"/>
  <c r="B24" i="101"/>
  <c r="C24" i="101" s="1"/>
  <c r="B20" i="101"/>
  <c r="C20" i="101" s="1"/>
  <c r="B16" i="101"/>
  <c r="C16" i="101" s="1"/>
  <c r="B12" i="101"/>
  <c r="C12" i="101" s="1"/>
  <c r="B8" i="101"/>
  <c r="C8" i="101" s="1"/>
  <c r="B4" i="101"/>
  <c r="C4" i="101" s="1"/>
  <c r="B79" i="101"/>
  <c r="B75" i="101"/>
  <c r="B71" i="101"/>
  <c r="C71" i="101" s="1"/>
  <c r="B67" i="101"/>
  <c r="C67" i="101" s="1"/>
  <c r="B63" i="101"/>
  <c r="C63" i="101" s="1"/>
  <c r="B59" i="101"/>
  <c r="C59" i="101" s="1"/>
  <c r="B55" i="101"/>
  <c r="C55" i="101" s="1"/>
  <c r="B51" i="101"/>
  <c r="C51" i="101" s="1"/>
  <c r="B47" i="101"/>
  <c r="C47" i="101" s="1"/>
  <c r="B43" i="101"/>
  <c r="B39" i="101"/>
  <c r="C39" i="101" s="1"/>
  <c r="B35" i="101"/>
  <c r="C35" i="101" s="1"/>
  <c r="B31" i="101"/>
  <c r="B27" i="101"/>
  <c r="B23" i="101"/>
  <c r="C23" i="101" s="1"/>
  <c r="B19" i="101"/>
  <c r="C19" i="101" s="1"/>
  <c r="B15" i="101"/>
  <c r="B11" i="101"/>
  <c r="B7" i="101"/>
  <c r="C7" i="101" s="1"/>
  <c r="B3" i="101"/>
  <c r="C3" i="101" s="1"/>
  <c r="D176" i="101" l="1"/>
  <c r="J176" i="101" s="1"/>
  <c r="D380" i="101"/>
  <c r="J380" i="101" s="1"/>
  <c r="D412" i="101"/>
  <c r="J412" i="101" s="1"/>
  <c r="D444" i="101"/>
  <c r="J444" i="101" s="1"/>
  <c r="D486" i="101"/>
  <c r="J486" i="101" s="1"/>
  <c r="D453" i="101"/>
  <c r="J453" i="101" s="1"/>
  <c r="C262" i="101"/>
  <c r="C13" i="101"/>
  <c r="C11" i="101"/>
  <c r="C27" i="101"/>
  <c r="C41" i="101"/>
  <c r="C57" i="101"/>
  <c r="C73" i="101"/>
  <c r="D110" i="101"/>
  <c r="J110" i="101" s="1"/>
  <c r="C164" i="101"/>
  <c r="C222" i="101"/>
  <c r="D172" i="101"/>
  <c r="J172" i="101" s="1"/>
  <c r="C15" i="101"/>
  <c r="C79" i="101"/>
  <c r="C487" i="101"/>
  <c r="C178" i="101"/>
  <c r="C188" i="101"/>
  <c r="C226" i="101"/>
  <c r="C305" i="101"/>
  <c r="C225" i="101"/>
  <c r="C253" i="101"/>
  <c r="C488" i="101"/>
  <c r="C265" i="101"/>
  <c r="C40" i="101"/>
  <c r="C56" i="101"/>
  <c r="D5" i="101"/>
  <c r="J5" i="101" s="1"/>
  <c r="D13" i="101"/>
  <c r="J13" i="101" s="1"/>
  <c r="D29" i="101"/>
  <c r="J29" i="101" s="1"/>
  <c r="D45" i="101"/>
  <c r="J45" i="101" s="1"/>
  <c r="D61" i="101"/>
  <c r="J61" i="101" s="1"/>
  <c r="D77" i="101"/>
  <c r="J77" i="101" s="1"/>
  <c r="D122" i="101"/>
  <c r="J122" i="101" s="1"/>
  <c r="C43" i="101"/>
  <c r="C75" i="101"/>
  <c r="C94" i="101"/>
  <c r="C475" i="101"/>
  <c r="D470" i="101"/>
  <c r="J470" i="101" s="1"/>
  <c r="C170" i="101"/>
  <c r="C194" i="101"/>
  <c r="C233" i="101"/>
  <c r="C31" i="101"/>
  <c r="C160" i="101"/>
  <c r="C174" i="101"/>
  <c r="C190" i="101"/>
  <c r="C289" i="101"/>
  <c r="D488" i="101"/>
  <c r="J488" i="101" s="1"/>
  <c r="C126" i="101"/>
  <c r="D126" i="101"/>
  <c r="J126" i="101" s="1"/>
  <c r="C134" i="101"/>
  <c r="D134" i="101"/>
  <c r="J134" i="101" s="1"/>
  <c r="C142" i="101"/>
  <c r="D142" i="101"/>
  <c r="J142" i="101" s="1"/>
  <c r="C150" i="101"/>
  <c r="D150" i="101"/>
  <c r="J150" i="101" s="1"/>
  <c r="D115" i="101"/>
  <c r="J115" i="101" s="1"/>
  <c r="C115" i="101"/>
  <c r="D135" i="101"/>
  <c r="J135" i="101" s="1"/>
  <c r="C135" i="101"/>
  <c r="D151" i="101"/>
  <c r="J151" i="101" s="1"/>
  <c r="C151" i="101"/>
  <c r="D163" i="101"/>
  <c r="J163" i="101" s="1"/>
  <c r="C163" i="101"/>
  <c r="D123" i="101"/>
  <c r="J123" i="101" s="1"/>
  <c r="C123" i="101"/>
  <c r="C260" i="101"/>
  <c r="D260" i="101"/>
  <c r="J260" i="101" s="1"/>
  <c r="C288" i="101"/>
  <c r="D288" i="101"/>
  <c r="J288" i="101" s="1"/>
  <c r="C304" i="101"/>
  <c r="D304" i="101"/>
  <c r="J304" i="101" s="1"/>
  <c r="C217" i="101"/>
  <c r="C317" i="101"/>
  <c r="C356" i="101"/>
  <c r="D356" i="101"/>
  <c r="J356" i="101" s="1"/>
  <c r="C466" i="101"/>
  <c r="D466" i="101"/>
  <c r="J466" i="101" s="1"/>
  <c r="C241" i="101"/>
  <c r="D258" i="101"/>
  <c r="J258" i="101" s="1"/>
  <c r="C258" i="101"/>
  <c r="C320" i="101"/>
  <c r="D320" i="101"/>
  <c r="J320" i="101" s="1"/>
  <c r="C462" i="101"/>
  <c r="D119" i="101"/>
  <c r="J119" i="101" s="1"/>
  <c r="C119" i="101"/>
  <c r="D99" i="101"/>
  <c r="J99" i="101" s="1"/>
  <c r="C99" i="101"/>
  <c r="D131" i="101"/>
  <c r="J131" i="101" s="1"/>
  <c r="C131" i="101"/>
  <c r="D147" i="101"/>
  <c r="J147" i="101" s="1"/>
  <c r="C147" i="101"/>
  <c r="C284" i="101"/>
  <c r="D284" i="101"/>
  <c r="J284" i="101" s="1"/>
  <c r="C316" i="101"/>
  <c r="D316" i="101"/>
  <c r="J316" i="101" s="1"/>
  <c r="D91" i="101"/>
  <c r="J91" i="101" s="1"/>
  <c r="C91" i="101"/>
  <c r="D182" i="101"/>
  <c r="J182" i="101" s="1"/>
  <c r="C182" i="101"/>
  <c r="C206" i="101"/>
  <c r="C267" i="101"/>
  <c r="D267" i="101"/>
  <c r="J267" i="101" s="1"/>
  <c r="C276" i="101"/>
  <c r="D276" i="101"/>
  <c r="J276" i="101" s="1"/>
  <c r="C295" i="101"/>
  <c r="D295" i="101"/>
  <c r="J295" i="101" s="1"/>
  <c r="C332" i="101"/>
  <c r="D332" i="101"/>
  <c r="J332" i="101" s="1"/>
  <c r="C474" i="101"/>
  <c r="D474" i="101"/>
  <c r="J474" i="101" s="1"/>
  <c r="D270" i="101"/>
  <c r="J270" i="101" s="1"/>
  <c r="C270" i="101"/>
  <c r="C229" i="101"/>
  <c r="D229" i="101"/>
  <c r="J229" i="101" s="1"/>
  <c r="C249" i="101"/>
  <c r="C283" i="101"/>
  <c r="D283" i="101"/>
  <c r="J283" i="101" s="1"/>
  <c r="C308" i="101"/>
  <c r="D308" i="101"/>
  <c r="J308" i="101" s="1"/>
  <c r="C333" i="101"/>
  <c r="C482" i="101"/>
  <c r="D482" i="101"/>
  <c r="J482" i="101" s="1"/>
  <c r="C198" i="101"/>
  <c r="D198" i="101"/>
  <c r="J198" i="101" s="1"/>
  <c r="D209" i="101"/>
  <c r="J209" i="101" s="1"/>
  <c r="C209" i="101"/>
  <c r="D274" i="101"/>
  <c r="J274" i="101" s="1"/>
  <c r="C274" i="101"/>
  <c r="C336" i="101"/>
  <c r="D336" i="101"/>
  <c r="J336" i="101" s="1"/>
  <c r="C273" i="101"/>
  <c r="D81" i="101"/>
  <c r="J81" i="101" s="1"/>
  <c r="C81" i="101"/>
  <c r="C130" i="101"/>
  <c r="D130" i="101"/>
  <c r="J130" i="101" s="1"/>
  <c r="C138" i="101"/>
  <c r="D138" i="101"/>
  <c r="J138" i="101" s="1"/>
  <c r="C146" i="101"/>
  <c r="D146" i="101"/>
  <c r="J146" i="101" s="1"/>
  <c r="C154" i="101"/>
  <c r="D154" i="101"/>
  <c r="J154" i="101" s="1"/>
  <c r="D127" i="101"/>
  <c r="J127" i="101" s="1"/>
  <c r="C127" i="101"/>
  <c r="D143" i="101"/>
  <c r="J143" i="101" s="1"/>
  <c r="C143" i="101"/>
  <c r="D95" i="101"/>
  <c r="J95" i="101" s="1"/>
  <c r="C95" i="101"/>
  <c r="D159" i="101"/>
  <c r="J159" i="101" s="1"/>
  <c r="C159" i="101"/>
  <c r="D107" i="101"/>
  <c r="J107" i="101" s="1"/>
  <c r="C107" i="101"/>
  <c r="C210" i="101"/>
  <c r="C292" i="101"/>
  <c r="D292" i="101"/>
  <c r="J292" i="101" s="1"/>
  <c r="C311" i="101"/>
  <c r="D311" i="101"/>
  <c r="J311" i="101" s="1"/>
  <c r="C328" i="101"/>
  <c r="D328" i="101"/>
  <c r="J328" i="101" s="1"/>
  <c r="C344" i="101"/>
  <c r="D344" i="101"/>
  <c r="J344" i="101" s="1"/>
  <c r="C268" i="101"/>
  <c r="D268" i="101"/>
  <c r="J268" i="101" s="1"/>
  <c r="C275" i="101"/>
  <c r="D275" i="101"/>
  <c r="J275" i="101" s="1"/>
  <c r="C324" i="101"/>
  <c r="D324" i="101"/>
  <c r="J324" i="101" s="1"/>
  <c r="C349" i="101"/>
  <c r="C329" i="101"/>
  <c r="C352" i="101"/>
  <c r="D352" i="101"/>
  <c r="J352" i="101" s="1"/>
  <c r="C478" i="101"/>
  <c r="C257" i="101"/>
  <c r="D103" i="101"/>
  <c r="J103" i="101" s="1"/>
  <c r="C103" i="101"/>
  <c r="D139" i="101"/>
  <c r="J139" i="101" s="1"/>
  <c r="C139" i="101"/>
  <c r="D155" i="101"/>
  <c r="J155" i="101" s="1"/>
  <c r="C155" i="101"/>
  <c r="D158" i="101"/>
  <c r="J158" i="101" s="1"/>
  <c r="C158" i="101"/>
  <c r="D162" i="101"/>
  <c r="J162" i="101" s="1"/>
  <c r="C162" i="101"/>
  <c r="D111" i="101"/>
  <c r="J111" i="101" s="1"/>
  <c r="C111" i="101"/>
  <c r="C300" i="101"/>
  <c r="D300" i="101"/>
  <c r="J300" i="101" s="1"/>
  <c r="C348" i="101"/>
  <c r="D348" i="101"/>
  <c r="J348" i="101" s="1"/>
  <c r="C458" i="101"/>
  <c r="D458" i="101"/>
  <c r="J458" i="101" s="1"/>
  <c r="C202" i="101"/>
  <c r="D266" i="101"/>
  <c r="J266" i="101" s="1"/>
  <c r="C266" i="101"/>
  <c r="C280" i="101"/>
  <c r="D280" i="101"/>
  <c r="J280" i="101" s="1"/>
  <c r="C291" i="101"/>
  <c r="D291" i="101"/>
  <c r="J291" i="101" s="1"/>
  <c r="C323" i="101"/>
  <c r="D323" i="101"/>
  <c r="J323" i="101" s="1"/>
  <c r="C339" i="101"/>
  <c r="D339" i="101"/>
  <c r="J339" i="101" s="1"/>
  <c r="C355" i="101"/>
  <c r="D355" i="101"/>
  <c r="J355" i="101" s="1"/>
  <c r="D240" i="101"/>
  <c r="J240" i="101" s="1"/>
  <c r="C240" i="101"/>
  <c r="D245" i="101"/>
  <c r="J245" i="101" s="1"/>
  <c r="C245" i="101"/>
  <c r="C259" i="101"/>
  <c r="D259" i="101"/>
  <c r="J259" i="101" s="1"/>
  <c r="C263" i="101"/>
  <c r="D263" i="101"/>
  <c r="J263" i="101" s="1"/>
  <c r="C296" i="101"/>
  <c r="D296" i="101"/>
  <c r="J296" i="101" s="1"/>
  <c r="C340" i="101"/>
  <c r="D340" i="101"/>
  <c r="J340" i="101" s="1"/>
  <c r="C450" i="101"/>
  <c r="D450" i="101"/>
  <c r="J450" i="101" s="1"/>
  <c r="C279" i="101"/>
  <c r="D279" i="101"/>
  <c r="J279" i="101" s="1"/>
  <c r="C281" i="101"/>
  <c r="C312" i="101"/>
  <c r="D312" i="101"/>
  <c r="J312" i="101" s="1"/>
  <c r="C345" i="101"/>
  <c r="C269" i="101"/>
  <c r="C413" i="101"/>
  <c r="D413" i="101"/>
  <c r="J413" i="101" s="1"/>
  <c r="C465" i="101"/>
  <c r="D465" i="101"/>
  <c r="J465" i="101" s="1"/>
  <c r="C457" i="101"/>
  <c r="D457" i="101"/>
  <c r="J457" i="101" s="1"/>
  <c r="D89" i="101"/>
  <c r="J89" i="101" s="1"/>
  <c r="C89" i="101"/>
  <c r="D97" i="101"/>
  <c r="J97" i="101" s="1"/>
  <c r="C97" i="101"/>
  <c r="D105" i="101"/>
  <c r="J105" i="101" s="1"/>
  <c r="C105" i="101"/>
  <c r="D113" i="101"/>
  <c r="J113" i="101" s="1"/>
  <c r="C113" i="101"/>
  <c r="D121" i="101"/>
  <c r="J121" i="101" s="1"/>
  <c r="C121" i="101"/>
  <c r="C10" i="101"/>
  <c r="D10" i="101"/>
  <c r="J10" i="101" s="1"/>
  <c r="C26" i="101"/>
  <c r="D26" i="101"/>
  <c r="J26" i="101" s="1"/>
  <c r="C42" i="101"/>
  <c r="D42" i="101"/>
  <c r="J42" i="101" s="1"/>
  <c r="C58" i="101"/>
  <c r="D58" i="101"/>
  <c r="J58" i="101" s="1"/>
  <c r="C74" i="101"/>
  <c r="D74" i="101"/>
  <c r="J74" i="101" s="1"/>
  <c r="C14" i="101"/>
  <c r="D14" i="101"/>
  <c r="J14" i="101" s="1"/>
  <c r="C30" i="101"/>
  <c r="D30" i="101"/>
  <c r="J30" i="101" s="1"/>
  <c r="C46" i="101"/>
  <c r="D46" i="101"/>
  <c r="J46" i="101" s="1"/>
  <c r="C62" i="101"/>
  <c r="D62" i="101"/>
  <c r="J62" i="101" s="1"/>
  <c r="C78" i="101"/>
  <c r="D78" i="101"/>
  <c r="J78" i="101" s="1"/>
  <c r="C377" i="101"/>
  <c r="D377" i="101"/>
  <c r="J377" i="101" s="1"/>
  <c r="C401" i="101"/>
  <c r="D401" i="101"/>
  <c r="J401" i="101" s="1"/>
  <c r="C373" i="101"/>
  <c r="D373" i="101"/>
  <c r="J373" i="101" s="1"/>
  <c r="C429" i="101"/>
  <c r="D429" i="101"/>
  <c r="J429" i="101" s="1"/>
  <c r="C369" i="101"/>
  <c r="D369" i="101"/>
  <c r="J369" i="101" s="1"/>
  <c r="C417" i="101"/>
  <c r="D417" i="101"/>
  <c r="J417" i="101" s="1"/>
  <c r="C481" i="101"/>
  <c r="D481" i="101"/>
  <c r="J481" i="101" s="1"/>
  <c r="C473" i="101"/>
  <c r="D473" i="101"/>
  <c r="J473" i="101" s="1"/>
  <c r="C87" i="101"/>
  <c r="D87" i="101"/>
  <c r="J87" i="101" s="1"/>
  <c r="D86" i="101"/>
  <c r="J86" i="101" s="1"/>
  <c r="C86" i="101"/>
  <c r="C365" i="101"/>
  <c r="D365" i="101"/>
  <c r="J365" i="101" s="1"/>
  <c r="C389" i="101"/>
  <c r="D389" i="101"/>
  <c r="J389" i="101" s="1"/>
  <c r="C445" i="101"/>
  <c r="D445" i="101"/>
  <c r="J445" i="101" s="1"/>
  <c r="C425" i="101"/>
  <c r="D425" i="101"/>
  <c r="J425" i="101" s="1"/>
  <c r="C361" i="101"/>
  <c r="D361" i="101"/>
  <c r="J361" i="101" s="1"/>
  <c r="C83" i="101"/>
  <c r="D83" i="101"/>
  <c r="J83" i="101" s="1"/>
  <c r="C381" i="101"/>
  <c r="D381" i="101"/>
  <c r="J381" i="101" s="1"/>
  <c r="C421" i="101"/>
  <c r="D421" i="101"/>
  <c r="J421" i="101" s="1"/>
  <c r="C393" i="101"/>
  <c r="D393" i="101"/>
  <c r="J393" i="101" s="1"/>
  <c r="C433" i="101"/>
  <c r="D433" i="101"/>
  <c r="J433" i="101" s="1"/>
  <c r="C18" i="101"/>
  <c r="D18" i="101"/>
  <c r="J18" i="101" s="1"/>
  <c r="C34" i="101"/>
  <c r="D34" i="101"/>
  <c r="J34" i="101" s="1"/>
  <c r="C50" i="101"/>
  <c r="D50" i="101"/>
  <c r="J50" i="101" s="1"/>
  <c r="C66" i="101"/>
  <c r="D66" i="101"/>
  <c r="J66" i="101" s="1"/>
  <c r="C405" i="101"/>
  <c r="D405" i="101"/>
  <c r="J405" i="101" s="1"/>
  <c r="C6" i="101"/>
  <c r="D6" i="101"/>
  <c r="J6" i="101" s="1"/>
  <c r="C22" i="101"/>
  <c r="D22" i="101"/>
  <c r="J22" i="101" s="1"/>
  <c r="C38" i="101"/>
  <c r="D38" i="101"/>
  <c r="J38" i="101" s="1"/>
  <c r="C54" i="101"/>
  <c r="D54" i="101"/>
  <c r="J54" i="101" s="1"/>
  <c r="C70" i="101"/>
  <c r="D70" i="101"/>
  <c r="J70" i="101" s="1"/>
  <c r="D93" i="101"/>
  <c r="J93" i="101" s="1"/>
  <c r="C93" i="101"/>
  <c r="D101" i="101"/>
  <c r="J101" i="101" s="1"/>
  <c r="C101" i="101"/>
  <c r="D109" i="101"/>
  <c r="J109" i="101" s="1"/>
  <c r="C109" i="101"/>
  <c r="D117" i="101"/>
  <c r="J117" i="101" s="1"/>
  <c r="C117" i="101"/>
  <c r="C385" i="101"/>
  <c r="D385" i="101"/>
  <c r="J385" i="101" s="1"/>
  <c r="C441" i="101"/>
  <c r="D441" i="101"/>
  <c r="J441" i="101" s="1"/>
  <c r="C397" i="101"/>
  <c r="D397" i="101"/>
  <c r="J397" i="101" s="1"/>
  <c r="C437" i="101"/>
  <c r="D437" i="101"/>
  <c r="J437" i="101" s="1"/>
  <c r="C409" i="101"/>
  <c r="D409" i="101"/>
  <c r="J409" i="101" s="1"/>
  <c r="C449" i="101"/>
  <c r="D449" i="101"/>
  <c r="J449" i="101" s="1"/>
  <c r="O3" i="16" l="1"/>
  <c r="O4" i="16"/>
  <c r="O5" i="16"/>
  <c r="O7" i="16"/>
  <c r="O8" i="16"/>
  <c r="O10" i="16"/>
  <c r="O13" i="16"/>
  <c r="O14" i="16"/>
  <c r="O15" i="16"/>
  <c r="O17" i="16"/>
  <c r="O19" i="16"/>
  <c r="O21" i="16"/>
  <c r="O22" i="16"/>
  <c r="O23" i="16"/>
  <c r="O24" i="16"/>
  <c r="O25" i="16"/>
  <c r="O26" i="16"/>
  <c r="O27" i="16"/>
  <c r="O29" i="16"/>
  <c r="O30" i="16"/>
  <c r="O32" i="16"/>
  <c r="O34" i="16"/>
  <c r="O35" i="16"/>
  <c r="O36" i="16"/>
  <c r="O37" i="16"/>
  <c r="O38" i="16"/>
  <c r="O39" i="16"/>
  <c r="O40" i="16"/>
  <c r="O42" i="16"/>
  <c r="O43" i="16"/>
  <c r="O45" i="16"/>
  <c r="O47" i="16"/>
  <c r="O49" i="16"/>
  <c r="O52" i="16"/>
  <c r="O53" i="16"/>
  <c r="O58" i="16"/>
  <c r="O59" i="16"/>
  <c r="O60" i="16"/>
  <c r="O62" i="16"/>
  <c r="O63" i="16"/>
  <c r="O65" i="16"/>
  <c r="O66" i="16"/>
  <c r="O67" i="16"/>
  <c r="O68" i="16"/>
  <c r="O69" i="16"/>
  <c r="O70" i="16"/>
  <c r="O71" i="16"/>
  <c r="O72" i="16"/>
  <c r="O73" i="16"/>
  <c r="O77" i="16"/>
  <c r="O79" i="16"/>
  <c r="O80" i="16"/>
  <c r="O81" i="16"/>
  <c r="O82" i="16"/>
  <c r="O83" i="16"/>
  <c r="O84" i="16"/>
  <c r="O85" i="16"/>
  <c r="O86" i="16"/>
  <c r="O87" i="16"/>
  <c r="O89" i="16"/>
  <c r="O90" i="16"/>
  <c r="O91" i="16"/>
  <c r="O92" i="16"/>
  <c r="O93" i="16"/>
  <c r="O95" i="16"/>
  <c r="O97" i="16"/>
  <c r="O98" i="16"/>
  <c r="O99" i="16"/>
  <c r="O101" i="16"/>
  <c r="O103" i="16"/>
  <c r="O104" i="16"/>
  <c r="O106" i="16"/>
  <c r="O107" i="16"/>
  <c r="O108" i="16"/>
  <c r="O110" i="16"/>
  <c r="O114" i="16"/>
  <c r="O116" i="16"/>
  <c r="O117" i="16"/>
  <c r="O120" i="16"/>
  <c r="O121" i="16"/>
  <c r="O132" i="16"/>
  <c r="O133" i="16"/>
  <c r="O136" i="16"/>
  <c r="O139" i="16"/>
  <c r="O143" i="16"/>
  <c r="O144" i="16"/>
  <c r="O145" i="16"/>
  <c r="O161" i="16"/>
  <c r="O162" i="16"/>
  <c r="O163" i="16"/>
  <c r="O164" i="16"/>
  <c r="O168" i="16"/>
  <c r="O169" i="16"/>
  <c r="O171" i="16"/>
  <c r="O177" i="16"/>
  <c r="O183" i="16"/>
  <c r="O187" i="16"/>
  <c r="O188" i="16"/>
  <c r="O191" i="16"/>
  <c r="O193" i="16"/>
  <c r="O208" i="16"/>
  <c r="O209" i="16"/>
  <c r="O225" i="16"/>
  <c r="O236" i="16"/>
  <c r="O237" i="16"/>
  <c r="O240" i="16"/>
  <c r="O245" i="16"/>
  <c r="O249" i="16"/>
  <c r="O251" i="16"/>
  <c r="O253" i="16"/>
  <c r="O258" i="16"/>
  <c r="O264" i="16"/>
  <c r="O267" i="16"/>
  <c r="O268" i="16"/>
  <c r="O272" i="16"/>
  <c r="O273" i="16"/>
  <c r="O275" i="16"/>
  <c r="O276" i="16"/>
  <c r="O279" i="16"/>
  <c r="O280" i="16"/>
  <c r="O281" i="16"/>
  <c r="O283" i="16"/>
  <c r="O285" i="16"/>
  <c r="O286" i="16"/>
  <c r="O287" i="16"/>
  <c r="O291" i="16"/>
  <c r="O292" i="16"/>
  <c r="O293" i="16"/>
  <c r="O294" i="16"/>
  <c r="O301" i="16"/>
  <c r="O303" i="16"/>
  <c r="O304" i="16"/>
  <c r="O305" i="16"/>
  <c r="O312" i="16"/>
  <c r="O313" i="16"/>
  <c r="O314" i="16"/>
  <c r="O315" i="16"/>
  <c r="O316" i="16"/>
  <c r="O318" i="16"/>
  <c r="O319" i="16"/>
  <c r="O320" i="16"/>
  <c r="O321" i="16"/>
  <c r="O322" i="16"/>
  <c r="O324" i="16"/>
  <c r="O325" i="16"/>
  <c r="O334" i="16"/>
  <c r="O336" i="16"/>
  <c r="O340" i="16"/>
  <c r="O341" i="16"/>
  <c r="O343" i="16"/>
  <c r="O349" i="16"/>
  <c r="O353" i="16"/>
  <c r="O354" i="16"/>
  <c r="O355" i="16"/>
  <c r="O357" i="16"/>
  <c r="O358" i="16"/>
  <c r="O363" i="16"/>
  <c r="O366" i="16"/>
  <c r="O371" i="16"/>
  <c r="O374" i="16"/>
  <c r="O379" i="16"/>
  <c r="O382" i="16"/>
  <c r="O384" i="16"/>
  <c r="O390" i="16"/>
  <c r="O393" i="16"/>
  <c r="O394" i="16"/>
  <c r="O396" i="16"/>
  <c r="O401" i="16"/>
  <c r="O402" i="16"/>
  <c r="O405" i="16"/>
  <c r="O409" i="16"/>
  <c r="O411" i="16"/>
  <c r="O418" i="16"/>
  <c r="O424" i="16"/>
  <c r="O425" i="16"/>
  <c r="O430" i="16"/>
  <c r="O431" i="16"/>
  <c r="O432" i="16"/>
  <c r="R2" i="16"/>
  <c r="Q2" i="16" s="1"/>
  <c r="P2" i="16" s="1"/>
  <c r="J3" i="16"/>
  <c r="J4" i="16"/>
  <c r="J5" i="16"/>
  <c r="J6" i="16"/>
  <c r="J7" i="16"/>
  <c r="J8" i="16"/>
  <c r="J10" i="16"/>
  <c r="J11" i="16"/>
  <c r="J12" i="16"/>
  <c r="J13" i="16"/>
  <c r="J14" i="16"/>
  <c r="J15" i="16"/>
  <c r="J16" i="16"/>
  <c r="J17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9" i="16"/>
  <c r="J50" i="16"/>
  <c r="J51" i="16"/>
  <c r="J52" i="16"/>
  <c r="J53" i="16"/>
  <c r="J55" i="16"/>
  <c r="J57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6" i="16"/>
  <c r="J137" i="16"/>
  <c r="J139" i="16"/>
  <c r="J140" i="16"/>
  <c r="J141" i="16"/>
  <c r="J144" i="16"/>
  <c r="J145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8" i="16"/>
  <c r="J169" i="16"/>
  <c r="J170" i="16"/>
  <c r="J171" i="16"/>
  <c r="J173" i="16"/>
  <c r="J174" i="16"/>
  <c r="J175" i="16"/>
  <c r="J177" i="16"/>
  <c r="J178" i="16"/>
  <c r="J179" i="16"/>
  <c r="J180" i="16"/>
  <c r="J181" i="16"/>
  <c r="J182" i="16"/>
  <c r="J183" i="16"/>
  <c r="J184" i="16"/>
  <c r="J185" i="16"/>
  <c r="J187" i="16"/>
  <c r="J188" i="16"/>
  <c r="J189" i="16"/>
  <c r="J190" i="16"/>
  <c r="J191" i="16"/>
  <c r="J192" i="16"/>
  <c r="J194" i="16"/>
  <c r="J195" i="16"/>
  <c r="J196" i="16"/>
  <c r="J197" i="16"/>
  <c r="J198" i="16"/>
  <c r="J199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3" i="16"/>
  <c r="J244" i="16"/>
  <c r="J245" i="16"/>
  <c r="J246" i="16"/>
  <c r="J247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7" i="16"/>
  <c r="J268" i="16"/>
  <c r="J269" i="16"/>
  <c r="J270" i="16"/>
  <c r="J271" i="16"/>
  <c r="J272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6" i="16"/>
  <c r="J300" i="16"/>
  <c r="J301" i="16"/>
  <c r="J302" i="16"/>
  <c r="J303" i="16"/>
  <c r="J305" i="16"/>
  <c r="J306" i="16"/>
  <c r="J307" i="16"/>
  <c r="J308" i="16"/>
  <c r="J309" i="16"/>
  <c r="J310" i="16"/>
  <c r="J311" i="16"/>
  <c r="J314" i="16"/>
  <c r="J316" i="16"/>
  <c r="J317" i="16"/>
  <c r="J320" i="16"/>
  <c r="J321" i="16"/>
  <c r="J323" i="16"/>
  <c r="J324" i="16"/>
  <c r="J325" i="16"/>
  <c r="J326" i="16"/>
  <c r="J327" i="16"/>
  <c r="J328" i="16"/>
  <c r="J329" i="16"/>
  <c r="J330" i="16"/>
  <c r="J331" i="16"/>
  <c r="J332" i="16"/>
  <c r="J333" i="16"/>
  <c r="J335" i="16"/>
  <c r="J337" i="16"/>
  <c r="J338" i="16"/>
  <c r="J339" i="16"/>
  <c r="J341" i="16"/>
  <c r="J342" i="16"/>
  <c r="J343" i="16"/>
  <c r="J344" i="16"/>
  <c r="J345" i="16"/>
  <c r="J346" i="16"/>
  <c r="J348" i="16"/>
  <c r="J349" i="16"/>
  <c r="J351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7" i="16"/>
  <c r="J408" i="16"/>
  <c r="J409" i="16"/>
  <c r="J410" i="16"/>
  <c r="J412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F2" i="101"/>
  <c r="I2" i="101" l="1"/>
  <c r="A2" i="101"/>
  <c r="D2" i="101" s="1"/>
  <c r="J2" i="101" s="1"/>
  <c r="B2" i="101"/>
  <c r="C2" i="101" s="1"/>
  <c r="J193" i="16" l="1"/>
  <c r="J312" i="16"/>
  <c r="J315" i="16"/>
  <c r="J406" i="16"/>
  <c r="J322" i="16"/>
  <c r="J18" i="16"/>
  <c r="J297" i="16"/>
  <c r="J352" i="16"/>
  <c r="J304" i="16"/>
  <c r="J172" i="16"/>
  <c r="J411" i="16"/>
  <c r="J299" i="16"/>
  <c r="J143" i="16"/>
  <c r="J366" i="16"/>
  <c r="J318" i="16"/>
  <c r="J186" i="16"/>
  <c r="J58" i="16"/>
  <c r="J2" i="16"/>
  <c r="J273" i="16"/>
  <c r="J9" i="16"/>
  <c r="J176" i="16"/>
  <c r="J48" i="16"/>
  <c r="J167" i="16"/>
  <c r="J242" i="16"/>
  <c r="J138" i="16"/>
  <c r="J109" i="16"/>
  <c r="J340" i="16"/>
  <c r="J248" i="16"/>
  <c r="J96" i="16"/>
  <c r="J347" i="16"/>
  <c r="J295" i="16"/>
  <c r="J135" i="16"/>
  <c r="J350" i="16"/>
  <c r="J298" i="16"/>
  <c r="J146" i="16"/>
  <c r="J54" i="16"/>
  <c r="J413" i="16"/>
  <c r="J213" i="16"/>
  <c r="J336" i="16"/>
  <c r="J200" i="16"/>
  <c r="J56" i="16"/>
  <c r="J319" i="16"/>
  <c r="J227" i="16"/>
  <c r="J47" i="16"/>
  <c r="J334" i="16"/>
  <c r="J266" i="16"/>
  <c r="J142" i="16"/>
  <c r="J46" i="16"/>
  <c r="J313" i="16"/>
  <c r="G432" i="16"/>
  <c r="G431" i="16"/>
  <c r="G430" i="16"/>
  <c r="G429" i="16"/>
  <c r="G428" i="16"/>
  <c r="G427" i="16"/>
  <c r="G426" i="16"/>
  <c r="G425" i="16"/>
  <c r="G424" i="16"/>
  <c r="G423" i="16"/>
  <c r="G422" i="16"/>
  <c r="G421" i="16"/>
  <c r="G420" i="16"/>
  <c r="G419" i="16"/>
  <c r="G418" i="16"/>
  <c r="G417" i="16"/>
  <c r="G416" i="16"/>
  <c r="G415" i="16"/>
  <c r="G414" i="16"/>
  <c r="G413" i="16"/>
  <c r="G412" i="16"/>
  <c r="G411" i="16"/>
  <c r="G410" i="16"/>
  <c r="G409" i="16"/>
  <c r="G408" i="16"/>
  <c r="G407" i="16"/>
  <c r="G406" i="16"/>
  <c r="G405" i="16"/>
  <c r="G404" i="16"/>
  <c r="G403" i="16"/>
  <c r="G402" i="16"/>
  <c r="G401" i="16"/>
  <c r="G400" i="16"/>
  <c r="G399" i="16"/>
  <c r="G398" i="16"/>
  <c r="G397" i="16"/>
  <c r="G396" i="16"/>
  <c r="G395" i="16"/>
  <c r="G394" i="16"/>
  <c r="G393" i="16"/>
  <c r="G392" i="16"/>
  <c r="G391" i="16"/>
  <c r="G390" i="16"/>
  <c r="G389" i="16"/>
  <c r="G388" i="16"/>
  <c r="G387" i="16"/>
  <c r="G386" i="16"/>
  <c r="G385" i="16"/>
  <c r="G384" i="16"/>
  <c r="G383" i="16"/>
  <c r="G382" i="16"/>
  <c r="G381" i="16"/>
  <c r="G380" i="16"/>
  <c r="G379" i="16"/>
  <c r="G378" i="16"/>
  <c r="G377" i="16"/>
  <c r="G376" i="16"/>
  <c r="G375" i="16"/>
  <c r="G374" i="16"/>
  <c r="G373" i="16"/>
  <c r="G372" i="16"/>
  <c r="G371" i="16"/>
  <c r="G370" i="16"/>
  <c r="G369" i="16"/>
  <c r="G368" i="16"/>
  <c r="G367" i="16"/>
  <c r="G366" i="16"/>
  <c r="G365" i="16"/>
  <c r="G364" i="16"/>
  <c r="G363" i="16"/>
  <c r="G362" i="16"/>
  <c r="G361" i="16"/>
  <c r="G360" i="16"/>
  <c r="G359" i="16"/>
  <c r="G358" i="16"/>
  <c r="G357" i="16"/>
  <c r="G356" i="16"/>
  <c r="G355" i="16"/>
  <c r="G354" i="16"/>
  <c r="G353" i="16"/>
  <c r="G352" i="16"/>
  <c r="G351" i="16"/>
  <c r="G350" i="16"/>
  <c r="G349" i="16"/>
  <c r="G348" i="16"/>
  <c r="G347" i="16"/>
  <c r="G346" i="16"/>
  <c r="G345" i="16"/>
  <c r="G344" i="16"/>
  <c r="G343" i="16"/>
  <c r="G342" i="16"/>
  <c r="G341" i="16"/>
  <c r="G340" i="16"/>
  <c r="G339" i="16"/>
  <c r="G338" i="16"/>
  <c r="G337" i="16"/>
  <c r="G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G305" i="16"/>
  <c r="G304" i="16"/>
  <c r="G303" i="16"/>
  <c r="G302" i="16"/>
  <c r="G301" i="16"/>
  <c r="G300" i="16"/>
  <c r="G299" i="16"/>
  <c r="G298" i="16"/>
  <c r="G297" i="16"/>
  <c r="G296" i="16"/>
  <c r="G295" i="16"/>
  <c r="G294" i="16"/>
  <c r="G293" i="16"/>
  <c r="G292" i="16"/>
  <c r="G291" i="16"/>
  <c r="G290" i="16"/>
  <c r="G289" i="16"/>
  <c r="G288" i="16"/>
  <c r="G287" i="16"/>
  <c r="G286" i="16"/>
  <c r="G285" i="16"/>
  <c r="G284" i="16"/>
  <c r="G283" i="16"/>
  <c r="G282" i="16"/>
  <c r="G281" i="16"/>
  <c r="G280" i="16"/>
  <c r="G279" i="16"/>
  <c r="G278" i="16"/>
  <c r="G277" i="16"/>
  <c r="G276" i="16"/>
  <c r="G275" i="16"/>
  <c r="G274" i="16"/>
  <c r="G273" i="16"/>
  <c r="G272" i="16"/>
  <c r="G271" i="16"/>
  <c r="G270" i="16"/>
  <c r="G269" i="16"/>
  <c r="G268" i="16"/>
  <c r="G267" i="16"/>
  <c r="G266" i="16"/>
  <c r="G265" i="16"/>
  <c r="G264" i="16"/>
  <c r="G263" i="16"/>
  <c r="G262" i="16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D3" i="55"/>
  <c r="D2" i="55"/>
  <c r="O330" i="16" l="1"/>
  <c r="O362" i="16"/>
  <c r="O398" i="16"/>
  <c r="O426" i="16"/>
  <c r="O243" i="16"/>
  <c r="O327" i="16"/>
  <c r="O331" i="16"/>
  <c r="O359" i="16"/>
  <c r="O403" i="16"/>
  <c r="O407" i="16"/>
  <c r="O333" i="16"/>
  <c r="O329" i="16"/>
  <c r="O365" i="16"/>
  <c r="O309" i="16"/>
  <c r="O408" i="16"/>
  <c r="O421" i="16"/>
  <c r="O332" i="16"/>
  <c r="O364" i="16"/>
  <c r="O413" i="16"/>
  <c r="O361" i="16"/>
  <c r="O397" i="16"/>
  <c r="O46" i="16"/>
  <c r="O342" i="16"/>
  <c r="O172" i="16"/>
  <c r="O228" i="16"/>
  <c r="O160" i="16"/>
  <c r="O50" i="16"/>
  <c r="O219" i="16"/>
  <c r="O61" i="16"/>
  <c r="O246" i="16"/>
  <c r="O235" i="16"/>
  <c r="O376" i="16"/>
  <c r="O380" i="16"/>
  <c r="O102" i="16"/>
  <c r="O186" i="16"/>
  <c r="O210" i="16"/>
  <c r="O214" i="16"/>
  <c r="O218" i="16"/>
  <c r="O226" i="16"/>
  <c r="O234" i="16"/>
  <c r="O242" i="16"/>
  <c r="O55" i="16"/>
  <c r="O203" i="16"/>
  <c r="O207" i="16"/>
  <c r="O215" i="16"/>
  <c r="O227" i="16"/>
  <c r="O255" i="16"/>
  <c r="O56" i="16"/>
  <c r="O57" i="16"/>
  <c r="O180" i="16"/>
  <c r="O185" i="16"/>
  <c r="O213" i="16"/>
  <c r="O221" i="16"/>
  <c r="O252" i="16"/>
  <c r="O181" i="16"/>
  <c r="O232" i="16"/>
  <c r="O217" i="16"/>
  <c r="O256" i="16"/>
  <c r="O261" i="16"/>
  <c r="O400" i="16"/>
  <c r="O204" i="16"/>
  <c r="O352" i="16"/>
  <c r="O2" i="16"/>
  <c r="N2" i="16" s="1"/>
  <c r="M2" i="16" s="1"/>
  <c r="O74" i="16"/>
  <c r="O278" i="16"/>
  <c r="O378" i="16"/>
  <c r="O386" i="16"/>
  <c r="O231" i="16"/>
  <c r="O311" i="16"/>
  <c r="O367" i="16"/>
  <c r="O383" i="16"/>
  <c r="O387" i="16"/>
  <c r="O423" i="16"/>
  <c r="O277" i="16"/>
  <c r="O368" i="16"/>
  <c r="O373" i="16"/>
  <c r="O113" i="16"/>
  <c r="O360" i="16"/>
  <c r="O385" i="16"/>
  <c r="O372" i="16"/>
  <c r="O109" i="16"/>
  <c r="O369" i="16"/>
  <c r="O377" i="16"/>
  <c r="O392" i="16"/>
  <c r="O223" i="16"/>
  <c r="O78" i="16"/>
  <c r="O310" i="16"/>
  <c r="O326" i="16"/>
  <c r="O422" i="16"/>
  <c r="O211" i="16"/>
  <c r="O239" i="16"/>
  <c r="O351" i="16"/>
  <c r="O233" i="16"/>
  <c r="O308" i="16"/>
  <c r="O412" i="16"/>
  <c r="O356" i="16"/>
  <c r="O410" i="16"/>
  <c r="O295" i="16"/>
  <c r="O96" i="16"/>
  <c r="O126" i="16"/>
  <c r="O130" i="16"/>
  <c r="O115" i="16"/>
  <c r="O119" i="16"/>
  <c r="O123" i="16"/>
  <c r="O247" i="16"/>
  <c r="O125" i="16"/>
  <c r="O248" i="16"/>
  <c r="O129" i="16"/>
  <c r="O124" i="16"/>
  <c r="O18" i="16"/>
  <c r="O290" i="16"/>
  <c r="O346" i="16"/>
  <c r="O263" i="16"/>
  <c r="O48" i="16"/>
  <c r="O289" i="16"/>
  <c r="O94" i="16"/>
  <c r="O170" i="16"/>
  <c r="O266" i="16"/>
  <c r="O282" i="16"/>
  <c r="O406" i="16"/>
  <c r="O51" i="16"/>
  <c r="O391" i="16"/>
  <c r="O16" i="16"/>
  <c r="O20" i="16"/>
  <c r="O28" i="16"/>
  <c r="O41" i="16"/>
  <c r="O265" i="16"/>
  <c r="O260" i="16"/>
  <c r="O288" i="16"/>
  <c r="O300" i="16"/>
  <c r="O296" i="16"/>
  <c r="O417" i="16"/>
  <c r="O111" i="16"/>
  <c r="O122" i="16"/>
  <c r="O138" i="16"/>
  <c r="O146" i="16"/>
  <c r="O150" i="16"/>
  <c r="O154" i="16"/>
  <c r="O158" i="16"/>
  <c r="O174" i="16"/>
  <c r="O178" i="16"/>
  <c r="O194" i="16"/>
  <c r="O414" i="16"/>
  <c r="O135" i="16"/>
  <c r="O147" i="16"/>
  <c r="O151" i="16"/>
  <c r="O155" i="16"/>
  <c r="O159" i="16"/>
  <c r="O175" i="16"/>
  <c r="O179" i="16"/>
  <c r="O195" i="16"/>
  <c r="O140" i="16"/>
  <c r="O153" i="16"/>
  <c r="O128" i="16"/>
  <c r="O148" i="16"/>
  <c r="O156" i="16"/>
  <c r="O137" i="16"/>
  <c r="O149" i="16"/>
  <c r="O157" i="16"/>
  <c r="O389" i="16"/>
  <c r="O152" i="16"/>
  <c r="O428" i="16"/>
  <c r="O375" i="16"/>
  <c r="O64" i="16"/>
  <c r="O141" i="16"/>
  <c r="O134" i="16"/>
  <c r="O131" i="16"/>
  <c r="O112" i="16"/>
  <c r="O388" i="16"/>
  <c r="O54" i="16"/>
  <c r="O118" i="16"/>
  <c r="O176" i="16"/>
  <c r="O206" i="16"/>
  <c r="O230" i="16"/>
  <c r="O302" i="16"/>
  <c r="O395" i="16"/>
  <c r="O297" i="16"/>
  <c r="O173" i="16"/>
  <c r="O201" i="16"/>
  <c r="O381" i="16"/>
  <c r="O212" i="16"/>
  <c r="O420" i="16"/>
  <c r="O344" i="16"/>
  <c r="O6" i="16"/>
  <c r="O166" i="16"/>
  <c r="O182" i="16"/>
  <c r="O190" i="16"/>
  <c r="O198" i="16"/>
  <c r="O202" i="16"/>
  <c r="O222" i="16"/>
  <c r="O254" i="16"/>
  <c r="O262" i="16"/>
  <c r="O270" i="16"/>
  <c r="O31" i="16"/>
  <c r="O199" i="16"/>
  <c r="O259" i="16"/>
  <c r="O399" i="16"/>
  <c r="O44" i="16"/>
  <c r="O76" i="16"/>
  <c r="O100" i="16"/>
  <c r="O9" i="16"/>
  <c r="O33" i="16"/>
  <c r="O165" i="16"/>
  <c r="O197" i="16"/>
  <c r="O205" i="16"/>
  <c r="O229" i="16"/>
  <c r="O192" i="16"/>
  <c r="O200" i="16"/>
  <c r="O216" i="16"/>
  <c r="O224" i="16"/>
  <c r="O241" i="16"/>
  <c r="O189" i="16"/>
  <c r="O220" i="16"/>
  <c r="O269" i="16"/>
  <c r="O184" i="16"/>
  <c r="O429" i="16"/>
  <c r="O196" i="16"/>
  <c r="O105" i="16"/>
  <c r="O238" i="16"/>
  <c r="O298" i="16"/>
  <c r="O350" i="16"/>
  <c r="O271" i="16"/>
  <c r="O370" i="16"/>
  <c r="O127" i="16"/>
  <c r="O415" i="16"/>
  <c r="O427" i="16"/>
  <c r="O12" i="16"/>
  <c r="O404" i="16"/>
  <c r="O250" i="16"/>
  <c r="O11" i="16"/>
  <c r="O88" i="16"/>
  <c r="O419" i="16"/>
  <c r="O416" i="16"/>
  <c r="L2" i="16" l="1"/>
  <c r="L156" i="102" l="1"/>
  <c r="L119" i="102"/>
  <c r="L34" i="102"/>
  <c r="L33" i="102"/>
  <c r="L157" i="102"/>
  <c r="L120" i="102"/>
  <c r="L118" i="102"/>
  <c r="L54" i="102"/>
  <c r="L109" i="102"/>
  <c r="L136" i="102"/>
  <c r="L152" i="102"/>
  <c r="L187" i="102"/>
  <c r="L69" i="102"/>
  <c r="L12" i="102"/>
  <c r="L37" i="102"/>
  <c r="L58" i="102"/>
  <c r="L80" i="102"/>
  <c r="L113" i="102"/>
  <c r="L137" i="102"/>
  <c r="L184" i="102"/>
  <c r="L24" i="102"/>
  <c r="L41" i="102"/>
  <c r="L88" i="102"/>
  <c r="L103" i="102"/>
  <c r="L128" i="102"/>
  <c r="L147" i="102"/>
  <c r="L185" i="102"/>
  <c r="L46" i="102"/>
  <c r="L89" i="102"/>
  <c r="L104" i="102"/>
  <c r="L135" i="102"/>
  <c r="L162" i="102"/>
  <c r="L186" i="102"/>
  <c r="L8" i="102"/>
  <c r="L76" i="102"/>
  <c r="L110" i="102"/>
  <c r="L153" i="102"/>
  <c r="L116" i="102"/>
  <c r="L139" i="102"/>
  <c r="L155" i="102"/>
  <c r="L191" i="102"/>
  <c r="L16" i="102"/>
  <c r="L66" i="102"/>
  <c r="L84" i="102"/>
  <c r="L121" i="102"/>
  <c r="L140" i="102"/>
  <c r="L170" i="102"/>
  <c r="L188" i="102"/>
  <c r="L42" i="102"/>
  <c r="L43" i="102"/>
  <c r="L28" i="102"/>
  <c r="L50" i="102"/>
  <c r="L77" i="102"/>
  <c r="L92" i="102"/>
  <c r="L114" i="102"/>
  <c r="L131" i="102"/>
  <c r="L158" i="102"/>
  <c r="L189" i="102"/>
  <c r="L25" i="102"/>
  <c r="L53" i="102"/>
  <c r="L93" i="102"/>
  <c r="L108" i="102"/>
  <c r="L145" i="102"/>
  <c r="L168" i="102"/>
  <c r="L190" i="102"/>
  <c r="L180" i="102"/>
  <c r="L196" i="102"/>
  <c r="L4" i="102"/>
  <c r="L17" i="102"/>
  <c r="L38" i="102"/>
  <c r="L85" i="102"/>
  <c r="L100" i="102"/>
  <c r="L125" i="102"/>
  <c r="L144" i="102"/>
  <c r="L181" i="102"/>
  <c r="L197" i="102"/>
  <c r="L123" i="102"/>
  <c r="L166" i="102"/>
  <c r="L195" i="102"/>
  <c r="L5" i="102"/>
  <c r="L20" i="102"/>
  <c r="L70" i="102"/>
  <c r="L124" i="102"/>
  <c r="L192" i="102"/>
  <c r="L48" i="102"/>
  <c r="L13" i="102"/>
  <c r="L32" i="102"/>
  <c r="L81" i="102"/>
  <c r="L96" i="102"/>
  <c r="L117" i="102"/>
  <c r="L141" i="102"/>
  <c r="L174" i="102"/>
  <c r="L193" i="102"/>
  <c r="L29" i="102"/>
  <c r="L56" i="102"/>
  <c r="L97" i="102"/>
  <c r="L129" i="102"/>
  <c r="L148" i="102"/>
  <c r="L178" i="102"/>
  <c r="L194" i="102"/>
  <c r="L39" i="102"/>
  <c r="L62" i="102"/>
  <c r="L101" i="102"/>
  <c r="L132" i="102"/>
  <c r="L151" i="102"/>
  <c r="L182" i="102"/>
  <c r="L105" i="102"/>
  <c r="L133" i="102"/>
  <c r="L149" i="102"/>
  <c r="L183" i="102"/>
  <c r="L169" i="102"/>
  <c r="L35" i="102"/>
  <c r="L27" i="102"/>
  <c r="L164" i="102"/>
  <c r="L176" i="102"/>
  <c r="L60" i="102"/>
  <c r="L127" i="102"/>
  <c r="L115" i="102"/>
  <c r="L6" i="102"/>
  <c r="L142" i="102"/>
  <c r="L40" i="102"/>
  <c r="L63" i="102"/>
  <c r="L47" i="102"/>
  <c r="L177" i="102"/>
  <c r="L21" i="102"/>
  <c r="L175" i="102"/>
  <c r="L102" i="102"/>
  <c r="L130" i="102"/>
  <c r="L59" i="102"/>
  <c r="L10" i="102"/>
  <c r="L95" i="102"/>
  <c r="L7" i="102"/>
  <c r="L122" i="102"/>
  <c r="L9" i="102"/>
  <c r="L79" i="102"/>
  <c r="L68" i="102"/>
  <c r="L143" i="102"/>
  <c r="L83" i="102"/>
  <c r="L52" i="102"/>
  <c r="L44" i="102"/>
  <c r="L173" i="102"/>
  <c r="L94" i="102"/>
  <c r="L26" i="102"/>
  <c r="L15" i="102"/>
  <c r="L72" i="102"/>
  <c r="L150" i="102"/>
  <c r="L82" i="102"/>
  <c r="L161" i="102"/>
  <c r="L171" i="102"/>
  <c r="L159" i="102"/>
  <c r="L71" i="102"/>
  <c r="L98" i="102"/>
  <c r="L91" i="102"/>
  <c r="L160" i="102"/>
  <c r="L106" i="102"/>
  <c r="L172" i="102"/>
  <c r="L67" i="102"/>
  <c r="L11" i="102"/>
  <c r="L87" i="102"/>
  <c r="L3" i="102"/>
  <c r="L165" i="102"/>
  <c r="L30" i="102"/>
  <c r="L138" i="102"/>
  <c r="L74" i="102"/>
  <c r="L14" i="102"/>
  <c r="L107" i="102"/>
  <c r="L112" i="102"/>
  <c r="L126" i="102"/>
  <c r="L23" i="102"/>
  <c r="L146" i="102"/>
  <c r="L154" i="102"/>
  <c r="L134" i="102"/>
  <c r="L36" i="102"/>
  <c r="L99" i="102"/>
  <c r="L45" i="102"/>
  <c r="L55" i="102"/>
  <c r="L75" i="102"/>
  <c r="L31" i="102"/>
  <c r="L61" i="102"/>
  <c r="L49" i="102"/>
  <c r="L64" i="102"/>
  <c r="L111" i="102"/>
  <c r="L18" i="102"/>
  <c r="L167" i="102"/>
  <c r="L86" i="102"/>
  <c r="L2" i="102"/>
  <c r="L57" i="102"/>
  <c r="L179" i="102"/>
  <c r="L51" i="102"/>
  <c r="L65" i="102"/>
  <c r="L90" i="102"/>
  <c r="L163" i="102"/>
  <c r="L78" i="102"/>
  <c r="L22" i="102"/>
  <c r="L19" i="102"/>
  <c r="L73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tc={7120472E-A5EB-4305-8229-8C5F3FC746E4}</author>
    <author>tc={73CCAAD3-AC1C-49C0-9839-2355E5ECDADB}</author>
  </authors>
  <commentList>
    <comment ref="I24" authorId="0" shapeId="0" xr:uid="{7120472E-A5EB-4305-8229-8C5F3FC746E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Should be renamed to: oestroid_fly</t>
        </r>
      </text>
    </comment>
    <comment ref="D62" authorId="1" shapeId="0" xr:uid="{73CCAAD3-AC1C-49C0-9839-2355E5ECDAD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Plus Zygaenoidea, colorful moths that belong to heteroceta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<sst xmlns="http://schemas.openxmlformats.org/spreadsheetml/2006/main" count="8033" uniqueCount="1417">
  <si>
    <t>ID</t>
  </si>
  <si>
    <t>Date</t>
  </si>
  <si>
    <t>Video Name check in</t>
  </si>
  <si>
    <t>Video Name check out</t>
  </si>
  <si>
    <t>Check:in</t>
  </si>
  <si>
    <t>Check:out</t>
  </si>
  <si>
    <t>Duration</t>
  </si>
  <si>
    <t>Flight event</t>
  </si>
  <si>
    <t>Way out</t>
  </si>
  <si>
    <t>No. Videos</t>
  </si>
  <si>
    <t>iNat Sharing</t>
  </si>
  <si>
    <t>Class</t>
  </si>
  <si>
    <t>Order</t>
  </si>
  <si>
    <t>Suborder</t>
  </si>
  <si>
    <t>Infraorder</t>
  </si>
  <si>
    <t>Superfamily</t>
  </si>
  <si>
    <t>Family</t>
  </si>
  <si>
    <t>Subfamily</t>
  </si>
  <si>
    <t>Genus</t>
  </si>
  <si>
    <t>Species</t>
  </si>
  <si>
    <t>Key</t>
  </si>
  <si>
    <t>2021-07-12_14-01-54</t>
  </si>
  <si>
    <t>2021-07-12_14-03-48</t>
  </si>
  <si>
    <t>yes</t>
  </si>
  <si>
    <t>exit</t>
  </si>
  <si>
    <t>Tolmerus</t>
  </si>
  <si>
    <t>#N/C</t>
  </si>
  <si>
    <t>2021-07-12_14-59-17</t>
  </si>
  <si>
    <t>Insecta</t>
  </si>
  <si>
    <t>Diptera</t>
  </si>
  <si>
    <t>Brachycera</t>
  </si>
  <si>
    <t>2021-07-12_15-05-25</t>
  </si>
  <si>
    <t>Hymenoptera</t>
  </si>
  <si>
    <t>Apocrita</t>
  </si>
  <si>
    <t>2021-07-12_15-19-53</t>
  </si>
  <si>
    <t>no</t>
  </si>
  <si>
    <t>2021-07-12_15-36-07</t>
  </si>
  <si>
    <t>Syrphoidea</t>
  </si>
  <si>
    <t>Syrphidae</t>
  </si>
  <si>
    <t>Syrphinae</t>
  </si>
  <si>
    <t>Sphaerophoria</t>
  </si>
  <si>
    <t>2021-07-12_15-43-07</t>
  </si>
  <si>
    <t>2021-07-12_15-44-27</t>
  </si>
  <si>
    <t>2021-07-12_16-02-04</t>
  </si>
  <si>
    <t>2021-07-12_16-02-46</t>
  </si>
  <si>
    <t>2021-07-12_16-55-42</t>
  </si>
  <si>
    <t>?</t>
  </si>
  <si>
    <t>Lepidoptera</t>
  </si>
  <si>
    <t>Glossata</t>
  </si>
  <si>
    <t>Papilionoidea</t>
  </si>
  <si>
    <t>Hesperiidae</t>
  </si>
  <si>
    <t>Hesperiinae</t>
  </si>
  <si>
    <t>Thymelicus</t>
  </si>
  <si>
    <t>2021-07-12_17-03-54</t>
  </si>
  <si>
    <t>Ephydroidea</t>
  </si>
  <si>
    <t>Drosophilidae</t>
  </si>
  <si>
    <t>Drosophilinae</t>
  </si>
  <si>
    <t>Scaptomyza</t>
  </si>
  <si>
    <t>2021-07-12_17-14-40</t>
  </si>
  <si>
    <t>2021-07-12_17-18-47</t>
  </si>
  <si>
    <t>2021-07-12_17-30-04</t>
  </si>
  <si>
    <t>2021-07-12_17-30-55</t>
  </si>
  <si>
    <t>Ichneumonoidea</t>
  </si>
  <si>
    <t>Ichneumonidae</t>
  </si>
  <si>
    <t>2021-07-12_17-44-38</t>
  </si>
  <si>
    <t>2021-07-12_17-45-18</t>
  </si>
  <si>
    <t>2021-07-12_17-46-35</t>
  </si>
  <si>
    <t>Coleoptera</t>
  </si>
  <si>
    <t>Polyphaga</t>
  </si>
  <si>
    <t>Coccinelloidea</t>
  </si>
  <si>
    <t>Coccinellidae</t>
  </si>
  <si>
    <t>Coccinellinae</t>
  </si>
  <si>
    <t>Harmonia</t>
  </si>
  <si>
    <t>axyridis</t>
  </si>
  <si>
    <t>2021-07-12_18-11-44</t>
  </si>
  <si>
    <t>2021-07-12_18-15-13</t>
  </si>
  <si>
    <t>Diplazontinae</t>
  </si>
  <si>
    <t>Diplazon</t>
  </si>
  <si>
    <t>laetatorius</t>
  </si>
  <si>
    <t>2021-07-12_18-28-59</t>
  </si>
  <si>
    <t>2021-07-12_18-31-08</t>
  </si>
  <si>
    <t>2021-07-12_18-42-51</t>
  </si>
  <si>
    <t>2021-07-12_18-52-16</t>
  </si>
  <si>
    <t>2021-07-12_18-53-51</t>
  </si>
  <si>
    <t>2021-07-12_19-08-15</t>
  </si>
  <si>
    <t>2021-07-12_19-09-59</t>
  </si>
  <si>
    <t>2021-07-12_19-11-29</t>
  </si>
  <si>
    <t>2021-07-12_19-18-47</t>
  </si>
  <si>
    <t>2021-07-12_19-23-35</t>
  </si>
  <si>
    <t>2021-07-12_19-32-58</t>
  </si>
  <si>
    <t>2021-07-12_19-36-47</t>
  </si>
  <si>
    <t>2021-07-12_19-39-31</t>
  </si>
  <si>
    <t>2021-07-12_20-11-29</t>
  </si>
  <si>
    <t>2021-07-12_20-29-06</t>
  </si>
  <si>
    <t>2021-07-12_20-47-56</t>
  </si>
  <si>
    <t>2021-07-12_20-53-54</t>
  </si>
  <si>
    <t>2021-07-13_07-09-07</t>
  </si>
  <si>
    <t>2021-07-13_07-29-58</t>
  </si>
  <si>
    <t>2021-07-13_07-54-47</t>
  </si>
  <si>
    <t>2021-07-13_09-44-49</t>
  </si>
  <si>
    <t>2021-07-13_09-52-48</t>
  </si>
  <si>
    <t>Mecoptera</t>
  </si>
  <si>
    <t>Panorpoidea</t>
  </si>
  <si>
    <t>Panorpidae</t>
  </si>
  <si>
    <t>Panorpa</t>
  </si>
  <si>
    <t>2021-07-13_09-59-46</t>
  </si>
  <si>
    <t>2021-07-13_10-25-07</t>
  </si>
  <si>
    <t>2021-07-13_11-03-36</t>
  </si>
  <si>
    <t>2021-07-13_11-50-47</t>
  </si>
  <si>
    <t>entrance</t>
  </si>
  <si>
    <t>Vespoidea</t>
  </si>
  <si>
    <t>Formicidae</t>
  </si>
  <si>
    <t>Formicinae</t>
  </si>
  <si>
    <t>2021-07-13_11-11-57</t>
  </si>
  <si>
    <t>Orthoptera</t>
  </si>
  <si>
    <t>Caelifera</t>
  </si>
  <si>
    <t>Acridoidea</t>
  </si>
  <si>
    <t>Acrididae</t>
  </si>
  <si>
    <t>Psyllobora</t>
  </si>
  <si>
    <t>vigintiduopunctata</t>
  </si>
  <si>
    <t>2021-07-13_12-22-04</t>
  </si>
  <si>
    <t>2021-07-13_12-26-42</t>
  </si>
  <si>
    <t>Apoidea</t>
  </si>
  <si>
    <t>Apidae</t>
  </si>
  <si>
    <t>Apinae</t>
  </si>
  <si>
    <t>Bombus</t>
  </si>
  <si>
    <t>2021-07-13_12-39-07</t>
  </si>
  <si>
    <t>Pimplinae</t>
  </si>
  <si>
    <t>Pimpla</t>
  </si>
  <si>
    <t>rufipes</t>
  </si>
  <si>
    <t>2021-07-13_13-07-11</t>
  </si>
  <si>
    <t>2021-07-13_13-20-39</t>
  </si>
  <si>
    <t>2021-07-13_13-27-31</t>
  </si>
  <si>
    <t>2021-07-13_14-25-46</t>
  </si>
  <si>
    <t>Tenebrionoidea</t>
  </si>
  <si>
    <t>Oedemeridae</t>
  </si>
  <si>
    <t>Nacerdinae</t>
  </si>
  <si>
    <t>Chrysanthia</t>
  </si>
  <si>
    <t>viridissima</t>
  </si>
  <si>
    <t>2021-07-13_14-17-56</t>
  </si>
  <si>
    <t>Asiloidea</t>
  </si>
  <si>
    <t>Asilidae</t>
  </si>
  <si>
    <t>Asilinae</t>
  </si>
  <si>
    <t>2021-07-13_14-24-21</t>
  </si>
  <si>
    <t>2021-07-13_14-30-25</t>
  </si>
  <si>
    <t>2021-07-13_14-38-42</t>
  </si>
  <si>
    <t>2021-07-13_14-46-17</t>
  </si>
  <si>
    <t>2021-07-13_14-46-56</t>
  </si>
  <si>
    <t>2021-07-13_14-54-17</t>
  </si>
  <si>
    <t>2021-07-13_15-24-48</t>
  </si>
  <si>
    <t>2021-07-13_15-39-52</t>
  </si>
  <si>
    <t>2021-07-13_15-54-28</t>
  </si>
  <si>
    <t>Sciomyzoidea</t>
  </si>
  <si>
    <t>Sepsidae</t>
  </si>
  <si>
    <t>Sepsinae</t>
  </si>
  <si>
    <t>Sepsis</t>
  </si>
  <si>
    <t>2021-07-13_16-04-18</t>
  </si>
  <si>
    <t>2021-07-13_16-34-24</t>
  </si>
  <si>
    <t>2021-07-13_16-40-57</t>
  </si>
  <si>
    <t>2021-07-13_16-45-53</t>
  </si>
  <si>
    <t>2021-07-13_16-51-15</t>
  </si>
  <si>
    <t>2021-07-13_16-53-32</t>
  </si>
  <si>
    <t>2021-07-13_16-55-03</t>
  </si>
  <si>
    <t>2021-07-13_16-57-08</t>
  </si>
  <si>
    <t>Gomphocerinae</t>
  </si>
  <si>
    <t>Chorthippus</t>
  </si>
  <si>
    <t>Muscoidea</t>
  </si>
  <si>
    <t>Fanniidae</t>
  </si>
  <si>
    <t>Fannia</t>
  </si>
  <si>
    <t>2021-07-13_17-10-39</t>
  </si>
  <si>
    <t>Lasius</t>
  </si>
  <si>
    <t>fuliginosus</t>
  </si>
  <si>
    <t>2021-07-13_17-13-55</t>
  </si>
  <si>
    <t>Melanostoma</t>
  </si>
  <si>
    <t>2021-07-13_17-32-05</t>
  </si>
  <si>
    <t>2021-07-13_17-45-32</t>
  </si>
  <si>
    <t>Nematocera</t>
  </si>
  <si>
    <t>Sciaroidea</t>
  </si>
  <si>
    <t>Keroplatidae</t>
  </si>
  <si>
    <t>Macrocerinae</t>
  </si>
  <si>
    <t>Macrocera</t>
  </si>
  <si>
    <t>2021-07-13_17-56-52</t>
  </si>
  <si>
    <t>2021-07-13_17-59-20</t>
  </si>
  <si>
    <t>2021-07-13_18-03-08</t>
  </si>
  <si>
    <t>2021-07-13_18-42-56</t>
  </si>
  <si>
    <t>2021-07-13_18-46-29</t>
  </si>
  <si>
    <t>2021-07-13_18-47-51</t>
  </si>
  <si>
    <t>2021-07-13_19-04-35</t>
  </si>
  <si>
    <t>2021-07-13_19-07-17</t>
  </si>
  <si>
    <t>2021-07-13_19-18-51</t>
  </si>
  <si>
    <t>2021-07-13_19-47-05</t>
  </si>
  <si>
    <t>2021-07-13_20-12-12</t>
  </si>
  <si>
    <t>2021-07-13_20-30-00</t>
  </si>
  <si>
    <t>2021-07-13_20-37-35</t>
  </si>
  <si>
    <t>2021-07-13_20-49-25</t>
  </si>
  <si>
    <t>2021-07-21_21-34-16</t>
  </si>
  <si>
    <t>Dermaptera</t>
  </si>
  <si>
    <t>Forficulina</t>
  </si>
  <si>
    <t>Forficuloidea</t>
  </si>
  <si>
    <t>Forficulidae</t>
  </si>
  <si>
    <t>Forficulinae</t>
  </si>
  <si>
    <t>2021-07-14_08-36-49</t>
  </si>
  <si>
    <t>Banchinae</t>
  </si>
  <si>
    <t>Exetastes</t>
  </si>
  <si>
    <t>2021-07-14_09-16-05</t>
  </si>
  <si>
    <t>2021-07-15_18-28-14</t>
  </si>
  <si>
    <t>2021-07-15_18-30-34</t>
  </si>
  <si>
    <t>Zygaenoidea</t>
  </si>
  <si>
    <t>Zygaenidae</t>
  </si>
  <si>
    <t>Procridinae</t>
  </si>
  <si>
    <t>2021-07-15_18-53-14</t>
  </si>
  <si>
    <t>2021-07-15_19-10-27</t>
  </si>
  <si>
    <t>2021-07-15_19-15-02</t>
  </si>
  <si>
    <t>2021-07-15_19-20-29</t>
  </si>
  <si>
    <t>2021-07-15_19-28-52</t>
  </si>
  <si>
    <t>2021-07-15_19-30-59</t>
  </si>
  <si>
    <t>2021-07-15_19-53-41</t>
  </si>
  <si>
    <t>2021-07-15_20-02-02</t>
  </si>
  <si>
    <t>2021-07-15_20-28-09</t>
  </si>
  <si>
    <t>2021-07-15_20-46-08</t>
  </si>
  <si>
    <t>2021-07-15_21-00-23</t>
  </si>
  <si>
    <t>2021-07-15_21-05-52</t>
  </si>
  <si>
    <t>2021-07-15_21-09-05</t>
  </si>
  <si>
    <t>2021-07-15_21-18-46</t>
  </si>
  <si>
    <t>Opomyzoidea</t>
  </si>
  <si>
    <t>Opomyzidae</t>
  </si>
  <si>
    <t>2021-07-15_21-29-02</t>
  </si>
  <si>
    <t>Tipuloidea</t>
  </si>
  <si>
    <t>Tipulidae</t>
  </si>
  <si>
    <t>Tipulinae</t>
  </si>
  <si>
    <t>Nephrotoma</t>
  </si>
  <si>
    <t>2021-07-15_21-29-45</t>
  </si>
  <si>
    <t>2021-07-15_22-12-01</t>
  </si>
  <si>
    <t>2021-07-15_21-36-47</t>
  </si>
  <si>
    <t>Pyraloidea</t>
  </si>
  <si>
    <t>Pyralidae</t>
  </si>
  <si>
    <t>Phycitinae</t>
  </si>
  <si>
    <t>Ephestia</t>
  </si>
  <si>
    <t>2021-07-15_21-42-51</t>
  </si>
  <si>
    <t>2021-07-15_21-46-28</t>
  </si>
  <si>
    <t>2021-07-15_21-49-19</t>
  </si>
  <si>
    <t>Anthicidae</t>
  </si>
  <si>
    <t>Anthicinae</t>
  </si>
  <si>
    <t>Notoxus</t>
  </si>
  <si>
    <t>monoceros</t>
  </si>
  <si>
    <t>2021-07-15_21-54-09</t>
  </si>
  <si>
    <t>2021-07-15_21-57-07</t>
  </si>
  <si>
    <t>2021-07-15_21-59-26</t>
  </si>
  <si>
    <t>Gelechioidea</t>
  </si>
  <si>
    <t>2021-07-15_22-01-03</t>
  </si>
  <si>
    <t>2021-07-15_22-06-24</t>
  </si>
  <si>
    <t>Pyralinae</t>
  </si>
  <si>
    <t>Endotricha</t>
  </si>
  <si>
    <t>flammealis</t>
  </si>
  <si>
    <t>Drosophila</t>
  </si>
  <si>
    <t>2021-07-15_22-14-55</t>
  </si>
  <si>
    <t>Crambidae</t>
  </si>
  <si>
    <t>Crambinae</t>
  </si>
  <si>
    <t>Chrysoteuchia</t>
  </si>
  <si>
    <t>culmella</t>
  </si>
  <si>
    <t>2021-07-15_22-22-42</t>
  </si>
  <si>
    <t>2021-07-15_22-25-11</t>
  </si>
  <si>
    <t>Pseudochorthippus</t>
  </si>
  <si>
    <t>parallelus</t>
  </si>
  <si>
    <t>2021-07-14_07-36-10</t>
  </si>
  <si>
    <t>Hemiptera</t>
  </si>
  <si>
    <t>Heteroptera</t>
  </si>
  <si>
    <t>Miroidea</t>
  </si>
  <si>
    <t>Miridae</t>
  </si>
  <si>
    <t>Orthotylinae</t>
  </si>
  <si>
    <t>Orthotylus</t>
  </si>
  <si>
    <t>2021-07-15_22-41-36</t>
  </si>
  <si>
    <t>2021-07-15_22-49-23</t>
  </si>
  <si>
    <t>2021-07-15_23-01-17</t>
  </si>
  <si>
    <t>2021-07-15_22-52-45</t>
  </si>
  <si>
    <t>2021-07-15_23-03-03</t>
  </si>
  <si>
    <t>2021-07-15_00-05-30</t>
  </si>
  <si>
    <t>2021-07-16_00-05-30</t>
  </si>
  <si>
    <t>Ensifera</t>
  </si>
  <si>
    <t>Tettigonioidea</t>
  </si>
  <si>
    <t>Tettigoniidae</t>
  </si>
  <si>
    <t>Phaneropterinae</t>
  </si>
  <si>
    <t>Leptophyes</t>
  </si>
  <si>
    <t>punctatissima</t>
  </si>
  <si>
    <t>2021-07-16_00-11-15</t>
  </si>
  <si>
    <t>2021-07-16_00-17-38</t>
  </si>
  <si>
    <t>2021-07-16_01-57-09</t>
  </si>
  <si>
    <t>2021-07-16_02-03-41</t>
  </si>
  <si>
    <t>2021-07-16_02-37-24</t>
  </si>
  <si>
    <t>2021-07-16_02-58-22</t>
  </si>
  <si>
    <t>2021-07-16_02-59-49</t>
  </si>
  <si>
    <t>Gelechiidae</t>
  </si>
  <si>
    <t>2021-07-16_03-03-35</t>
  </si>
  <si>
    <t>2021-07-16_03-11-38</t>
  </si>
  <si>
    <t>2021-07-16_03-16-55</t>
  </si>
  <si>
    <t>2021-07-16_03-17-45</t>
  </si>
  <si>
    <t>2021-07-16_03-18-34</t>
  </si>
  <si>
    <t>2021-07-16_03-22-24</t>
  </si>
  <si>
    <t>2021-07-16_03-23-59</t>
  </si>
  <si>
    <t>2021-07-16_03-27-40</t>
  </si>
  <si>
    <t>2021-07-16_03-30-29</t>
  </si>
  <si>
    <t>2021-07-16_03-47-54</t>
  </si>
  <si>
    <t>Culicoidea</t>
  </si>
  <si>
    <t>Culicidae</t>
  </si>
  <si>
    <t>2021-07-16_04-09-37</t>
  </si>
  <si>
    <t>2021-07-16_04-15-20</t>
  </si>
  <si>
    <t>2021-07-16_05-02-29</t>
  </si>
  <si>
    <t>2021-07-16_06-13-44</t>
  </si>
  <si>
    <t>2021-07-16_08-28-59</t>
  </si>
  <si>
    <t>2021-07-16_12-07-21</t>
  </si>
  <si>
    <t>2021-07-16_12-50-53</t>
  </si>
  <si>
    <t>2021-07-16_13-31-12</t>
  </si>
  <si>
    <t>Formica</t>
  </si>
  <si>
    <t>2021-07-16_15-36-48</t>
  </si>
  <si>
    <t>2021-07-16_15-56-02</t>
  </si>
  <si>
    <t>2021-07-16_17-18-01</t>
  </si>
  <si>
    <t>Phygadeuontinae</t>
  </si>
  <si>
    <t>Gelis</t>
  </si>
  <si>
    <t>2021-07-19_20-46-08</t>
  </si>
  <si>
    <t>2021-07-19_21-00-23</t>
  </si>
  <si>
    <t>2021-07-19_21-05-52</t>
  </si>
  <si>
    <t>Lauxanioidea</t>
  </si>
  <si>
    <t>Lauxaniidae</t>
  </si>
  <si>
    <t>Lauxaniinae</t>
  </si>
  <si>
    <t>Sapromyza</t>
  </si>
  <si>
    <t>2021-07-19_21-09-05</t>
  </si>
  <si>
    <t>Oestroidea</t>
  </si>
  <si>
    <t>2021-07-19_21-31-47</t>
  </si>
  <si>
    <t>2021-07-19_21-54-30</t>
  </si>
  <si>
    <t>2021-07-19_22-12-09</t>
  </si>
  <si>
    <t>2021-07-19_22-41-51</t>
  </si>
  <si>
    <t>Notoxinae</t>
  </si>
  <si>
    <t>Auchenorrhyncha</t>
  </si>
  <si>
    <t>2021-07-19_22-28-59</t>
  </si>
  <si>
    <t>2021-07-20_04-06-10</t>
  </si>
  <si>
    <t>2021-07-20_12-55-36</t>
  </si>
  <si>
    <t>2021-07-20_13-28-18</t>
  </si>
  <si>
    <t>2021-07-20_14-01-00</t>
  </si>
  <si>
    <t>2021-07-20_15-02-02</t>
  </si>
  <si>
    <t>2021-07-20_16-19-11</t>
  </si>
  <si>
    <t>2021-07-20_16-24-27</t>
  </si>
  <si>
    <t>2021-07-20_16-25-10</t>
  </si>
  <si>
    <t>2021-07-21_19-27-03</t>
  </si>
  <si>
    <t>2021-07-21_19-41-34</t>
  </si>
  <si>
    <t>vulgaris</t>
  </si>
  <si>
    <t>2021-07-21_19-51-53</t>
  </si>
  <si>
    <t>2021-07-21_20-56-05</t>
  </si>
  <si>
    <t>2021-07-21_21-30-12</t>
  </si>
  <si>
    <t>scripta</t>
  </si>
  <si>
    <t>2021-07-19_22-25-48</t>
  </si>
  <si>
    <t>2021-07-19_22-57-41</t>
  </si>
  <si>
    <t>Neuroptera</t>
  </si>
  <si>
    <t>Hemerobiiformia</t>
  </si>
  <si>
    <t>Hemerobioidea</t>
  </si>
  <si>
    <t>Chrysopidae</t>
  </si>
  <si>
    <t>Chrysopinae</t>
  </si>
  <si>
    <t>Chrysoperla</t>
  </si>
  <si>
    <t>carnea</t>
  </si>
  <si>
    <t>2021-07-22_02-43-01</t>
  </si>
  <si>
    <t>2021-07-22_04-14-16</t>
  </si>
  <si>
    <t>2021-07-22_05-08-44</t>
  </si>
  <si>
    <t>2021-07-22_05-11-16</t>
  </si>
  <si>
    <t>2021-07-22_11-07-44</t>
  </si>
  <si>
    <t>2021-07-22_14-36-40</t>
  </si>
  <si>
    <t>2021-07-22_15-04-45</t>
  </si>
  <si>
    <t>2021-07-22_15-47-46</t>
  </si>
  <si>
    <t>Sarcophagidae</t>
  </si>
  <si>
    <t>Sarcophaginae</t>
  </si>
  <si>
    <t>Sarcophaga</t>
  </si>
  <si>
    <t>2021-07-22_17-23-29</t>
  </si>
  <si>
    <t>2021-07-22_18-29-49</t>
  </si>
  <si>
    <t>2021-07-23_00-22-17</t>
  </si>
  <si>
    <t>2021-07-23_09-15-22</t>
  </si>
  <si>
    <t>2021-07-23_09-46-30</t>
  </si>
  <si>
    <t>2021-07-23_16-38-11</t>
  </si>
  <si>
    <t>2021-07-23_16-39-58</t>
  </si>
  <si>
    <t>2021-07-23_17-30-02</t>
  </si>
  <si>
    <t>2021-07-23_18-23-10</t>
  </si>
  <si>
    <t>2021-07-24_10-04-52</t>
  </si>
  <si>
    <t>2021-07-24_10-16-18</t>
  </si>
  <si>
    <t>2021-07-24_10-17-27</t>
  </si>
  <si>
    <t>2021-07-24_10-32-18</t>
  </si>
  <si>
    <t>2021-07-24_10-50-09</t>
  </si>
  <si>
    <t>2021-07-24_11-01-09</t>
  </si>
  <si>
    <t>2021-07-24_11-12-39</t>
  </si>
  <si>
    <t>2021-07-24_12-16-19</t>
  </si>
  <si>
    <t>2021-07-24_12-40-34</t>
  </si>
  <si>
    <t>Crabronidae</t>
  </si>
  <si>
    <t>Astatinae</t>
  </si>
  <si>
    <t>Astata</t>
  </si>
  <si>
    <t>2021-07-24_12-56-07</t>
  </si>
  <si>
    <t>Xanthogramma</t>
  </si>
  <si>
    <t>dives</t>
  </si>
  <si>
    <t>2021-07-24_13-09-32</t>
  </si>
  <si>
    <t>2021-07-24_13-55-40</t>
  </si>
  <si>
    <t>2021-07-24_14-44-08</t>
  </si>
  <si>
    <t>Stratiomyoidea</t>
  </si>
  <si>
    <t>Xylomyidae</t>
  </si>
  <si>
    <t>Solva</t>
  </si>
  <si>
    <t>marginata</t>
  </si>
  <si>
    <t>2021-07-24_15-34-15</t>
  </si>
  <si>
    <t>2021-07-24_15-56-10</t>
  </si>
  <si>
    <t>2021-07-24_18-05-31</t>
  </si>
  <si>
    <t>2021-07-24_18-07-22</t>
  </si>
  <si>
    <t>2021-07-25_07-33-40</t>
  </si>
  <si>
    <t>2021-07-25_08-13-22</t>
  </si>
  <si>
    <t>2021-07-25_08-24-44</t>
  </si>
  <si>
    <t>2021-07-25_11-23-11</t>
  </si>
  <si>
    <t>2021-07-25_11-25-15</t>
  </si>
  <si>
    <t>2021-07-25_13-00-42</t>
  </si>
  <si>
    <t>Mycetophilidae</t>
  </si>
  <si>
    <t>2021-07-25_14-19-28</t>
  </si>
  <si>
    <t>Chrysomeloidea</t>
  </si>
  <si>
    <t>Chrysomelidae</t>
  </si>
  <si>
    <t>Chrysomelinae</t>
  </si>
  <si>
    <t>Chrysolina</t>
  </si>
  <si>
    <t>2021-07-25_14-44-16</t>
  </si>
  <si>
    <t>2021-07-25_15-20-26</t>
  </si>
  <si>
    <t>2021-07-25_15-31-07</t>
  </si>
  <si>
    <t>Curculionoidea</t>
  </si>
  <si>
    <t>Curculionidae</t>
  </si>
  <si>
    <t>Entiminae</t>
  </si>
  <si>
    <t>Sitona</t>
  </si>
  <si>
    <t>lineatus</t>
  </si>
  <si>
    <t>2021-07-25_15-39-14</t>
  </si>
  <si>
    <t>2021-07-25_15-45-45</t>
  </si>
  <si>
    <t>2021-07-25_17-05-06</t>
  </si>
  <si>
    <t>2021-07-25_17-35-21</t>
  </si>
  <si>
    <t>2021-07-25_17-39-05</t>
  </si>
  <si>
    <t>2021-07-25_18-15-09</t>
  </si>
  <si>
    <t>Empidoidea</t>
  </si>
  <si>
    <t>Dolichopodidae</t>
  </si>
  <si>
    <t>2021-07-25_18-25-07</t>
  </si>
  <si>
    <t>2021-07-25_18-28-23</t>
  </si>
  <si>
    <t>Criocerinae</t>
  </si>
  <si>
    <t>Oulema</t>
  </si>
  <si>
    <t>2021-07-26_06-06-15</t>
  </si>
  <si>
    <t>Synaphe</t>
  </si>
  <si>
    <t>punctalis</t>
  </si>
  <si>
    <t>2021-07-26_06-18-38</t>
  </si>
  <si>
    <t>2021-07-26_06-20-27</t>
  </si>
  <si>
    <t>2021-07-26_07-42-51</t>
  </si>
  <si>
    <t>2021-07-26_08-11-41</t>
  </si>
  <si>
    <t>Tephritoidea</t>
  </si>
  <si>
    <t>Pallopteridae</t>
  </si>
  <si>
    <t>2021-07-26_09-30-06</t>
  </si>
  <si>
    <t>2021-07-26_10-26-55</t>
  </si>
  <si>
    <t>2021-07-26_10-59-11</t>
  </si>
  <si>
    <t>2021-07-26_11-05-54</t>
  </si>
  <si>
    <t>2021-07-26_11-15-35</t>
  </si>
  <si>
    <t>2021-07-26_11-28-25</t>
  </si>
  <si>
    <t>2021-07-26_11-47-43</t>
  </si>
  <si>
    <t>Pompilidae</t>
  </si>
  <si>
    <t>2021-07-26_12-05-09</t>
  </si>
  <si>
    <t>2021-07-26_12-25-21</t>
  </si>
  <si>
    <t>2021-07-26_12-45-13</t>
  </si>
  <si>
    <t>Campopleginae</t>
  </si>
  <si>
    <t>Dusona</t>
  </si>
  <si>
    <t>2021-07-26_13-06-49</t>
  </si>
  <si>
    <t>2021-07-26_15-30-08</t>
  </si>
  <si>
    <t>2021-07-26_15-47-13</t>
  </si>
  <si>
    <t>Propylea</t>
  </si>
  <si>
    <t>quatuordecimpunctata</t>
  </si>
  <si>
    <t>2021-07-26_16-47-31</t>
  </si>
  <si>
    <t>2021-07-26_16-51-15</t>
  </si>
  <si>
    <t>2021-07-28_15-51-27</t>
  </si>
  <si>
    <t>2021-07-28_15-55-56</t>
  </si>
  <si>
    <t>2021-07-28_16-18-11</t>
  </si>
  <si>
    <t>2021-07-28_16-30-30</t>
  </si>
  <si>
    <t>Pipunculidae</t>
  </si>
  <si>
    <t>2021-07-28_17-01-40</t>
  </si>
  <si>
    <t>2021-07-28_17-07-40</t>
  </si>
  <si>
    <t>Brentidae</t>
  </si>
  <si>
    <t>Apioninae</t>
  </si>
  <si>
    <t>Apion</t>
  </si>
  <si>
    <t>2021-07-29_18-01-21</t>
  </si>
  <si>
    <t>2021-07-29_09-02-04</t>
  </si>
  <si>
    <t>2021-07-29_09-10-26</t>
  </si>
  <si>
    <t>Conocephalinae</t>
  </si>
  <si>
    <t>Conocephalus</t>
  </si>
  <si>
    <t>fuscus</t>
  </si>
  <si>
    <t>2021-07-29_14-46-31</t>
  </si>
  <si>
    <t>2021-07-29_16-36-05</t>
  </si>
  <si>
    <t>biguttulus</t>
  </si>
  <si>
    <t>2021-07-29_16-37-23</t>
  </si>
  <si>
    <t>2021-07-29_17-18-30</t>
  </si>
  <si>
    <t>Muscidae</t>
  </si>
  <si>
    <t>Muscinae</t>
  </si>
  <si>
    <t>Mesembrina</t>
  </si>
  <si>
    <t>meridiana</t>
  </si>
  <si>
    <t>2021-07-29_17-24-07</t>
  </si>
  <si>
    <t>2021-07-29_18-01-57</t>
  </si>
  <si>
    <t>2021-07-29_18-21-53</t>
  </si>
  <si>
    <t>2021-07-29_18-44-55</t>
  </si>
  <si>
    <t>2021-07-29_18-48-57</t>
  </si>
  <si>
    <t>2021-07-29_18-51-10</t>
  </si>
  <si>
    <t>2021-07-30_09-35-07</t>
  </si>
  <si>
    <t>2021-07-30_11-26-02</t>
  </si>
  <si>
    <t>2021-07-30_12-22-00</t>
  </si>
  <si>
    <t>2021-07-30_12-25-59</t>
  </si>
  <si>
    <t>2021-07-30_15-13-50</t>
  </si>
  <si>
    <t>2021-07-30_15-15-31</t>
  </si>
  <si>
    <t>2021-07-30_15-55-06</t>
  </si>
  <si>
    <t>2021-07-30_15-20-27</t>
  </si>
  <si>
    <t>2021-07-30_17-10-05</t>
  </si>
  <si>
    <t>2021-07-30_17-11-16</t>
  </si>
  <si>
    <t>2021-07-30_18-08-29</t>
  </si>
  <si>
    <t>2021-07-31_06-52-44</t>
  </si>
  <si>
    <t>2021-07-31_18-55-22</t>
  </si>
  <si>
    <t>Geometroidea</t>
  </si>
  <si>
    <t>Geometridae</t>
  </si>
  <si>
    <t>Larentiinae</t>
  </si>
  <si>
    <t>Epirrhoe</t>
  </si>
  <si>
    <t>alternata</t>
  </si>
  <si>
    <t>2021-07-31_12-29-55</t>
  </si>
  <si>
    <t>2021-07-31_13-02-03</t>
  </si>
  <si>
    <t>Tachinidae</t>
  </si>
  <si>
    <t>Phasiinae</t>
  </si>
  <si>
    <t>Gymnosoma</t>
  </si>
  <si>
    <t>2021-07-31_16-32-45</t>
  </si>
  <si>
    <t>2021-07-31_18-41-02</t>
  </si>
  <si>
    <t>frumentarium</t>
  </si>
  <si>
    <t>2021-07-31_17-12-18</t>
  </si>
  <si>
    <t>2021-07-31_11-50-22</t>
  </si>
  <si>
    <t>2021-07-31_18-17-06</t>
  </si>
  <si>
    <t>2021-08-01_07-43-05</t>
  </si>
  <si>
    <t>2021-08-01_11-07-07</t>
  </si>
  <si>
    <t>2021-08-01_14-01-18</t>
  </si>
  <si>
    <t>germanica</t>
  </si>
  <si>
    <t>2021-08-01_15-21-36</t>
  </si>
  <si>
    <t>2021-08-01_15-30-10</t>
  </si>
  <si>
    <t>2021-08-01_15-56-11</t>
  </si>
  <si>
    <t>2021-08-01_16-19-36</t>
  </si>
  <si>
    <t>Vespidae</t>
  </si>
  <si>
    <t>Vespinae</t>
  </si>
  <si>
    <t>Vespula</t>
  </si>
  <si>
    <t>2021-08-01_16-37-51</t>
  </si>
  <si>
    <t>2021-08-01_17-32-23</t>
  </si>
  <si>
    <t>Medeterinae</t>
  </si>
  <si>
    <t>Medetera</t>
  </si>
  <si>
    <t>2021-08-01_18-45-19</t>
  </si>
  <si>
    <t>canicularis</t>
  </si>
  <si>
    <t>2021-08-02_06-13-22</t>
  </si>
  <si>
    <t>2021-08-02_08-02-33</t>
  </si>
  <si>
    <t>2021-08-02_08-52-13</t>
  </si>
  <si>
    <t>2021-08-02_08-55-14</t>
  </si>
  <si>
    <t>2021-08-02_13-03-59</t>
  </si>
  <si>
    <t>2021-08-02_12-19-12</t>
  </si>
  <si>
    <t>2021-08-02_14-17-33</t>
  </si>
  <si>
    <t>Camponatus</t>
  </si>
  <si>
    <t>2021-08-02_14-39-21</t>
  </si>
  <si>
    <t>2021-08-02_14-49-05</t>
  </si>
  <si>
    <t>2021-08-02_15-38-22</t>
  </si>
  <si>
    <t>2021-08-02_15-05-43</t>
  </si>
  <si>
    <t>2021-08-02_15-20-52</t>
  </si>
  <si>
    <t>2021-08-02_15-43-03</t>
  </si>
  <si>
    <t>2021-08-02_15-58-20</t>
  </si>
  <si>
    <t>2021-08-02_16-13-40</t>
  </si>
  <si>
    <t>2021-08-02_16-17-58</t>
  </si>
  <si>
    <t>2021-08-02_16-31-44</t>
  </si>
  <si>
    <t>2021-08-02_16-38-34</t>
  </si>
  <si>
    <t>2021-08-02_16-39-37</t>
  </si>
  <si>
    <t>2021-08-02_17-17-04</t>
  </si>
  <si>
    <t>2021-08-02_17-57-16</t>
  </si>
  <si>
    <t>2021-08-02_18-06-20</t>
  </si>
  <si>
    <t>2021-08-02_18-13-37</t>
  </si>
  <si>
    <t>2021-08-02_18-48-16</t>
  </si>
  <si>
    <t>2021-08-02_18-59-10</t>
  </si>
  <si>
    <t>2021-08-03_06-05-56</t>
  </si>
  <si>
    <t>2021-08-03_10-38-49</t>
  </si>
  <si>
    <t>2021-08-03_09-13-38</t>
  </si>
  <si>
    <t>2021-08-03_10-52-42</t>
  </si>
  <si>
    <t>2021-08-03_11-50-22</t>
  </si>
  <si>
    <t>2021-08-03_11-34-25</t>
  </si>
  <si>
    <t>Pepsinae</t>
  </si>
  <si>
    <t>Priocnemis</t>
  </si>
  <si>
    <t>2021-08-03_12-12-21</t>
  </si>
  <si>
    <t>2021-08-03_12-43-54</t>
  </si>
  <si>
    <t>2021-08-03_12-26-13</t>
  </si>
  <si>
    <t>2021-08-10_15-49-27</t>
  </si>
  <si>
    <t>2021-08-10_16-13-49</t>
  </si>
  <si>
    <t>2021-08-10_16-14-15</t>
  </si>
  <si>
    <t>Dolichovespula</t>
  </si>
  <si>
    <t>media</t>
  </si>
  <si>
    <t>2021-08-10_16-21-59</t>
  </si>
  <si>
    <t>2021-08-10_16-37-43</t>
  </si>
  <si>
    <t>2021-08-10_16-40-34</t>
  </si>
  <si>
    <t>2021-08-10_17-13-36</t>
  </si>
  <si>
    <t>2021-08-10_17-36-02</t>
  </si>
  <si>
    <t>2021-08-10_17-46-28</t>
  </si>
  <si>
    <t>Strophosoma</t>
  </si>
  <si>
    <t>melanogrammum</t>
  </si>
  <si>
    <t>2021-08-10_17-50-38</t>
  </si>
  <si>
    <t>2021-08-10_17-54-22</t>
  </si>
  <si>
    <t>2021-08-10_17-55-32</t>
  </si>
  <si>
    <t>2021-08-10_18-12-20</t>
  </si>
  <si>
    <t>2021-08-10_18-13-52</t>
  </si>
  <si>
    <t>2021-08-10_18-37-06</t>
  </si>
  <si>
    <t>2021-08-10_18-58-00</t>
  </si>
  <si>
    <t>2021-08-10_19-19-03</t>
  </si>
  <si>
    <t>2021-08-10_19-36-26</t>
  </si>
  <si>
    <t>2021-08-10_19-53-16</t>
  </si>
  <si>
    <t>2021-08-10_20-00-35</t>
  </si>
  <si>
    <t>Anthomyiidae</t>
  </si>
  <si>
    <t>Anthomyiinae</t>
  </si>
  <si>
    <t>Fucellia</t>
  </si>
  <si>
    <t>2021-08-10_20-09-19</t>
  </si>
  <si>
    <t>2021-08-10_20-22-18</t>
  </si>
  <si>
    <t>2021-08-10_20-24-35</t>
  </si>
  <si>
    <t>2021-08-10_20-25-30</t>
  </si>
  <si>
    <t>2021-08-10_20-37-23</t>
  </si>
  <si>
    <t>2021-08-10_20-51-19</t>
  </si>
  <si>
    <t>2021-08-10_20-52-37</t>
  </si>
  <si>
    <t>2021-08-10_20-59-25</t>
  </si>
  <si>
    <t>2021-08-10_21-03-08</t>
  </si>
  <si>
    <t>2021-08-10_21-04-46</t>
  </si>
  <si>
    <t>2021-08-10_21-07-04</t>
  </si>
  <si>
    <t>Chymomyza</t>
  </si>
  <si>
    <t>amoena</t>
  </si>
  <si>
    <t>2021-08-10_21-10-02</t>
  </si>
  <si>
    <t>2021-08-10_21-12-38</t>
  </si>
  <si>
    <t>Musca</t>
  </si>
  <si>
    <t>domestica</t>
  </si>
  <si>
    <t>2021-08-10_21-17-09</t>
  </si>
  <si>
    <t>2021-08-10_21-19-57</t>
  </si>
  <si>
    <t>Hemerobiidae</t>
  </si>
  <si>
    <t>Microminae</t>
  </si>
  <si>
    <t>Micromus</t>
  </si>
  <si>
    <t>angulatus</t>
  </si>
  <si>
    <t>2021-08-10_21-20-57</t>
  </si>
  <si>
    <t>Sciomyzidae</t>
  </si>
  <si>
    <t>Sciomyzinae</t>
  </si>
  <si>
    <t>Tetanocera</t>
  </si>
  <si>
    <t>Rhagionoidea</t>
  </si>
  <si>
    <t>Rhagionidae</t>
  </si>
  <si>
    <t>Rhagioninae</t>
  </si>
  <si>
    <t>Rhagio</t>
  </si>
  <si>
    <t>tringarius</t>
  </si>
  <si>
    <t>2021-08-10_21-26-08</t>
  </si>
  <si>
    <t>2021-08-10_21-28-18</t>
  </si>
  <si>
    <t>2021-08-10_21-30-07</t>
  </si>
  <si>
    <t>2021-08-10_21-31-05</t>
  </si>
  <si>
    <t>2021-08-10_21-42-43</t>
  </si>
  <si>
    <t>2021-08-10_21-56-17</t>
  </si>
  <si>
    <t>2021-08-10_21-58-11</t>
  </si>
  <si>
    <t>2021-08-10_22-00-19</t>
  </si>
  <si>
    <t>2021-08-10_22-02-07</t>
  </si>
  <si>
    <t>2021-08-10_23-51-36</t>
  </si>
  <si>
    <t>2021-08-11_00-31-10</t>
  </si>
  <si>
    <t>Peleopodidae</t>
  </si>
  <si>
    <t>Peleopodinae</t>
  </si>
  <si>
    <t>Carcina</t>
  </si>
  <si>
    <t>quercana</t>
  </si>
  <si>
    <t>2021-08-11_09-42-18</t>
  </si>
  <si>
    <t>dorsatus</t>
  </si>
  <si>
    <t>2021-08-11_10-51-23</t>
  </si>
  <si>
    <t>Ichneumoninae</t>
  </si>
  <si>
    <t>2021-08-11_11-17-53</t>
  </si>
  <si>
    <t>Coenosiinae</t>
  </si>
  <si>
    <t>Coenosia</t>
  </si>
  <si>
    <t>2021-08-11_11-21-38</t>
  </si>
  <si>
    <t>2021-08-11_12-08-54</t>
  </si>
  <si>
    <t>2021-08-11_12-43-18</t>
  </si>
  <si>
    <t>2021-08-11_14-08-50</t>
  </si>
  <si>
    <t>2021-08-11_14-42-26</t>
  </si>
  <si>
    <t>2021-08-11_14-55-22</t>
  </si>
  <si>
    <t>2021-08-16_12-13-31</t>
  </si>
  <si>
    <t>2021-08-16_12-59-02</t>
  </si>
  <si>
    <t>2021-08-18_18-28-56</t>
  </si>
  <si>
    <t>2021-08-18_19-23-29</t>
  </si>
  <si>
    <t>2021-08-18_19-27-43</t>
  </si>
  <si>
    <t>2021-08-18_19-57-50</t>
  </si>
  <si>
    <t>2021-08-18_20-31-31</t>
  </si>
  <si>
    <t>2021-08-18_20-54-08</t>
  </si>
  <si>
    <t>2021-08-18_20-54-20</t>
  </si>
  <si>
    <t>2021-08-18_20-58-58</t>
  </si>
  <si>
    <t>2021-08-18_20-59-23</t>
  </si>
  <si>
    <t>2021-08-18_21-19-27</t>
  </si>
  <si>
    <t>2021-08-18_22-34-52</t>
  </si>
  <si>
    <t>Camptogramma</t>
  </si>
  <si>
    <t>bilineata</t>
  </si>
  <si>
    <t>2021-08-19_15-49-46</t>
  </si>
  <si>
    <t>2021-08-19_15-52-41</t>
  </si>
  <si>
    <t>2021-08-19_19-40-22</t>
  </si>
  <si>
    <t>2021-08-19_19-42-36</t>
  </si>
  <si>
    <t>2021-08-19_19-42-57</t>
  </si>
  <si>
    <t>2021-08-19_20-09-08</t>
  </si>
  <si>
    <t>2021-08-19_20-43-51</t>
  </si>
  <si>
    <t>2021-08-19_22-30-09</t>
  </si>
  <si>
    <t>Noctuoidea</t>
  </si>
  <si>
    <t>Noctuidae</t>
  </si>
  <si>
    <t>Plusiinae</t>
  </si>
  <si>
    <t>Autographa</t>
  </si>
  <si>
    <t>gamma</t>
  </si>
  <si>
    <t>2021-08-19_23-24-56</t>
  </si>
  <si>
    <t>Braconidae</t>
  </si>
  <si>
    <t>Macrocentrinae</t>
  </si>
  <si>
    <t>2021-08-20_02-48-01</t>
  </si>
  <si>
    <t>2021-08-20_03-23-07</t>
  </si>
  <si>
    <t>Noctuinae</t>
  </si>
  <si>
    <t>Xestia</t>
  </si>
  <si>
    <t>xanthographa</t>
  </si>
  <si>
    <t>2021-08-20_13-57-47</t>
  </si>
  <si>
    <t>Ectophasia</t>
  </si>
  <si>
    <t>2021-08-20_17-26-19</t>
  </si>
  <si>
    <t>2021-08-20_17-30-59</t>
  </si>
  <si>
    <t>2021-08-20_17-34-15</t>
  </si>
  <si>
    <t>2021-08-20_18-18-00</t>
  </si>
  <si>
    <t>2021-08-20_19-09-14</t>
  </si>
  <si>
    <t>2021-08-20_19-20-24</t>
  </si>
  <si>
    <t>2021-08-20_19-49-06</t>
  </si>
  <si>
    <t>2021-08-20_20-21-01</t>
  </si>
  <si>
    <t>2021-08-20_20-22-48</t>
  </si>
  <si>
    <t>2021-08-20_20-28-50</t>
  </si>
  <si>
    <t>2021-08-20_20-29-41</t>
  </si>
  <si>
    <t>Arachnida</t>
  </si>
  <si>
    <t>Araneae</t>
  </si>
  <si>
    <t>Arneomorphae</t>
  </si>
  <si>
    <t>Araneoidea</t>
  </si>
  <si>
    <t>Araneidae</t>
  </si>
  <si>
    <t>Araneinae</t>
  </si>
  <si>
    <t>Araneus</t>
  </si>
  <si>
    <t>Dictynoidea</t>
  </si>
  <si>
    <t>Anyphaenidae</t>
  </si>
  <si>
    <t>Anyphaeninae</t>
  </si>
  <si>
    <t>Anyphaena</t>
  </si>
  <si>
    <t>Alticinae</t>
  </si>
  <si>
    <t>Galerucinae</t>
  </si>
  <si>
    <t>Psylliodes</t>
  </si>
  <si>
    <t>Chilocorinae</t>
  </si>
  <si>
    <t>Coccinella</t>
  </si>
  <si>
    <t>Coccinellini</t>
  </si>
  <si>
    <t>Oenopia</t>
  </si>
  <si>
    <t>Polydrusus</t>
  </si>
  <si>
    <t>Forficula</t>
  </si>
  <si>
    <t>Laphriinae</t>
  </si>
  <si>
    <t>Carnoidea</t>
  </si>
  <si>
    <t>Chloropidae</t>
  </si>
  <si>
    <t>Chloropinae</t>
  </si>
  <si>
    <t>Thaumatomyia</t>
  </si>
  <si>
    <t>Hybotidae</t>
  </si>
  <si>
    <t>Tachydromiinae</t>
  </si>
  <si>
    <t>Tachydromia</t>
  </si>
  <si>
    <t>Ephydroidae</t>
  </si>
  <si>
    <t>Hydrelliinae</t>
  </si>
  <si>
    <t>Notiphila</t>
  </si>
  <si>
    <t>Calliopum</t>
  </si>
  <si>
    <t>Anthomyia</t>
  </si>
  <si>
    <t>Scathophagidae</t>
  </si>
  <si>
    <t>Scathophaginae</t>
  </si>
  <si>
    <t>Scathophaga</t>
  </si>
  <si>
    <t>Calliphoridae</t>
  </si>
  <si>
    <t>Calliphorinae</t>
  </si>
  <si>
    <t>Bellardia</t>
  </si>
  <si>
    <t>Rhinophoridae</t>
  </si>
  <si>
    <t>Paykullia</t>
  </si>
  <si>
    <t>Sacrophagidae</t>
  </si>
  <si>
    <t>Exoristinae</t>
  </si>
  <si>
    <t>Tachininae</t>
  </si>
  <si>
    <t>Tachina</t>
  </si>
  <si>
    <t>Geomyza</t>
  </si>
  <si>
    <t>tripunctata</t>
  </si>
  <si>
    <t>Phoroidea</t>
  </si>
  <si>
    <t>Lonchopteridae</t>
  </si>
  <si>
    <t>Lonchoptera</t>
  </si>
  <si>
    <t>Phoridae</t>
  </si>
  <si>
    <t>Metopininae</t>
  </si>
  <si>
    <t>Megaselia</t>
  </si>
  <si>
    <t>Parapalaeosepsis</t>
  </si>
  <si>
    <t>Sphaeroceroidea</t>
  </si>
  <si>
    <t>Heleomyzidae</t>
  </si>
  <si>
    <t>Sphaeroceridae</t>
  </si>
  <si>
    <t>Eristalinae</t>
  </si>
  <si>
    <t>Eristalis</t>
  </si>
  <si>
    <t>Dasysyrphus</t>
  </si>
  <si>
    <t>Episyrphus</t>
  </si>
  <si>
    <t>Eupeodes</t>
  </si>
  <si>
    <t>Scaeva</t>
  </si>
  <si>
    <t>Syrphini</t>
  </si>
  <si>
    <t>Palloptera</t>
  </si>
  <si>
    <t>Tephritidae</t>
  </si>
  <si>
    <t>Tephritinae</t>
  </si>
  <si>
    <t>Tephritis</t>
  </si>
  <si>
    <t>Trypetinae</t>
  </si>
  <si>
    <t>Anomoia</t>
  </si>
  <si>
    <t>Bibionoidea</t>
  </si>
  <si>
    <t>Bibioninae</t>
  </si>
  <si>
    <t>Dilophus</t>
  </si>
  <si>
    <t>Chironomoidea</t>
  </si>
  <si>
    <t>Chironomidae</t>
  </si>
  <si>
    <t>Chironominae</t>
  </si>
  <si>
    <t>Chironomus</t>
  </si>
  <si>
    <t>Tipula</t>
  </si>
  <si>
    <t>Membracoidea</t>
  </si>
  <si>
    <t>Cicadellidae</t>
  </si>
  <si>
    <t>Deltocephalinae</t>
  </si>
  <si>
    <t>Orientus</t>
  </si>
  <si>
    <t>Pentatomomorpha</t>
  </si>
  <si>
    <t>Lygaeoidea</t>
  </si>
  <si>
    <t>Rhyparochromidae</t>
  </si>
  <si>
    <t>Rhyparochrominae</t>
  </si>
  <si>
    <t>Rhyparochromus</t>
  </si>
  <si>
    <t>Mirinae</t>
  </si>
  <si>
    <t>Crabroninae</t>
  </si>
  <si>
    <t>Oxybelus</t>
  </si>
  <si>
    <t>Pemphredoninae</t>
  </si>
  <si>
    <t>Pemphredon</t>
  </si>
  <si>
    <t>Chalcidoidea</t>
  </si>
  <si>
    <t>Eulophidae</t>
  </si>
  <si>
    <t xml:space="preserve">	Banchinae</t>
  </si>
  <si>
    <t>Dolichomitus</t>
  </si>
  <si>
    <t>Xoridinae</t>
  </si>
  <si>
    <t>Xorides</t>
  </si>
  <si>
    <t>Ichneumonoidae</t>
  </si>
  <si>
    <t>niger</t>
  </si>
  <si>
    <t>Auplopus</t>
  </si>
  <si>
    <t>Eumeninae</t>
  </si>
  <si>
    <t>Ancistrocerus</t>
  </si>
  <si>
    <t>Symphyta</t>
  </si>
  <si>
    <t>Tenthredinoidea</t>
  </si>
  <si>
    <t>Tenthredinidae</t>
  </si>
  <si>
    <t>Athaliinae</t>
  </si>
  <si>
    <t>Athalia</t>
  </si>
  <si>
    <t>Oecophoridae</t>
  </si>
  <si>
    <t>Oecophorinae</t>
  </si>
  <si>
    <t>Hofmannophila</t>
  </si>
  <si>
    <t>Mythimna</t>
  </si>
  <si>
    <t>Tineoidea</t>
  </si>
  <si>
    <t>Tineidae</t>
  </si>
  <si>
    <t xml:space="preserve">	Nemapogoninae</t>
  </si>
  <si>
    <t>Nemapogon</t>
  </si>
  <si>
    <t>Yponomeutoidea</t>
  </si>
  <si>
    <t>Plutellidae</t>
  </si>
  <si>
    <t>Plutellinae</t>
  </si>
  <si>
    <t>Plutella</t>
  </si>
  <si>
    <t>xylostella</t>
  </si>
  <si>
    <t>Acrididea</t>
  </si>
  <si>
    <t>Tettigoniidea</t>
  </si>
  <si>
    <t>Tettigoniinae</t>
  </si>
  <si>
    <t>Tettigonia</t>
  </si>
  <si>
    <t>Trichoptera</t>
  </si>
  <si>
    <t>Integripalpia</t>
  </si>
  <si>
    <t>Plenitentoria</t>
  </si>
  <si>
    <t>Limnephiloidea</t>
  </si>
  <si>
    <t>Limnephilidae</t>
  </si>
  <si>
    <t>Limnephilinae</t>
  </si>
  <si>
    <t>Other aspect</t>
  </si>
  <si>
    <t>Classification Class</t>
  </si>
  <si>
    <t>Araneomorphae</t>
  </si>
  <si>
    <t>spider</t>
  </si>
  <si>
    <t>smaller than 4mm</t>
  </si>
  <si>
    <t>insect_small</t>
  </si>
  <si>
    <t>Cucujiformia</t>
  </si>
  <si>
    <t>ladybug</t>
  </si>
  <si>
    <t>weevil</t>
  </si>
  <si>
    <t>pollen_feeding_beetle</t>
  </si>
  <si>
    <t>beetle</t>
  </si>
  <si>
    <t>earwig</t>
  </si>
  <si>
    <t>Asilomorpha</t>
  </si>
  <si>
    <t>robber_fly</t>
  </si>
  <si>
    <t>dance_fly</t>
  </si>
  <si>
    <t>Muscomorpha</t>
  </si>
  <si>
    <t>fly</t>
  </si>
  <si>
    <t>fruit_fly</t>
  </si>
  <si>
    <t>dung_fly</t>
  </si>
  <si>
    <t>flesh_fly</t>
  </si>
  <si>
    <t>marsh_fly</t>
  </si>
  <si>
    <t>scavenger_fly</t>
  </si>
  <si>
    <t>hoverfly</t>
  </si>
  <si>
    <t>Stratiomyomorpha</t>
  </si>
  <si>
    <t>Stratiomyidae</t>
  </si>
  <si>
    <t>soldier_fly</t>
  </si>
  <si>
    <t>Tabanomorpha</t>
  </si>
  <si>
    <t>snipe_fly</t>
  </si>
  <si>
    <t>Bibionomorpha</t>
  </si>
  <si>
    <t>Anisopodoidea</t>
  </si>
  <si>
    <t> Anisopodidae</t>
  </si>
  <si>
    <t>gnat</t>
  </si>
  <si>
    <t>Bibionidae</t>
  </si>
  <si>
    <t>fever_fly</t>
  </si>
  <si>
    <t> Mycetophilidae</t>
  </si>
  <si>
    <t>Sciaridae</t>
  </si>
  <si>
    <t>Culicomorpha</t>
  </si>
  <si>
    <t>midge</t>
  </si>
  <si>
    <t>Tipulomorpha</t>
  </si>
  <si>
    <t>crane_fly</t>
  </si>
  <si>
    <t>Cicadomorpha</t>
  </si>
  <si>
    <t>Cicadoidea</t>
  </si>
  <si>
    <t>cicada</t>
  </si>
  <si>
    <t>leafhopper</t>
  </si>
  <si>
    <t>bug</t>
  </si>
  <si>
    <t>Aculeata</t>
  </si>
  <si>
    <t>bee</t>
  </si>
  <si>
    <t>Sphecidae</t>
  </si>
  <si>
    <t>digger_wasp</t>
  </si>
  <si>
    <t>Formicoidea</t>
  </si>
  <si>
    <t>ant</t>
  </si>
  <si>
    <t>Pompiloidea</t>
  </si>
  <si>
    <t>spider_wasp</t>
  </si>
  <si>
    <t>wasp</t>
  </si>
  <si>
    <t>Parasitica</t>
  </si>
  <si>
    <t>parasitoid_wasp_small</t>
  </si>
  <si>
    <t>parasitoid_wasp</t>
  </si>
  <si>
    <t>saw_fly</t>
  </si>
  <si>
    <t>Heterocera</t>
  </si>
  <si>
    <t>moth</t>
  </si>
  <si>
    <t>smaller than 10 mm</t>
  </si>
  <si>
    <t>moth_small</t>
  </si>
  <si>
    <t>Rhopalocera</t>
  </si>
  <si>
    <t>butterfly</t>
  </si>
  <si>
    <t>scorpion_fly</t>
  </si>
  <si>
    <t>Chrysopoidea</t>
  </si>
  <si>
    <t>grasshopper</t>
  </si>
  <si>
    <t>caddisfly</t>
  </si>
  <si>
    <t>Hour</t>
  </si>
  <si>
    <t>Date + Hour</t>
  </si>
  <si>
    <t>Folder</t>
  </si>
  <si>
    <t>Filename_orig</t>
  </si>
  <si>
    <t>Filename</t>
  </si>
  <si>
    <t>Size (bytes)</t>
  </si>
  <si>
    <t>Analized</t>
  </si>
  <si>
    <t>hyperlink</t>
  </si>
  <si>
    <t>2021-07-12_14-01-54.mp4</t>
  </si>
  <si>
    <t>2021-07-12_14-02-49.mp4</t>
  </si>
  <si>
    <t>2021-07-12_14-03-48.mp4</t>
  </si>
  <si>
    <t>2021-07-12_14-59-17.mp4</t>
  </si>
  <si>
    <t>2021-07-12_15-05-25.mp4</t>
  </si>
  <si>
    <t>2021-07-12_15-19-53.mp4</t>
  </si>
  <si>
    <t>2021-07-12_15-36-07.mp4</t>
  </si>
  <si>
    <t>2021-07-12_15-43-07.mp4</t>
  </si>
  <si>
    <t>2021-07-12_15-44-27.mp4</t>
  </si>
  <si>
    <t>2021-07-12_16-02-04.mp4</t>
  </si>
  <si>
    <t>2021-07-12_16-02-46.mp4</t>
  </si>
  <si>
    <t>2021-07-12_16-55-42.mp4</t>
  </si>
  <si>
    <t>2021-07-12_17-03-54.mp4</t>
  </si>
  <si>
    <t>2021-07-12_17-14-40.mp4</t>
  </si>
  <si>
    <t>2021-07-12_17-18-47.mp4</t>
  </si>
  <si>
    <t>2021-07-12_17-30-04.mp4</t>
  </si>
  <si>
    <t>2021-07-12_17-30-55.mp4</t>
  </si>
  <si>
    <t>2021-07-12_17-44-38.mp4</t>
  </si>
  <si>
    <t>2021-07-12_17-45-18.mp4</t>
  </si>
  <si>
    <t>2021-07-12_17-46-35.mp4</t>
  </si>
  <si>
    <t>2021-07-12_18-11-44.mp4</t>
  </si>
  <si>
    <t>2021-07-12_18-15-13.mp4</t>
  </si>
  <si>
    <t>2021-07-12_18-28-59.mp4</t>
  </si>
  <si>
    <t>2021-07-12_18-31-08.mp4</t>
  </si>
  <si>
    <t>2021-07-12_18-35-09.mp4</t>
  </si>
  <si>
    <t>2021-07-12_18-37-21.mp4</t>
  </si>
  <si>
    <t>2021-07-12_18-38-12.mp4</t>
  </si>
  <si>
    <t>2021-07-12_18-42-51.mp4</t>
  </si>
  <si>
    <t>2021-07-12_18-52-16.mp4</t>
  </si>
  <si>
    <t>2021-07-12_18-53-51.mp4</t>
  </si>
  <si>
    <t>2021-07-12_19-08-15.mp4</t>
  </si>
  <si>
    <t>2021-07-12_19-09-59.mp4</t>
  </si>
  <si>
    <t>2021-07-12_19-11-29.mp4</t>
  </si>
  <si>
    <t>2021-07-12_19-18-47.mp4</t>
  </si>
  <si>
    <t>2021-07-12_19-23-35.mp4</t>
  </si>
  <si>
    <t>2021-07-12_19-32-58.mp4</t>
  </si>
  <si>
    <t>2021-07-12_19-36-47.mp4</t>
  </si>
  <si>
    <t>2021-07-12_19-39-31.mp4</t>
  </si>
  <si>
    <t>2021-07-12_20-11-29.mp4</t>
  </si>
  <si>
    <t>2021-07-12_20-29-06.mp4</t>
  </si>
  <si>
    <t>2021-07-12_20-47-56.mp4</t>
  </si>
  <si>
    <t>2021-07-12_20-53-54.mp4</t>
  </si>
  <si>
    <t>2021-07-13_07-09-07.mp4</t>
  </si>
  <si>
    <t>2021-07-13_07-29-58.mp4</t>
  </si>
  <si>
    <t>2021-07-13_07-54-47.mp4</t>
  </si>
  <si>
    <t>2021-07-13_09-44-49.mp4</t>
  </si>
  <si>
    <t>2021-07-13_09-52-48.mp4</t>
  </si>
  <si>
    <t>2021-07-13_09-59-46.mp4</t>
  </si>
  <si>
    <t>2021-07-13_10-25-07.mp4</t>
  </si>
  <si>
    <t>2021-07-13_11-03-36.mp4</t>
  </si>
  <si>
    <t>2021-07-13_11-11-57.mp4</t>
  </si>
  <si>
    <t>2021-07-13_11-47-07.mp4</t>
  </si>
  <si>
    <t>2021-07-13_11-50-47.mp4</t>
  </si>
  <si>
    <t>2021-07-13_12-22-04.mp4</t>
  </si>
  <si>
    <t>2021-07-13_12-26-42.mp4</t>
  </si>
  <si>
    <t>2021-07-13_12-39-07.mp4</t>
  </si>
  <si>
    <t>2021-07-13_13-07-11.mp4</t>
  </si>
  <si>
    <t>2021-07-13_13-20-39.mp4</t>
  </si>
  <si>
    <t>2021-07-13_13-27-31.mp4</t>
  </si>
  <si>
    <t>2021-07-13_14-00-05.mp4</t>
  </si>
  <si>
    <t>2021-07-13_14-17-56.mp4</t>
  </si>
  <si>
    <t>2021-07-13_14-24-21.mp4</t>
  </si>
  <si>
    <t>2021-07-13_14-25-46.mp4</t>
  </si>
  <si>
    <t>2021-07-13_14-30-25.mp4</t>
  </si>
  <si>
    <t>2021-07-13_14-38-42.mp4</t>
  </si>
  <si>
    <t>2021-07-13_14-40-01.mp4</t>
  </si>
  <si>
    <t>2021-07-13_14-42-35.mp4</t>
  </si>
  <si>
    <t>2021-07-13_14-45-08.mp4</t>
  </si>
  <si>
    <t>2021-07-13_14-46-17.mp4</t>
  </si>
  <si>
    <t>2021-07-13_14-46-56.mp4</t>
  </si>
  <si>
    <t>2021-07-13_14-54-17.mp4</t>
  </si>
  <si>
    <t>2021-07-13_15-24-48.mp4</t>
  </si>
  <si>
    <t>2021-07-13_15-39-52.mp4</t>
  </si>
  <si>
    <t>2021-07-13_15-54-28.mp4</t>
  </si>
  <si>
    <t>2021-07-13_16-04-18.mp4</t>
  </si>
  <si>
    <t>2021-07-13_16-34-24.mp4</t>
  </si>
  <si>
    <t>2021-07-13_16-40-57.mp4</t>
  </si>
  <si>
    <t>2021-07-13_16-45-53.mp4</t>
  </si>
  <si>
    <t>2021-07-13_16-50-27.mp4</t>
  </si>
  <si>
    <t>2021-07-13_16-51-15.mp4</t>
  </si>
  <si>
    <t>2021-07-13_16-53-32.mp4</t>
  </si>
  <si>
    <t>2021-07-13_16-55-03.mp4</t>
  </si>
  <si>
    <t>2021-07-13_16-57-08.mp4</t>
  </si>
  <si>
    <t>2021-07-13_17-10-39.mp4</t>
  </si>
  <si>
    <t>2021-07-13_17-13-55.mp4</t>
  </si>
  <si>
    <t>2021-07-13_17-32-05.mp4</t>
  </si>
  <si>
    <t>2021-07-13_17-45-32.mp4</t>
  </si>
  <si>
    <t>2021-07-13_17-56-52.mp4</t>
  </si>
  <si>
    <t>2021-07-13_17-59-20.mp4</t>
  </si>
  <si>
    <t>2021-07-13_18-03-08.mp4</t>
  </si>
  <si>
    <t>2021-07-13_18-42-56.mp4</t>
  </si>
  <si>
    <t>2021-07-13_18-46-29.mp4</t>
  </si>
  <si>
    <t>2021-07-13_18-47-51.mp4</t>
  </si>
  <si>
    <t>2021-07-13_19-04-35.mp4</t>
  </si>
  <si>
    <t>2021-07-13_19-07-17.mp4</t>
  </si>
  <si>
    <t>2021-07-13_19-18-51.mp4</t>
  </si>
  <si>
    <t>2021-07-13_19-47-05.mp4</t>
  </si>
  <si>
    <t>2021-07-13_20-12-12.mp4</t>
  </si>
  <si>
    <t>2021-07-13_20-30-00.mp4</t>
  </si>
  <si>
    <t>2021-07-13_20-37-35.mp4</t>
  </si>
  <si>
    <t>2021-07-13_20-49-25.mp4</t>
  </si>
  <si>
    <t>2021-07-14_07-36-10.mp4</t>
  </si>
  <si>
    <t>2021-07-14_08-36-49.mp4</t>
  </si>
  <si>
    <t>2021-07-14_09-16-05.mp4</t>
  </si>
  <si>
    <t>2021-07-15_18-28-14.mp4</t>
  </si>
  <si>
    <t>2021-07-15_18-30-34.mp4</t>
  </si>
  <si>
    <t>2021-07-15_18-53-14.mp4</t>
  </si>
  <si>
    <t>2021-07-15_19-10-27.mp4</t>
  </si>
  <si>
    <t>2021-07-15_19-15-02.mp4</t>
  </si>
  <si>
    <t>2021-07-15_19-20-29.mp4</t>
  </si>
  <si>
    <t>2021-07-15_19-28-52.mp4</t>
  </si>
  <si>
    <t>2021-07-15_19-30-59.mp4</t>
  </si>
  <si>
    <t>2021-07-15_19-53-41.mp4</t>
  </si>
  <si>
    <t>2021-07-15_20-02-02.mp4</t>
  </si>
  <si>
    <t>2021-07-15_20-28-09.mp4</t>
  </si>
  <si>
    <t>2021-07-15_20-46-08.mp4</t>
  </si>
  <si>
    <t>2021-07-15_21-00-23.mp4</t>
  </si>
  <si>
    <t>2021-07-15_21-01-43.mp4</t>
  </si>
  <si>
    <t>2021-07-15_21-05-52.mp4</t>
  </si>
  <si>
    <t>2021-07-15_21-09-05.mp4</t>
  </si>
  <si>
    <t>2021-07-15_21-18-46.mp4</t>
  </si>
  <si>
    <t>2021-07-15_21-29-02.mp4</t>
  </si>
  <si>
    <t>2021-07-15_21-29-45.mp4</t>
  </si>
  <si>
    <t>2021-07-15_21-33-12.mp4</t>
  </si>
  <si>
    <t>2021-07-15_21-36-47.mp4</t>
  </si>
  <si>
    <t>2021-07-15_21-42-51.mp4</t>
  </si>
  <si>
    <t>2021-07-15_21-46-28.mp4</t>
  </si>
  <si>
    <t>2021-07-15_21-49-19.mp4</t>
  </si>
  <si>
    <t>2021-07-15_21-54-09.mp4</t>
  </si>
  <si>
    <t>2021-07-15_21-57-07.mp4</t>
  </si>
  <si>
    <t>2021-07-15_21-59-26.mp4</t>
  </si>
  <si>
    <t>2021-07-15_22-01-03.mp4</t>
  </si>
  <si>
    <t>2021-07-15_22-06-24.mp4</t>
  </si>
  <si>
    <t>2021-07-15_22-12-01.mp4</t>
  </si>
  <si>
    <t>2021-07-15_22-14-55.mp4</t>
  </si>
  <si>
    <t>2021-07-15_22-22-42.mp4</t>
  </si>
  <si>
    <t>2021-07-15_22-25-11.mp4</t>
  </si>
  <si>
    <t>2021-07-15_22-41-36.mp4</t>
  </si>
  <si>
    <t>2021-07-15_22-49-23.mp4</t>
  </si>
  <si>
    <t>2021-07-15_22-52-45.mp4</t>
  </si>
  <si>
    <t>2021-07-15_23-01-17.mp4</t>
  </si>
  <si>
    <t>2021-07-15_23-03-03.mp4</t>
  </si>
  <si>
    <t>2021-07-15_23-06-01.mp4</t>
  </si>
  <si>
    <t>2021-07-15_23-10-36.mp4</t>
  </si>
  <si>
    <t>2021-07-15_23-33-28.mp4</t>
  </si>
  <si>
    <t>2021-07-16_00-05-30.mp4</t>
  </si>
  <si>
    <t>2021-07-16_00-11-15.mp4</t>
  </si>
  <si>
    <t>2021-07-16_00-17-38.mp4</t>
  </si>
  <si>
    <t>2021-07-16_01-57-09.mp4</t>
  </si>
  <si>
    <t>2021-07-16_02-02-02.mp4</t>
  </si>
  <si>
    <t>2021-07-16_02-03-41.mp4</t>
  </si>
  <si>
    <t>2021-07-16_02-37-24.mp4</t>
  </si>
  <si>
    <t>2021-07-16_02-58-22.mp4</t>
  </si>
  <si>
    <t>2021-07-16_02-59-49.mp4</t>
  </si>
  <si>
    <t>2021-07-16_03-03-35.mp4</t>
  </si>
  <si>
    <t>2021-07-16_03-11-38.mp4</t>
  </si>
  <si>
    <t>2021-07-16_03-16-55.mp4</t>
  </si>
  <si>
    <t>2021-07-16_03-17-45.mp4</t>
  </si>
  <si>
    <t>2021-07-16_03-18-34.mp4</t>
  </si>
  <si>
    <t>2021-07-16_03-22-24.mp4</t>
  </si>
  <si>
    <t>2021-07-16_03-23-59.mp4</t>
  </si>
  <si>
    <t>2021-07-16_03-27-40.mp4</t>
  </si>
  <si>
    <t>2021-07-16_03-30-29.mp4</t>
  </si>
  <si>
    <t>2021-07-16_03-47-54.mp4</t>
  </si>
  <si>
    <t>2021-07-16_04-09-37.mp4</t>
  </si>
  <si>
    <t>2021-07-16_04-15-20.mp4</t>
  </si>
  <si>
    <t>2021-07-16_05-02-29.mp4</t>
  </si>
  <si>
    <t>2021-07-16_06-13-44.mp4</t>
  </si>
  <si>
    <t>2021-07-16_08-28-59.mp4</t>
  </si>
  <si>
    <t>2021-07-16_12-07-21.mp4</t>
  </si>
  <si>
    <t>2021-07-16_12-50-53.mp4</t>
  </si>
  <si>
    <t>2021-07-16_13-31-12.mp4</t>
  </si>
  <si>
    <t>2021-07-16_15-36-48.mp4</t>
  </si>
  <si>
    <t>2021-07-16_15-56-02.mp4</t>
  </si>
  <si>
    <t>2021-07-16_17-18-01.mp4</t>
  </si>
  <si>
    <t>2021-07-19_20-46-08.mp4</t>
  </si>
  <si>
    <t>2021-07-19_21-00-23.mp4</t>
  </si>
  <si>
    <t>2021-07-19_21-01-43.mp4</t>
  </si>
  <si>
    <t>2021-07-19_21-05-52.mp4</t>
  </si>
  <si>
    <t>2021-07-19_21-09-05.mp4</t>
  </si>
  <si>
    <t>2021-07-19_21-31-47.mp4</t>
  </si>
  <si>
    <t>2021-07-19_21-54-30.mp4</t>
  </si>
  <si>
    <t>2021-07-19_22-12-09.mp4</t>
  </si>
  <si>
    <t>2021-07-19_22-22-51.mp4</t>
  </si>
  <si>
    <t>2021-07-19_22-25-48.mp4</t>
  </si>
  <si>
    <t>2021-07-19_22-28-59.mp4</t>
  </si>
  <si>
    <t>2021-07-19_22-29-47.mp4</t>
  </si>
  <si>
    <t>2021-07-19_22-33-41.mp4</t>
  </si>
  <si>
    <t>2021-07-19_22-41-51.mp4</t>
  </si>
  <si>
    <t>2021-07-19_22-57-41.mp4</t>
  </si>
  <si>
    <t>2021-07-20_04-06-10.mp4</t>
  </si>
  <si>
    <t>2021-07-20_12-55-36.mp4</t>
  </si>
  <si>
    <t>2021-07-20_13-28-18.mp4</t>
  </si>
  <si>
    <t>2021-07-20_14-01-00.mp4</t>
  </si>
  <si>
    <t>2021-07-20_15-02-02.mp4</t>
  </si>
  <si>
    <t>2021-07-20_16-19-11.mp4</t>
  </si>
  <si>
    <t>2021-07-20_16-24-27.mp4</t>
  </si>
  <si>
    <t>2021-07-20_16-25-10.mp4</t>
  </si>
  <si>
    <t>2021-07-21_19-27-03.mp4</t>
  </si>
  <si>
    <t>2021-07-21_19-41-34.mp4</t>
  </si>
  <si>
    <t>2021-07-21_19-51-53.mp4</t>
  </si>
  <si>
    <t>2021-07-21_20-56-05.mp4</t>
  </si>
  <si>
    <t>2021-07-21_21-30-12.mp4</t>
  </si>
  <si>
    <t>2021-07-21_21-34-16.mp4</t>
  </si>
  <si>
    <t>2021-07-21_22-29-43.mp4</t>
  </si>
  <si>
    <t>2021-07-21_23-47-58.mp4</t>
  </si>
  <si>
    <t>2021-07-22_02-43-01.mp4</t>
  </si>
  <si>
    <t>2021-07-22_04-14-16.mp4</t>
  </si>
  <si>
    <t>2021-07-22_05-08-44.mp4</t>
  </si>
  <si>
    <t>2021-07-22_05-11-16.mp4</t>
  </si>
  <si>
    <t>2021-07-22_11-07-44.mp4</t>
  </si>
  <si>
    <t>2021-07-22_14-36-40.mp4</t>
  </si>
  <si>
    <t>2021-07-22_15-04-45.mp4</t>
  </si>
  <si>
    <t>2021-07-22_15-47-46.mp4</t>
  </si>
  <si>
    <t>2021-07-22_17-23-29.mp4</t>
  </si>
  <si>
    <t>2021-07-22_18-29-49.mp4</t>
  </si>
  <si>
    <t>2021-07-22_21-41-57.mp4</t>
  </si>
  <si>
    <t>2021-07-22_21-54-50.mp4</t>
  </si>
  <si>
    <t>2021-07-22_21-56-26.mp4</t>
  </si>
  <si>
    <t>2021-07-22_22-57-55.mp4</t>
  </si>
  <si>
    <t>2021-07-22_23-00-35.mp4</t>
  </si>
  <si>
    <t>2021-07-22_23-21-07.mp4</t>
  </si>
  <si>
    <t>2021-07-22_23-28-05.mp4</t>
  </si>
  <si>
    <t>2021-07-22_23-30-17.mp4</t>
  </si>
  <si>
    <t>2021-07-23_00-22-17.mp4</t>
  </si>
  <si>
    <t>2021-07-23_09-15-22.mp4</t>
  </si>
  <si>
    <t>2021-07-23_09-46-30.mp4</t>
  </si>
  <si>
    <t>2021-07-23_16-38-11.mp4</t>
  </si>
  <si>
    <t>2021-07-23_16-39-58.mp4</t>
  </si>
  <si>
    <t>2021-07-23_17-30-02.mp4</t>
  </si>
  <si>
    <t>2021-07-23_18-23-10.mp4</t>
  </si>
  <si>
    <t>2021-07-24_10-04-52.mp4</t>
  </si>
  <si>
    <t>2021-07-24_10-16-18.mp4</t>
  </si>
  <si>
    <t>2021-07-24_10-17-27.mp4</t>
  </si>
  <si>
    <t>2021-07-24_10-32-18.mp4</t>
  </si>
  <si>
    <t>2021-07-24_10-50-09.mp4</t>
  </si>
  <si>
    <t>2021-07-24_11-01-09.mp4</t>
  </si>
  <si>
    <t>2021-07-24_11-12-39.mp4</t>
  </si>
  <si>
    <t>2021-07-24_12-16-19.mp4</t>
  </si>
  <si>
    <t>2021-07-24_12-40-34.mp4</t>
  </si>
  <si>
    <t>2021-07-24_12-56-07.mp4</t>
  </si>
  <si>
    <t>2021-07-24_13-09-32.mp4</t>
  </si>
  <si>
    <t>2021-07-24_13-55-40.mp4</t>
  </si>
  <si>
    <t>2021-07-24_14-44-08.mp4</t>
  </si>
  <si>
    <t>2021-07-24_15-34-15.mp4</t>
  </si>
  <si>
    <t>2021-07-24_15-56-10.mp4</t>
  </si>
  <si>
    <t>2021-07-24_18-05-31.mp4</t>
  </si>
  <si>
    <t>2021-07-24_18-07-22.mp4</t>
  </si>
  <si>
    <t>2021-07-25_07-33-40.mp4</t>
  </si>
  <si>
    <t>2021-07-25_08-13-22.mp4</t>
  </si>
  <si>
    <t>2021-07-25_08-24-44.mp4</t>
  </si>
  <si>
    <t>2021-07-25_11-23-11.mp4</t>
  </si>
  <si>
    <t>2021-07-25_11-25-15.mp4</t>
  </si>
  <si>
    <t>2021-07-25_13-00-42.mp4</t>
  </si>
  <si>
    <t>2021-07-25_14-19-28.mp4</t>
  </si>
  <si>
    <t>2021-07-25_14-44-16.mp4</t>
  </si>
  <si>
    <t>2021-07-25_15-20-26.mp4</t>
  </si>
  <si>
    <t>2021-07-25_15-31-07.mp4</t>
  </si>
  <si>
    <t>2021-07-25_15-33-37.mp4</t>
  </si>
  <si>
    <t>2021-07-25_15-39-14.mp4</t>
  </si>
  <si>
    <t>2021-07-25_15-45-45.mp4</t>
  </si>
  <si>
    <t>2021-07-25_17-05-06.mp4</t>
  </si>
  <si>
    <t>2021-07-25_17-35-21.mp4</t>
  </si>
  <si>
    <t>2021-07-25_17-39-05.mp4</t>
  </si>
  <si>
    <t>2021-07-25_18-15-09.mp4</t>
  </si>
  <si>
    <t>2021-07-25_18-25-07.mp4</t>
  </si>
  <si>
    <t>2021-07-25_18-28-23.mp4</t>
  </si>
  <si>
    <t>2021-07-26_06-06-15.mp4</t>
  </si>
  <si>
    <t>2021-07-26_06-18-38.mp4</t>
  </si>
  <si>
    <t>2021-07-26_06-20-27.mp4</t>
  </si>
  <si>
    <t>2021-07-26_07-42-51.mp4</t>
  </si>
  <si>
    <t>2021-07-26_08-11-41.mp4</t>
  </si>
  <si>
    <t>2021-07-26_09-30-06.mp4</t>
  </si>
  <si>
    <t>2021-07-26_10-26-55.mp4</t>
  </si>
  <si>
    <t>2021-07-26_10-59-11.mp4</t>
  </si>
  <si>
    <t>2021-07-26_11-05-54.mp4</t>
  </si>
  <si>
    <t>2021-07-26_11-15-35.mp4</t>
  </si>
  <si>
    <t>2021-07-26_11-28-25.mp4</t>
  </si>
  <si>
    <t>2021-07-26_11-47-43.mp4</t>
  </si>
  <si>
    <t>2021-07-26_12-05-09.mp4</t>
  </si>
  <si>
    <t>2021-07-26_12-25-21.mp4</t>
  </si>
  <si>
    <t>2021-07-26_12-45-13.mp4</t>
  </si>
  <si>
    <t>2021-07-26_13-06-49.mp4</t>
  </si>
  <si>
    <t>2021-07-26_13-11-37.mp4</t>
  </si>
  <si>
    <t>2021-07-26_13-12-34.mp4</t>
  </si>
  <si>
    <t>2021-07-26_13-20-26.mp4</t>
  </si>
  <si>
    <t>2021-07-26_13-22-24.mp4</t>
  </si>
  <si>
    <t>2021-07-26_13-25-08.mp4</t>
  </si>
  <si>
    <t>2021-07-26_13-27-44.mp4</t>
  </si>
  <si>
    <t>2021-07-26_15-30-08.mp4</t>
  </si>
  <si>
    <t>2021-07-26_15-47-13.mp4</t>
  </si>
  <si>
    <t>2021-07-26_15-47-58.mp4</t>
  </si>
  <si>
    <t>2021-07-26_15-49-10.mp4</t>
  </si>
  <si>
    <t>2021-07-26_16-13-36.mp4</t>
  </si>
  <si>
    <t>2021-07-26_16-47-31.mp4</t>
  </si>
  <si>
    <t>2021-07-26_16-51-15.mp4</t>
  </si>
  <si>
    <t>2021-07-28_15-51-27.mp4</t>
  </si>
  <si>
    <t>2021-07-28_15-53-20.mp4</t>
  </si>
  <si>
    <t>2021-07-28_15-55-56.mp4</t>
  </si>
  <si>
    <t>2021-07-28_16-18-11.mp4</t>
  </si>
  <si>
    <t>2021-07-28_16-20-13.mp4</t>
  </si>
  <si>
    <t>2021-07-28_16-22-21.mp4</t>
  </si>
  <si>
    <t>2021-07-28_16-30-30.mp4</t>
  </si>
  <si>
    <t>2021-07-28_17-01-40.mp4</t>
  </si>
  <si>
    <t>2021-07-28_17-07-40.mp4</t>
  </si>
  <si>
    <t>2021-07-29_09-02-04.mp4</t>
  </si>
  <si>
    <t>2021-07-29_09-10-26.mp4</t>
  </si>
  <si>
    <t>2021-07-29_14-46-31.mp4</t>
  </si>
  <si>
    <t>2021-07-29_16-36-05.mp4</t>
  </si>
  <si>
    <t>2021-07-29_16-37-23.mp4</t>
  </si>
  <si>
    <t>2021-07-29_17-18-30.mp4</t>
  </si>
  <si>
    <t>2021-07-29_17-24-07.mp4</t>
  </si>
  <si>
    <t>2021-07-29_18-01-21.mp4</t>
  </si>
  <si>
    <t>2021-07-29_18-01-57.mp4</t>
  </si>
  <si>
    <t>2021-07-29_18-21-53.mp4</t>
  </si>
  <si>
    <t>2021-07-29_18-44-55.mp4</t>
  </si>
  <si>
    <t>2021-07-29_18-48-57.mp4</t>
  </si>
  <si>
    <t>2021-07-29_18-51-10.mp4</t>
  </si>
  <si>
    <t>2021-07-30_09-35-07.avi</t>
  </si>
  <si>
    <t>2021-07-30_11-26-02.avi</t>
  </si>
  <si>
    <t>2021-07-30_12-22-00.avi</t>
  </si>
  <si>
    <t>2021-07-30_12-25-59.avi</t>
  </si>
  <si>
    <t>2021-07-30_15-13-50.avi</t>
  </si>
  <si>
    <t>2021-07-30_15-15-31.avi</t>
  </si>
  <si>
    <t>2021-07-30_15-20-27.avi</t>
  </si>
  <si>
    <t>2021-07-30_15-55-06.avi</t>
  </si>
  <si>
    <t>2021-07-30_17-10-05.avi</t>
  </si>
  <si>
    <t>2021-07-30_17-11-16.avi</t>
  </si>
  <si>
    <t>2021-07-30_17-25-45.avi</t>
  </si>
  <si>
    <t>2021-07-30_18-05-16.avi</t>
  </si>
  <si>
    <t>2021-07-30_18-08-29.avi</t>
  </si>
  <si>
    <t>2021-07-30_18-36-48.avi</t>
  </si>
  <si>
    <t>2021-07-31_06-52-44.avi</t>
  </si>
  <si>
    <t>2021-07-31_16-32-45.avi</t>
  </si>
  <si>
    <t>2021-07-31_17-12-18.avi</t>
  </si>
  <si>
    <t>2021-07-31_18-17-06.avi</t>
  </si>
  <si>
    <t>2021-07-31_18-41-02.avi</t>
  </si>
  <si>
    <t>2021-07-31_18-55-22.avi</t>
  </si>
  <si>
    <t>2021-08-01_07-43-05.avi</t>
  </si>
  <si>
    <t>2021-08-01_11-07-07.avi</t>
  </si>
  <si>
    <t>2021-08-01_14-01-18.avi</t>
  </si>
  <si>
    <t>2021-08-01_15-21-36.avi</t>
  </si>
  <si>
    <t>2021-08-01_15-30-10.avi</t>
  </si>
  <si>
    <t>2021-08-01_15-41-48.avi</t>
  </si>
  <si>
    <t>2021-08-01_15-56-11.avi</t>
  </si>
  <si>
    <t>2021-08-01_16-19-36.avi</t>
  </si>
  <si>
    <t>2021-08-01_16-37-51.avi</t>
  </si>
  <si>
    <t>2021-08-01_17-32-23.avi</t>
  </si>
  <si>
    <t>2021-08-01_18-12-50.avi</t>
  </si>
  <si>
    <t>2021-08-01_18-45-19.avi</t>
  </si>
  <si>
    <t>2021-08-01_19-00-51.avi</t>
  </si>
  <si>
    <t>2021-08-02_06-13-22.avi</t>
  </si>
  <si>
    <t>2021-08-02_08-02-33.avi</t>
  </si>
  <si>
    <t>2021-08-02_08-52-13.avi</t>
  </si>
  <si>
    <t>2021-08-02_08-55-14.avi</t>
  </si>
  <si>
    <t>2021-08-02_12-19-12.avi</t>
  </si>
  <si>
    <t>2021-08-02_13-03-59.avi</t>
  </si>
  <si>
    <t>2021-08-02_14-17-33.avi</t>
  </si>
  <si>
    <t>2021-08-02_14-39-21.avi</t>
  </si>
  <si>
    <t>2021-08-02_14-49-05.avi</t>
  </si>
  <si>
    <t>2021-08-02_15-05-43.avi</t>
  </si>
  <si>
    <t>2021-08-02_15-20-52.avi</t>
  </si>
  <si>
    <t>2021-08-02_15-38-22.avi</t>
  </si>
  <si>
    <t>2021-08-02_15-43-03.avi</t>
  </si>
  <si>
    <t>2021-08-02_15-58-20.avi</t>
  </si>
  <si>
    <t>2021-08-02_16-13-40.avi</t>
  </si>
  <si>
    <t>2021-08-02_16-17-58.avi</t>
  </si>
  <si>
    <t>2021-08-02_16-31-44.avi</t>
  </si>
  <si>
    <t>2021-08-02_16-38-34.avi</t>
  </si>
  <si>
    <t>2021-08-02_16-39-37.avi</t>
  </si>
  <si>
    <t>2021-08-02_17-17-04.avi</t>
  </si>
  <si>
    <t>2021-08-02_17-57-16.avi</t>
  </si>
  <si>
    <t>2021-08-02_18-06-20.avi</t>
  </si>
  <si>
    <t>2021-08-02_18-13-37.avi</t>
  </si>
  <si>
    <t>2021-08-02_18-48-16.avi</t>
  </si>
  <si>
    <t>2021-08-02_18-59-10.avi</t>
  </si>
  <si>
    <t>2021-08-03_06-05-56.avi</t>
  </si>
  <si>
    <t>2021-08-03_09-13-38.avi</t>
  </si>
  <si>
    <t>2021-08-03_10-38-49.avi</t>
  </si>
  <si>
    <t>2021-08-03_10-44-57.avi</t>
  </si>
  <si>
    <t>2021-08-03_10-52-42.avi</t>
  </si>
  <si>
    <t>2021-08-03_11-34-25.avi</t>
  </si>
  <si>
    <t>2021-08-03_11-50-22.avi</t>
  </si>
  <si>
    <t>2021-08-03_12-12-21.avi</t>
  </si>
  <si>
    <t>2021-08-03_12-26-13.avi</t>
  </si>
  <si>
    <t>2021-08-06_17-02-42.mp4</t>
  </si>
  <si>
    <t>2021-08-10_15-49-27.mp4</t>
  </si>
  <si>
    <t>2021-08-10_16-13-49.mp4</t>
  </si>
  <si>
    <t>2021-08-10_16-14-15.mp4</t>
  </si>
  <si>
    <t>2021-08-10_16-21-59.mp4</t>
  </si>
  <si>
    <t>2021-08-10_16-37-43.mp4</t>
  </si>
  <si>
    <t>2021-08-10_16-40-34.mp4</t>
  </si>
  <si>
    <t>2021-08-10_17-13-36.mp4</t>
  </si>
  <si>
    <t>2021-08-10_17-36-02.mp4</t>
  </si>
  <si>
    <t>2021-08-10_17-46-28.mp4</t>
  </si>
  <si>
    <t>2021-08-10_17-50-38.mp4</t>
  </si>
  <si>
    <t>2021-08-10_17-54-22.mp4</t>
  </si>
  <si>
    <t>2021-08-10_17-55-32.mp4</t>
  </si>
  <si>
    <t>2021-08-10_18-12-20.mp4</t>
  </si>
  <si>
    <t>2021-08-10_18-13-52.mp4</t>
  </si>
  <si>
    <t>2021-08-10_18-37-06.mp4</t>
  </si>
  <si>
    <t>2021-08-10_18-58-00.mp4</t>
  </si>
  <si>
    <t>2021-08-10_19-19-03.mp4</t>
  </si>
  <si>
    <t>2021-08-10_19-36-26.mp4</t>
  </si>
  <si>
    <t>2021-08-10_19-53-16.mp4</t>
  </si>
  <si>
    <t>2021-08-10_20-00-35.mp4</t>
  </si>
  <si>
    <t>2021-08-10_20-09-19.mp4</t>
  </si>
  <si>
    <t>2021-08-10_20-22-18.mp4</t>
  </si>
  <si>
    <t>2021-08-10_20-24-35.mp4</t>
  </si>
  <si>
    <t>2021-08-10_20-25-30.mp4</t>
  </si>
  <si>
    <t>2021-08-10_20-26-13.mp4</t>
  </si>
  <si>
    <t>2021-08-10_20-37-23.mp4</t>
  </si>
  <si>
    <t>2021-08-10_20-51-19.mp4</t>
  </si>
  <si>
    <t>2021-08-10_20-52-37.mp4</t>
  </si>
  <si>
    <t>2021-08-10_20-59-25.mp4</t>
  </si>
  <si>
    <t>2021-08-10_21-03-08.mp4</t>
  </si>
  <si>
    <t>2021-08-10_21-04-46.mp4</t>
  </si>
  <si>
    <t>2021-08-10_21-07-04.mp4</t>
  </si>
  <si>
    <t>2021-08-10_21-09-26.mp4</t>
  </si>
  <si>
    <t>2021-08-10_21-10-02.mp4</t>
  </si>
  <si>
    <t>2021-08-10_21-10-25.mp4</t>
  </si>
  <si>
    <t>2021-08-10_21-12-38.mp4</t>
  </si>
  <si>
    <t>2021-08-10_21-17-09.mp4</t>
  </si>
  <si>
    <t>2021-08-10_21-19-57.mp4</t>
  </si>
  <si>
    <t>2021-08-10_21-20-57.mp4</t>
  </si>
  <si>
    <t>2021-08-10_21-26-08.mp4</t>
  </si>
  <si>
    <t>2021-08-10_21-28-18.mp4</t>
  </si>
  <si>
    <t>2021-08-10_21-30-07.mp4</t>
  </si>
  <si>
    <t>2021-08-10_21-31-05.mp4</t>
  </si>
  <si>
    <t>2021-08-10_21-42-43.mp4</t>
  </si>
  <si>
    <t>2021-08-10_21-56-17.mp4</t>
  </si>
  <si>
    <t>2021-08-10_21-58-11.mp4</t>
  </si>
  <si>
    <t>2021-08-10_22-00-19.mp4</t>
  </si>
  <si>
    <t>2021-08-10_22-02-07.mp4</t>
  </si>
  <si>
    <t>2021-08-10_23-51-36.mp4</t>
  </si>
  <si>
    <t>2021-08-11_00-31-10.mp4</t>
  </si>
  <si>
    <t>2021-08-11_09-42-18.mp4</t>
  </si>
  <si>
    <t>2021-08-11_10-51-23.mp4</t>
  </si>
  <si>
    <t>2021-08-11_11-17-53.mp4</t>
  </si>
  <si>
    <t>2021-08-11_11-21-38.mp4</t>
  </si>
  <si>
    <t>2021-08-11_12-08-54.mp4</t>
  </si>
  <si>
    <t>2021-08-11_12-43-18.mp4</t>
  </si>
  <si>
    <t>2021-08-11_14-08-50.mp4</t>
  </si>
  <si>
    <t>2021-08-11_14-42-26.mp4</t>
  </si>
  <si>
    <t>2021-08-11_14-55-22.mp4</t>
  </si>
  <si>
    <t>2021-08-16_03-11-38.mp4</t>
  </si>
  <si>
    <t>2021-08-16_12-13-31.mp4</t>
  </si>
  <si>
    <t>2021-08-16_12-59-02.mp4</t>
  </si>
  <si>
    <t>2021-08-16_12-59-20.mp4</t>
  </si>
  <si>
    <t>2021-08-18_18-28-56.mp4</t>
  </si>
  <si>
    <t>2021-08-18_19-23-29.mp4</t>
  </si>
  <si>
    <t>2021-08-18_19-27-43.mp4</t>
  </si>
  <si>
    <t>2021-08-18_19-57-50.mp4</t>
  </si>
  <si>
    <t>2021-08-18_20-31-31.mp4</t>
  </si>
  <si>
    <t>2021-08-18_20-54-08.mp4</t>
  </si>
  <si>
    <t>2021-08-18_20-54-20.mp4</t>
  </si>
  <si>
    <t>2021-08-18_20-58-58.mp4</t>
  </si>
  <si>
    <t>2021-08-18_20-59-23.mp4</t>
  </si>
  <si>
    <t>2021-08-18_21-19-27.mp4</t>
  </si>
  <si>
    <t>2021-08-18_22-34-52.mp4</t>
  </si>
  <si>
    <t>2021-08-19_15-49-46.mp4</t>
  </si>
  <si>
    <t>2021-08-19_15-52-41.mp4</t>
  </si>
  <si>
    <t>2021-08-19_19-40-22.mp4</t>
  </si>
  <si>
    <t>2021-08-19_19-42-36.mp4</t>
  </si>
  <si>
    <t>2021-08-19_19-42-57.mp4</t>
  </si>
  <si>
    <t>2021-08-19_20-09-08.mp4</t>
  </si>
  <si>
    <t>2021-08-19_20-43-51.mp4</t>
  </si>
  <si>
    <t>2021-08-19_20-56-32.mp4</t>
  </si>
  <si>
    <t>2021-08-19_22-30-09.mp4</t>
  </si>
  <si>
    <t>2021-08-19_23-24-56.mp4</t>
  </si>
  <si>
    <t>2021-08-20_02-48-01.mp4</t>
  </si>
  <si>
    <t>2021-08-20_03-23-07.mp4</t>
  </si>
  <si>
    <t>2021-08-20_13-57-47.mp4</t>
  </si>
  <si>
    <t>2021-08-20_17-26-19.mp4</t>
  </si>
  <si>
    <t>2021-08-20_17-30-59.mp4</t>
  </si>
  <si>
    <t>2021-08-20_17-34-15.mp4</t>
  </si>
  <si>
    <t>2021-08-20_18-18-00.mp4</t>
  </si>
  <si>
    <t>2021-08-20_19-09-14.mp4</t>
  </si>
  <si>
    <t>2021-08-20_19-20-24.mp4</t>
  </si>
  <si>
    <t>2021-08-20_19-49-06.mp4</t>
  </si>
  <si>
    <t>2021-08-20_19-50-30.mp4</t>
  </si>
  <si>
    <t>2021-08-20_20-21-01.mp4</t>
  </si>
  <si>
    <t>2021-08-20_20-22-48.mp4</t>
  </si>
  <si>
    <t>2021-08-20_20-28-50.mp4</t>
  </si>
  <si>
    <t>2021-08-20_20-29-23.mp4</t>
  </si>
  <si>
    <t>2021-08-20_20-29-41.mp4</t>
  </si>
  <si>
    <t>Operation Days</t>
  </si>
  <si>
    <t>Operation Start</t>
  </si>
  <si>
    <t>Operation Finish</t>
  </si>
  <si>
    <t>Operating time</t>
  </si>
  <si>
    <t>2021-08-03_12-43-54.avi</t>
  </si>
  <si>
    <t>2021-07-31_13-02-03.avi</t>
  </si>
  <si>
    <t>leaf_beetle</t>
  </si>
  <si>
    <t>lacewing</t>
  </si>
  <si>
    <t>ant_beetle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</si>
</sst>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]:mm:ss;@"/>
    <numFmt numFmtId="166" formatCode="h:mm;@"/>
    <numFmt numFmtId="167" formatCode="m/d/yyyy"/>
  </numFmts>
  <fonts count="1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0"/>
      <color theme="1"/>
      <name val="Liberation Sans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  <charset val="1"/>
    </font>
    <font>
      <b/>
      <sz val="11"/>
      <name val="Aptos Narrow"/>
      <family val="2"/>
      <charset val="1"/>
    </font>
    <font>
      <b/>
      <i/>
      <sz val="11"/>
      <name val="Aptos Narrow"/>
      <family val="2"/>
      <charset val="1"/>
    </font>
    <font>
      <sz val="11"/>
      <name val="Aptos Narrow"/>
      <family val="2"/>
      <charset val="1"/>
    </font>
    <font>
      <i/>
      <sz val="11"/>
      <name val="Aptos Narrow"/>
      <family val="2"/>
      <charset val="1"/>
    </font>
    <font>
      <sz val="11"/>
      <color rgb="FF000000"/>
      <name val="Calibri"/>
      <family val="2"/>
    </font>
    <font>
      <u/>
      <sz val="11"/>
      <color rgb="FF467886"/>
      <name val="Aptos Narrow"/>
      <family val="2"/>
      <charset val="1"/>
    </font>
    <font>
      <i/>
      <sz val="11"/>
      <color rgb="FF000000"/>
      <name val="Aptos Narrow"/>
      <family val="2"/>
      <charset val="1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D9F2D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theme="9" tint="0.79998168889431442"/>
        <bgColor rgb="FFE2EFDA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 applyBorder="0" applyProtection="0"/>
    <xf numFmtId="0" fontId="2" fillId="0" borderId="0"/>
  </cellStyleXfs>
  <cellXfs count="107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21" fontId="0" fillId="3" borderId="7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1" fontId="0" fillId="4" borderId="7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1" fontId="0" fillId="4" borderId="5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1" fontId="4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49" fontId="7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1" fillId="0" borderId="0" xfId="3" applyFont="1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10" fillId="0" borderId="0" xfId="3" applyAlignment="1">
      <alignment horizontal="center"/>
    </xf>
    <xf numFmtId="0" fontId="10" fillId="0" borderId="0" xfId="3"/>
    <xf numFmtId="0" fontId="13" fillId="0" borderId="0" xfId="3" applyFont="1" applyAlignment="1">
      <alignment horizont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/>
    </xf>
    <xf numFmtId="0" fontId="14" fillId="0" borderId="0" xfId="3" applyFont="1" applyAlignment="1">
      <alignment horizontal="center" vertical="center"/>
    </xf>
    <xf numFmtId="0" fontId="13" fillId="2" borderId="0" xfId="3" applyFont="1" applyFill="1" applyAlignment="1">
      <alignment horizontal="center"/>
    </xf>
    <xf numFmtId="0" fontId="13" fillId="2" borderId="0" xfId="3" applyFont="1" applyFill="1" applyAlignment="1">
      <alignment horizontal="center" vertical="center"/>
    </xf>
    <xf numFmtId="0" fontId="10" fillId="0" borderId="0" xfId="3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0" fillId="0" borderId="0" xfId="3" applyFont="1"/>
    <xf numFmtId="0" fontId="9" fillId="0" borderId="10" xfId="6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2" fillId="0" borderId="0" xfId="6" applyAlignment="1">
      <alignment horizontal="left"/>
    </xf>
    <xf numFmtId="0" fontId="2" fillId="0" borderId="0" xfId="6" applyAlignment="1">
      <alignment horizontal="center"/>
    </xf>
    <xf numFmtId="0" fontId="13" fillId="0" borderId="10" xfId="3" applyFont="1" applyBorder="1" applyAlignment="1">
      <alignment horizontal="center"/>
    </xf>
    <xf numFmtId="0" fontId="13" fillId="0" borderId="11" xfId="3" applyFont="1" applyBorder="1" applyAlignment="1">
      <alignment horizontal="center"/>
    </xf>
    <xf numFmtId="0" fontId="13" fillId="0" borderId="11" xfId="3" applyFont="1" applyBorder="1" applyAlignment="1">
      <alignment horizontal="center" vertical="center"/>
    </xf>
    <xf numFmtId="0" fontId="2" fillId="0" borderId="11" xfId="6" applyBorder="1" applyAlignment="1">
      <alignment horizontal="center" vertical="center"/>
    </xf>
    <xf numFmtId="0" fontId="2" fillId="0" borderId="10" xfId="6" applyBorder="1" applyAlignment="1">
      <alignment horizontal="center" vertical="center"/>
    </xf>
    <xf numFmtId="0" fontId="13" fillId="0" borderId="10" xfId="3" applyFont="1" applyBorder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11" xfId="3" applyFont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8" fillId="0" borderId="0" xfId="2"/>
    <xf numFmtId="0" fontId="11" fillId="6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21" fontId="3" fillId="0" borderId="3" xfId="0" applyNumberFormat="1" applyFont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21" fontId="0" fillId="3" borderId="6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21" fontId="3" fillId="0" borderId="0" xfId="0" applyNumberFormat="1" applyFont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8" fillId="0" borderId="0" xfId="0" applyFont="1" applyAlignment="1">
      <alignment horizontal="center" vertical="center"/>
    </xf>
  </cellXfs>
  <cellStyles count="7">
    <cellStyle name="Default" xfId="1" xr:uid="{00000000-0005-0000-0000-000000000000}"/>
    <cellStyle name="Hipervínculo" xfId="2" builtinId="8"/>
    <cellStyle name="Hyperlink 2" xfId="5" xr:uid="{0A0DE20F-9FB0-41B4-A2A6-A2896D7DD5B8}"/>
    <cellStyle name="Normal" xfId="0" builtinId="0"/>
    <cellStyle name="Normal 2" xfId="4" xr:uid="{5EEA308D-86F3-4CA2-8953-D9685CC2D775}"/>
    <cellStyle name="Normal 2 2" xfId="6" xr:uid="{ACB15904-EC98-4391-BA4F-BBA3338F002A}"/>
    <cellStyle name="Standard 2" xfId="3" xr:uid="{786D3345-81CD-4879-8DFC-BA44C44A83F7}"/>
  </cellStyles>
  <dxfs count="35"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theme="0" tint="-0.14996795556505021"/>
          <bgColor theme="0" tint="-0.14996795556505021"/>
        </patternFill>
      </fill>
    </dxf>
    <dxf>
      <fill>
        <patternFill patternType="solid">
          <fgColor theme="0" tint="-0.14996795556505021"/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6BC182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rgb="FF00B050"/>
      </font>
    </dxf>
    <dxf>
      <font>
        <b/>
        <i val="0"/>
        <color indexed="2"/>
      </font>
    </dxf>
    <dxf>
      <font>
        <b/>
        <i val="0"/>
        <color rgb="FF00B050"/>
      </font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B8E2C3"/>
      <color rgb="FFFFF5C1"/>
      <color rgb="FFFCC4C5"/>
      <color rgb="FFCC3300"/>
      <color rgb="FFCC99FF"/>
      <color rgb="FFFFFF00"/>
      <color rgb="FF0099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AIR_Device_data\Experiment_AugSep_2023\Monitoring2023_FAIR-Device_2.xlsx" TargetMode="External"/><Relationship Id="rId1" Type="http://schemas.openxmlformats.org/officeDocument/2006/relationships/externalLinkPath" Target="file:///Z:\FAIR_Device_data\Experiment_AugSep_2023\Monitoring2023_FAIR-Device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itoring"/>
      <sheetName val="Taxonomy_UniqueValues"/>
      <sheetName val="ClassificationClasses"/>
      <sheetName val="Hoja1"/>
      <sheetName val="Video_List"/>
    </sheetNames>
    <sheetDataSet>
      <sheetData sheetId="0">
        <row r="1">
          <cell r="AN1" t="str">
            <v>Key</v>
          </cell>
        </row>
        <row r="2">
          <cell r="AN2" t="str">
            <v>Insecta.Diptera.Brachycera.Muscomorpha.Muscoidea.#N/C.#N/C.#N/C.#N/C</v>
          </cell>
        </row>
        <row r="3">
          <cell r="AN3" t="str">
            <v>Insecta.Diptera.Brachycera.Muscomorpha.Muscoidea.Fanniidae.0.Fannia.#N/C</v>
          </cell>
        </row>
        <row r="4">
          <cell r="AN4" t="str">
            <v>Insecta.Diptera.Brachycera.Muscomorpha.Muscoidea.Fanniidae.0.Fannia.#N/C</v>
          </cell>
        </row>
        <row r="5">
          <cell r="AN5" t="str">
            <v>Insecta.Diptera.Brachycera.Muscomorpha.Syrphoidea.Syrphidae.Syrphinae.Syrphini.#N/C</v>
          </cell>
        </row>
        <row r="6">
          <cell r="AN6" t="str">
            <v>Insecta.Diptera.Brachycera.Muscomorpha.Muscoidea.Fanniidae.0.Fannia.#N/C</v>
          </cell>
        </row>
        <row r="7">
          <cell r="AN7" t="str">
            <v>Insecta.Diptera.Brachycera.Muscomorpha.Muscoidea.Fanniidae.0.Fannia.#N/C</v>
          </cell>
        </row>
        <row r="8">
          <cell r="AN8" t="str">
            <v>Insecta.Diptera.Brachycera.#N/C.#N/C.#N/C.#N/C.#N/C.#N/C</v>
          </cell>
        </row>
        <row r="9">
          <cell r="AN9" t="str">
            <v>Insecta.Diptera.Brachycera.Muscomorpha.Muscoidea.Fanniidae.0.Fannia.#N/C</v>
          </cell>
        </row>
        <row r="10">
          <cell r="AN10" t="str">
            <v>Insecta.Diptera.Brachycera.Muscomorpha.Muscoidea.Fanniidae.0.Fannia.#N/C</v>
          </cell>
        </row>
        <row r="11">
          <cell r="AN11" t="str">
            <v>Insecta.Diptera.Brachycera.Muscomorpha.Muscoidea.Fanniidae.0.Fannia.#N/C</v>
          </cell>
        </row>
        <row r="12">
          <cell r="AN12" t="str">
            <v>Insecta.Diptera.Brachycera.Muscomorpha.Syrphoidea.Syrphidae.Syrphinae.Syrphini.#N/C</v>
          </cell>
        </row>
        <row r="13">
          <cell r="AN13" t="str">
            <v>Insecta.Diptera.Brachycera.Muscomorpha.Muscoidea.#N/C.#N/C.#N/C.#N/C</v>
          </cell>
        </row>
        <row r="14">
          <cell r="AN14" t="str">
            <v>Insecta.Hymenoptera.Apocrita.Aculeata.Vespoidea.Vespidae.Vespinae.Vespula.#N/C</v>
          </cell>
        </row>
        <row r="15">
          <cell r="AN15" t="str">
            <v>Insecta.Diptera.Brachycera.Muscomorpha.Muscoidea.Fanniidae.0.Fannia.#N/C</v>
          </cell>
        </row>
        <row r="16">
          <cell r="AN16" t="str">
            <v>Insecta.Diptera.Brachycera.Muscomorpha.Muscoidea.Fanniidae.0.Fannia.#N/C</v>
          </cell>
        </row>
        <row r="17">
          <cell r="AN17" t="str">
            <v>Insecta.Diptera.Brachycera.Muscomorpha.Muscoidea.Fanniidae.0.Fannia.#N/C</v>
          </cell>
        </row>
        <row r="18">
          <cell r="AN18" t="str">
            <v>Insecta.Diptera.Brachycera.Muscomorpha.Muscoidea.Fanniidae.0.Fannia.#N/C</v>
          </cell>
        </row>
        <row r="19">
          <cell r="AN19" t="str">
            <v>Insecta.Diptera.Brachycera.Muscomorpha.Muscoidea.Fanniidae.0.Fannia.#N/C</v>
          </cell>
        </row>
        <row r="20">
          <cell r="AN20" t="str">
            <v>Insecta.Diptera.Brachycera.#N/C.#N/C.#N/C.#N/C.#N/C.#N/C</v>
          </cell>
        </row>
        <row r="21">
          <cell r="AN21" t="str">
            <v>Insecta.Diptera.Brachycera.Muscomorpha.Oestroidea.Tachinidae.Exoristinae.#N/C.#N/C</v>
          </cell>
        </row>
        <row r="22">
          <cell r="AN22" t="str">
            <v>Insecta.Diptera.Brachycera.Muscomorpha.Muscoidea.Fanniidae.0.Fannia.#N/C</v>
          </cell>
        </row>
        <row r="23">
          <cell r="AN23" t="str">
            <v>Insecta.Diptera.Brachycera.Muscomorpha.Muscoidea.Fanniidae.0.Fannia.#N/C</v>
          </cell>
        </row>
        <row r="24">
          <cell r="AN24" t="str">
            <v>Insecta.Diptera.Brachycera.Muscomorpha.Muscoidea.Fanniidae.0.Fannia.#N/C</v>
          </cell>
        </row>
        <row r="25">
          <cell r="AN25" t="str">
            <v>Insecta.Hymenoptera.Apocrita.Aculeata.Vespoidea.Vespidae.Vespinae.Vespula.#N/C</v>
          </cell>
        </row>
        <row r="26">
          <cell r="AN26" t="str">
            <v>Insecta.Diptera.Brachycera.Muscomorpha.Muscoidea.#N/C.#N/C.#N/C.#N/C</v>
          </cell>
        </row>
        <row r="27">
          <cell r="AN27" t="str">
            <v>Insecta.Diptera.Brachycera.Muscomorpha.Muscoidea.Fanniidae.0.Fannia.#N/C</v>
          </cell>
        </row>
        <row r="28">
          <cell r="AN28" t="str">
            <v>Insecta.Diptera.Brachycera.Muscomorpha.Muscoidea.Fanniidae.0.Fannia.#N/C</v>
          </cell>
        </row>
        <row r="29">
          <cell r="AN29" t="str">
            <v>Insecta.Diptera.Brachycera.Muscomorpha.Muscoidea.#N/C.#N/C.#N/C.#N/C</v>
          </cell>
        </row>
        <row r="30">
          <cell r="AN30" t="str">
            <v>Insecta.Diptera.Brachycera.Muscomorpha.Muscoidea.Fanniidae.0.Fannia.#N/C</v>
          </cell>
        </row>
        <row r="31">
          <cell r="AN31" t="str">
            <v>Insecta.Diptera.Brachycera.Muscomorpha.Muscoidea.Fanniidae.0.Fannia.#N/C</v>
          </cell>
        </row>
        <row r="32">
          <cell r="AN32" t="str">
            <v>Insecta.Diptera.Brachycera.Muscomorpha.Muscoidea.#N/C.#N/C.#N/C.#N/C</v>
          </cell>
        </row>
        <row r="33">
          <cell r="AN33" t="str">
            <v>Insecta.Diptera.Brachycera.Muscomorpha.Sciomyzoidea.Sepsidae.Sepsinae.Parapalaeosepsis.#N/C</v>
          </cell>
        </row>
        <row r="34">
          <cell r="AN34" t="str">
            <v>Insecta.Diptera.Brachycera.Muscomorpha.Muscoidea.Fanniidae.0.Fannia.#N/C</v>
          </cell>
        </row>
        <row r="35">
          <cell r="AN35" t="str">
            <v>Insecta.Diptera.Brachycera.#N/C.#N/C.#N/C.#N/C.#N/C.#N/C</v>
          </cell>
        </row>
        <row r="36">
          <cell r="AN36" t="str">
            <v>Insecta.Diptera.Brachycera.Muscomorpha.Muscoidea.#N/C.#N/C.#N/C.#N/C</v>
          </cell>
        </row>
        <row r="37">
          <cell r="AN37" t="str">
            <v>Insecta.Diptera.Brachycera.Muscomorpha.Muscoidea.#N/C.#N/C.#N/C.#N/C</v>
          </cell>
        </row>
        <row r="38">
          <cell r="AN38" t="str">
            <v>Insecta.Diptera.Brachycera.#N/C.#N/C.#N/C.#N/C.#N/C.#N/C</v>
          </cell>
        </row>
        <row r="39">
          <cell r="AN39" t="str">
            <v>Insecta.Diptera.Brachycera.#N/C.#N/C.#N/C.#N/C.#N/C.#N/C</v>
          </cell>
        </row>
        <row r="40">
          <cell r="AN40" t="str">
            <v>Insecta.Diptera.Brachycera.Muscomorpha.Muscoidea.Fanniidae.0.Fannia.#N/C</v>
          </cell>
        </row>
        <row r="41">
          <cell r="AN41" t="str">
            <v>Insecta.#N/C.#N/C.#N/C.#N/C.#N/C.#N/C.#N/C.#N/C</v>
          </cell>
        </row>
        <row r="42">
          <cell r="AN42" t="str">
            <v>Insecta.Diptera.Brachycera.#N/C.#N/C.#N/C.#N/C.#N/C.#N/C</v>
          </cell>
        </row>
        <row r="43">
          <cell r="AN43" t="str">
            <v>Insecta.Diptera.Brachycera.#N/C.#N/C.#N/C.#N/C.#N/C.#N/C</v>
          </cell>
        </row>
        <row r="44">
          <cell r="AN44" t="str">
            <v>Insecta.Diptera.Brachycera.Muscomorpha.Muscoidea.Fanniidae.0.Fannia.#N/C</v>
          </cell>
        </row>
        <row r="45">
          <cell r="AN45" t="str">
            <v>Insecta.#N/C.#N/C.#N/C.#N/C.#N/C.#N/C.#N/C.#N/C</v>
          </cell>
        </row>
        <row r="46">
          <cell r="AN46" t="str">
            <v>Insecta.Diptera.Brachycera.Muscomorpha.Muscoidea.Fanniidae.0.Fannia.#N/C</v>
          </cell>
        </row>
        <row r="47">
          <cell r="AN47" t="str">
            <v>Insecta.Diptera.Brachycera.#N/C.#N/C.#N/C.#N/C.#N/C.#N/C</v>
          </cell>
        </row>
        <row r="48">
          <cell r="AN48" t="str">
            <v>Insecta.Diptera.Brachycera.Muscomorpha.Muscoidea.#N/C.#N/C.#N/C.#N/C</v>
          </cell>
        </row>
        <row r="49">
          <cell r="AN49" t="str">
            <v>Insecta.Diptera.Brachycera.Muscomorpha.Muscoidea.Fanniidae.0.Fannia.#N/C</v>
          </cell>
        </row>
        <row r="50">
          <cell r="AN50" t="str">
            <v>Insecta.Diptera.Brachycera.Muscomorpha.Muscoidea.#N/C.#N/C.#N/C.#N/C</v>
          </cell>
        </row>
        <row r="51">
          <cell r="AN51" t="str">
            <v>Insecta.Diptera.Brachycera.Muscomorpha.Muscoidea.#N/C.#N/C.#N/C.#N/C</v>
          </cell>
        </row>
        <row r="52">
          <cell r="AN52" t="str">
            <v>Insecta.Diptera.Brachycera.Muscomorpha.Muscoidea.#N/C.#N/C.#N/C.#N/C</v>
          </cell>
        </row>
        <row r="53">
          <cell r="AN53" t="str">
            <v>Insecta.Diptera.Brachycera.Muscomorpha.Muscoidea.Fanniidae.0.Fannia.#N/C</v>
          </cell>
        </row>
        <row r="54">
          <cell r="AN54" t="str">
            <v>Insecta.Diptera.Brachycera.Muscomorpha.Muscoidea.Fanniidae.0.Fannia.#N/C</v>
          </cell>
        </row>
        <row r="55">
          <cell r="AN55" t="str">
            <v>Insecta.Diptera.Brachycera.Muscomorpha.Muscoidea.#N/C.#N/C.#N/C.#N/C</v>
          </cell>
        </row>
        <row r="56">
          <cell r="AN56" t="str">
            <v>Insecta.Diptera.Brachycera.Muscomorpha.Muscoidea.Fanniidae.0.Fannia.#N/C</v>
          </cell>
        </row>
        <row r="57">
          <cell r="AN57" t="str">
            <v>Insecta.Diptera.Brachycera.Muscomorpha.Muscoidea.Fanniidae.0.Fannia.#N/C</v>
          </cell>
        </row>
        <row r="58">
          <cell r="AN58" t="str">
            <v>Insecta.#N/C.#N/C.#N/C.#N/C.#N/C.#N/C.#N/C.#N/C</v>
          </cell>
        </row>
        <row r="59">
          <cell r="AN59" t="str">
            <v>Insecta.Diptera.Brachycera.Muscomorpha.Muscoidea.Fanniidae.0.Fannia.#N/C</v>
          </cell>
        </row>
        <row r="60">
          <cell r="AN60" t="str">
            <v>Insecta.Diptera.Brachycera.Muscomorpha.Muscoidea.Fanniidae.0.Fannia.#N/C</v>
          </cell>
        </row>
        <row r="61">
          <cell r="AN61" t="str">
            <v>Insecta.#N/C.#N/C.#N/C.#N/C.#N/C.#N/C.#N/C.#N/C</v>
          </cell>
        </row>
        <row r="62">
          <cell r="AN62" t="str">
            <v>#N/C.#N/C.#N/C.#N/C.#N/C.#N/C.#N/C.#N/C.#N/C</v>
          </cell>
        </row>
        <row r="63">
          <cell r="AN63" t="str">
            <v>Insecta.Diptera.Brachycera.Muscomorpha.Muscoidea.#N/C.#N/C.#N/C.#N/C</v>
          </cell>
        </row>
        <row r="64">
          <cell r="AN64" t="str">
            <v>Insecta.Diptera.Brachycera.#N/C.#N/C.#N/C.#N/C.#N/C.#N/C</v>
          </cell>
        </row>
        <row r="65">
          <cell r="AN65" t="str">
            <v>Insecta.Diptera.Brachycera.Muscomorpha.Muscoidea.#N/C.#N/C.#N/C.#N/C</v>
          </cell>
        </row>
        <row r="66">
          <cell r="AN66" t="str">
            <v>Insecta.Diptera.Brachycera.#N/C.#N/C.#N/C.#N/C.#N/C.#N/C</v>
          </cell>
        </row>
        <row r="67">
          <cell r="AN67" t="str">
            <v>Insecta.Hymenoptera.Apocrita.Aculeata.Vespoidea.Vespidae.Vespinae.Vespula.#N/C</v>
          </cell>
        </row>
        <row r="68">
          <cell r="AN68" t="str">
            <v>Insecta.Diptera.Brachycera.Muscomorpha.Muscoidea.Fanniidae.0.Fannia.#N/C</v>
          </cell>
        </row>
        <row r="69">
          <cell r="AN69" t="str">
            <v>Insecta.Diptera.Brachycera.#N/C.#N/C.#N/C.#N/C.#N/C.#N/C</v>
          </cell>
        </row>
        <row r="70">
          <cell r="AN70" t="str">
            <v>#N/C.#N/C.#N/C.#N/C.#N/C.#N/C.#N/C.#N/C.#N/C</v>
          </cell>
        </row>
        <row r="71">
          <cell r="AN71" t="str">
            <v>Insecta.Diptera.Brachycera.#N/C.#N/C.#N/C.#N/C.#N/C.#N/C</v>
          </cell>
        </row>
        <row r="72">
          <cell r="AN72" t="str">
            <v>#N/C.#N/C.#N/C.#N/C.#N/C.#N/C.#N/C.#N/C.#N/C</v>
          </cell>
        </row>
        <row r="73">
          <cell r="AN73" t="str">
            <v>Insecta.Diptera.Brachycera.Muscomorpha.Muscoidea.#N/C.#N/C.#N/C.#N/C</v>
          </cell>
        </row>
        <row r="74">
          <cell r="AN74" t="str">
            <v>#N/C.#N/C.#N/C.#N/C.#N/C.#N/C.#N/C.#N/C.#N/C</v>
          </cell>
        </row>
        <row r="75">
          <cell r="AN75" t="str">
            <v>Insecta.Diptera.Brachycera.#N/C.#N/C.#N/C.#N/C.#N/C.#N/C</v>
          </cell>
        </row>
        <row r="76">
          <cell r="AN76" t="str">
            <v>Insecta.Diptera.Brachycera.#N/C.#N/C.#N/C.#N/C.#N/C.#N/C</v>
          </cell>
        </row>
        <row r="77">
          <cell r="AN77" t="str">
            <v>Insecta.Diptera.Brachycera.#N/C.#N/C.#N/C.#N/C.#N/C.#N/C</v>
          </cell>
        </row>
        <row r="78">
          <cell r="AN78" t="str">
            <v>Insecta.Diptera.Brachycera.Muscomorpha.Muscoidea.Fanniidae.0.Fannia.#N/C</v>
          </cell>
        </row>
        <row r="79">
          <cell r="AN79" t="str">
            <v>Insecta.Diptera.Brachycera.#N/C.#N/C.#N/C.#N/C.#N/C.#N/C</v>
          </cell>
        </row>
        <row r="80">
          <cell r="AN80" t="str">
            <v>Insecta.Diptera.Brachycera.Muscomorpha.Muscoidea.Fanniidae.0.Fannia.#N/C</v>
          </cell>
        </row>
        <row r="81">
          <cell r="AN81" t="str">
            <v>Insecta.Diptera.Brachycera.Muscomorpha.Oestroidea.Sacrophagidae.#N/C.#N/C.#N/C</v>
          </cell>
        </row>
        <row r="82">
          <cell r="AN82" t="str">
            <v>#N/C.#N/C.#N/C.#N/C.#N/C.#N/C.#N/C.#N/C.#N/C</v>
          </cell>
        </row>
        <row r="83">
          <cell r="AN83" t="str">
            <v>Insecta.Diptera.Brachycera.Muscomorpha.Muscoidea.Fanniidae.0.Fannia.#N/C</v>
          </cell>
        </row>
        <row r="84">
          <cell r="AN84" t="str">
            <v>#N/C.#N/C.#N/C.#N/C.#N/C.#N/C.#N/C.#N/C.#N/C</v>
          </cell>
        </row>
        <row r="85">
          <cell r="AN85" t="str">
            <v>Insecta.Diptera.Brachycera.Muscomorpha.Muscoidea.#N/C.#N/C.#N/C.#N/C</v>
          </cell>
        </row>
        <row r="86">
          <cell r="AN86" t="str">
            <v>Insecta.Diptera.Brachycera.Muscomorpha.Muscoidea.Fanniidae.0.Fannia.#N/C</v>
          </cell>
        </row>
        <row r="87">
          <cell r="AN87" t="str">
            <v>Insecta.Diptera.Brachycera.Muscomorpha.Muscoidea.#N/C.#N/C.#N/C.#N/C</v>
          </cell>
        </row>
        <row r="88">
          <cell r="AN88" t="str">
            <v>Insecta.Diptera.Brachycera.Muscomorpha.Muscoidea.Fanniidae.0.Fannia.#N/C</v>
          </cell>
        </row>
        <row r="89">
          <cell r="AN89" t="str">
            <v>Insecta.Diptera.Brachycera.#N/C.#N/C.#N/C.#N/C.#N/C.#N/C</v>
          </cell>
        </row>
        <row r="90">
          <cell r="AN90" t="str">
            <v>Insecta.Diptera.Brachycera.Muscomorpha.Muscoidea.Fanniidae.0.Fannia.#N/C</v>
          </cell>
        </row>
        <row r="91">
          <cell r="AN91" t="str">
            <v>Insecta.Diptera.Brachycera.Muscomorpha.Muscoidea.Fanniidae.0.Fannia.#N/C</v>
          </cell>
        </row>
        <row r="92">
          <cell r="AN92" t="str">
            <v>Insecta.Diptera.Brachycera.#N/C.#N/C.#N/C.#N/C.#N/C.#N/C</v>
          </cell>
        </row>
        <row r="93">
          <cell r="AN93" t="str">
            <v>#N/C.#N/C.#N/C.#N/C.#N/C.#N/C.#N/C.#N/C.#N/C</v>
          </cell>
        </row>
        <row r="94">
          <cell r="AN94" t="str">
            <v>#N/C.#N/C.#N/C.#N/C.#N/C.#N/C.#N/C.#N/C.#N/C</v>
          </cell>
        </row>
        <row r="95">
          <cell r="AN95" t="str">
            <v>Insecta.Diptera.Brachycera.Muscomorpha.Muscoidea.#N/C.#N/C.#N/C.#N/C</v>
          </cell>
        </row>
        <row r="96">
          <cell r="AN96" t="str">
            <v>Insecta.Diptera.Brachycera.#N/C.#N/C.#N/C.#N/C.#N/C.#N/C</v>
          </cell>
        </row>
        <row r="97">
          <cell r="AN97" t="str">
            <v>Insecta.Diptera.Brachycera.Muscomorpha.Muscoidea.Fanniidae.0.Fannia.#N/C</v>
          </cell>
        </row>
        <row r="98">
          <cell r="AN98" t="str">
            <v>#N/C.#N/C.#N/C.#N/C.#N/C.#N/C.#N/C.#N/C.#N/C</v>
          </cell>
        </row>
        <row r="99">
          <cell r="AN99" t="str">
            <v>#N/C.#N/C.#N/C.#N/C.#N/C.#N/C.#N/C.#N/C.#N/C</v>
          </cell>
        </row>
        <row r="100">
          <cell r="AN100" t="str">
            <v>#N/C.#N/C.#N/C.#N/C.#N/C.#N/C.#N/C.#N/C.#N/C</v>
          </cell>
        </row>
        <row r="101">
          <cell r="AN101" t="str">
            <v>Insecta.Diptera.Brachycera.Muscomorpha.Muscoidea.Fanniidae.0.Fannia.#N/C</v>
          </cell>
        </row>
        <row r="102">
          <cell r="AN102" t="str">
            <v>Insecta.Diptera.Brachycera.Muscomorpha.Muscoidea.Fanniidae.0.Fannia.#N/C</v>
          </cell>
        </row>
        <row r="103">
          <cell r="AN103" t="str">
            <v>Insecta.Diptera.Brachycera.Muscomorpha.Muscoidea.Fanniidae.0.Fannia.#N/C</v>
          </cell>
        </row>
        <row r="104">
          <cell r="AN104" t="str">
            <v>Insecta.Diptera.Brachycera.Muscomorpha.Muscoidea.Fanniidae.0.Fannia.#N/C</v>
          </cell>
        </row>
        <row r="105">
          <cell r="AN105" t="str">
            <v>Insecta.Diptera.Brachycera.#N/C.#N/C.#N/C.#N/C.#N/C.#N/C</v>
          </cell>
        </row>
        <row r="106">
          <cell r="AN106" t="str">
            <v>Insecta.Diptera.Brachycera.Muscomorpha.Muscoidea.Fanniidae.0.Fannia.#N/C</v>
          </cell>
        </row>
        <row r="107">
          <cell r="AN107" t="str">
            <v>Insecta.Hymenoptera.Apocrita.Aculeata.Apoidea.Apidae.Apinae.#N/C.#N/C</v>
          </cell>
        </row>
        <row r="108">
          <cell r="AN108" t="str">
            <v>#N/C.#N/C.#N/C.#N/C.#N/C.#N/C.#N/C.#N/C.#N/C</v>
          </cell>
        </row>
        <row r="109">
          <cell r="AN109" t="str">
            <v>Insecta.Diptera.Brachycera.Muscomorpha.Muscoidea.Fanniidae.0.Fannia.#N/C</v>
          </cell>
        </row>
        <row r="110">
          <cell r="AN110" t="str">
            <v>Insecta.Diptera.Brachycera.#N/C.#N/C.#N/C.#N/C.#N/C.#N/C</v>
          </cell>
        </row>
        <row r="111">
          <cell r="AN111" t="str">
            <v>Insecta.Diptera.Brachycera.#N/C.#N/C.#N/C.#N/C.#N/C.#N/C</v>
          </cell>
        </row>
        <row r="112">
          <cell r="AN112" t="str">
            <v>#N/C.#N/C.#N/C.#N/C.#N/C.#N/C.#N/C.#N/C.#N/C</v>
          </cell>
        </row>
        <row r="113">
          <cell r="AN113" t="str">
            <v>#N/C.#N/C.#N/C.#N/C.#N/C.#N/C.#N/C.#N/C.#N/C</v>
          </cell>
        </row>
        <row r="114">
          <cell r="AN114" t="str">
            <v>Insecta.Diptera.Brachycera.Muscomorpha.Muscoidea.Fanniidae.0.Fannia.#N/C</v>
          </cell>
        </row>
        <row r="115">
          <cell r="AN115" t="str">
            <v>Insecta.Diptera.Brachycera.Muscomorpha.Muscoidea.#N/C.#N/C.#N/C.#N/C</v>
          </cell>
        </row>
        <row r="116">
          <cell r="AN116" t="str">
            <v>Insecta.Diptera.Brachycera.Muscomorpha.Muscoidea.Fanniidae.0.Fannia.#N/C</v>
          </cell>
        </row>
        <row r="117">
          <cell r="AN117" t="str">
            <v>Insecta.Diptera.Brachycera.#N/C.#N/C.#N/C.#N/C.#N/C.#N/C</v>
          </cell>
        </row>
        <row r="118">
          <cell r="AN118" t="str">
            <v>Insecta.Diptera.Brachycera.Muscomorpha.Muscoidea.#N/C.#N/C.#N/C.#N/C</v>
          </cell>
        </row>
        <row r="119">
          <cell r="AN119" t="str">
            <v>Insecta.Diptera.Brachycera.Muscomorpha.Muscoidea.#N/C.#N/C.#N/C.#N/C</v>
          </cell>
        </row>
        <row r="120">
          <cell r="AN120" t="str">
            <v>Insecta.Diptera.Brachycera.Muscomorpha.Muscoidea.Fanniidae.0.Fannia.#N/C</v>
          </cell>
        </row>
        <row r="121">
          <cell r="AN121" t="str">
            <v>Insecta.Diptera.Brachycera.Muscomorpha.Muscoidea.#N/C.#N/C.#N/C.#N/C</v>
          </cell>
        </row>
        <row r="122">
          <cell r="AN122" t="str">
            <v>Insecta.Diptera.Brachycera.Muscomorpha.Muscoidea.#N/C.#N/C.#N/C.#N/C</v>
          </cell>
        </row>
        <row r="123">
          <cell r="AN123" t="str">
            <v>Insecta.Diptera.Brachycera.Muscomorpha.Muscoidea.Fanniidae.0.Fannia.#N/C</v>
          </cell>
        </row>
        <row r="124">
          <cell r="AN124" t="str">
            <v>Insecta.Diptera.Brachycera.Muscomorpha.Muscoidea.Fanniidae.0.Fannia.#N/C</v>
          </cell>
        </row>
        <row r="125">
          <cell r="AN125" t="str">
            <v>Insecta.Diptera.Brachycera.Muscomorpha.Muscoidea.Fanniidae.0.Fannia.#N/C</v>
          </cell>
        </row>
        <row r="126">
          <cell r="AN126" t="str">
            <v>Insecta.Diptera.Brachycera.Muscomorpha.Muscoidea.Fanniidae.0.Fannia.#N/C</v>
          </cell>
        </row>
        <row r="127">
          <cell r="AN127" t="str">
            <v>Insecta.Diptera.Brachycera.Muscomorpha.Muscoidea.#N/C.#N/C.#N/C.#N/C</v>
          </cell>
        </row>
        <row r="128">
          <cell r="AN128" t="str">
            <v>Insecta.Diptera.Brachycera.Muscomorpha.Muscoidea.Fanniidae.0.Fannia.#N/C</v>
          </cell>
        </row>
        <row r="129">
          <cell r="AN129" t="str">
            <v>#N/C.#N/C.#N/C.#N/C.#N/C.#N/C.#N/C.#N/C.#N/C</v>
          </cell>
        </row>
        <row r="130">
          <cell r="AN130" t="str">
            <v>Insecta.Diptera.Brachycera.#N/C.#N/C.#N/C.#N/C.#N/C.#N/C</v>
          </cell>
        </row>
        <row r="131">
          <cell r="AN131" t="str">
            <v>Insecta.Diptera.Brachycera.Muscomorpha.Muscoidea.Fanniidae.0.Fannia.#N/C</v>
          </cell>
        </row>
        <row r="132">
          <cell r="AN132" t="str">
            <v>Insecta.Diptera.Brachycera.Muscomorpha.Muscoidea.Fanniidae.0.Fannia.#N/C</v>
          </cell>
        </row>
        <row r="133">
          <cell r="AN133" t="str">
            <v>#N/C.#N/C.#N/C.#N/C.#N/C.#N/C.#N/C.#N/C.#N/C</v>
          </cell>
        </row>
        <row r="134">
          <cell r="AN134" t="str">
            <v>Insecta.Diptera.Brachycera.Muscomorpha.Muscoidea.Fanniidae.0.Fannia.#N/C</v>
          </cell>
        </row>
        <row r="135">
          <cell r="AN135" t="str">
            <v>Insecta.Diptera.Brachycera.Muscomorpha.Muscoidea.Fanniidae.0.Fannia.#N/C</v>
          </cell>
        </row>
        <row r="136">
          <cell r="AN136" t="str">
            <v>Insecta.Diptera.Brachycera.#N/C.#N/C.#N/C.#N/C.#N/C.#N/C</v>
          </cell>
        </row>
        <row r="137">
          <cell r="AN137" t="str">
            <v>#N/C.#N/C.#N/C.#N/C.#N/C.#N/C.#N/C.#N/C.#N/C</v>
          </cell>
        </row>
        <row r="138">
          <cell r="AN138" t="str">
            <v>Insecta.Diptera.Brachycera.Muscomorpha.Muscoidea.#N/C.#N/C.#N/C.#N/C</v>
          </cell>
        </row>
        <row r="139">
          <cell r="AN139" t="str">
            <v>#N/C.#N/C.#N/C.#N/C.#N/C.#N/C.#N/C.#N/C.#N/C</v>
          </cell>
        </row>
        <row r="140">
          <cell r="AN140" t="str">
            <v>Insecta.Diptera.Brachycera.Muscomorpha.Muscoidea.#N/C.#N/C.#N/C.#N/C</v>
          </cell>
        </row>
        <row r="141">
          <cell r="AN141" t="str">
            <v>Insecta.Diptera.Brachycera.#N/C.#N/C.#N/C.#N/C.#N/C.#N/C</v>
          </cell>
        </row>
        <row r="142">
          <cell r="AN142" t="str">
            <v>Insecta.Diptera.Brachycera.Muscomorpha.Muscoidea.Fanniidae.0.Fannia.#N/C</v>
          </cell>
        </row>
        <row r="143">
          <cell r="AN143" t="str">
            <v>Insecta.Diptera.Brachycera.Muscomorpha.Muscoidea.Fanniidae.0.Fannia.#N/C</v>
          </cell>
        </row>
        <row r="144">
          <cell r="AN144" t="str">
            <v>Insecta.Diptera.Brachycera.Muscomorpha.Muscoidea.Fanniidae.0.Fannia.#N/C</v>
          </cell>
        </row>
        <row r="145">
          <cell r="AN145" t="str">
            <v>Insecta.Diptera.Brachycera.Muscomorpha.Muscoidea.Fanniidae.0.Fannia.#N/C</v>
          </cell>
        </row>
        <row r="146">
          <cell r="AN146" t="str">
            <v>Insecta.Diptera.Brachycera.Muscomorpha.Muscoidea.#N/C.#N/C.#N/C.#N/C</v>
          </cell>
        </row>
        <row r="147">
          <cell r="AN147" t="str">
            <v>Insecta.Diptera.Brachycera.Muscomorpha.Muscoidea.#N/C.#N/C.#N/C.#N/C</v>
          </cell>
        </row>
        <row r="148">
          <cell r="AN148" t="str">
            <v>Insecta.Diptera.Brachycera.Muscomorpha.Muscoidea.#N/C.#N/C.#N/C.#N/C</v>
          </cell>
        </row>
        <row r="149">
          <cell r="AN149" t="str">
            <v>Insecta.Diptera.Brachycera.Muscomorpha.Muscoidea.#N/C.#N/C.#N/C.#N/C</v>
          </cell>
        </row>
        <row r="150">
          <cell r="AN150" t="str">
            <v>Insecta.Diptera.Brachycera.Muscomorpha.Muscoidea.Fanniidae.0.Fannia.#N/C</v>
          </cell>
        </row>
        <row r="151">
          <cell r="AN151" t="str">
            <v>#N/C.#N/C.#N/C.#N/C.#N/C.#N/C.#N/C.#N/C.#N/C</v>
          </cell>
        </row>
        <row r="152">
          <cell r="AN152" t="str">
            <v>Insecta.Diptera.Brachycera.Muscomorpha.Muscoidea.Fanniidae.0.Fannia.#N/C</v>
          </cell>
        </row>
        <row r="153">
          <cell r="AN153" t="str">
            <v>Insecta.Diptera.Brachycera.Muscomorpha.Muscoidea.Fanniidae.0.Fannia.#N/C</v>
          </cell>
        </row>
        <row r="154">
          <cell r="AN154" t="str">
            <v>Insecta.Diptera.Brachycera.Muscomorpha.Muscoidea.#N/C.#N/C.#N/C.#N/C</v>
          </cell>
        </row>
        <row r="155">
          <cell r="AN155" t="str">
            <v>Insecta.Diptera.Brachycera.Muscomorpha.Muscoidea.Fanniidae.0.Fannia.#N/C</v>
          </cell>
        </row>
        <row r="156">
          <cell r="AN156" t="str">
            <v>Insecta.Diptera.Brachycera.Muscomorpha.Muscoidea.Fanniidae.0.Fannia.#N/C</v>
          </cell>
        </row>
        <row r="157">
          <cell r="AN157" t="str">
            <v>Insecta.Diptera.Brachycera.Muscomorpha.Muscoidea.Fanniidae.0.Fannia.#N/C</v>
          </cell>
        </row>
        <row r="158">
          <cell r="AN158" t="str">
            <v>Insecta.Diptera.Brachycera.Muscomorpha.Muscoidea.Fanniidae.0.Fannia.#N/C</v>
          </cell>
        </row>
        <row r="159">
          <cell r="AN159" t="str">
            <v>Insecta.#N/C.#N/C.#N/C.#N/C.#N/C.#N/C.#N/C.#N/C</v>
          </cell>
        </row>
        <row r="160">
          <cell r="AN160" t="str">
            <v>Insecta.Diptera.Brachycera.#N/C.#N/C.#N/C.#N/C.#N/C.#N/C</v>
          </cell>
        </row>
        <row r="161">
          <cell r="AN161" t="str">
            <v>#N/C.#N/C.#N/C.#N/C.#N/C.#N/C.#N/C.#N/C.#N/C</v>
          </cell>
        </row>
        <row r="162">
          <cell r="AN162" t="str">
            <v>#N/C.#N/C.#N/C.#N/C.#N/C.#N/C.#N/C.#N/C.#N/C</v>
          </cell>
        </row>
        <row r="163">
          <cell r="AN163" t="str">
            <v>Insecta.Diptera.Brachycera.Muscomorpha.Muscoidea.Fanniidae.0.Fannia.#N/C</v>
          </cell>
        </row>
        <row r="164">
          <cell r="AN164" t="str">
            <v>Insecta.Diptera.Brachycera.Muscomorpha.Muscoidea.Fanniidae.0.Fannia.#N/C</v>
          </cell>
        </row>
        <row r="165">
          <cell r="AN165" t="str">
            <v>Insecta.Hymenoptera.Apocrita.Aculeata.Vespoidea.Vespidae.Vespinae.Vespula.#N/C</v>
          </cell>
        </row>
        <row r="166">
          <cell r="AN166" t="str">
            <v>#N/C.#N/C.#N/C.#N/C.#N/C.#N/C.#N/C.#N/C.#N/C</v>
          </cell>
        </row>
        <row r="167">
          <cell r="AN167" t="str">
            <v>Insecta.Diptera.Brachycera.Muscomorpha.Muscoidea.#N/C.#N/C.#N/C.#N/C</v>
          </cell>
        </row>
        <row r="168">
          <cell r="AN168" t="str">
            <v>Insecta.Diptera.Brachycera.Muscomorpha.Muscoidea.Fanniidae.0.Fannia.#N/C</v>
          </cell>
        </row>
        <row r="169">
          <cell r="AN169" t="str">
            <v>#N/C.#N/C.#N/C.#N/C.#N/C.#N/C.#N/C.#N/C.#N/C</v>
          </cell>
        </row>
        <row r="170">
          <cell r="AN170" t="str">
            <v>Insecta.Diptera.Brachycera.#N/C.#N/C.#N/C.#N/C.#N/C.#N/C</v>
          </cell>
        </row>
        <row r="171">
          <cell r="AN171" t="str">
            <v>Insecta.Diptera.Brachycera.#N/C.#N/C.#N/C.#N/C.#N/C.#N/C</v>
          </cell>
        </row>
        <row r="172">
          <cell r="AN172" t="str">
            <v>Insecta.Diptera.Brachycera.Muscomorpha.Muscoidea.Fanniidae.0.Fannia.#N/C</v>
          </cell>
        </row>
        <row r="173">
          <cell r="AN173" t="str">
            <v>Insecta.Diptera.Brachycera.#N/C.#N/C.#N/C.#N/C.#N/C.#N/C</v>
          </cell>
        </row>
        <row r="174">
          <cell r="AN174" t="str">
            <v>Insecta.Diptera.Brachycera.Muscomorpha.Muscoidea.Fanniidae.0.Fannia.#N/C</v>
          </cell>
        </row>
        <row r="175">
          <cell r="AN175" t="str">
            <v>Insecta.Diptera.Brachycera.#N/C.#N/C.#N/C.#N/C.#N/C.#N/C</v>
          </cell>
        </row>
        <row r="176">
          <cell r="AN176" t="str">
            <v>Insecta.Diptera.Brachycera.Muscomorpha.Muscoidea.Fanniidae.0.Fannia.#N/C</v>
          </cell>
        </row>
        <row r="177">
          <cell r="AN177" t="str">
            <v>#N/C.#N/C.#N/C.#N/C.#N/C.#N/C.#N/C.#N/C.#N/C</v>
          </cell>
        </row>
        <row r="178">
          <cell r="AN178" t="str">
            <v>#N/C.#N/C.#N/C.#N/C.#N/C.#N/C.#N/C.#N/C.#N/C</v>
          </cell>
        </row>
        <row r="179">
          <cell r="AN179" t="str">
            <v>Insecta.#N/C.#N/C.#N/C.#N/C.#N/C.#N/C.#N/C.#N/C</v>
          </cell>
        </row>
        <row r="180">
          <cell r="AN180" t="str">
            <v>Insecta.Diptera.Brachycera.Muscomorpha.Muscoidea.#N/C.#N/C.#N/C.#N/C</v>
          </cell>
        </row>
        <row r="181">
          <cell r="AN181" t="str">
            <v>Insecta.Diptera.Brachycera.Muscomorpha.Muscoidea.Fanniidae.0.Fannia.#N/C</v>
          </cell>
        </row>
        <row r="182">
          <cell r="AN182" t="str">
            <v>#N/C.#N/C.#N/C.#N/C.#N/C.#N/C.#N/C.#N/C.#N/C</v>
          </cell>
        </row>
        <row r="183">
          <cell r="AN183" t="str">
            <v>Insecta.Coleoptera.Polyphaga.Cucujiformia.Coccinelloidea.Coccinellidae.Coccinellinae.#N/C.#N/C</v>
          </cell>
        </row>
        <row r="184">
          <cell r="AN184" t="str">
            <v>Insecta.Diptera.Brachycera.Muscomorpha.Muscoidea.#N/C.#N/C.#N/C.#N/C</v>
          </cell>
        </row>
        <row r="185">
          <cell r="AN185" t="str">
            <v>Insecta.Diptera.Brachycera.Muscomorpha.Muscoidea.Fanniidae.0.Fannia.#N/C</v>
          </cell>
        </row>
        <row r="186">
          <cell r="AN186" t="str">
            <v>Insecta.Diptera.Brachycera.Muscomorpha.Muscoidea.Fanniidae.0.Fannia.#N/C</v>
          </cell>
        </row>
        <row r="187">
          <cell r="AN187" t="str">
            <v>Insecta.Diptera.Brachycera.Muscomorpha.Muscoidea.Fanniidae.0.Fannia.#N/C</v>
          </cell>
        </row>
        <row r="188">
          <cell r="AN188" t="str">
            <v>Arachnida.Araneae.Arneomorphae.Araneomorphae.Araneoidea.Araneidae.Araneinae.#N/C.#N/C</v>
          </cell>
        </row>
        <row r="189">
          <cell r="AN189" t="str">
            <v>Insecta.Coleoptera.Polyphaga.Cucujiformia.Coccinelloidea.Coccinellidae.Coccinellinae.Coccinellini.#N/C</v>
          </cell>
        </row>
        <row r="190">
          <cell r="AN190" t="str">
            <v>Insecta.Diptera.Brachycera.Muscomorpha.Muscoidea.Fanniidae.0.Fannia.#N/C</v>
          </cell>
        </row>
        <row r="191">
          <cell r="AN191" t="str">
            <v>Arachnida.Araneae.Arneomorphae.Araneomorphae.Araneoidea.#N/C.#N/C.#N/C.#N/C</v>
          </cell>
        </row>
        <row r="192">
          <cell r="AN192" t="str">
            <v>Insecta.Diptera.Brachycera.Muscomorpha.Muscoidea.Fanniidae.0.Fannia.#N/C</v>
          </cell>
        </row>
        <row r="193">
          <cell r="AN193" t="str">
            <v>Insecta.Diptera.Brachycera.Muscomorpha.Lauxanioidea.Lauxaniidae.Lauxaniinae.#N/C.#N/C</v>
          </cell>
        </row>
        <row r="194">
          <cell r="AN194" t="str">
            <v>Insecta.Diptera.Brachycera.#N/C.#N/C.#N/C.#N/C.#N/C.#N/C</v>
          </cell>
        </row>
        <row r="195">
          <cell r="AN195" t="str">
            <v>Arachnida.Araneae.Arneomorphae.Araneomorphae.Araneoidea.Araneidae.Araneinae.Araneus.#N/C</v>
          </cell>
        </row>
        <row r="196">
          <cell r="AN196" t="str">
            <v>Arachnida.Araneae.Arneomorphae.Araneomorphae.Araneoidea.#N/C.#N/C.#N/C.#N/C</v>
          </cell>
        </row>
        <row r="197">
          <cell r="AN197" t="str">
            <v>Insecta.Diptera.Brachycera.Muscomorpha.Oestroidea.Sacrophagidae.#N/C.#N/C.#N/C</v>
          </cell>
        </row>
        <row r="198">
          <cell r="AN198" t="str">
            <v>Arachnida.Araneae.Arneomorphae.Araneomorphae.Araneoidea.#N/C.#N/C.#N/C.#N/C</v>
          </cell>
        </row>
        <row r="199">
          <cell r="AN199" t="str">
            <v>Insecta.Diptera.Brachycera.Muscomorpha.Muscoidea.Fanniidae.0.Fannia.#N/C</v>
          </cell>
        </row>
        <row r="200">
          <cell r="AN200" t="str">
            <v>Insecta.Diptera.Brachycera.Muscomorpha.Muscoidea.Fanniidae.0.Fannia.#N/C</v>
          </cell>
        </row>
        <row r="201">
          <cell r="AN201" t="str">
            <v>Insecta.Diptera.Brachycera.Muscomorpha.Muscoidea.Fanniidae.0.Fannia.#N/C</v>
          </cell>
        </row>
        <row r="202">
          <cell r="AN202" t="str">
            <v>Insecta.Diptera.Brachycera.#N/C.#N/C.#N/C.#N/C.#N/C.#N/C</v>
          </cell>
        </row>
        <row r="203">
          <cell r="AN203" t="str">
            <v>Insecta.Diptera.Brachycera.Muscomorpha.Syrphoidea.Syrphidae.Syrphinae.Episyrphus.#N/C</v>
          </cell>
        </row>
        <row r="204">
          <cell r="AN204" t="str">
            <v>Insecta.Diptera.Brachycera.Muscomorpha.Muscoidea.#N/C.#N/C.#N/C.#N/C</v>
          </cell>
        </row>
        <row r="205">
          <cell r="AN205" t="str">
            <v>Insecta.Diptera.Brachycera.Muscomorpha.Muscoidea.Fanniidae.0.Fannia.#N/C</v>
          </cell>
        </row>
        <row r="206">
          <cell r="AN206" t="str">
            <v>Arachnida.Araneae.Arneomorphae.Araneomorphae.Araneoidea.Araneidae.Araneinae.#N/C.#N/C</v>
          </cell>
        </row>
        <row r="207">
          <cell r="AN207" t="str">
            <v>Insecta.Diptera.Brachycera.#N/C.#N/C.#N/C.#N/C.#N/C.#N/C</v>
          </cell>
        </row>
        <row r="208">
          <cell r="AN208" t="str">
            <v>#N/C.#N/C.#N/C.#N/C.#N/C.#N/C.#N/C.#N/C.#N/C</v>
          </cell>
        </row>
        <row r="209">
          <cell r="AN209" t="str">
            <v>Insecta.Diptera.Brachycera.Muscomorpha.Muscoidea.Fanniidae.0.Fannia.#N/C</v>
          </cell>
        </row>
        <row r="210">
          <cell r="AN210" t="str">
            <v>#N/C.#N/C.#N/C.#N/C.#N/C.#N/C.#N/C.#N/C.#N/C</v>
          </cell>
        </row>
        <row r="211">
          <cell r="AN211" t="str">
            <v>Insecta.Diptera.Brachycera.Muscomorpha.Muscoidea.Fanniidae.0.Fannia.#N/C</v>
          </cell>
        </row>
        <row r="212">
          <cell r="AN212" t="str">
            <v>Insecta.Diptera.Brachycera.#N/C.#N/C.#N/C.#N/C.#N/C.#N/C</v>
          </cell>
        </row>
        <row r="213">
          <cell r="AN213" t="str">
            <v>#N/C.#N/C.#N/C.#N/C.#N/C.#N/C.#N/C.#N/C.#N/C</v>
          </cell>
        </row>
        <row r="214">
          <cell r="AN214" t="str">
            <v>#N/C.#N/C.#N/C.#N/C.#N/C.#N/C.#N/C.#N/C.#N/C</v>
          </cell>
        </row>
        <row r="215">
          <cell r="AN215" t="str">
            <v>#N/C.#N/C.#N/C.#N/C.#N/C.#N/C.#N/C.#N/C.#N/C</v>
          </cell>
        </row>
        <row r="216">
          <cell r="AN216" t="str">
            <v>#N/C.#N/C.#N/C.#N/C.#N/C.#N/C.#N/C.#N/C.#N/C</v>
          </cell>
        </row>
        <row r="217">
          <cell r="AN217" t="str">
            <v>Insecta.Hymenoptera.Apocrita.Aculeata.Vespoidea.Vespidae.Vespinae.Vespula.#N/C</v>
          </cell>
        </row>
        <row r="218">
          <cell r="AN218" t="str">
            <v>Insecta.Diptera.Brachycera.Muscomorpha.Muscoidea.#N/C.#N/C.#N/C.#N/C</v>
          </cell>
        </row>
        <row r="219">
          <cell r="AN219" t="str">
            <v>Insecta.Diptera.Brachycera.#N/C.#N/C.#N/C.#N/C.#N/C.#N/C</v>
          </cell>
        </row>
        <row r="220">
          <cell r="AN220" t="str">
            <v>Insecta.Diptera.Brachycera.Muscomorpha.Muscoidea.Fanniidae.0.Fannia.#N/C</v>
          </cell>
        </row>
        <row r="221">
          <cell r="AN221" t="str">
            <v>Insecta.Diptera.Brachycera.#N/C.#N/C.#N/C.#N/C.#N/C.#N/C</v>
          </cell>
        </row>
        <row r="222">
          <cell r="AN222" t="str">
            <v>#N/C.#N/C.#N/C.#N/C.#N/C.#N/C.#N/C.#N/C.#N/C</v>
          </cell>
        </row>
        <row r="223">
          <cell r="AN223" t="str">
            <v>Insecta.Diptera.Brachycera.Muscomorpha.Muscoidea.Fanniidae.0.Fannia.#N/C</v>
          </cell>
        </row>
        <row r="224">
          <cell r="AN224" t="str">
            <v>Insecta.Diptera.Brachycera.Muscomorpha.Muscoidea.Fanniidae.0.Fannia.#N/C</v>
          </cell>
        </row>
        <row r="225">
          <cell r="AN225" t="str">
            <v>Insecta.Diptera.Brachycera.Muscomorpha.Muscoidea.Fanniidae.0.Fannia.#N/C</v>
          </cell>
        </row>
        <row r="226">
          <cell r="AN226" t="str">
            <v>Insecta.Diptera.Brachycera.Muscomorpha.Muscoidea.#N/C.#N/C.#N/C.#N/C</v>
          </cell>
        </row>
        <row r="227">
          <cell r="AN227" t="str">
            <v>Insecta.Diptera.Brachycera.Muscomorpha.Muscoidea.#N/C.#N/C.#N/C.#N/C</v>
          </cell>
        </row>
        <row r="228">
          <cell r="AN228" t="str">
            <v>Insecta.Diptera.Brachycera.#N/C.#N/C.#N/C.#N/C.#N/C.#N/C</v>
          </cell>
        </row>
        <row r="229">
          <cell r="AN229" t="str">
            <v>Insecta.Diptera.Brachycera.Muscomorpha.Muscoidea.#N/C.#N/C.#N/C.#N/C</v>
          </cell>
        </row>
        <row r="230">
          <cell r="AN230" t="str">
            <v>Insecta.Diptera.Brachycera.#N/C.#N/C.#N/C.#N/C.#N/C.#N/C</v>
          </cell>
        </row>
        <row r="231">
          <cell r="AN231" t="str">
            <v>Insecta.Hymenoptera.Apocrita.Parasitica.Ichneumonoidea.Ichneumonoidae.#N/C.#N/C.#N/C</v>
          </cell>
        </row>
        <row r="232">
          <cell r="AN232" t="str">
            <v>#N/C.#N/C.#N/C.#N/C.#N/C.#N/C.#N/C.#N/C.#N/C</v>
          </cell>
        </row>
        <row r="233">
          <cell r="AN233" t="str">
            <v>Insecta.Hymenoptera.Apocrita.Aculeata.Vespoidea.Vespidae.Vespinae.Vespula.#N/C</v>
          </cell>
        </row>
        <row r="234">
          <cell r="AN234" t="str">
            <v>Insecta.Diptera.Brachycera.#N/C.#N/C.#N/C.#N/C.#N/C.#N/C</v>
          </cell>
        </row>
        <row r="235">
          <cell r="AN235" t="str">
            <v>Insecta.Diptera.Brachycera.Muscomorpha.Muscoidea.#N/C.#N/C.#N/C.#N/C</v>
          </cell>
        </row>
        <row r="236">
          <cell r="AN236" t="str">
            <v>Insecta.Diptera.Brachycera.Muscomorpha.Muscoidea.Fanniidae.0.Fannia.#N/C</v>
          </cell>
        </row>
        <row r="237">
          <cell r="AN237" t="str">
            <v>Insecta.Diptera.Brachycera.Muscomorpha.Muscoidea.Fanniidae.0.Fannia.#N/C</v>
          </cell>
        </row>
        <row r="238">
          <cell r="AN238" t="str">
            <v>Insecta.Diptera.Brachycera.#N/C.#N/C.#N/C.#N/C.#N/C.#N/C</v>
          </cell>
        </row>
        <row r="239">
          <cell r="AN239" t="str">
            <v>Insecta.Diptera.Brachycera.Muscomorpha.Muscoidea.Fanniidae.0.Fannia.#N/C</v>
          </cell>
        </row>
        <row r="240">
          <cell r="AN240" t="str">
            <v>Insecta.Diptera.Brachycera.Muscomorpha.Muscoidea.Fanniidae.0.Fannia.#N/C</v>
          </cell>
        </row>
        <row r="241">
          <cell r="AN241" t="str">
            <v>Insecta.#N/C.#N/C.#N/C.#N/C.#N/C.#N/C.#N/C.#N/C</v>
          </cell>
        </row>
        <row r="242">
          <cell r="AN242" t="str">
            <v>Insecta.Diptera.Brachycera.#N/C.#N/C.#N/C.#N/C.#N/C.#N/C</v>
          </cell>
        </row>
        <row r="243">
          <cell r="AN243" t="str">
            <v>Insecta.Diptera.Brachycera.Muscomorpha.Muscoidea.#N/C.#N/C.#N/C.#N/C</v>
          </cell>
        </row>
        <row r="244">
          <cell r="AN244" t="str">
            <v>Insecta.Diptera.Brachycera.Muscomorpha.Muscoidea.Fanniidae.0.Fannia.#N/C</v>
          </cell>
        </row>
        <row r="245">
          <cell r="AN245" t="str">
            <v>Insecta.Diptera.Brachycera.Muscomorpha.Muscoidea.Fanniidae.0.Fannia.#N/C</v>
          </cell>
        </row>
        <row r="246">
          <cell r="AN246" t="str">
            <v>Insecta.Diptera.Brachycera.#N/C.#N/C.#N/C.#N/C.#N/C.#N/C</v>
          </cell>
        </row>
        <row r="247">
          <cell r="AN247" t="str">
            <v>Insecta.Diptera.Brachycera.Muscomorpha.Muscoidea.Fanniidae.0.Fannia.#N/C</v>
          </cell>
        </row>
        <row r="248">
          <cell r="AN248" t="str">
            <v>Insecta.Diptera.Brachycera.Muscomorpha.Muscoidea.Fanniidae.0.Fannia.#N/C</v>
          </cell>
        </row>
        <row r="249">
          <cell r="AN249" t="str">
            <v>#N/C.#N/C.#N/C.#N/C.#N/C.#N/C.#N/C.#N/C.#N/C</v>
          </cell>
        </row>
        <row r="250">
          <cell r="AN250" t="str">
            <v>Insecta.Hymenoptera.Apocrita.Aculeata.Vespoidea.Vespidae.Vespinae.Vespula.#N/C</v>
          </cell>
        </row>
        <row r="251">
          <cell r="AN251" t="str">
            <v>Insecta.Diptera.Brachycera.Muscomorpha.Muscoidea.Fanniidae.0.Fannia.#N/C</v>
          </cell>
        </row>
        <row r="252">
          <cell r="AN252" t="str">
            <v>Insecta.Diptera.Brachycera.Muscomorpha.Muscoidea.Fanniidae.0.Fannia.#N/C</v>
          </cell>
        </row>
        <row r="253">
          <cell r="AN253" t="str">
            <v>Insecta.Diptera.Brachycera.Muscomorpha.Muscoidea.Fanniidae.0.Fannia.#N/C</v>
          </cell>
        </row>
        <row r="254">
          <cell r="AN254" t="str">
            <v>Insecta.Diptera.Brachycera.Muscomorpha.Muscoidea.#N/C.#N/C.#N/C.#N/C</v>
          </cell>
        </row>
        <row r="255">
          <cell r="AN255" t="str">
            <v>Insecta.Diptera.Brachycera.#N/C.#N/C.#N/C.#N/C.#N/C.#N/C</v>
          </cell>
        </row>
        <row r="256">
          <cell r="AN256" t="str">
            <v>Insecta.Diptera.Brachycera.#N/C.#N/C.#N/C.#N/C.#N/C.#N/C</v>
          </cell>
        </row>
        <row r="257">
          <cell r="AN257" t="str">
            <v>Insecta.Diptera.Brachycera.Muscomorpha.Muscoidea.#N/C.#N/C.#N/C.#N/C</v>
          </cell>
        </row>
        <row r="258">
          <cell r="AN258" t="str">
            <v>Insecta.Diptera.Brachycera.Muscomorpha.Muscoidea.Fanniidae.0.Fannia.#N/C</v>
          </cell>
        </row>
        <row r="259">
          <cell r="AN259" t="str">
            <v>#N/C.#N/C.#N/C.#N/C.#N/C.#N/C.#N/C.#N/C.#N/C</v>
          </cell>
        </row>
        <row r="260">
          <cell r="AN260" t="str">
            <v>Insecta.Diptera.Brachycera.#N/C.#N/C.#N/C.#N/C.#N/C.#N/C</v>
          </cell>
        </row>
        <row r="261">
          <cell r="AN261" t="str">
            <v>Insecta.Diptera.Brachycera.Muscomorpha.Muscoidea.Fanniidae.0.Fannia.#N/C</v>
          </cell>
        </row>
        <row r="262">
          <cell r="AN262" t="str">
            <v>#N/C.#N/C.#N/C.#N/C.#N/C.#N/C.#N/C.#N/C.#N/C</v>
          </cell>
        </row>
        <row r="263">
          <cell r="AN263" t="str">
            <v>Insecta.Diptera.Brachycera.Muscomorpha.Muscoidea.#N/C.#N/C.#N/C.#N/C</v>
          </cell>
        </row>
        <row r="264">
          <cell r="AN264" t="str">
            <v>Insecta.Diptera.Brachycera.Muscomorpha.Muscoidea.Fanniidae.0.Fannia.#N/C</v>
          </cell>
        </row>
        <row r="265">
          <cell r="AN265" t="str">
            <v>Insecta.Diptera.Brachycera.#N/C.#N/C.#N/C.#N/C.#N/C.#N/C</v>
          </cell>
        </row>
        <row r="266">
          <cell r="AN266" t="str">
            <v>Insecta.Diptera.Brachycera.#N/C.#N/C.#N/C.#N/C.#N/C.#N/C</v>
          </cell>
        </row>
        <row r="267">
          <cell r="AN267" t="str">
            <v>Insecta.Diptera.Brachycera.Muscomorpha.Muscoidea.Fanniidae.0.Fannia.#N/C</v>
          </cell>
        </row>
        <row r="268">
          <cell r="AN268" t="str">
            <v>Insecta.Diptera.Brachycera.Muscomorpha.Muscoidea.Fanniidae.0.Fannia.#N/C</v>
          </cell>
        </row>
        <row r="269">
          <cell r="AN269" t="str">
            <v>Insecta.Diptera.Brachycera.Muscomorpha.Muscoidea.Fanniidae.0.Fannia.#N/C</v>
          </cell>
        </row>
        <row r="270">
          <cell r="AN270" t="str">
            <v>Insecta.Diptera.Brachycera.Muscomorpha.Oestroidea.#N/C.#N/C.#N/C.#N/C</v>
          </cell>
        </row>
        <row r="271">
          <cell r="AN271" t="str">
            <v>Insecta.Hymenoptera.Apocrita.Aculeata.Vespoidea.Vespidae.Vespinae.Vespula.#N/C</v>
          </cell>
        </row>
        <row r="272">
          <cell r="AN272" t="str">
            <v>Insecta.Hymenoptera.Apocrita.Aculeata.Vespoidea.Vespidae.Vespinae.Vespula.#N/C</v>
          </cell>
        </row>
        <row r="273">
          <cell r="AN273" t="str">
            <v>Insecta.Lepidoptera.Glossata.Heterocera.Noctuoidea.#N/C.#N/C.#N/C.#N/C</v>
          </cell>
        </row>
        <row r="274">
          <cell r="AN274" t="str">
            <v>Insecta.Diptera.Brachycera.Muscomorpha.Muscoidea.Fanniidae.0.Fannia.#N/C</v>
          </cell>
        </row>
        <row r="275">
          <cell r="AN275" t="str">
            <v>Insecta.Diptera.Brachycera.Muscomorpha.Muscoidea.Fanniidae.0.Fannia.#N/C</v>
          </cell>
        </row>
        <row r="276">
          <cell r="AN276" t="str">
            <v>Insecta.Diptera.Brachycera.Muscomorpha.Muscoidea.Fanniidae.0.Fannia.#N/C</v>
          </cell>
        </row>
        <row r="277">
          <cell r="AN277" t="str">
            <v>Insecta.Diptera.Brachycera.Muscomorpha.Muscoidea.#N/C.#N/C.#N/C.#N/C</v>
          </cell>
        </row>
        <row r="278">
          <cell r="AN278" t="str">
            <v>Insecta.Diptera.Brachycera.Muscomorpha.Muscoidea.Fanniidae.0.Fannia.#N/C</v>
          </cell>
        </row>
        <row r="279">
          <cell r="AN279" t="str">
            <v>Insecta.Diptera.Brachycera.#N/C.#N/C.#N/C.#N/C.#N/C.#N/C</v>
          </cell>
        </row>
        <row r="280">
          <cell r="AN280" t="str">
            <v>Insecta.Diptera.Brachycera.Muscomorpha.Muscoidea.#N/C.#N/C.#N/C.#N/C</v>
          </cell>
        </row>
        <row r="281">
          <cell r="AN281" t="str">
            <v>Insecta.Diptera.Brachycera.#N/C.#N/C.#N/C.#N/C.#N/C.#N/C</v>
          </cell>
        </row>
        <row r="282">
          <cell r="AN282" t="str">
            <v>Insecta.Diptera.Brachycera.Muscomorpha.Muscoidea.#N/C.#N/C.#N/C.#N/C</v>
          </cell>
        </row>
        <row r="283">
          <cell r="AN283" t="str">
            <v>Insecta.Diptera.Brachycera.Muscomorpha.Muscoidea.Fanniidae.0.Fannia.#N/C</v>
          </cell>
        </row>
        <row r="284">
          <cell r="AN284" t="str">
            <v>Insecta.Diptera.Brachycera.Muscomorpha.Muscoidea.#N/C.#N/C.#N/C.#N/C</v>
          </cell>
        </row>
        <row r="285">
          <cell r="AN285" t="str">
            <v>Insecta.Diptera.Brachycera.Muscomorpha.Muscoidea.#N/C.#N/C.#N/C.#N/C</v>
          </cell>
        </row>
        <row r="286">
          <cell r="AN286" t="str">
            <v>Insecta.Diptera.Brachycera.Muscomorpha.Oestroidea.Sarcophagidae.Sarcophaginae.#N/C.#N/C</v>
          </cell>
        </row>
        <row r="287">
          <cell r="AN287" t="str">
            <v>Insecta.Diptera.Brachycera.Muscomorpha.Muscoidea.Fanniidae.0.Fannia.#N/C</v>
          </cell>
        </row>
        <row r="288">
          <cell r="AN288" t="str">
            <v>Insecta.Hymenoptera.Apocrita.Aculeata.Vespoidea.Vespidae.Vespinae.Vespula.#N/C</v>
          </cell>
        </row>
        <row r="289">
          <cell r="AN289" t="str">
            <v>Insecta.Diptera.Brachycera.#N/C.#N/C.#N/C.#N/C.#N/C.#N/C</v>
          </cell>
        </row>
        <row r="290">
          <cell r="AN290" t="str">
            <v>Insecta.Diptera.Brachycera.#N/C.#N/C.#N/C.#N/C.#N/C.#N/C</v>
          </cell>
        </row>
        <row r="291">
          <cell r="AN291" t="str">
            <v>Insecta.Diptera.Brachycera.Muscomorpha.Muscoidea.#N/C.#N/C.#N/C.#N/C</v>
          </cell>
        </row>
        <row r="292">
          <cell r="AN292" t="str">
            <v>Insecta.Diptera.Brachycera.Muscomorpha.Muscoidea.#N/C.#N/C.#N/C.#N/C</v>
          </cell>
        </row>
        <row r="293">
          <cell r="AN293" t="str">
            <v>Insecta.Diptera.Brachycera.#N/C.#N/C.#N/C.#N/C.#N/C.#N/C</v>
          </cell>
        </row>
        <row r="294">
          <cell r="AN294" t="str">
            <v>Insecta.Diptera.Brachycera.Muscomorpha.Muscoidea.Fanniidae.0.Fannia.#N/C</v>
          </cell>
        </row>
        <row r="295">
          <cell r="AN295" t="str">
            <v>Insecta.Diptera.Brachycera.Muscomorpha.Oestroidea.Sarcophagidae.Sarcophaginae.Sarcophaga.#N/C</v>
          </cell>
        </row>
        <row r="296">
          <cell r="AN296" t="str">
            <v>Insecta.Diptera.Brachycera.Muscomorpha.Muscoidea.#N/C.#N/C.#N/C.#N/C</v>
          </cell>
        </row>
        <row r="297">
          <cell r="AN297" t="str">
            <v>Insecta.Diptera.Brachycera.Muscomorpha.Muscoidea.Fanniidae.0.Fannia.#N/C</v>
          </cell>
        </row>
        <row r="298">
          <cell r="AN298" t="str">
            <v>Insecta.Diptera.Brachycera.#N/C.#N/C.#N/C.#N/C.#N/C.#N/C</v>
          </cell>
        </row>
        <row r="299">
          <cell r="AN299" t="str">
            <v>Insecta.Diptera.Brachycera.Muscomorpha.Muscoidea.Fanniidae.0.Fannia.#N/C</v>
          </cell>
        </row>
        <row r="300">
          <cell r="AN300" t="str">
            <v>Insecta.Diptera.Brachycera.Muscomorpha.Muscoidea.#N/C.#N/C.#N/C.#N/C</v>
          </cell>
        </row>
        <row r="301">
          <cell r="AN301" t="str">
            <v>Insecta.Diptera.Brachycera.Muscomorpha.Muscoidea.#N/C.#N/C.#N/C.#N/C</v>
          </cell>
        </row>
        <row r="302">
          <cell r="AN302" t="str">
            <v>Insecta.Coleoptera.Polyphaga.Cucujiformia.Coccinelloidea.Coccinellidae.Coccinellinae.Harmonia.#N/C</v>
          </cell>
        </row>
        <row r="303">
          <cell r="AN303" t="str">
            <v>Insecta.Diptera.Brachycera.Muscomorpha.Syrphoidea.Syrphidae.Syrphinae.Sphaerophoria.#N/C</v>
          </cell>
        </row>
        <row r="304">
          <cell r="AN304" t="str">
            <v>Insecta.Diptera.Brachycera.Muscomorpha.Muscoidea.Fanniidae.0.Fannia.#N/C</v>
          </cell>
        </row>
        <row r="305">
          <cell r="AN305" t="str">
            <v>Insecta.Diptera.Brachycera.Muscomorpha.Muscoidea.Fanniidae.0.Fannia.#N/C</v>
          </cell>
        </row>
        <row r="306">
          <cell r="AN306" t="str">
            <v>Insecta.Diptera.Brachycera.Muscomorpha.Muscoidea.#N/C.#N/C.#N/C.#N/C</v>
          </cell>
        </row>
        <row r="307">
          <cell r="AN307" t="str">
            <v>Insecta.Diptera.Brachycera.Muscomorpha.Muscoidea.Fanniidae.0.Fannia.#N/C</v>
          </cell>
        </row>
        <row r="308">
          <cell r="AN308" t="str">
            <v>Insecta.Diptera.Brachycera.Muscomorpha.Muscoidea.Fanniidae.0.Fannia.#N/C</v>
          </cell>
        </row>
        <row r="309">
          <cell r="AN309" t="str">
            <v>Insecta.Diptera.Brachycera.Muscomorpha.Muscoidea.#N/C.#N/C.#N/C.#N/C</v>
          </cell>
        </row>
        <row r="310">
          <cell r="AN310" t="str">
            <v>#N/C.#N/C.#N/C.#N/C.#N/C.#N/C.#N/C.#N/C.#N/C</v>
          </cell>
        </row>
        <row r="311">
          <cell r="AN311" t="str">
            <v>Insecta.Diptera.Brachycera.Muscomorpha.Muscoidea.Fanniidae.0.Fannia.#N/C</v>
          </cell>
        </row>
        <row r="312">
          <cell r="AN312" t="str">
            <v>Insecta.Diptera.Brachycera.#N/C.#N/C.#N/C.#N/C.#N/C.#N/C</v>
          </cell>
        </row>
        <row r="313">
          <cell r="AN313" t="str">
            <v>Insecta.Diptera.Brachycera.Muscomorpha.Muscoidea.Fanniidae.0.Fannia.#N/C</v>
          </cell>
        </row>
        <row r="314">
          <cell r="AN314" t="str">
            <v>Insecta.Coleoptera.Polyphaga.Cucujiformia.Coccinelloidea.Coccinellidae.Coccinellinae.Harmonia.#N/C</v>
          </cell>
        </row>
        <row r="315">
          <cell r="AN315" t="str">
            <v>Insecta.Diptera.Brachycera.#N/C.#N/C.#N/C.#N/C.#N/C.#N/C</v>
          </cell>
        </row>
        <row r="316">
          <cell r="AN316" t="str">
            <v>Insecta.Diptera.Brachycera.Muscomorpha.Muscoidea.#N/C.#N/C.#N/C.#N/C</v>
          </cell>
        </row>
        <row r="317">
          <cell r="AN317" t="str">
            <v>Insecta.Diptera.Brachycera.#N/C.#N/C.#N/C.#N/C.#N/C.#N/C</v>
          </cell>
        </row>
        <row r="318">
          <cell r="AN318" t="str">
            <v>Insecta.Diptera.Brachycera.Muscomorpha.Muscoidea.Fanniidae.0.Fannia.#N/C</v>
          </cell>
        </row>
        <row r="319">
          <cell r="AN319" t="str">
            <v>Insecta.Diptera.Brachycera.Muscomorpha.Muscoidea.#N/C.#N/C.#N/C.#N/C</v>
          </cell>
        </row>
        <row r="320">
          <cell r="AN320" t="str">
            <v>Insecta.Orthoptera.Ensifera.Tettigoniidea.Tettigonioidea.Tettigoniidae.Tettigoniinae.Tettigonia.#N/C</v>
          </cell>
        </row>
        <row r="321">
          <cell r="AN321" t="str">
            <v>#N/C.#N/C.#N/C.#N/C.#N/C.#N/C.#N/C.#N/C.#N/C</v>
          </cell>
        </row>
        <row r="322">
          <cell r="AN322" t="str">
            <v>Insecta.Diptera.Brachycera.Muscomorpha.Muscoidea.Fanniidae.0.Fannia.#N/C</v>
          </cell>
        </row>
        <row r="323">
          <cell r="AN323" t="str">
            <v>Insecta.Diptera.Brachycera.Muscomorpha.Muscoidea.Fanniidae.0.Fannia.#N/C</v>
          </cell>
        </row>
        <row r="324">
          <cell r="AN324" t="str">
            <v>Insecta.Diptera.Brachycera.Muscomorpha.Muscoidea.#N/C.#N/C.#N/C.#N/C</v>
          </cell>
        </row>
        <row r="325">
          <cell r="AN325" t="str">
            <v>Insecta.Diptera.Brachycera.Muscomorpha.Muscoidea.#N/C.#N/C.#N/C.#N/C</v>
          </cell>
        </row>
        <row r="326">
          <cell r="AN326" t="str">
            <v>Insecta.Diptera.Brachycera.Muscomorpha.Muscoidea.Fanniidae.0.Fannia.#N/C</v>
          </cell>
        </row>
        <row r="327">
          <cell r="AN327" t="str">
            <v>Insecta.Diptera.Brachycera.Muscomorpha.Muscoidea.#N/C.#N/C.#N/C.#N/C</v>
          </cell>
        </row>
        <row r="328">
          <cell r="AN328" t="str">
            <v>Insecta.Diptera.Brachycera.Muscomorpha.Muscoidea.#N/C.#N/C.#N/C.#N/C</v>
          </cell>
        </row>
        <row r="329">
          <cell r="AN329" t="str">
            <v>#N/C.#N/C.#N/C.#N/C.#N/C.#N/C.#N/C.#N/C.#N/C</v>
          </cell>
        </row>
        <row r="330">
          <cell r="AN330" t="str">
            <v>Insecta.Diptera.Brachycera.Muscomorpha.Muscoidea.Fanniidae.0.Fannia.#N/C</v>
          </cell>
        </row>
        <row r="331">
          <cell r="AN331" t="str">
            <v>#N/C.#N/C.#N/C.#N/C.#N/C.#N/C.#N/C.#N/C.#N/C</v>
          </cell>
        </row>
        <row r="332">
          <cell r="AN332" t="str">
            <v>#N/C.#N/C.#N/C.#N/C.#N/C.#N/C.#N/C.#N/C.#N/C</v>
          </cell>
        </row>
        <row r="333">
          <cell r="AN333" t="str">
            <v>#N/C.#N/C.#N/C.#N/C.#N/C.#N/C.#N/C.#N/C.#N/C</v>
          </cell>
        </row>
        <row r="334">
          <cell r="AN334" t="str">
            <v>Insecta.Diptera.Brachycera.Muscomorpha.Muscoidea.#N/C.#N/C.#N/C.#N/C</v>
          </cell>
        </row>
        <row r="335">
          <cell r="AN335" t="str">
            <v>Insecta.Diptera.Brachycera.Muscomorpha.#N/C.#N/C.#N/C.#N/C.#N/C</v>
          </cell>
        </row>
        <row r="336">
          <cell r="AN336" t="str">
            <v>#N/C.#N/C.#N/C.#N/C.#N/C.#N/C.#N/C.#N/C.#N/C</v>
          </cell>
        </row>
        <row r="337">
          <cell r="AN337" t="str">
            <v>Insecta.Diptera.Brachycera.#N/C.#N/C.#N/C.#N/C.#N/C.#N/C</v>
          </cell>
        </row>
        <row r="338">
          <cell r="AN338" t="str">
            <v>Insecta.Diptera.Brachycera.Muscomorpha.Muscoidea.Fanniidae.0.Fannia.#N/C</v>
          </cell>
        </row>
        <row r="339">
          <cell r="AN339" t="str">
            <v>#N/C.#N/C.#N/C.#N/C.#N/C.#N/C.#N/C.#N/C.#N/C</v>
          </cell>
        </row>
        <row r="340">
          <cell r="AN340" t="str">
            <v>Insecta.Diptera.Brachycera.Muscomorpha.Muscoidea.Fanniidae.0.Fannia.#N/C</v>
          </cell>
        </row>
        <row r="341">
          <cell r="AN341" t="str">
            <v>#N/C.#N/C.#N/C.#N/C.#N/C.#N/C.#N/C.#N/C.#N/C</v>
          </cell>
        </row>
        <row r="342">
          <cell r="AN342" t="str">
            <v>Insecta.Diptera.Brachycera.Muscomorpha.Muscoidea.#N/C.#N/C.#N/C.#N/C</v>
          </cell>
        </row>
        <row r="343">
          <cell r="AN343" t="str">
            <v>Insecta.Diptera.Brachycera.Muscomorpha.Muscoidea.#N/C.#N/C.#N/C.#N/C</v>
          </cell>
        </row>
        <row r="344">
          <cell r="AN344" t="str">
            <v>Insecta.Diptera.Brachycera.Muscomorpha.Muscoidea.Fanniidae.0.Fannia.#N/C</v>
          </cell>
        </row>
        <row r="345">
          <cell r="AN345" t="str">
            <v>#N/C.#N/C.#N/C.#N/C.#N/C.#N/C.#N/C.#N/C.#N/C</v>
          </cell>
        </row>
        <row r="346">
          <cell r="AN346" t="str">
            <v>Insecta.Diptera.Brachycera.#N/C.#N/C.#N/C.#N/C.#N/C.#N/C</v>
          </cell>
        </row>
        <row r="347">
          <cell r="AN347" t="str">
            <v>Insecta.Diptera.Brachycera.#N/C.#N/C.#N/C.#N/C.#N/C.#N/C</v>
          </cell>
        </row>
        <row r="348">
          <cell r="AN348" t="str">
            <v>Insecta.Diptera.Brachycera.#N/C.#N/C.#N/C.#N/C.#N/C.#N/C</v>
          </cell>
        </row>
        <row r="349">
          <cell r="AN349" t="str">
            <v>Insecta.Diptera.Brachycera.Muscomorpha.Muscoidea.Fanniidae.0.Fannia.#N/C</v>
          </cell>
        </row>
        <row r="350">
          <cell r="AN350" t="str">
            <v>Insecta.Diptera.Brachycera.#N/C.#N/C.#N/C.#N/C.#N/C.#N/C</v>
          </cell>
        </row>
        <row r="351">
          <cell r="AN351" t="str">
            <v>#N/C.#N/C.#N/C.#N/C.#N/C.#N/C.#N/C.#N/C.#N/C</v>
          </cell>
        </row>
        <row r="352">
          <cell r="AN352" t="str">
            <v>Insecta.Diptera.Brachycera.#N/C.#N/C.#N/C.#N/C.#N/C.#N/C</v>
          </cell>
        </row>
        <row r="353">
          <cell r="AN353" t="str">
            <v>Insecta.Diptera.Brachycera.Muscomorpha.Muscoidea.Fanniidae.0.Fannia.#N/C</v>
          </cell>
        </row>
        <row r="354">
          <cell r="AN354" t="str">
            <v>Insecta.Diptera.Brachycera.Muscomorpha.Muscoidea.Fanniidae.0.Fannia.#N/C</v>
          </cell>
        </row>
        <row r="355">
          <cell r="AN355" t="str">
            <v>Insecta.Diptera.Brachycera.#N/C.#N/C.#N/C.#N/C.#N/C.#N/C</v>
          </cell>
        </row>
        <row r="356">
          <cell r="AN356" t="str">
            <v>#N/C.#N/C.#N/C.#N/C.#N/C.#N/C.#N/C.#N/C.#N/C</v>
          </cell>
        </row>
        <row r="357">
          <cell r="AN357" t="str">
            <v>#N/C.#N/C.#N/C.#N/C.#N/C.#N/C.#N/C.#N/C.#N/C</v>
          </cell>
        </row>
        <row r="358">
          <cell r="AN358" t="str">
            <v>#N/C.#N/C.#N/C.#N/C.#N/C.#N/C.#N/C.#N/C.#N/C</v>
          </cell>
        </row>
        <row r="359">
          <cell r="AN359" t="str">
            <v>Insecta.Diptera.Brachycera.Muscomorpha.Muscoidea.#N/C.#N/C.#N/C.#N/C</v>
          </cell>
        </row>
        <row r="360">
          <cell r="AN360" t="str">
            <v>Insecta.Diptera.Brachycera.#N/C.#N/C.#N/C.#N/C.#N/C.#N/C</v>
          </cell>
        </row>
        <row r="361">
          <cell r="AN361" t="str">
            <v>Insecta.Diptera.Brachycera.Muscomorpha.Ephydroidea.Drosophilidae.Drosophilinae.Drosophila.#N/C</v>
          </cell>
        </row>
        <row r="362">
          <cell r="AN362" t="str">
            <v>Insecta.Diptera.Brachycera.Muscomorpha.Muscoidea.Fanniidae.0.Fannia.#N/C</v>
          </cell>
        </row>
        <row r="363">
          <cell r="AN363" t="str">
            <v>Insecta.Diptera.Brachycera.#N/C.#N/C.#N/C.#N/C.#N/C.#N/C</v>
          </cell>
        </row>
        <row r="364">
          <cell r="AN364" t="str">
            <v>Insecta.Diptera.Brachycera.Muscomorpha.Muscoidea.Fanniidae.0.Fannia.#N/C</v>
          </cell>
        </row>
        <row r="365">
          <cell r="AN365" t="str">
            <v>Insecta.Diptera.Brachycera.#N/C.#N/C.#N/C.#N/C.#N/C.#N/C</v>
          </cell>
        </row>
        <row r="366">
          <cell r="AN366" t="str">
            <v>Insecta.Diptera.Brachycera.#N/C.#N/C.#N/C.#N/C.#N/C.#N/C</v>
          </cell>
        </row>
        <row r="367">
          <cell r="AN367" t="str">
            <v>Insecta.Diptera.Brachycera.#N/C.#N/C.#N/C.#N/C.#N/C.#N/C</v>
          </cell>
        </row>
        <row r="368">
          <cell r="AN368" t="str">
            <v>Insecta.Diptera.Brachycera.Muscomorpha.Muscoidea.Fanniidae.0.Fannia.#N/C</v>
          </cell>
        </row>
        <row r="369">
          <cell r="AN369" t="str">
            <v>Insecta.Diptera.Brachycera.#N/C.#N/C.#N/C.#N/C.#N/C.#N/C</v>
          </cell>
        </row>
        <row r="370">
          <cell r="AN370" t="str">
            <v>Insecta.Diptera.Brachycera.#N/C.#N/C.#N/C.#N/C.#N/C.#N/C</v>
          </cell>
        </row>
        <row r="371">
          <cell r="AN371" t="str">
            <v>Insecta.Diptera.Brachycera.#N/C.#N/C.#N/C.#N/C.#N/C.#N/C</v>
          </cell>
        </row>
        <row r="372">
          <cell r="AN372" t="str">
            <v>Insecta.Diptera.Brachycera.Muscomorpha.Muscoidea.Fanniidae.0.Fannia.#N/C</v>
          </cell>
        </row>
        <row r="373">
          <cell r="AN373" t="str">
            <v>Insecta.Diptera.Brachycera.#N/C.#N/C.#N/C.#N/C.#N/C.#N/C</v>
          </cell>
        </row>
        <row r="374">
          <cell r="AN374" t="str">
            <v>Insecta.Diptera.Brachycera.#N/C.#N/C.#N/C.#N/C.#N/C.#N/C</v>
          </cell>
        </row>
        <row r="375">
          <cell r="AN375" t="str">
            <v>Insecta.Diptera.Brachycera.#N/C.#N/C.#N/C.#N/C.#N/C.#N/C</v>
          </cell>
        </row>
        <row r="376">
          <cell r="AN376" t="str">
            <v>Insecta.Diptera.Brachycera.#N/C.#N/C.#N/C.#N/C.#N/C.#N/C</v>
          </cell>
        </row>
        <row r="377">
          <cell r="AN377" t="str">
            <v>Insecta.Diptera.Brachycera.Muscomorpha.Muscoidea.#N/C.#N/C.#N/C.#N/C</v>
          </cell>
        </row>
        <row r="378">
          <cell r="AN378" t="str">
            <v>Insecta.Diptera.Brachycera.Muscomorpha.Muscoidea.Fanniidae.0.Fannia.#N/C</v>
          </cell>
        </row>
        <row r="379">
          <cell r="AN379" t="str">
            <v>#N/C.#N/C.#N/C.#N/C.#N/C.#N/C.#N/C.#N/C.#N/C</v>
          </cell>
        </row>
        <row r="380">
          <cell r="AN380" t="str">
            <v>#N/C.#N/C.#N/C.#N/C.#N/C.#N/C.#N/C.#N/C.#N/C</v>
          </cell>
        </row>
        <row r="381">
          <cell r="AN381" t="str">
            <v>Insecta.Diptera.Brachycera.Muscomorpha.Muscoidea.#N/C.#N/C.#N/C.#N/C</v>
          </cell>
        </row>
        <row r="382">
          <cell r="AN382" t="str">
            <v>#N/C.#N/C.#N/C.#N/C.#N/C.#N/C.#N/C.#N/C.#N/C</v>
          </cell>
        </row>
        <row r="383">
          <cell r="AN383" t="str">
            <v>Insecta.Diptera.Brachycera.Muscomorpha.Muscoidea.Fanniidae.0.Fannia.#N/C</v>
          </cell>
        </row>
        <row r="384">
          <cell r="AN384" t="str">
            <v>Insecta.Diptera.Brachycera.Muscomorpha.Muscoidea.Fanniidae.0.Fannia.#N/C</v>
          </cell>
        </row>
        <row r="385">
          <cell r="AN385" t="str">
            <v>Insecta.Diptera.Brachycera.Muscomorpha.Muscoidea.#N/C.#N/C.#N/C.#N/C</v>
          </cell>
        </row>
        <row r="386">
          <cell r="AN386" t="str">
            <v>#N/C.#N/C.#N/C.#N/C.#N/C.#N/C.#N/C.#N/C.#N/C</v>
          </cell>
        </row>
        <row r="387">
          <cell r="AN387" t="str">
            <v>Insecta.Diptera.Brachycera.Muscomorpha.Muscoidea.Fanniidae.0.Fannia.#N/C</v>
          </cell>
        </row>
        <row r="388">
          <cell r="AN388" t="str">
            <v>Insecta.Diptera.Brachycera.Muscomorpha.Muscoidea.Fanniidae.0.Fannia.#N/C</v>
          </cell>
        </row>
        <row r="389">
          <cell r="AN389" t="str">
            <v>#N/C.#N/C.#N/C.#N/C.#N/C.#N/C.#N/C.#N/C.#N/C</v>
          </cell>
        </row>
        <row r="390">
          <cell r="AN390" t="str">
            <v>Insecta.Diptera.Brachycera.Muscomorpha.Muscoidea.#N/C.#N/C.#N/C.#N/C</v>
          </cell>
        </row>
        <row r="391">
          <cell r="AN391" t="str">
            <v>Insecta.Diptera.Brachycera.Muscomorpha.Muscoidea.#N/C.#N/C.#N/C.#N/C</v>
          </cell>
        </row>
        <row r="392">
          <cell r="AN392" t="str">
            <v>Insecta.Diptera.Brachycera.#N/C.#N/C.#N/C.#N/C.#N/C.#N/C</v>
          </cell>
        </row>
        <row r="393">
          <cell r="AN393" t="str">
            <v>Insecta.Diptera.Brachycera.Muscomorpha.Muscoidea.#N/C.#N/C.#N/C.#N/C</v>
          </cell>
        </row>
        <row r="394">
          <cell r="AN394" t="str">
            <v>Insecta.Diptera.Brachycera.#N/C.#N/C.#N/C.#N/C.#N/C.#N/C</v>
          </cell>
        </row>
        <row r="395">
          <cell r="AN395" t="str">
            <v>Insecta.Diptera.Brachycera.#N/C.#N/C.#N/C.#N/C.#N/C.#N/C</v>
          </cell>
        </row>
        <row r="396">
          <cell r="AN396" t="str">
            <v>#N/C.#N/C.#N/C.#N/C.#N/C.#N/C.#N/C.#N/C.#N/C</v>
          </cell>
        </row>
        <row r="397">
          <cell r="AN397" t="str">
            <v>Insecta.Diptera.Brachycera.Muscomorpha.Muscoidea.#N/C.#N/C.#N/C.#N/C</v>
          </cell>
        </row>
        <row r="398">
          <cell r="AN398" t="str">
            <v>Insecta.Diptera.Brachycera.#N/C.#N/C.#N/C.#N/C.#N/C.#N/C</v>
          </cell>
        </row>
        <row r="399">
          <cell r="AN399" t="str">
            <v>Insecta.Diptera.Brachycera.#N/C.#N/C.#N/C.#N/C.#N/C.#N/C</v>
          </cell>
        </row>
        <row r="400">
          <cell r="AN400" t="str">
            <v>Insecta.Diptera.Brachycera.Muscomorpha.Muscoidea.Fanniidae.0.Fannia.#N/C</v>
          </cell>
        </row>
        <row r="401">
          <cell r="AN401" t="str">
            <v>Insecta.Diptera.Brachycera.#N/C.#N/C.#N/C.#N/C.#N/C.#N/C</v>
          </cell>
        </row>
        <row r="402">
          <cell r="AN402" t="str">
            <v>#N/C.#N/C.#N/C.#N/C.#N/C.#N/C.#N/C.#N/C.#N/C</v>
          </cell>
        </row>
        <row r="403">
          <cell r="AN403" t="str">
            <v>#N/C.#N/C.#N/C.#N/C.#N/C.#N/C.#N/C.#N/C.#N/C</v>
          </cell>
        </row>
        <row r="404">
          <cell r="AN404" t="str">
            <v>Insecta.Diptera.Brachycera.#N/C.#N/C.#N/C.#N/C.#N/C.#N/C</v>
          </cell>
        </row>
        <row r="405">
          <cell r="AN405" t="str">
            <v>Insecta.Diptera.Brachycera.#N/C.#N/C.#N/C.#N/C.#N/C.#N/C</v>
          </cell>
        </row>
        <row r="406">
          <cell r="AN406" t="str">
            <v>Insecta.Diptera.Brachycera.Muscomorpha.Muscoidea.Fanniidae.0.Fannia.#N/C</v>
          </cell>
        </row>
        <row r="407">
          <cell r="AN407" t="str">
            <v>#N/C.#N/C.#N/C.#N/C.#N/C.#N/C.#N/C.#N/C.#N/C</v>
          </cell>
        </row>
        <row r="408">
          <cell r="AN408" t="str">
            <v>Insecta.Diptera.Brachycera.#N/C.#N/C.#N/C.#N/C.#N/C.#N/C</v>
          </cell>
        </row>
        <row r="409">
          <cell r="AN409" t="str">
            <v>Insecta.Diptera.Brachycera.#N/C.#N/C.#N/C.#N/C.#N/C.#N/C</v>
          </cell>
        </row>
        <row r="410">
          <cell r="AN410" t="str">
            <v>Insecta.#N/C.#N/C.#N/C.#N/C.#N/C.#N/C.#N/C.#N/C</v>
          </cell>
        </row>
        <row r="411">
          <cell r="AN411" t="str">
            <v>#N/C.#N/C.#N/C.#N/C.#N/C.#N/C.#N/C.#N/C.#N/C</v>
          </cell>
        </row>
        <row r="412">
          <cell r="AN412" t="str">
            <v>Insecta.Diptera.Brachycera.#N/C.#N/C.#N/C.#N/C.#N/C.#N/C</v>
          </cell>
        </row>
        <row r="413">
          <cell r="AN413" t="str">
            <v>Insecta.Diptera.Brachycera.Muscomorpha.Muscoidea.#N/C.#N/C.#N/C.#N/C</v>
          </cell>
        </row>
        <row r="414">
          <cell r="AN414" t="str">
            <v>Insecta.Diptera.Brachycera.Muscomorpha.Muscoidea.#N/C.#N/C.#N/C.#N/C</v>
          </cell>
        </row>
        <row r="415">
          <cell r="AN415" t="str">
            <v>Insecta.Diptera.Brachycera.Muscomorpha.Muscoidea.#N/C.#N/C.#N/C.#N/C</v>
          </cell>
        </row>
        <row r="416">
          <cell r="AN416" t="str">
            <v>Insecta.Diptera.Brachycera.Muscomorpha.Muscoidea.#N/C.#N/C.#N/C.#N/C</v>
          </cell>
        </row>
        <row r="417">
          <cell r="AN417" t="str">
            <v>#N/C.#N/C.#N/C.#N/C.#N/C.#N/C.#N/C.#N/C.#N/C</v>
          </cell>
        </row>
        <row r="418">
          <cell r="AN418" t="str">
            <v>Insecta.Diptera.Brachycera.Muscomorpha.Muscoidea.Fanniidae.0.Fannia.#N/C</v>
          </cell>
        </row>
        <row r="419">
          <cell r="AN419" t="str">
            <v>Insecta.Diptera.Brachycera.Muscomorpha.Muscoidea.Fanniidae.0.Fannia.#N/C</v>
          </cell>
        </row>
        <row r="420">
          <cell r="AN420" t="str">
            <v>Insecta.#N/C.#N/C.#N/C.#N/C.#N/C.#N/C.#N/C.#N/C</v>
          </cell>
        </row>
        <row r="421">
          <cell r="AN421" t="str">
            <v>#N/C.#N/C.#N/C.#N/C.#N/C.#N/C.#N/C.#N/C.#N/C</v>
          </cell>
        </row>
        <row r="422">
          <cell r="AN422" t="str">
            <v>Insecta.Diptera.Brachycera.Muscomorpha.Muscoidea.Fanniidae.0.Fannia.#N/C</v>
          </cell>
        </row>
        <row r="423">
          <cell r="AN423" t="str">
            <v>Insecta.Diptera.Brachycera.#N/C.#N/C.#N/C.#N/C.#N/C.#N/C</v>
          </cell>
        </row>
        <row r="424">
          <cell r="AN424" t="str">
            <v>Insecta.Diptera.Brachycera.Muscomorpha.Muscoidea.Fanniidae.0.Fannia.#N/C</v>
          </cell>
        </row>
        <row r="425">
          <cell r="AN425" t="str">
            <v>Insecta.Diptera.Brachycera.Muscomorpha.Muscoidea.Fanniidae.0.Fannia.#N/C</v>
          </cell>
        </row>
        <row r="426">
          <cell r="AN426" t="str">
            <v>Insecta.Diptera.Brachycera.Muscomorpha.Muscoidea.Fanniidae.0.Fannia.#N/C</v>
          </cell>
        </row>
        <row r="427">
          <cell r="AN427" t="str">
            <v>Insecta.Diptera.Brachycera.Muscomorpha.Muscoidea.Fanniidae.0.Fannia.#N/C</v>
          </cell>
        </row>
        <row r="428">
          <cell r="AN428" t="str">
            <v>#N/C.#N/C.#N/C.#N/C.#N/C.#N/C.#N/C.#N/C.#N/C</v>
          </cell>
        </row>
        <row r="429">
          <cell r="AN429" t="str">
            <v>Insecta.Diptera.Brachycera.Muscomorpha.Muscoidea.Fanniidae.0.Fannia.#N/C</v>
          </cell>
        </row>
        <row r="430">
          <cell r="AN430" t="str">
            <v>Insecta.Diptera.Brachycera.Muscomorpha.Muscoidea.Fanniidae.0.Fannia.#N/C</v>
          </cell>
        </row>
        <row r="431">
          <cell r="AN431" t="str">
            <v>Insecta.Diptera.Brachycera.#N/C.#N/C.#N/C.#N/C.#N/C.#N/C</v>
          </cell>
        </row>
        <row r="432">
          <cell r="AN432" t="str">
            <v>Insecta.Diptera.Brachycera.Muscomorpha.Muscoidea.Fanniidae.0.Fannia.#N/C</v>
          </cell>
        </row>
        <row r="433">
          <cell r="AN433" t="str">
            <v>Insecta.Diptera.Brachycera.Muscomorpha.Muscoidea.Fanniidae.0.Fannia.#N/C</v>
          </cell>
        </row>
        <row r="434">
          <cell r="AN434" t="str">
            <v>Insecta.Diptera.Brachycera.Muscomorpha.Muscoidea.Fanniidae.0.Fannia.#N/C</v>
          </cell>
        </row>
        <row r="435">
          <cell r="AN435" t="str">
            <v>Insecta.Diptera.Brachycera.#N/C.#N/C.#N/C.#N/C.#N/C.#N/C</v>
          </cell>
        </row>
        <row r="436">
          <cell r="AN436" t="str">
            <v>#N/C.#N/C.#N/C.#N/C.#N/C.#N/C.#N/C.#N/C.#N/C</v>
          </cell>
        </row>
        <row r="437">
          <cell r="AN437" t="str">
            <v>Insecta.Diptera.Brachycera.#N/C.#N/C.#N/C.#N/C.#N/C.#N/C</v>
          </cell>
        </row>
        <row r="438">
          <cell r="AN438" t="str">
            <v>Insecta.Diptera.Brachycera.#N/C.#N/C.#N/C.#N/C.#N/C.#N/C</v>
          </cell>
        </row>
        <row r="439">
          <cell r="AN439" t="str">
            <v>Insecta.Diptera.#N/C.#N/C.#N/C.#N/C.#N/C.#N/C.#N/C</v>
          </cell>
        </row>
        <row r="440">
          <cell r="AN440" t="str">
            <v>#N/C.#N/C.#N/C.#N/C.#N/C.#N/C.#N/C.#N/C.#N/C</v>
          </cell>
        </row>
        <row r="441">
          <cell r="AN441" t="str">
            <v>Insecta.Diptera.Brachycera.Muscomorpha.Muscoidea.#N/C.#N/C.#N/C.#N/C</v>
          </cell>
        </row>
        <row r="442">
          <cell r="AN442" t="str">
            <v>Insecta.Diptera.Brachycera.#N/C.#N/C.#N/C.#N/C.#N/C.#N/C</v>
          </cell>
        </row>
        <row r="443">
          <cell r="AN443" t="str">
            <v>Insecta.Diptera.Brachycera.Muscomorpha.Muscoidea.Fanniidae.0.Fannia.#N/C</v>
          </cell>
        </row>
        <row r="444">
          <cell r="AN444" t="str">
            <v>Insecta.Diptera.Brachycera.Muscomorpha.Muscoidea.Fanniidae.0.Fannia.#N/C</v>
          </cell>
        </row>
        <row r="445">
          <cell r="AN445" t="str">
            <v>Insecta.Diptera.Brachycera.Muscomorpha.Muscoidea.Fanniidae.0.Fannia.#N/C</v>
          </cell>
        </row>
        <row r="446">
          <cell r="AN446" t="str">
            <v>Insecta.Diptera.Brachycera.Muscomorpha.Muscoidea.Fanniidae.0.Fannia.#N/C</v>
          </cell>
        </row>
        <row r="447">
          <cell r="AN447" t="str">
            <v>Insecta.Diptera.Brachycera.Muscomorpha.Muscoidea.#N/C.#N/C.#N/C.#N/C</v>
          </cell>
        </row>
        <row r="448">
          <cell r="AN448" t="str">
            <v>Insecta.Diptera.Brachycera.Muscomorpha.Muscoidea.Fanniidae.0.Fannia.#N/C</v>
          </cell>
        </row>
        <row r="449">
          <cell r="AN449" t="str">
            <v>Insecta.Diptera.Brachycera.#N/C.#N/C.#N/C.#N/C.#N/C.#N/C</v>
          </cell>
        </row>
        <row r="450">
          <cell r="AN450" t="str">
            <v>Insecta.Diptera.Brachycera.#N/C.#N/C.#N/C.#N/C.#N/C.#N/C</v>
          </cell>
        </row>
        <row r="451">
          <cell r="AN451" t="str">
            <v>Insecta.Diptera.Brachycera.Muscomorpha.Muscoidea.Fanniidae.0.Fannia.#N/C</v>
          </cell>
        </row>
        <row r="452">
          <cell r="AN452" t="str">
            <v>#N/C.#N/C.#N/C.#N/C.#N/C.#N/C.#N/C.#N/C.#N/C</v>
          </cell>
        </row>
        <row r="453">
          <cell r="AN453" t="str">
            <v>#N/C.#N/C.#N/C.#N/C.#N/C.#N/C.#N/C.#N/C.#N/C</v>
          </cell>
        </row>
        <row r="454">
          <cell r="AN454" t="str">
            <v>Insecta.Diptera.Brachycera.Muscomorpha.Muscoidea.Fanniidae.0.Fannia.#N/C</v>
          </cell>
        </row>
        <row r="455">
          <cell r="AN455" t="str">
            <v>#N/C.#N/C.#N/C.#N/C.#N/C.#N/C.#N/C.#N/C.#N/C</v>
          </cell>
        </row>
        <row r="456">
          <cell r="AN456" t="str">
            <v>Insecta.Diptera.Brachycera.#N/C.#N/C.#N/C.#N/C.#N/C.#N/C</v>
          </cell>
        </row>
        <row r="457">
          <cell r="AN457" t="str">
            <v>Insecta.Diptera.Brachycera.Muscomorpha.Muscoidea.Fanniidae.0.Fannia.#N/C</v>
          </cell>
        </row>
        <row r="458">
          <cell r="AN458" t="str">
            <v>Insecta.Diptera.Brachycera.#N/C.#N/C.#N/C.#N/C.#N/C.#N/C</v>
          </cell>
        </row>
        <row r="459">
          <cell r="AN459" t="str">
            <v>Insecta.Diptera.Brachycera.#N/C.#N/C.#N/C.#N/C.#N/C.#N/C</v>
          </cell>
        </row>
        <row r="460">
          <cell r="AN460" t="str">
            <v>Insecta.Diptera.Brachycera.Muscomorpha.Muscoidea.Fanniidae.0.Fannia.#N/C</v>
          </cell>
        </row>
        <row r="461">
          <cell r="AN461" t="str">
            <v>#N/C.#N/C.#N/C.#N/C.#N/C.#N/C.#N/C.#N/C.#N/C</v>
          </cell>
        </row>
        <row r="462">
          <cell r="AN462" t="str">
            <v>Insecta.Diptera.Brachycera.#N/C.#N/C.#N/C.#N/C.#N/C.#N/C</v>
          </cell>
        </row>
        <row r="463">
          <cell r="AN463" t="str">
            <v>Insecta.Diptera.Brachycera.#N/C.#N/C.#N/C.#N/C.#N/C.#N/C</v>
          </cell>
        </row>
        <row r="464">
          <cell r="AN464" t="str">
            <v>Insecta.Diptera.Brachycera.Muscomorpha.Muscoidea.Scathophagidae.Scathophaginae.Scathophaga.#N/C</v>
          </cell>
        </row>
        <row r="465">
          <cell r="AN465" t="str">
            <v>#N/C.#N/C.#N/C.#N/C.#N/C.#N/C.#N/C.#N/C.#N/C</v>
          </cell>
        </row>
        <row r="466">
          <cell r="AN466" t="str">
            <v>Insecta.Diptera.Brachycera.#N/C.#N/C.#N/C.#N/C.#N/C.#N/C</v>
          </cell>
        </row>
        <row r="467">
          <cell r="AN467" t="str">
            <v>Insecta.Diptera.Brachycera.Muscomorpha.Syrphoidea.Syrphidae.Syrphinae.Episyrphus.#N/C</v>
          </cell>
        </row>
        <row r="468">
          <cell r="AN468" t="str">
            <v>Insecta.Diptera.Brachycera.#N/C.#N/C.#N/C.#N/C.#N/C.#N/C</v>
          </cell>
        </row>
        <row r="469">
          <cell r="AN469" t="str">
            <v>Insecta.Diptera.Brachycera.#N/C.#N/C.#N/C.#N/C.#N/C.#N/C</v>
          </cell>
        </row>
        <row r="470">
          <cell r="AN470" t="str">
            <v>Insecta.Diptera.Brachycera.Muscomorpha.Muscoidea.Fanniidae.0.Fannia.#N/C</v>
          </cell>
        </row>
        <row r="471">
          <cell r="AN471" t="str">
            <v>#N/C.#N/C.#N/C.#N/C.#N/C.#N/C.#N/C.#N/C.#N/C</v>
          </cell>
        </row>
        <row r="472">
          <cell r="AN472" t="str">
            <v>#N/C.#N/C.#N/C.#N/C.#N/C.#N/C.#N/C.#N/C.#N/C</v>
          </cell>
        </row>
        <row r="473">
          <cell r="AN473" t="str">
            <v>#N/C.#N/C.#N/C.#N/C.#N/C.#N/C.#N/C.#N/C.#N/C</v>
          </cell>
        </row>
        <row r="474">
          <cell r="AN474" t="str">
            <v>Insecta.Diptera.Brachycera.Muscomorpha.Muscoidea.Fanniidae.0.Fannia.#N/C</v>
          </cell>
        </row>
        <row r="475">
          <cell r="AN475" t="str">
            <v>Insecta.Coleoptera.Polyphaga.Cucujiformia.Coccinelloidea.Coccinellidae.Coccinellinae.Harmonia.#N/C</v>
          </cell>
        </row>
        <row r="476">
          <cell r="AN476" t="str">
            <v>#N/C.#N/C.#N/C.#N/C.#N/C.#N/C.#N/C.#N/C.#N/C</v>
          </cell>
        </row>
        <row r="477">
          <cell r="AN477" t="str">
            <v>Insecta.Coleoptera.Polyphaga.Cucujiformia.Coccinelloidea.Coccinellidae.Coccinellinae.Harmonia.#N/C</v>
          </cell>
        </row>
        <row r="478">
          <cell r="AN478" t="str">
            <v>Insecta.Diptera.Brachycera.#N/C.#N/C.#N/C.#N/C.#N/C.#N/C</v>
          </cell>
        </row>
        <row r="479">
          <cell r="AN479" t="str">
            <v>Insecta.Diptera.Brachycera.#N/C.#N/C.#N/C.#N/C.#N/C.#N/C</v>
          </cell>
        </row>
        <row r="480">
          <cell r="AN480" t="str">
            <v>#N/C.#N/C.#N/C.#N/C.#N/C.#N/C.#N/C.#N/C.#N/C</v>
          </cell>
        </row>
        <row r="481">
          <cell r="AN481" t="str">
            <v>#N/C.#N/C.#N/C.#N/C.#N/C.#N/C.#N/C.#N/C.#N/C</v>
          </cell>
        </row>
        <row r="482">
          <cell r="AN482" t="str">
            <v>#N/C.#N/C.#N/C.#N/C.#N/C.#N/C.#N/C.#N/C.#N/C</v>
          </cell>
        </row>
        <row r="483">
          <cell r="AN483" t="str">
            <v>Insecta.Diptera.Brachycera.#N/C.#N/C.#N/C.#N/C.#N/C.#N/C</v>
          </cell>
        </row>
        <row r="484">
          <cell r="AN484" t="str">
            <v>Insecta.Diptera.Brachycera.#N/C.#N/C.#N/C.#N/C.#N/C.#N/C</v>
          </cell>
        </row>
        <row r="485">
          <cell r="AN485" t="str">
            <v>Insecta.Diptera.Brachycera.#N/C.#N/C.#N/C.#N/C.#N/C.#N/C</v>
          </cell>
        </row>
        <row r="486">
          <cell r="AN486" t="str">
            <v>Insecta.Diptera.Brachycera.Muscomorpha.Muscoidea.#N/C.#N/C.#N/C.#N/C</v>
          </cell>
        </row>
        <row r="487">
          <cell r="AN487" t="str">
            <v>Insecta.Diptera.Brachycera.Muscomorpha.Muscoidea.Fanniidae.0.Fannia.#N/C</v>
          </cell>
        </row>
        <row r="488">
          <cell r="AN488" t="str">
            <v>Insecta.Diptera.Brachycera.#N/C.#N/C.#N/C.#N/C.#N/C.#N/C</v>
          </cell>
        </row>
        <row r="489">
          <cell r="AN489" t="str">
            <v>Insecta.Diptera.Brachycera.#N/C.#N/C.#N/C.#N/C.#N/C.#N/C</v>
          </cell>
        </row>
        <row r="490">
          <cell r="AN490" t="str">
            <v>Insecta.Diptera.Brachycera.Muscomorpha.Muscoidea.Fanniidae.0.Fannia.#N/C</v>
          </cell>
        </row>
        <row r="491">
          <cell r="AN491" t="str">
            <v>Insecta.Diptera.Brachycera.#N/C.#N/C.#N/C.#N/C.#N/C.#N/C</v>
          </cell>
        </row>
        <row r="492">
          <cell r="AN492" t="str">
            <v>Insecta.Diptera.Brachycera.Muscomorpha.Syrphoidea.Syrphidae.Syrphinae.Episyrphus.#N/C</v>
          </cell>
        </row>
        <row r="493">
          <cell r="AN493" t="str">
            <v>Insecta.Diptera.Brachycera.Muscomorpha.Ephydroidea.Drosophilidae.Drosophilinae.Drosophila.#N/C</v>
          </cell>
        </row>
        <row r="494">
          <cell r="AN494" t="str">
            <v>Insecta.Diptera.Brachycera.Muscomorpha.Muscoidea.Fanniidae.0.Fannia.#N/C</v>
          </cell>
        </row>
        <row r="495">
          <cell r="AN495" t="str">
            <v>Insecta.Diptera.Brachycera.#N/C.#N/C.#N/C.#N/C.#N/C.#N/C</v>
          </cell>
        </row>
        <row r="496">
          <cell r="AN496" t="str">
            <v>Insecta.Diptera.Brachycera.#N/C.#N/C.#N/C.#N/C.#N/C.#N/C</v>
          </cell>
        </row>
        <row r="497">
          <cell r="AN497" t="str">
            <v>Insecta.Diptera.Brachycera.#N/C.#N/C.#N/C.#N/C.#N/C.#N/C</v>
          </cell>
        </row>
        <row r="498">
          <cell r="AN498" t="str">
            <v>Insecta.Diptera.Brachycera.Muscomorpha.Muscoidea.Fanniidae.0.Fannia.#N/C</v>
          </cell>
        </row>
        <row r="499">
          <cell r="AN499" t="str">
            <v>Insecta.Diptera.Brachycera.#N/C.#N/C.#N/C.#N/C.#N/C.#N/C</v>
          </cell>
        </row>
        <row r="500">
          <cell r="AN500" t="str">
            <v>Insecta.Diptera.Brachycera.#N/C.#N/C.#N/C.#N/C.#N/C.#N/C</v>
          </cell>
        </row>
        <row r="501">
          <cell r="AN501" t="str">
            <v>Insecta.Diptera.Brachycera.#N/C.#N/C.#N/C.#N/C.#N/C.#N/C</v>
          </cell>
        </row>
        <row r="502">
          <cell r="AN502" t="str">
            <v>Insecta.Diptera.Brachycera.#N/C.#N/C.#N/C.#N/C.#N/C.#N/C</v>
          </cell>
        </row>
        <row r="503">
          <cell r="AN503" t="str">
            <v>Insecta.Diptera.Brachycera.Muscomorpha.Muscoidea.#N/C.#N/C.#N/C.#N/C</v>
          </cell>
        </row>
        <row r="504">
          <cell r="AN504" t="str">
            <v>Insecta.Diptera.Brachycera.#N/C.#N/C.#N/C.#N/C.#N/C.#N/C</v>
          </cell>
        </row>
        <row r="505">
          <cell r="AN505" t="str">
            <v>Insecta.Diptera.Brachycera.#N/C.#N/C.#N/C.#N/C.#N/C.#N/C</v>
          </cell>
        </row>
        <row r="506">
          <cell r="AN506" t="str">
            <v>Insecta.Diptera.Brachycera.#N/C.#N/C.#N/C.#N/C.#N/C.#N/C</v>
          </cell>
        </row>
        <row r="507">
          <cell r="AN507" t="str">
            <v>Insecta.Diptera.Brachycera.#N/C.#N/C.#N/C.#N/C.#N/C.#N/C</v>
          </cell>
        </row>
        <row r="508">
          <cell r="AN508" t="str">
            <v>Insecta.Diptera.Brachycera.#N/C.#N/C.#N/C.#N/C.#N/C.#N/C</v>
          </cell>
        </row>
        <row r="509">
          <cell r="AN509" t="str">
            <v>Insecta.Diptera.Brachycera.#N/C.#N/C.#N/C.#N/C.#N/C.#N/C</v>
          </cell>
        </row>
        <row r="510">
          <cell r="AN510" t="str">
            <v>Insecta.Diptera.Brachycera.#N/C.#N/C.#N/C.#N/C.#N/C.#N/C</v>
          </cell>
        </row>
        <row r="511">
          <cell r="AN511" t="str">
            <v>Insecta.Diptera.Brachycera.#N/C.#N/C.#N/C.#N/C.#N/C.#N/C</v>
          </cell>
        </row>
        <row r="512">
          <cell r="AN512" t="str">
            <v>Insecta.Diptera.Brachycera.#N/C.#N/C.#N/C.#N/C.#N/C.#N/C</v>
          </cell>
        </row>
        <row r="513">
          <cell r="AN513" t="str">
            <v>Insecta.Diptera.Brachycera.#N/C.#N/C.#N/C.#N/C.#N/C.#N/C</v>
          </cell>
        </row>
        <row r="514">
          <cell r="AN514" t="str">
            <v>Insecta.Diptera.Brachycera.#N/C.#N/C.#N/C.#N/C.#N/C.#N/C</v>
          </cell>
        </row>
        <row r="515">
          <cell r="AN515" t="str">
            <v>Insecta.Diptera.Brachycera.#N/C.#N/C.#N/C.#N/C.#N/C.#N/C</v>
          </cell>
        </row>
        <row r="516">
          <cell r="AN516" t="str">
            <v>Insecta.Diptera.Brachycera.#N/C.#N/C.#N/C.#N/C.#N/C.#N/C</v>
          </cell>
        </row>
        <row r="517">
          <cell r="AN517" t="str">
            <v>Insecta.Diptera.Brachycera.#N/C.#N/C.#N/C.#N/C.#N/C.#N/C</v>
          </cell>
        </row>
        <row r="518">
          <cell r="AN518" t="str">
            <v>Insecta.Diptera.Brachycera.#N/C.#N/C.#N/C.#N/C.#N/C.#N/C</v>
          </cell>
        </row>
        <row r="519">
          <cell r="AN519" t="str">
            <v>Insecta.Coleoptera.Polyphaga.Cucujiformia.Coccinelloidea.Coccinellidae.Coccinellinae.Harmonia.#N/C</v>
          </cell>
        </row>
        <row r="520">
          <cell r="AN520" t="str">
            <v>Insecta.Diptera.Brachycera.Muscomorpha.Muscoidea.#N/C.#N/C.#N/C.#N/C</v>
          </cell>
        </row>
        <row r="521">
          <cell r="AN521" t="str">
            <v>Insecta.Diptera.Brachycera.#N/C.#N/C.#N/C.#N/C.#N/C.#N/C</v>
          </cell>
        </row>
        <row r="522">
          <cell r="AN522" t="str">
            <v>Insecta.Diptera.Brachycera.Muscomorpha.Muscoidea.Fanniidae.0.Fannia.#N/C</v>
          </cell>
        </row>
        <row r="523">
          <cell r="AN523" t="str">
            <v>Insecta.Diptera.Brachycera.Muscomorpha.Muscoidea.Fanniidae.0.Fannia.#N/C</v>
          </cell>
        </row>
        <row r="524">
          <cell r="AN524" t="str">
            <v>Insecta.Diptera.Brachycera.#N/C.#N/C.#N/C.#N/C.#N/C.#N/C</v>
          </cell>
        </row>
        <row r="525">
          <cell r="AN525" t="str">
            <v>Insecta.Diptera.Brachycera.Muscomorpha.Muscoidea.Fanniidae.0.Fannia.#N/C</v>
          </cell>
        </row>
        <row r="526">
          <cell r="AN526" t="str">
            <v>Insecta.Diptera.Brachycera.#N/C.#N/C.#N/C.#N/C.#N/C.#N/C</v>
          </cell>
        </row>
        <row r="527">
          <cell r="AN527" t="str">
            <v>Insecta.Diptera.Brachycera.#N/C.#N/C.#N/C.#N/C.#N/C.#N/C</v>
          </cell>
        </row>
        <row r="528">
          <cell r="AN528" t="str">
            <v>Insecta.Coleoptera.Polyphaga.Cucujiformia.Coccinelloidea.Coccinellidae.Coccinellinae.Harmonia.#N/C</v>
          </cell>
        </row>
        <row r="529">
          <cell r="AN529" t="str">
            <v>Insecta.Diptera.Brachycera.#N/C.#N/C.#N/C.#N/C.#N/C.#N/C</v>
          </cell>
        </row>
        <row r="530">
          <cell r="AN530" t="str">
            <v>Insecta.Diptera.Brachycera.#N/C.#N/C.#N/C.#N/C.#N/C.#N/C</v>
          </cell>
        </row>
        <row r="531">
          <cell r="AN531" t="str">
            <v>Insecta.Diptera.Brachycera.Muscomorpha.Muscoidea.#N/C.#N/C.#N/C.#N/C</v>
          </cell>
        </row>
        <row r="532">
          <cell r="AN532" t="str">
            <v>Insecta.Diptera.Brachycera.Muscomorpha.Muscoidea.#N/C.#N/C.#N/C.#N/C</v>
          </cell>
        </row>
        <row r="533">
          <cell r="AN533" t="str">
            <v>Insecta.Diptera.Brachycera.Muscomorpha.Oestroidea.#N/C.#N/C.#N/C.#N/C</v>
          </cell>
        </row>
        <row r="534">
          <cell r="AN534" t="str">
            <v>Insecta.Diptera.Brachycera.Muscomorpha.Muscoidea.#N/C.#N/C.#N/C.#N/C</v>
          </cell>
        </row>
        <row r="535">
          <cell r="AN535" t="str">
            <v>Insecta.Diptera.Brachycera.Muscomorpha.Muscoidea.Fanniidae.0.Fannia.#N/C</v>
          </cell>
        </row>
        <row r="536">
          <cell r="AN536" t="str">
            <v>Insecta.Diptera.Brachycera.Muscomorpha.Muscoidea.#N/C.#N/C.#N/C.#N/C</v>
          </cell>
        </row>
        <row r="537">
          <cell r="AN537" t="str">
            <v>Insecta.Diptera.Brachycera.Muscomorpha.Oestroidea.Sarcophagidae.Sarcophaginae.Sarcophaga.#N/C</v>
          </cell>
        </row>
        <row r="538">
          <cell r="AN538" t="str">
            <v>Insecta.Diptera.Brachycera.Muscomorpha.Muscoidea.#N/C.#N/C.#N/C.#N/C</v>
          </cell>
        </row>
        <row r="539">
          <cell r="AN539" t="str">
            <v>Insecta.Diptera.Brachycera.Muscomorpha.Muscoidea.Fanniidae.0.Fannia.#N/C</v>
          </cell>
        </row>
        <row r="540">
          <cell r="AN540" t="str">
            <v>Insecta.Diptera.Brachycera.Muscomorpha.Muscoidea.#N/C.#N/C.#N/C.#N/C</v>
          </cell>
        </row>
        <row r="541">
          <cell r="AN541" t="str">
            <v>Insecta.Diptera.Brachycera.Muscomorpha.Muscoidea.#N/C.#N/C.#N/C.#N/C</v>
          </cell>
        </row>
        <row r="542">
          <cell r="AN542" t="str">
            <v>Insecta.Diptera.Brachycera.Muscomorpha.Muscoidea.Fanniidae.0.Fannia.#N/C</v>
          </cell>
        </row>
        <row r="543">
          <cell r="AN543" t="str">
            <v>Insecta.Diptera.Brachycera.Muscomorpha.Muscoidea.#N/C.#N/C.#N/C.#N/C</v>
          </cell>
        </row>
        <row r="544">
          <cell r="AN544" t="str">
            <v>Insecta.Hymenoptera.Apocrita.Parasitica.Ichneumonoidea.Ichneumonidae.#N/C.#N/C.#N/C</v>
          </cell>
        </row>
        <row r="545">
          <cell r="AN545" t="str">
            <v>Insecta.Coleoptera.Polyphaga.Cucujiformia.Coccinelloidea.Coccinellidae.Coccinellinae.Harmonia.#N/C</v>
          </cell>
        </row>
        <row r="546">
          <cell r="AN546" t="str">
            <v>Insecta.Coleoptera.Polyphaga.Cucujiformia.Coccinelloidea.Coccinellidae.Coccinellinae.Harmonia.#N/C</v>
          </cell>
        </row>
        <row r="547">
          <cell r="AN547" t="str">
            <v>Insecta.Diptera.Brachycera.Muscomorpha.Muscoidea.#N/C.#N/C.#N/C.#N/C</v>
          </cell>
        </row>
        <row r="548">
          <cell r="AN548" t="str">
            <v>Insecta.Diptera.Brachycera.Muscomorpha.Muscoidea.Fanniidae.0.Fannia.#N/C</v>
          </cell>
        </row>
        <row r="549">
          <cell r="AN549" t="str">
            <v>Insecta.Diptera.Brachycera.Muscomorpha.Muscoidea.#N/C.#N/C.#N/C.#N/C</v>
          </cell>
        </row>
        <row r="550">
          <cell r="AN550" t="str">
            <v>Insecta.Coleoptera.Polyphaga.Cucujiformia.Coccinelloidea.Coccinellidae.Coccinellinae.Harmonia.#N/C</v>
          </cell>
        </row>
        <row r="551">
          <cell r="AN551" t="str">
            <v>Insecta.Diptera.Brachycera.Muscomorpha.Muscoidea.#N/C.#N/C.#N/C.#N/C</v>
          </cell>
        </row>
        <row r="552">
          <cell r="AN552" t="str">
            <v>Insecta.Diptera.Brachycera.Asilomorpha.Asiloidea.Asilidae.Asilinae.Tolmerus.#N/C</v>
          </cell>
        </row>
        <row r="553">
          <cell r="AN553" t="str">
            <v>Insecta.Coleoptera.Polyphaga.Cucujiformia.Coccinelloidea.Coccinellidae.Coccinellinae.Harmonia.#N/C</v>
          </cell>
        </row>
        <row r="554">
          <cell r="AN554" t="str">
            <v>Insecta.Diptera.Brachycera.#N/C.#N/C.#N/C.#N/C.#N/C.#N/C</v>
          </cell>
        </row>
        <row r="555">
          <cell r="AN555" t="str">
            <v>Insecta.Diptera.Brachycera.Muscomorpha.Muscoidea.#N/C.#N/C.#N/C.#N/C</v>
          </cell>
        </row>
        <row r="556">
          <cell r="AN556" t="str">
            <v>Insecta.Diptera.Brachycera.Muscomorpha.Muscoidea.#N/C.#N/C.#N/C.#N/C</v>
          </cell>
        </row>
        <row r="557">
          <cell r="AN557" t="str">
            <v>Insecta.Coleoptera.Polyphaga.Cucujiformia.Coccinelloidea.Coccinellidae.Coccinellinae.Harmonia.#N/C</v>
          </cell>
        </row>
        <row r="558">
          <cell r="AN558" t="str">
            <v>Insecta.Diptera.Brachycera.#N/C.#N/C.#N/C.#N/C.#N/C.#N/C</v>
          </cell>
        </row>
        <row r="559">
          <cell r="AN559" t="str">
            <v>Insecta.Diptera.Nematocera.Bibionomorpha.Bibionoidea.Bibionoidea.Bibioninae.Dilophus.#N/C</v>
          </cell>
        </row>
        <row r="560">
          <cell r="AN560" t="str">
            <v>Insecta.Diptera.Brachycera.Muscomorpha.Muscoidea.#N/C.#N/C.#N/C.#N/C</v>
          </cell>
        </row>
        <row r="561">
          <cell r="AN561" t="str">
            <v>Insecta.Diptera.Brachycera.#N/C.#N/C.#N/C.#N/C.#N/C.#N/C</v>
          </cell>
        </row>
        <row r="562">
          <cell r="AN562" t="str">
            <v>Insecta.Diptera.Brachycera.Muscomorpha.Muscoidea.#N/C.#N/C.#N/C.#N/C</v>
          </cell>
        </row>
        <row r="563">
          <cell r="AN563" t="str">
            <v>Insecta.Diptera.Brachycera.Muscomorpha.Muscoidea.Fanniidae.0.Fannia.#N/C</v>
          </cell>
        </row>
        <row r="564">
          <cell r="AN564" t="str">
            <v>Insecta.Diptera.Brachycera.#N/C.#N/C.#N/C.#N/C.#N/C.#N/C</v>
          </cell>
        </row>
        <row r="565">
          <cell r="AN565" t="str">
            <v>Insecta.Diptera.Brachycera.Muscomorpha.Oestroidea.#N/C.#N/C.#N/C.#N/C</v>
          </cell>
        </row>
        <row r="566">
          <cell r="AN566" t="str">
            <v>Insecta.Diptera.Brachycera.Muscomorpha.Oestroidea.Sarcophagidae.#N/C.#N/C.#N/C</v>
          </cell>
        </row>
        <row r="567">
          <cell r="AN567" t="str">
            <v>Insecta.Hemiptera.Auchenorrhyncha.Cicadomorpha.Membracoidea.Cicadellidae.Deltocephalinae.Orientus.#N/C</v>
          </cell>
        </row>
        <row r="568">
          <cell r="AN568" t="str">
            <v>Insecta.Diptera.Brachycera.Muscomorpha.Muscoidea.Fanniidae.0.Fannia.#N/C</v>
          </cell>
        </row>
        <row r="569">
          <cell r="AN569" t="str">
            <v>Insecta.Diptera.Brachycera.Muscomorpha.Muscoidea.#N/C.#N/C.#N/C.#N/C</v>
          </cell>
        </row>
        <row r="570">
          <cell r="AN570" t="str">
            <v>Insecta.Diptera.Brachycera.Muscomorpha.Muscoidea.Fanniidae.0.Fannia.#N/C</v>
          </cell>
        </row>
        <row r="571">
          <cell r="AN571" t="str">
            <v>Insecta.Diptera.Brachycera.#N/C.#N/C.#N/C.#N/C.#N/C.#N/C</v>
          </cell>
        </row>
        <row r="572">
          <cell r="AN572" t="str">
            <v>Insecta.Diptera.Brachycera.#N/C.#N/C.#N/C.#N/C.#N/C.#N/C</v>
          </cell>
        </row>
        <row r="573">
          <cell r="AN573" t="str">
            <v>Insecta.Diptera.Brachycera.Muscomorpha.Syrphoidea.Syrphidae.Syrphinae.Episyrphus.#N/C</v>
          </cell>
        </row>
        <row r="574">
          <cell r="AN574" t="str">
            <v>Insecta.Diptera.Brachycera.Muscomorpha.Muscoidea.#N/C.#N/C.#N/C.#N/C</v>
          </cell>
        </row>
        <row r="575">
          <cell r="AN575" t="str">
            <v>Insecta.Diptera.Brachycera.#N/C.#N/C.#N/C.#N/C.#N/C.#N/C</v>
          </cell>
        </row>
        <row r="576">
          <cell r="AN576" t="str">
            <v>Insecta.Diptera.Brachycera.Muscomorpha.Oestroidea.Tachinidae.#N/C.#N/C.#N/C</v>
          </cell>
        </row>
        <row r="577">
          <cell r="AN577" t="str">
            <v>Insecta.Diptera.Brachycera.Muscomorpha.Oestroidea.Sarcophagidae.Sarcophaginae.Sarcophaga.#N/C</v>
          </cell>
        </row>
        <row r="578">
          <cell r="AN578" t="str">
            <v>Insecta.Diptera.Brachycera.Muscomorpha.Phoroidea.Lonchopteridae.0.Lonchoptera.#N/C</v>
          </cell>
        </row>
        <row r="579">
          <cell r="AN579" t="str">
            <v>Insecta.Diptera.#N/C.#N/C.#N/C.#N/C.#N/C.#N/C.#N/C</v>
          </cell>
        </row>
        <row r="580">
          <cell r="AN580" t="str">
            <v>Insecta.Coleoptera.Polyphaga.Cucujiformia.Coccinelloidea.Coccinellidae.Coccinellinae.Harmonia.#N/C</v>
          </cell>
        </row>
        <row r="581">
          <cell r="AN581" t="str">
            <v>Insecta.Diptera.Brachycera.Muscomorpha.Muscoidea.#N/C.#N/C.#N/C.#N/C</v>
          </cell>
        </row>
        <row r="582">
          <cell r="AN582" t="str">
            <v>Insecta.Diptera.Brachycera.Muscomorpha.Muscoidea.Fanniidae.0.Fannia.#N/C</v>
          </cell>
        </row>
        <row r="583">
          <cell r="AN583" t="str">
            <v>Insecta.Diptera.Brachycera.Muscomorpha.Muscoidea.Anthomyiidae.Anthomyiinae.Anthomyia.#N/C</v>
          </cell>
        </row>
        <row r="584">
          <cell r="AN584" t="str">
            <v>Insecta.Coleoptera.Polyphaga.Cucujiformia.Coccinelloidea.Coccinellidae.Coccinellinae.Harmonia.#N/C</v>
          </cell>
        </row>
        <row r="585">
          <cell r="AN585" t="str">
            <v>Insecta.Diptera.Brachycera.#N/C.#N/C.#N/C.#N/C.#N/C.#N/C</v>
          </cell>
        </row>
        <row r="586">
          <cell r="AN586" t="str">
            <v>Insecta.Diptera.Brachycera.Muscomorpha.Muscoidea.#N/C.#N/C.#N/C.#N/C</v>
          </cell>
        </row>
        <row r="587">
          <cell r="AN587" t="str">
            <v>Insecta.Diptera.Brachycera.#N/C.#N/C.#N/C.#N/C.#N/C.#N/C</v>
          </cell>
        </row>
        <row r="588">
          <cell r="AN588" t="str">
            <v>Insecta.Diptera.Brachycera.Muscomorpha.Oestroidea.Sarcophagidae.#N/C.#N/C.#N/C</v>
          </cell>
        </row>
        <row r="589">
          <cell r="AN589" t="str">
            <v>Insecta.Diptera.Brachycera.Muscomorpha.Muscoidea.#N/C.#N/C.#N/C.#N/C</v>
          </cell>
        </row>
        <row r="590">
          <cell r="AN590" t="str">
            <v>Insecta.Diptera.Brachycera.Muscomorpha.Oestroidea.#N/C.#N/C.#N/C.#N/C</v>
          </cell>
        </row>
        <row r="591">
          <cell r="AN591" t="str">
            <v>Insecta.Diptera.Brachycera.Muscomorpha.Muscoidea.#N/C.#N/C.#N/C.#N/C</v>
          </cell>
        </row>
        <row r="592">
          <cell r="AN592" t="str">
            <v>Insecta.Diptera.Brachycera.Muscomorpha.Oestroidea.#N/C.#N/C.#N/C.#N/C</v>
          </cell>
        </row>
        <row r="593">
          <cell r="AN593" t="str">
            <v>Insecta.Hymenoptera.Apocrita.Aculeata.Vespoidea.Vespidae.Vespinae.#N/C.#N/C</v>
          </cell>
        </row>
        <row r="594">
          <cell r="AN594" t="str">
            <v>Insecta.Hymenoptera.Apocrita.Aculeata.Vespoidea.Vespidae.Vespinae.Vespula.#N/C</v>
          </cell>
        </row>
        <row r="595">
          <cell r="AN595" t="str">
            <v>Insecta.Hymenoptera.Apocrita.Aculeata.Vespoidea.Vespidae.Vespinae.Vespula.#N/C</v>
          </cell>
        </row>
        <row r="596">
          <cell r="AN596" t="str">
            <v>Insecta.Diptera.Brachycera.Muscomorpha.Oestroidea.Sarcophagidae.Sarcophaginae.#N/C.#N/C</v>
          </cell>
        </row>
        <row r="597">
          <cell r="AN597" t="str">
            <v>Insecta.Diptera.Brachycera.#N/C.#N/C.#N/C.#N/C.#N/C.#N/C</v>
          </cell>
        </row>
        <row r="598">
          <cell r="AN598" t="str">
            <v>Insecta.Diptera.Brachycera.#N/C.#N/C.#N/C.#N/C.#N/C.#N/C</v>
          </cell>
        </row>
        <row r="599">
          <cell r="AN599" t="str">
            <v>Insecta.Diptera.Brachycera.#N/C.#N/C.#N/C.#N/C.#N/C.#N/C</v>
          </cell>
        </row>
        <row r="600">
          <cell r="AN600" t="str">
            <v>Insecta.Diptera.Brachycera.Muscomorpha.Muscoidea.#N/C.#N/C.#N/C.#N/C</v>
          </cell>
        </row>
        <row r="601">
          <cell r="AN601" t="str">
            <v>Insecta.Diptera.Brachycera.Muscomorpha.Muscoidea.#N/C.#N/C.#N/C.#N/C</v>
          </cell>
        </row>
        <row r="602">
          <cell r="AN602" t="str">
            <v>Insecta.Diptera.Brachycera.#N/C.#N/C.#N/C.#N/C.#N/C.#N/C</v>
          </cell>
        </row>
        <row r="603">
          <cell r="AN603" t="str">
            <v>Insecta.Diptera.Brachycera.#N/C.#N/C.#N/C.#N/C.#N/C.#N/C</v>
          </cell>
        </row>
        <row r="604">
          <cell r="AN604" t="str">
            <v>Insecta.Diptera.Brachycera.#N/C.#N/C.#N/C.#N/C.#N/C.#N/C</v>
          </cell>
        </row>
        <row r="605">
          <cell r="AN605" t="str">
            <v>Insecta.Diptera.Brachycera.Muscomorpha.Muscoidea.#N/C.#N/C.#N/C.#N/C</v>
          </cell>
        </row>
        <row r="606">
          <cell r="AN606" t="str">
            <v>Insecta.Diptera.Brachycera.#N/C.#N/C.#N/C.#N/C.#N/C.#N/C</v>
          </cell>
        </row>
        <row r="607">
          <cell r="AN607" t="str">
            <v>Insecta.Diptera.Brachycera.#N/C.#N/C.#N/C.#N/C.#N/C.#N/C</v>
          </cell>
        </row>
        <row r="608">
          <cell r="AN608" t="str">
            <v>Insecta.Diptera.Brachycera.Muscomorpha.Muscoidea.Fanniidae.0.Fannia.#N/C</v>
          </cell>
        </row>
        <row r="609">
          <cell r="AN609" t="str">
            <v>Insecta.Diptera.Brachycera.#N/C.#N/C.#N/C.#N/C.#N/C.#N/C</v>
          </cell>
        </row>
        <row r="610">
          <cell r="AN610" t="str">
            <v>Insecta.Diptera.Brachycera.#N/C.#N/C.#N/C.#N/C.#N/C.#N/C</v>
          </cell>
        </row>
        <row r="611">
          <cell r="AN611" t="str">
            <v>Insecta.Diptera.Brachycera.Muscomorpha.Muscoidea.#N/C.#N/C.#N/C.#N/C</v>
          </cell>
        </row>
        <row r="612">
          <cell r="AN612" t="str">
            <v>Insecta.Diptera.Brachycera.#N/C.#N/C.#N/C.#N/C.#N/C.#N/C</v>
          </cell>
        </row>
        <row r="613">
          <cell r="AN613" t="str">
            <v>Insecta.Hymenoptera.Apocrita.Aculeata.Vespoidea.Vespidae.Vespinae.Vespula.#N/C</v>
          </cell>
        </row>
        <row r="614">
          <cell r="AN614" t="str">
            <v>Insecta.Diptera.Brachycera.Muscomorpha.Muscoidea.#N/C.#N/C.#N/C.#N/C</v>
          </cell>
        </row>
        <row r="615">
          <cell r="AN615" t="str">
            <v>Insecta.Diptera.Brachycera.Muscomorpha.Muscoidea.#N/C.#N/C.#N/C.#N/C</v>
          </cell>
        </row>
        <row r="616">
          <cell r="AN616" t="str">
            <v>Insecta.Diptera.Brachycera.Muscomorpha.Muscoidea.Fanniidae.0.Fannia.#N/C</v>
          </cell>
        </row>
        <row r="617">
          <cell r="AN617" t="str">
            <v>Insecta.Diptera.Brachycera.#N/C.#N/C.#N/C.#N/C.#N/C.#N/C</v>
          </cell>
        </row>
        <row r="618">
          <cell r="AN618" t="str">
            <v>Insecta.Diptera.Brachycera.Muscomorpha.Muscoidea.#N/C.#N/C.#N/C.#N/C</v>
          </cell>
        </row>
        <row r="619">
          <cell r="AN619" t="str">
            <v>Insecta.Diptera.Brachycera.#N/C.#N/C.#N/C.#N/C.#N/C.#N/C</v>
          </cell>
        </row>
        <row r="620">
          <cell r="AN620" t="str">
            <v>Insecta.Diptera.Brachycera.Muscomorpha.Muscoidea.#N/C.#N/C.#N/C.#N/C</v>
          </cell>
        </row>
        <row r="621">
          <cell r="AN621" t="str">
            <v>Insecta.Diptera.Brachycera.Muscomorpha.Oestroidea.Tachinidae.Tachininae.Tachina.#N/C</v>
          </cell>
        </row>
        <row r="622">
          <cell r="AN622" t="str">
            <v>Insecta.Diptera.Brachycera.Muscomorpha.Muscoidea.#N/C.#N/C.#N/C.#N/C</v>
          </cell>
        </row>
        <row r="623">
          <cell r="AN623" t="str">
            <v>Insecta.Diptera.Brachycera.Muscomorpha.Ephydroidea.Drosophilidae.Drosophilinae.Drosophila.#N/C</v>
          </cell>
        </row>
        <row r="624">
          <cell r="AN624" t="str">
            <v>Insecta.Hymenoptera.Apocrita.Aculeata.Vespoidea.Vespidae.Vespinae.Vespula.#N/C</v>
          </cell>
        </row>
        <row r="625">
          <cell r="AN625" t="str">
            <v>Insecta.Diptera.Brachycera.#N/C.#N/C.#N/C.#N/C.#N/C.#N/C</v>
          </cell>
        </row>
        <row r="626">
          <cell r="AN626" t="str">
            <v>Insecta.Diptera.Brachycera.Muscomorpha.Oestroidea.Tachinidae.Tachininae.Tachina.#N/C</v>
          </cell>
        </row>
        <row r="627">
          <cell r="AN627" t="str">
            <v>Insecta.Diptera.Brachycera.Muscomorpha.Muscoidea.Fanniidae.0.Fannia.#N/C</v>
          </cell>
        </row>
        <row r="628">
          <cell r="AN628" t="str">
            <v>Insecta.Diptera.Brachycera.Muscomorpha.Muscoidea.Fanniidae.0.Fannia.#N/C</v>
          </cell>
        </row>
        <row r="629">
          <cell r="AN629" t="str">
            <v>Insecta.Diptera.Brachycera.Muscomorpha.Muscoidea.Fanniidae.0.Fannia.#N/C</v>
          </cell>
        </row>
        <row r="630">
          <cell r="AN630" t="str">
            <v>Insecta.Diptera.Brachycera.Muscomorpha.Muscoidea.#N/C.#N/C.#N/C.#N/C</v>
          </cell>
        </row>
        <row r="631">
          <cell r="AN631" t="str">
            <v>Insecta.Diptera.Brachycera.#N/C.#N/C.#N/C.#N/C.#N/C.#N/C</v>
          </cell>
        </row>
        <row r="632">
          <cell r="AN632" t="str">
            <v>Insecta.Hymenoptera.Apocrita.Aculeata.Vespoidea.Vespidae.Vespinae.Vespula.#N/C</v>
          </cell>
        </row>
        <row r="633">
          <cell r="AN633" t="str">
            <v>Insecta.Diptera.Brachycera.Muscomorpha.Muscoidea.#N/C.#N/C.#N/C.#N/C</v>
          </cell>
        </row>
        <row r="634">
          <cell r="AN634" t="str">
            <v>Insecta.Diptera.Brachycera.Muscomorpha.Muscoidea.Fanniidae.0.Fannia.#N/C</v>
          </cell>
        </row>
        <row r="635">
          <cell r="AN635" t="str">
            <v>Insecta.Diptera.Brachycera.#N/C.#N/C.#N/C.#N/C.#N/C.#N/C</v>
          </cell>
        </row>
        <row r="636">
          <cell r="AN636" t="str">
            <v>Insecta.Hymenoptera.Apocrita.Aculeata.Vespoidea.Vespidae.Vespinae.Vespula.#N/C</v>
          </cell>
        </row>
        <row r="637">
          <cell r="AN637" t="str">
            <v>Insecta.Diptera.Brachycera.Muscomorpha.Muscoidea.Fanniidae.0.Fannia.#N/C</v>
          </cell>
        </row>
        <row r="638">
          <cell r="AN638" t="str">
            <v>Insecta.Diptera.Brachycera.Muscomorpha.Muscoidea.#N/C.#N/C.#N/C.#N/C</v>
          </cell>
        </row>
        <row r="639">
          <cell r="AN639" t="str">
            <v>Insecta.Diptera.Brachycera.#N/C.#N/C.#N/C.#N/C.#N/C.#N/C</v>
          </cell>
        </row>
        <row r="640">
          <cell r="AN640" t="str">
            <v>Insecta.Diptera.Brachycera.#N/C.#N/C.#N/C.#N/C.#N/C.#N/C</v>
          </cell>
        </row>
        <row r="641">
          <cell r="AN641" t="str">
            <v>Insecta.Diptera.Brachycera.#N/C.#N/C.#N/C.#N/C.#N/C.#N/C</v>
          </cell>
        </row>
        <row r="642">
          <cell r="AN642" t="str">
            <v>Insecta.Diptera.Brachycera.#N/C.#N/C.#N/C.#N/C.#N/C.#N/C</v>
          </cell>
        </row>
        <row r="643">
          <cell r="AN643" t="str">
            <v>Insecta.Diptera.Brachycera.#N/C.#N/C.#N/C.#N/C.#N/C.#N/C</v>
          </cell>
        </row>
        <row r="644">
          <cell r="AN644" t="str">
            <v>Insecta.Diptera.Brachycera.#N/C.#N/C.#N/C.#N/C.#N/C.#N/C</v>
          </cell>
        </row>
        <row r="645">
          <cell r="AN645" t="str">
            <v>Insecta.Diptera.Brachycera.Muscomorpha.Muscoidea.#N/C.#N/C.#N/C.#N/C</v>
          </cell>
        </row>
        <row r="646">
          <cell r="AN646" t="str">
            <v>Insecta.Diptera.Brachycera.Muscomorpha.Muscoidea.Fanniidae.0.Fannia.#N/C</v>
          </cell>
        </row>
        <row r="647">
          <cell r="AN647" t="str">
            <v>Insecta.Diptera.Brachycera.#N/C.#N/C.#N/C.#N/C.#N/C.#N/C</v>
          </cell>
        </row>
        <row r="648">
          <cell r="AN648" t="str">
            <v>Insecta.Diptera.Brachycera.#N/C.#N/C.#N/C.#N/C.#N/C.#N/C</v>
          </cell>
        </row>
        <row r="649">
          <cell r="AN649" t="str">
            <v>Insecta.Diptera.Brachycera.#N/C.#N/C.#N/C.#N/C.#N/C.#N/C</v>
          </cell>
        </row>
        <row r="650">
          <cell r="AN650" t="str">
            <v>Insecta.Diptera.Brachycera.Muscomorpha.Muscoidea.Fanniidae.0.Fannia.#N/C</v>
          </cell>
        </row>
        <row r="651">
          <cell r="AN651" t="str">
            <v>Insecta.Diptera.Brachycera.Muscomorpha.Tephritoidea.Tephritidae.Tephritinae.Tephritis.#N/C</v>
          </cell>
        </row>
        <row r="652">
          <cell r="AN652" t="str">
            <v>Insecta.Diptera.Brachycera.Muscomorpha.Muscoidea.Fanniidae.0.Fannia.#N/C</v>
          </cell>
        </row>
        <row r="653">
          <cell r="AN653" t="str">
            <v>Insecta.Diptera.Brachycera.Muscomorpha.Muscoidea.#N/C.#N/C.#N/C.#N/C</v>
          </cell>
        </row>
        <row r="654">
          <cell r="AN654" t="str">
            <v>Insecta.Diptera.Brachycera.Muscomorpha.Muscoidea.Fanniidae.0.Fannia.#N/C</v>
          </cell>
        </row>
        <row r="655">
          <cell r="AN655" t="str">
            <v>Insecta.Diptera.Brachycera.#N/C.#N/C.#N/C.#N/C.#N/C.#N/C</v>
          </cell>
        </row>
        <row r="656">
          <cell r="AN656" t="str">
            <v>Insecta.Diptera.Brachycera.#N/C.#N/C.#N/C.#N/C.#N/C.#N/C</v>
          </cell>
        </row>
        <row r="657">
          <cell r="AN657" t="str">
            <v>Insecta.Diptera.Brachycera.#N/C.#N/C.#N/C.#N/C.#N/C.#N/C</v>
          </cell>
        </row>
        <row r="658">
          <cell r="AN658" t="str">
            <v>Insecta.Diptera.Brachycera.Muscomorpha.Muscoidea.Fanniidae.0.Fannia.#N/C</v>
          </cell>
        </row>
        <row r="659">
          <cell r="AN659" t="str">
            <v>Insecta.Diptera.Brachycera.#N/C.#N/C.#N/C.#N/C.#N/C.#N/C</v>
          </cell>
        </row>
        <row r="660">
          <cell r="AN660" t="str">
            <v>Insecta.Diptera.Brachycera.#N/C.#N/C.#N/C.#N/C.#N/C.#N/C</v>
          </cell>
        </row>
        <row r="661">
          <cell r="AN661" t="str">
            <v>Insecta.Diptera.Brachycera.Muscomorpha.Muscoidea.#N/C.#N/C.#N/C.#N/C</v>
          </cell>
        </row>
        <row r="662">
          <cell r="AN662" t="str">
            <v>Insecta.Diptera.Brachycera.Muscomorpha.Muscoidea.#N/C.#N/C.#N/C.#N/C</v>
          </cell>
        </row>
        <row r="663">
          <cell r="AN663" t="str">
            <v>Insecta.Hymenoptera.Apocrita.Aculeata.Vespoidea.Vespidae.Vespinae.Vespula.#N/C</v>
          </cell>
        </row>
        <row r="664">
          <cell r="AN664" t="str">
            <v>Insecta.Diptera.Brachycera.#N/C.#N/C.#N/C.#N/C.#N/C.#N/C</v>
          </cell>
        </row>
        <row r="665">
          <cell r="AN665" t="str">
            <v>Insecta.Diptera.Brachycera.#N/C.#N/C.#N/C.#N/C.#N/C.#N/C</v>
          </cell>
        </row>
        <row r="666">
          <cell r="AN666" t="str">
            <v>Insecta.Diptera.Brachycera.#N/C.#N/C.#N/C.#N/C.#N/C.#N/C</v>
          </cell>
        </row>
        <row r="667">
          <cell r="AN667" t="str">
            <v>Insecta.Diptera.Brachycera.Muscomorpha.Muscoidea.Fanniidae.0.Fannia.#N/C</v>
          </cell>
        </row>
        <row r="668">
          <cell r="AN668" t="str">
            <v>Insecta.Diptera.Brachycera.Muscomorpha.Muscoidea.#N/C.#N/C.#N/C.#N/C</v>
          </cell>
        </row>
        <row r="669">
          <cell r="AN669" t="str">
            <v>Insecta.Diptera.Brachycera.#N/C.#N/C.#N/C.#N/C.#N/C.#N/C</v>
          </cell>
        </row>
        <row r="670">
          <cell r="AN670" t="str">
            <v>Insecta.Diptera.Brachycera.#N/C.#N/C.#N/C.#N/C.#N/C.#N/C</v>
          </cell>
        </row>
        <row r="671">
          <cell r="AN671" t="str">
            <v>Insecta.Diptera.Brachycera.Muscomorpha.Muscoidea.Fanniidae.0.Fannia.#N/C</v>
          </cell>
        </row>
        <row r="672">
          <cell r="AN672" t="str">
            <v>Insecta.Diptera.Brachycera.Muscomorpha.Muscoidea.#N/C.#N/C.#N/C.#N/C</v>
          </cell>
        </row>
        <row r="673">
          <cell r="AN673" t="str">
            <v>Insecta.Diptera.Brachycera.Muscomorpha.Muscoidea.#N/C.#N/C.#N/C.#N/C</v>
          </cell>
        </row>
        <row r="674">
          <cell r="AN674" t="str">
            <v>Insecta.Diptera.Brachycera.#N/C.#N/C.#N/C.#N/C.#N/C.#N/C</v>
          </cell>
        </row>
        <row r="675">
          <cell r="AN675" t="str">
            <v>Insecta.Diptera.Brachycera.Muscomorpha.Muscoidea.#N/C.#N/C.#N/C.#N/C</v>
          </cell>
        </row>
        <row r="676">
          <cell r="AN676" t="str">
            <v>Insecta.Diptera.Brachycera.#N/C.#N/C.#N/C.#N/C.#N/C.#N/C</v>
          </cell>
        </row>
        <row r="677">
          <cell r="AN677" t="str">
            <v>Insecta.Coleoptera.Polyphaga.Cucujiformia.Coccinelloidea.Coccinellidae.Coccinellinae.Harmonia.#N/C</v>
          </cell>
        </row>
        <row r="678">
          <cell r="AN678" t="str">
            <v>Insecta.Diptera.Brachycera.Muscomorpha.Oestroidea.Sarcophagidae.#N/C.#N/C.#N/C</v>
          </cell>
        </row>
        <row r="679">
          <cell r="AN679" t="str">
            <v>Insecta.Coleoptera.Polyphaga.Cucujiformia.Coccinelloidea.Coccinellidae.Coccinellinae.Harmonia.#N/C</v>
          </cell>
        </row>
        <row r="680">
          <cell r="AN680" t="str">
            <v>Insecta.Diptera.Brachycera.Muscomorpha.Muscoidea.Fanniidae.0.Fannia.#N/C</v>
          </cell>
        </row>
        <row r="681">
          <cell r="AN681" t="str">
            <v>Insecta.Diptera.Brachycera.Muscomorpha.Ephydroidea.Ephydroidae.Hydrelliinae.Notiphila.#N/C</v>
          </cell>
        </row>
        <row r="682">
          <cell r="AN682" t="str">
            <v>Insecta.Coleoptera.Polyphaga.Cucujiformia.Coccinelloidea.Coccinellidae.Coccinellinae.Oenopia.#N/C</v>
          </cell>
        </row>
        <row r="683">
          <cell r="AN683" t="str">
            <v>Insecta.Diptera.Brachycera.Muscomorpha.Muscoidea.Fanniidae.0.Fannia.#N/C</v>
          </cell>
        </row>
        <row r="684">
          <cell r="AN684" t="str">
            <v>Insecta.Diptera.Brachycera.Muscomorpha.Muscoidea.#N/C.#N/C.#N/C.#N/C</v>
          </cell>
        </row>
        <row r="685">
          <cell r="AN685" t="str">
            <v>Insecta.Diptera.Brachycera.Muscomorpha.Muscoidea.Muscidae.Muscinae.Musca.#N/C</v>
          </cell>
        </row>
        <row r="686">
          <cell r="AN686" t="str">
            <v>Insecta.Diptera.Brachycera.Asilomorpha.Asiloidea.Asilidae.Asilinae.Tolmerus.#N/C</v>
          </cell>
        </row>
        <row r="687">
          <cell r="AN687" t="str">
            <v>Insecta.Diptera.Brachycera.#N/C.#N/C.#N/C.#N/C.#N/C.#N/C</v>
          </cell>
        </row>
        <row r="688">
          <cell r="AN688" t="str">
            <v>Arachnida.Araneae.Arneomorphae.Araneomorphae.Dictynoidea.Anyphaenidae.Anyphaeninae.Anyphaena.#N/C</v>
          </cell>
        </row>
        <row r="689">
          <cell r="AN689" t="str">
            <v>Insecta.Diptera.Brachycera.Muscomorpha.Lauxanioidea.Lauxaniidae.Lauxaniinae.Calliopum.#N/C</v>
          </cell>
        </row>
        <row r="690">
          <cell r="AN690" t="str">
            <v>Insecta.Diptera.Brachycera.#N/C.#N/C.#N/C.#N/C.#N/C.#N/C</v>
          </cell>
        </row>
        <row r="691">
          <cell r="AN691" t="str">
            <v>Insecta.Hymenoptera.Apocrita.Parasitica.Ichneumonoidea.Ichneumonidae.Xoridinae.Xorides.#N/C</v>
          </cell>
        </row>
        <row r="692">
          <cell r="AN692" t="str">
            <v>Insecta.Diptera.Brachycera.#N/C.#N/C.#N/C.#N/C.#N/C.#N/C</v>
          </cell>
        </row>
        <row r="693">
          <cell r="AN693" t="str">
            <v>Insecta.Diptera.Nematocera.Culicomorpha.Chironomoidea.Chironomidae.Chironominae.Chironomus.#N/C</v>
          </cell>
        </row>
        <row r="694">
          <cell r="AN694" t="str">
            <v>Insecta.Diptera.Brachycera.Muscomorpha.Oestroidea.#N/C.#N/C.#N/C.#N/C</v>
          </cell>
        </row>
        <row r="695">
          <cell r="AN695" t="str">
            <v>Insecta.Coleoptera.Polyphaga.Cucujiformia.Coccinelloidea.Coccinellidae.Coccinellinae.Harmonia.#N/C</v>
          </cell>
        </row>
        <row r="696">
          <cell r="AN696" t="str">
            <v>Insecta.Hemiptera.Heteroptera.Pentatomomorpha.Lygaeoidea.Rhyparochromidae.Rhyparochrominae.Rhyparochromus.#N/C</v>
          </cell>
        </row>
        <row r="697">
          <cell r="AN697" t="str">
            <v>Insecta.Diptera.Brachycera.Muscomorpha.Muscoidea.Fanniidae.0.Fannia.#N/C</v>
          </cell>
        </row>
        <row r="698">
          <cell r="AN698" t="str">
            <v>Insecta.Diptera.Brachycera.Muscomorpha.Oestroidea.Sarcophagidae.#N/C.#N/C.#N/C</v>
          </cell>
        </row>
        <row r="699">
          <cell r="AN699" t="str">
            <v>Insecta.Coleoptera.Polyphaga.Cucujiformia.Coccinelloidea.Coccinellidae.Coccinellinae.Coccinella.#N/C</v>
          </cell>
        </row>
        <row r="700">
          <cell r="AN700" t="str">
            <v>Insecta.Diptera.Brachycera.Muscomorpha.Muscoidea.#N/C.#N/C.#N/C.#N/C</v>
          </cell>
        </row>
        <row r="701">
          <cell r="AN701" t="str">
            <v>Insecta.Hymenoptera.Apocrita.Parasitica.Ichneumonoidea.Ichneumonidae.Campopleginae.Dusona.#N/C</v>
          </cell>
        </row>
        <row r="702">
          <cell r="AN702" t="str">
            <v>Insecta.Hemiptera.Auchenorrhyncha.Cicadomorpha.Membracoidea.Cicadellidae.Deltocephalinae.Orientus.#N/C</v>
          </cell>
        </row>
        <row r="703">
          <cell r="AN703" t="str">
            <v>Insecta.Diptera.Brachycera.Muscomorpha.Muscoidea.#N/C.#N/C.#N/C.#N/C</v>
          </cell>
        </row>
        <row r="704">
          <cell r="AN704" t="str">
            <v>Insecta.Coleoptera.Polyphaga.Cucujiformia.Coccinelloidea.Coccinellidae.Coccinellinae.Harmonia.#N/C</v>
          </cell>
        </row>
        <row r="705">
          <cell r="AN705" t="str">
            <v>Insecta.Diptera.Brachycera.#N/C.#N/C.#N/C.#N/C.#N/C.#N/C</v>
          </cell>
        </row>
        <row r="706">
          <cell r="AN706" t="str">
            <v>Insecta.Diptera.Brachycera.Muscomorpha.Oestroidea.Tachinidae.#N/C.#N/C.#N/C</v>
          </cell>
        </row>
        <row r="707">
          <cell r="AN707" t="str">
            <v>Insecta.Diptera.Brachycera.#N/C.#N/C.#N/C.#N/C.#N/C.#N/C</v>
          </cell>
        </row>
        <row r="708">
          <cell r="AN708" t="str">
            <v>Insecta.Coleoptera.Polyphaga.Cucujiformia.Coccinelloidea.Coccinellidae.Coccinellinae.Harmonia.#N/C</v>
          </cell>
        </row>
        <row r="709">
          <cell r="AN709" t="str">
            <v>Insecta.Diptera.Brachycera.Muscomorpha.Muscoidea.#N/C.#N/C.#N/C.#N/C</v>
          </cell>
        </row>
        <row r="710">
          <cell r="AN710" t="str">
            <v>Insecta.Diptera.Brachycera.#N/C.#N/C.#N/C.#N/C.#N/C.#N/C</v>
          </cell>
        </row>
        <row r="711">
          <cell r="AN711" t="str">
            <v>Insecta.Diptera.Brachycera.#N/C.#N/C.#N/C.#N/C.#N/C.#N/C</v>
          </cell>
        </row>
        <row r="712">
          <cell r="AN712" t="str">
            <v>Insecta.Diptera.Brachycera.#N/C.#N/C.#N/C.#N/C.#N/C.#N/C</v>
          </cell>
        </row>
        <row r="713">
          <cell r="AN713" t="str">
            <v>Insecta.Diptera.Brachycera.Muscomorpha.Muscoidea.#N/C.#N/C.#N/C.#N/C</v>
          </cell>
        </row>
        <row r="714">
          <cell r="AN714" t="str">
            <v>Insecta.Diptera.Brachycera.Muscomorpha.Muscoidea.Fanniidae.0.Fannia.#N/C</v>
          </cell>
        </row>
        <row r="715">
          <cell r="AN715" t="str">
            <v>Insecta.Diptera.Brachycera.#N/C.#N/C.#N/C.#N/C.#N/C.#N/C</v>
          </cell>
        </row>
        <row r="716">
          <cell r="AN716" t="str">
            <v>Insecta.Diptera.Brachycera.#N/C.#N/C.#N/C.#N/C.#N/C.#N/C</v>
          </cell>
        </row>
        <row r="717">
          <cell r="AN717" t="str">
            <v>Insecta.Diptera.Brachycera.#N/C.#N/C.#N/C.#N/C.#N/C.#N/C</v>
          </cell>
        </row>
        <row r="718">
          <cell r="AN718" t="str">
            <v>Insecta.Diptera.Brachycera.#N/C.#N/C.#N/C.#N/C.#N/C.#N/C</v>
          </cell>
        </row>
        <row r="719">
          <cell r="AN719" t="str">
            <v>Insecta.Diptera.Brachycera.Muscomorpha.Muscoidea.Fanniidae.0.Fannia.#N/C</v>
          </cell>
        </row>
        <row r="720">
          <cell r="AN720" t="str">
            <v>Insecta.Diptera.Brachycera.#N/C.#N/C.#N/C.#N/C.#N/C.#N/C</v>
          </cell>
        </row>
        <row r="721">
          <cell r="AN721" t="str">
            <v>Insecta.Diptera.Brachycera.#N/C.#N/C.#N/C.#N/C.#N/C.#N/C</v>
          </cell>
        </row>
        <row r="722">
          <cell r="AN722" t="str">
            <v>Insecta.Diptera.Brachycera.Muscomorpha.Muscoidea.#N/C.#N/C.#N/C.#N/C</v>
          </cell>
        </row>
        <row r="723">
          <cell r="AN723" t="str">
            <v>Insecta.Diptera.Brachycera.Muscomorpha.Sciomyzoidea.Sepsidae.#N/C.#N/C.#N/C</v>
          </cell>
        </row>
        <row r="724">
          <cell r="AN724" t="str">
            <v>Insecta.Diptera.Brachycera.#N/C.#N/C.#N/C.#N/C.#N/C.#N/C</v>
          </cell>
        </row>
        <row r="725">
          <cell r="AN725" t="str">
            <v>Insecta.Diptera.Brachycera.Muscomorpha.Muscoidea.#N/C.#N/C.#N/C.#N/C</v>
          </cell>
        </row>
        <row r="726">
          <cell r="AN726" t="str">
            <v>Insecta.Hymenoptera.Symphyta.0.Tenthredinoidea.Tenthredinidae.Athaliinae.Athalia.#N/C</v>
          </cell>
        </row>
        <row r="727">
          <cell r="AN727" t="str">
            <v>Insecta.Diptera.Brachycera.#N/C.#N/C.#N/C.#N/C.#N/C.#N/C</v>
          </cell>
        </row>
        <row r="728">
          <cell r="AN728" t="str">
            <v>Insecta.Diptera.Brachycera.#N/C.#N/C.#N/C.#N/C.#N/C.#N/C</v>
          </cell>
        </row>
        <row r="729">
          <cell r="AN729" t="str">
            <v>Insecta.Diptera.Brachycera.Muscomorpha.Muscoidea.#N/C.#N/C.#N/C.#N/C</v>
          </cell>
        </row>
        <row r="730">
          <cell r="AN730" t="str">
            <v>Insecta.Diptera.Brachycera.Muscomorpha.Muscoidea.Fanniidae.0.Fannia.#N/C</v>
          </cell>
        </row>
        <row r="731">
          <cell r="AN731" t="str">
            <v>Insecta.Diptera.Brachycera.#N/C.#N/C.#N/C.#N/C.#N/C.#N/C</v>
          </cell>
        </row>
        <row r="732">
          <cell r="AN732" t="str">
            <v>Insecta.Diptera.Brachycera.Muscomorpha.Muscoidea.Fanniidae.0.Fannia.#N/C</v>
          </cell>
        </row>
        <row r="733">
          <cell r="AN733" t="str">
            <v>Insecta.Diptera.Brachycera.#N/C.#N/C.#N/C.#N/C.#N/C.#N/C</v>
          </cell>
        </row>
        <row r="734">
          <cell r="AN734" t="str">
            <v>Insecta.Diptera.Brachycera.#N/C.#N/C.#N/C.#N/C.#N/C.#N/C</v>
          </cell>
        </row>
        <row r="735">
          <cell r="AN735" t="str">
            <v>Insecta.Diptera.Brachycera.Muscomorpha.Muscoidea.#N/C.#N/C.#N/C.#N/C</v>
          </cell>
        </row>
        <row r="736">
          <cell r="AN736" t="str">
            <v>Insecta.Diptera.Brachycera.#N/C.#N/C.#N/C.#N/C.#N/C.#N/C</v>
          </cell>
        </row>
        <row r="737">
          <cell r="AN737" t="str">
            <v>Insecta.Diptera.Brachycera.Muscomorpha.Muscoidea.Fanniidae.0.Fannia.#N/C</v>
          </cell>
        </row>
        <row r="738">
          <cell r="AN738" t="str">
            <v>Insecta.Hymenoptera.Apocrita.Aculeata.Vespoidea.Vespidae.Vespinae.Vespula.#N/C</v>
          </cell>
        </row>
        <row r="739">
          <cell r="AN739" t="str">
            <v>Insecta.Diptera.#N/C.#N/C.#N/C.#N/C.#N/C.#N/C.#N/C</v>
          </cell>
        </row>
        <row r="740">
          <cell r="AN740" t="str">
            <v>Insecta.Hymenoptera.Apocrita.Aculeata.Vespoidea.Vespidae.Vespinae.Vespula.#N/C</v>
          </cell>
        </row>
        <row r="741">
          <cell r="AN741" t="str">
            <v>Insecta.Hymenoptera.Symphyta.0.Tenthredinoidea.Tenthredinidae.Athaliinae.Athalia.#N/C</v>
          </cell>
        </row>
        <row r="742">
          <cell r="AN742" t="str">
            <v>Insecta.Diptera.Brachycera.Muscomorpha.Oestroidea.Tachinidae.Tachininae.Tachina.#N/C</v>
          </cell>
        </row>
        <row r="743">
          <cell r="AN743" t="str">
            <v>Insecta.Diptera.Brachycera.Muscomorpha.Muscoidea.Fanniidae.0.Fannia.#N/C</v>
          </cell>
        </row>
        <row r="744">
          <cell r="AN744" t="str">
            <v>Insecta.Diptera.Brachycera.Muscomorpha.Syrphoidea.Syrphidae.Eristalinae.Eristalis.#N/C</v>
          </cell>
        </row>
        <row r="745">
          <cell r="AN745" t="str">
            <v>Insecta.Diptera.Brachycera.#N/C.#N/C.#N/C.#N/C.#N/C.#N/C</v>
          </cell>
        </row>
        <row r="746">
          <cell r="AN746" t="str">
            <v>Insecta.Diptera.Brachycera.#N/C.#N/C.#N/C.#N/C.#N/C.#N/C</v>
          </cell>
        </row>
        <row r="747">
          <cell r="AN747" t="str">
            <v>Insecta.Diptera.Brachycera.#N/C.#N/C.#N/C.#N/C.#N/C.#N/C</v>
          </cell>
        </row>
        <row r="748">
          <cell r="AN748" t="str">
            <v>Insecta.Diptera.Nematocera.Bibionomorpha.Bibionoidea.Bibionoidea.Bibioninae.Dilophus.#N/C</v>
          </cell>
        </row>
        <row r="749">
          <cell r="AN749" t="str">
            <v>Insecta.Diptera.Brachycera.Muscomorpha.Muscoidea.Fanniidae.0.Fannia.#N/C</v>
          </cell>
        </row>
        <row r="750">
          <cell r="AN750" t="str">
            <v>Insecta.Diptera.Brachycera.Muscomorpha.Lauxanioidea.Lauxaniidae.Lauxaniinae.#N/C.#N/C</v>
          </cell>
        </row>
        <row r="751">
          <cell r="AN751" t="str">
            <v>Insecta.Diptera.Brachycera.Muscomorpha.Muscoidea.Fanniidae.0.Fannia.#N/C</v>
          </cell>
        </row>
        <row r="752">
          <cell r="AN752" t="str">
            <v>Insecta.Diptera.Brachycera.#N/C.#N/C.#N/C.#N/C.#N/C.#N/C</v>
          </cell>
        </row>
        <row r="753">
          <cell r="AN753" t="str">
            <v>Insecta.Diptera.Brachycera.Muscomorpha.Muscoidea.#N/C.#N/C.#N/C.#N/C</v>
          </cell>
        </row>
        <row r="754">
          <cell r="AN754" t="str">
            <v>Insecta.Diptera.Brachycera.#N/C.#N/C.#N/C.#N/C.#N/C.#N/C</v>
          </cell>
        </row>
        <row r="755">
          <cell r="AN755" t="str">
            <v>Insecta.Diptera.Brachycera.Muscomorpha.Muscoidea.Fanniidae.0.Fannia.#N/C</v>
          </cell>
        </row>
        <row r="756">
          <cell r="AN756" t="str">
            <v>Insecta.Diptera.Brachycera.#N/C.#N/C.#N/C.#N/C.#N/C.#N/C</v>
          </cell>
        </row>
        <row r="757">
          <cell r="AN757" t="str">
            <v>Insecta.Diptera.Brachycera.#N/C.#N/C.#N/C.#N/C.#N/C.#N/C</v>
          </cell>
        </row>
        <row r="758">
          <cell r="AN758" t="str">
            <v>Insecta.Diptera.Brachycera.#N/C.#N/C.#N/C.#N/C.#N/C.#N/C</v>
          </cell>
        </row>
        <row r="759">
          <cell r="AN759" t="str">
            <v>Insecta.Diptera.Brachycera.#N/C.#N/C.#N/C.#N/C.#N/C.#N/C</v>
          </cell>
        </row>
        <row r="760">
          <cell r="AN760" t="str">
            <v>Insecta.Lepidoptera.Glossata.Heterocera.Noctuoidea.Noctuidae.#N/C.#N/C.#N/C</v>
          </cell>
        </row>
        <row r="761">
          <cell r="AN761" t="str">
            <v>Insecta.Diptera.Brachycera.#N/C.#N/C.#N/C.#N/C.#N/C.#N/C</v>
          </cell>
        </row>
        <row r="762">
          <cell r="AN762" t="str">
            <v>Insecta.#N/C.#N/C.#N/C.#N/C.#N/C.#N/C.#N/C.#N/C</v>
          </cell>
        </row>
        <row r="763">
          <cell r="AN763" t="str">
            <v>Insecta.Diptera.Brachycera.#N/C.#N/C.#N/C.#N/C.#N/C.#N/C</v>
          </cell>
        </row>
        <row r="764">
          <cell r="AN764" t="str">
            <v>Insecta.Diptera.Brachycera.#N/C.#N/C.#N/C.#N/C.#N/C.#N/C</v>
          </cell>
        </row>
        <row r="765">
          <cell r="AN765" t="str">
            <v>Insecta.Diptera.Brachycera.#N/C.#N/C.#N/C.#N/C.#N/C.#N/C</v>
          </cell>
        </row>
        <row r="766">
          <cell r="AN766" t="str">
            <v>Insecta.#N/C.#N/C.#N/C.#N/C.#N/C.#N/C.#N/C.#N/C</v>
          </cell>
        </row>
        <row r="767">
          <cell r="AN767" t="str">
            <v>Insecta.Diptera.Brachycera.#N/C.#N/C.#N/C.#N/C.#N/C.#N/C</v>
          </cell>
        </row>
        <row r="768">
          <cell r="AN768" t="str">
            <v>Insecta.Diptera.Brachycera.Muscomorpha.Muscoidea.#N/C.#N/C.#N/C.#N/C</v>
          </cell>
        </row>
        <row r="769">
          <cell r="AN769" t="str">
            <v>Insecta.Diptera.Brachycera.#N/C.#N/C.#N/C.#N/C.#N/C.#N/C</v>
          </cell>
        </row>
        <row r="770">
          <cell r="AN770" t="str">
            <v>Insecta.Diptera.Brachycera.Muscomorpha.Lauxanioidea.Lauxaniidae.Lauxaniinae.Calliopum.#N/C</v>
          </cell>
        </row>
        <row r="771">
          <cell r="AN771" t="str">
            <v>Insecta.Diptera.Brachycera.Muscomorpha.Oestroidea.Sarcophagidae.#N/C.#N/C.#N/C</v>
          </cell>
        </row>
        <row r="772">
          <cell r="AN772" t="str">
            <v>Insecta.Diptera.Brachycera.#N/C.#N/C.#N/C.#N/C.#N/C.#N/C</v>
          </cell>
        </row>
        <row r="773">
          <cell r="AN773" t="str">
            <v>Insecta.Diptera.Brachycera.Muscomorpha.Sphaeroceroidea.Sphaeroceridae.#N/C.#N/C.#N/C</v>
          </cell>
        </row>
        <row r="774">
          <cell r="AN774" t="str">
            <v>Insecta.Diptera.Brachycera.#N/C.#N/C.#N/C.#N/C.#N/C.#N/C</v>
          </cell>
        </row>
        <row r="775">
          <cell r="AN775" t="str">
            <v>Insecta.Diptera.Brachycera.Muscomorpha.Oestroidea.Calliphoridae.Calliphorinae.Bellardia.#N/C</v>
          </cell>
        </row>
        <row r="776">
          <cell r="AN776" t="str">
            <v>Insecta.Diptera.Brachycera.#N/C.#N/C.#N/C.#N/C.#N/C.#N/C</v>
          </cell>
        </row>
        <row r="777">
          <cell r="AN777" t="str">
            <v>Insecta.Diptera.Brachycera.Muscomorpha.Muscoidea.Fanniidae.0.Fannia.#N/C</v>
          </cell>
        </row>
        <row r="778">
          <cell r="AN778" t="str">
            <v>Insecta.Diptera.Brachycera.Muscomorpha.Muscoidea.Fanniidae.0.Fannia.#N/C</v>
          </cell>
        </row>
        <row r="779">
          <cell r="AN779" t="str">
            <v>Insecta.Coleoptera.Polyphaga.Cucujiformia.Coccinelloidea.Coccinellidae.Coccinellinae.Harmonia.#N/C</v>
          </cell>
        </row>
        <row r="780">
          <cell r="AN780" t="str">
            <v>Insecta.Diptera.Brachycera.Muscomorpha.Oestroidea.Sarcophagidae.Sarcophaginae.#N/C.#N/C</v>
          </cell>
        </row>
        <row r="781">
          <cell r="AN781" t="str">
            <v>Insecta.Coleoptera.Polyphaga.Cucujiformia.Coccinelloidea.Coccinellidae.Coccinellinae.Harmonia.#N/C</v>
          </cell>
        </row>
        <row r="782">
          <cell r="AN782" t="str">
            <v>Insecta.Coleoptera.Polyphaga.Cucujiformia.Coccinelloidea.Coccinellidae.Coccinellinae.Harmonia.#N/C</v>
          </cell>
        </row>
        <row r="783">
          <cell r="AN783" t="str">
            <v>Insecta.Diptera.Brachycera.Muscomorpha.Muscoidea.Fanniidae.0.Fannia.#N/C</v>
          </cell>
        </row>
        <row r="784">
          <cell r="AN784" t="str">
            <v>Insecta.Diptera.Brachycera.Muscomorpha.Muscoidea.Fanniidae.0.Fannia.#N/C</v>
          </cell>
        </row>
        <row r="785">
          <cell r="AN785" t="str">
            <v>Insecta.Diptera.Brachycera.Muscomorpha.Oestroidea.#N/C.#N/C.#N/C.#N/C</v>
          </cell>
        </row>
        <row r="786">
          <cell r="AN786" t="str">
            <v>Insecta.Hymenoptera.Apocrita.Parasitica.Ichneumonoidea.Ichneumonidae.#N/C.#N/C.#N/C</v>
          </cell>
        </row>
        <row r="787">
          <cell r="AN787" t="str">
            <v>Insecta.Diptera.Brachycera.Muscomorpha.Oestroidea.Tachinidae.Tachininae.Tachina.#N/C</v>
          </cell>
        </row>
        <row r="788">
          <cell r="AN788" t="str">
            <v>Insecta.Coleoptera.Polyphaga.Cucujiformia.Coccinelloidea.Coccinellidae.Coccinellinae.Coccinella.#N/C</v>
          </cell>
        </row>
        <row r="789">
          <cell r="AN789" t="str">
            <v>Insecta.#N/C.#N/C.#N/C.#N/C.#N/C.#N/C.#N/C.#N/C</v>
          </cell>
        </row>
        <row r="790">
          <cell r="AN790" t="str">
            <v>Insecta.Diptera.Brachycera.Muscomorpha.Oestroidea.Sarcophagidae.Sarcophaginae.Sarcophaga.#N/C</v>
          </cell>
        </row>
        <row r="791">
          <cell r="AN791" t="str">
            <v>Insecta.Diptera.Brachycera.#N/C.#N/C.#N/C.#N/C.#N/C.#N/C</v>
          </cell>
        </row>
        <row r="792">
          <cell r="AN792" t="str">
            <v>Insecta.Diptera.Brachycera.Muscomorpha.Syrphoidea.Syrphidae.Syrphinae.Scaeva.#N/C</v>
          </cell>
        </row>
        <row r="793">
          <cell r="AN793" t="str">
            <v>Insecta.Diptera.Brachycera.Muscomorpha.Muscoidea.#N/C.#N/C.#N/C.#N/C</v>
          </cell>
        </row>
        <row r="794">
          <cell r="AN794" t="str">
            <v>Insecta.Diptera.Brachycera.Asilomorpha.Asiloidea.Asilidae.Asilinae.#N/C.#N/C</v>
          </cell>
        </row>
        <row r="795">
          <cell r="AN795" t="str">
            <v>Insecta.Diptera.Brachycera.#N/C.#N/C.#N/C.#N/C.#N/C.#N/C</v>
          </cell>
        </row>
        <row r="796">
          <cell r="AN796" t="str">
            <v>Insecta.Diptera.Brachycera.Muscomorpha.Sphaeroceroidea.Heleomyzidae.#N/C.#N/C.#N/C</v>
          </cell>
        </row>
        <row r="797">
          <cell r="AN797" t="str">
            <v>Insecta.Diptera.Brachycera.Muscomorpha.Oestroidea.Sarcophagidae.Sarcophaginae.Sarcophaga.#N/C</v>
          </cell>
        </row>
        <row r="798">
          <cell r="AN798" t="str">
            <v>Insecta.Coleoptera.Polyphaga.Cucujiformia.Coccinelloidea.Coccinellidae.Chilocorinae.#N/C.#N/C</v>
          </cell>
        </row>
        <row r="799">
          <cell r="AN799" t="str">
            <v>Insecta.Lepidoptera.Glossata.Heterocera.Noctuoidea.Noctuidae.Noctuinae.Mythimna.#N/C</v>
          </cell>
        </row>
        <row r="800">
          <cell r="AN800" t="str">
            <v>Insecta.Diptera.Brachycera.Muscomorpha.Muscoidea.#N/C.#N/C.#N/C.#N/C</v>
          </cell>
        </row>
        <row r="801">
          <cell r="AN801" t="str">
            <v>Insecta.Diptera.Brachycera.Muscomorpha.Oestroidea.#N/C.#N/C.#N/C.#N/C</v>
          </cell>
        </row>
        <row r="802">
          <cell r="AN802" t="str">
            <v>Insecta.Diptera.Brachycera.#N/C.#N/C.#N/C.#N/C.#N/C.#N/C</v>
          </cell>
        </row>
        <row r="803">
          <cell r="AN803" t="str">
            <v>Insecta.Diptera.Brachycera.Muscomorpha.Muscoidea.#N/C.#N/C.#N/C.#N/C</v>
          </cell>
        </row>
        <row r="804">
          <cell r="AN804" t="str">
            <v>Insecta.Coleoptera.Polyphaga.Cucujiformia.Coccinelloidea.Coccinellidae.Coccinellinae.Harmonia.#N/C</v>
          </cell>
        </row>
        <row r="805">
          <cell r="AN805" t="str">
            <v>Insecta.Diptera.Brachycera.Muscomorpha.Oestroidea.Sarcophagidae.Sarcophaginae.Sarcophaga.#N/C</v>
          </cell>
        </row>
        <row r="806">
          <cell r="AN806" t="str">
            <v>Insecta.Diptera.Brachycera.Muscomorpha.Sciomyzoidea.Sepsidae.#N/C.#N/C.#N/C</v>
          </cell>
        </row>
        <row r="807">
          <cell r="AN807" t="str">
            <v>Insecta.Diptera.Brachycera.Muscomorpha.Oestroidea.Sarcophagidae.#N/C.#N/C.#N/C</v>
          </cell>
        </row>
        <row r="808">
          <cell r="AN808" t="str">
            <v>Insecta.Diptera.Brachycera.#N/C.#N/C.#N/C.#N/C.#N/C.#N/C</v>
          </cell>
        </row>
        <row r="809">
          <cell r="AN809" t="str">
            <v>Insecta.Diptera.Brachycera.#N/C.#N/C.#N/C.#N/C.#N/C.#N/C</v>
          </cell>
        </row>
        <row r="810">
          <cell r="AN810" t="str">
            <v>Insecta.Diptera.Brachycera.Muscomorpha.Syrphoidea.Syrphidae.Syrphinae.Episyrphus.#N/C</v>
          </cell>
        </row>
        <row r="811">
          <cell r="AN811" t="str">
            <v>Insecta.Diptera.Brachycera.Muscomorpha.Muscoidea.#N/C.#N/C.#N/C.#N/C</v>
          </cell>
        </row>
        <row r="812">
          <cell r="AN812" t="str">
            <v>Insecta.Diptera.Brachycera.Muscomorpha.Muscoidea.Fanniidae.0.Fannia.#N/C</v>
          </cell>
        </row>
        <row r="813">
          <cell r="AN813" t="str">
            <v>Insecta.Diptera.Brachycera.Muscomorpha.Muscoidea.Fanniidae.0.Fannia.#N/C</v>
          </cell>
        </row>
        <row r="814">
          <cell r="AN814" t="str">
            <v>Insecta.Diptera.Brachycera.Muscomorpha.Syrphoidea.Syrphidae.Syrphinae.Eupeodes.#N/C</v>
          </cell>
        </row>
        <row r="815">
          <cell r="AN815" t="str">
            <v>Insecta.Diptera.Brachycera.Muscomorpha.Muscoidea.Fanniidae.0.Fannia.#N/C</v>
          </cell>
        </row>
        <row r="816">
          <cell r="AN816" t="str">
            <v>Insecta.Diptera.Brachycera.#N/C.#N/C.#N/C.#N/C.#N/C.#N/C</v>
          </cell>
        </row>
        <row r="817">
          <cell r="AN817" t="str">
            <v>Insecta.Diptera.Brachycera.Muscomorpha.Syrphoidea.Syrphidae.Syrphinae.Sphaerophoria.#N/C</v>
          </cell>
        </row>
        <row r="818">
          <cell r="AN818" t="str">
            <v>Insecta.Coleoptera.Polyphaga.Cucujiformia.Chrysomeloidea.Chrysomelidae.Galerucinae.Psylliodes.#N/C</v>
          </cell>
        </row>
        <row r="819">
          <cell r="AN819" t="str">
            <v>Insecta.Coleoptera.Polyphaga.Cucujiformia.Coccinelloidea.Coccinellidae.Coccinellinae.#N/C.#N/C</v>
          </cell>
        </row>
        <row r="820">
          <cell r="AN820" t="str">
            <v>Insecta.Neuroptera.Hemerobiiformia.0.Hemerobioidea.Chrysopidae.Chrysopinae.Chrysoperla.#N/C</v>
          </cell>
        </row>
        <row r="821">
          <cell r="AN821" t="str">
            <v>Insecta.Diptera.Brachycera.Muscomorpha.Muscoidea.#N/C.#N/C.#N/C.#N/C</v>
          </cell>
        </row>
        <row r="822">
          <cell r="AN822" t="str">
            <v>Insecta.Diptera.Brachycera.Muscomorpha.Muscoidea.Fanniidae.0.Fannia.#N/C</v>
          </cell>
        </row>
        <row r="823">
          <cell r="AN823" t="str">
            <v>Insecta.Diptera.Brachycera.Muscomorpha.Muscoidea.Fanniidae.0.Fannia.#N/C</v>
          </cell>
        </row>
        <row r="824">
          <cell r="AN824" t="str">
            <v>Insecta.Hymenoptera.Apocrita.Aculeata.Apoidea.Crabronidae.Crabroninae.Oxybelus.#N/C</v>
          </cell>
        </row>
        <row r="825">
          <cell r="AN825" t="str">
            <v>Insecta.Coleoptera.Polyphaga.Cucujiformia.Coccinelloidea.Coccinellidae.Coccinellinae.#N/C.#N/C</v>
          </cell>
        </row>
        <row r="826">
          <cell r="AN826" t="str">
            <v>Insecta.Diptera.Brachycera.Muscomorpha.Muscoidea.Fanniidae.0.Fannia.#N/C</v>
          </cell>
        </row>
        <row r="827">
          <cell r="AN827" t="str">
            <v>Insecta.Coleoptera.Polyphaga.Cucujiformia.Coccinelloidea.Coccinellidae.Coccinellinae.#N/C.#N/C</v>
          </cell>
        </row>
        <row r="828">
          <cell r="AN828" t="str">
            <v>Insecta.Coleoptera.Polyphaga.Cucujiformia.Coccinelloidea.Coccinellidae.Coccinellinae.#N/C.#N/C</v>
          </cell>
        </row>
        <row r="829">
          <cell r="AN829" t="str">
            <v>Insecta.Diptera.Brachycera.Muscomorpha.Muscoidea.Fanniidae.0.Fannia.#N/C</v>
          </cell>
        </row>
        <row r="830">
          <cell r="AN830" t="str">
            <v>Insecta.Diptera.Brachycera.Muscomorpha.Oestroidea.Sarcophagidae.Sarcophaginae.Sarcophaga.#N/C</v>
          </cell>
        </row>
        <row r="831">
          <cell r="AN831" t="str">
            <v>Insecta.Coleoptera.Polyphaga.Cucujiformia.Chrysomeloidea.Chrysomelidae.Alticinae.#N/C.#N/C</v>
          </cell>
        </row>
        <row r="832">
          <cell r="AN832" t="str">
            <v>Insecta.Coleoptera.Polyphaga.Cucujiformia.Curculionoidea.Curculionidae.Entiminae.Sitona.#N/C</v>
          </cell>
        </row>
        <row r="833">
          <cell r="AN833" t="str">
            <v>Insecta.Diptera.Brachycera.Muscomorpha.Muscoidea.Fanniidae.0.Fannia.#N/C</v>
          </cell>
        </row>
        <row r="834">
          <cell r="AN834" t="str">
            <v>Insecta.Diptera.Brachycera.Muscomorpha.Muscoidea.Fanniidae.0.Fannia.#N/C</v>
          </cell>
        </row>
        <row r="835">
          <cell r="AN835" t="str">
            <v>Insecta.Diptera.Brachycera.Muscomorpha.Muscoidea.Fanniidae.0.Fannia.#N/C</v>
          </cell>
        </row>
        <row r="836">
          <cell r="AN836" t="str">
            <v>Insecta.Diptera.Brachycera.Muscomorpha.Muscoidea.Fanniidae.0.Fannia.#N/C</v>
          </cell>
        </row>
        <row r="837">
          <cell r="AN837" t="str">
            <v>Insecta.Diptera.Brachycera.Asilomorpha.Asiloidea.Asilidae.Asilinae.Tolmerus.#N/C</v>
          </cell>
        </row>
        <row r="838">
          <cell r="AN838" t="str">
            <v>Insecta.Diptera.Brachycera.Muscomorpha.Lauxanioidea.Lauxaniidae.Lauxaniinae.Calliopum.#N/C</v>
          </cell>
        </row>
        <row r="839">
          <cell r="AN839" t="str">
            <v>Insecta.Diptera.Brachycera.Muscomorpha.Syrphoidea.Syrphidae.Syrphinae.Syrphini.#N/C</v>
          </cell>
        </row>
        <row r="840">
          <cell r="AN840" t="str">
            <v>Insecta.Coleoptera.Polyphaga.Cucujiformia.Coccinelloidea.Coccinellidae.Coccinellinae.#N/C.#N/C</v>
          </cell>
        </row>
        <row r="841">
          <cell r="AN841" t="str">
            <v>Insecta.Diptera.Brachycera.Muscomorpha.Muscoidea.#N/C.#N/C.#N/C.#N/C</v>
          </cell>
        </row>
        <row r="842">
          <cell r="AN842" t="str">
            <v>Insecta.Diptera.Brachycera.Asilomorpha.Asiloidea.Asilidae.Asilinae.#N/C.#N/C</v>
          </cell>
        </row>
        <row r="843">
          <cell r="AN843" t="str">
            <v>Insecta.Coleoptera.Polyphaga.Cucujiformia.Coccinelloidea.Coccinellidae.#N/C.#N/C.#N/C</v>
          </cell>
        </row>
        <row r="844">
          <cell r="AN844" t="str">
            <v>Insecta.Coleoptera.Polyphaga.Cucujiformia.Coccinelloidea.Coccinellidae.#N/C.#N/C.#N/C</v>
          </cell>
        </row>
        <row r="845">
          <cell r="AN845" t="str">
            <v>Insecta.Hemiptera.Heteroptera.Pentatomomorpha.Lygaeoidea.Rhyparochromidae.Rhyparochrominae.Rhyparochromus.#N/C</v>
          </cell>
        </row>
        <row r="846">
          <cell r="AN846" t="str">
            <v>Insecta.Diptera.Brachycera.Muscomorpha.Muscoidea.Fanniidae.0.Fannia.#N/C</v>
          </cell>
        </row>
        <row r="847">
          <cell r="AN847" t="str">
            <v>Insecta.Diptera.Brachycera.Muscomorpha.Muscoidea.Fanniidae.0.Fannia.#N/C</v>
          </cell>
        </row>
        <row r="848">
          <cell r="AN848" t="str">
            <v>Insecta.Diptera.Brachycera.Muscomorpha.Muscoidea.Fanniidae.0.Fannia.#N/C</v>
          </cell>
        </row>
        <row r="849">
          <cell r="AN849" t="str">
            <v>Insecta.Coleoptera.Polyphaga.Cucujiformia.Coccinelloidea.Coccinellidae.Coccinellinae.#N/C.#N/C</v>
          </cell>
        </row>
        <row r="850">
          <cell r="AN850" t="str">
            <v>Insecta.Diptera.Brachycera.Muscomorpha.Muscoidea.#N/C.#N/C.#N/C.#N/C</v>
          </cell>
        </row>
        <row r="851">
          <cell r="AN851" t="str">
            <v>Insecta.Diptera.Brachycera.Muscomorpha.Muscoidea.#N/C.#N/C.#N/C.#N/C</v>
          </cell>
        </row>
        <row r="852">
          <cell r="AN852" t="str">
            <v>Insecta.Diptera.Brachycera.Muscomorpha.Muscoidea.Fanniidae.0.Fannia.#N/C</v>
          </cell>
        </row>
        <row r="853">
          <cell r="AN853" t="str">
            <v>Insecta.Diptera.Brachycera.Muscomorpha.Muscoidea.Fanniidae.0.Fannia.#N/C</v>
          </cell>
        </row>
        <row r="854">
          <cell r="AN854" t="str">
            <v>Insecta.Diptera.Brachycera.Muscomorpha.Muscoidea.Fanniidae.0.Fannia.#N/C</v>
          </cell>
        </row>
        <row r="855">
          <cell r="AN855" t="str">
            <v>Insecta.Diptera.Brachycera.Muscomorpha.Oestroidea.Sarcophagidae.Sarcophaginae.#N/C.#N/C</v>
          </cell>
        </row>
        <row r="856">
          <cell r="AN856" t="str">
            <v>Insecta.Diptera.Brachycera.Muscomorpha.Muscoidea.Fanniidae.0.Fannia.#N/C</v>
          </cell>
        </row>
        <row r="857">
          <cell r="AN857" t="str">
            <v>Insecta.Diptera.Brachycera.#N/C.#N/C.#N/C.#N/C.#N/C.#N/C</v>
          </cell>
        </row>
        <row r="858">
          <cell r="AN858" t="str">
            <v>Insecta.Diptera.Brachycera.#N/C.#N/C.#N/C.#N/C.#N/C.#N/C</v>
          </cell>
        </row>
        <row r="859">
          <cell r="AN859" t="str">
            <v>Insecta.Diptera.Brachycera.Muscomorpha.Muscoidea.Fanniidae.0.Fannia.#N/C</v>
          </cell>
        </row>
        <row r="860">
          <cell r="AN860" t="str">
            <v>Insecta.Diptera.Brachycera.Muscomorpha.Muscoidea.Fanniidae.0.Fannia.#N/C</v>
          </cell>
        </row>
        <row r="861">
          <cell r="AN861" t="str">
            <v>Insecta.Hymenoptera.Apocrita.Aculeata.Vespoidea.Vespidae.Vespinae.Vespula.#N/C</v>
          </cell>
        </row>
        <row r="862">
          <cell r="AN862" t="str">
            <v>Insecta.Diptera.Brachycera.Muscomorpha.Muscoidea.Fanniidae.0.Fannia.#N/C</v>
          </cell>
        </row>
        <row r="863">
          <cell r="AN863" t="str">
            <v>Insecta.Diptera.Brachycera.Muscomorpha.Muscoidea.#N/C.#N/C.#N/C.#N/C</v>
          </cell>
        </row>
        <row r="864">
          <cell r="AN864" t="str">
            <v>Insecta.Diptera.Brachycera.#N/C.#N/C.#N/C.#N/C.#N/C.#N/C</v>
          </cell>
        </row>
        <row r="865">
          <cell r="AN865" t="str">
            <v>Insecta.Diptera.Brachycera.#N/C.#N/C.#N/C.#N/C.#N/C.#N/C</v>
          </cell>
        </row>
        <row r="866">
          <cell r="AN866" t="str">
            <v>Insecta.Hymenoptera.Apocrita.Aculeata.Vespoidea.Vespidae.Vespinae.Vespula.#N/C</v>
          </cell>
        </row>
        <row r="867">
          <cell r="AN867" t="str">
            <v>Insecta.Diptera.Brachycera.#N/C.#N/C.#N/C.#N/C.#N/C.#N/C</v>
          </cell>
        </row>
        <row r="868">
          <cell r="AN868" t="str">
            <v>Insecta.Hymenoptera.Apocrita.Aculeata.Vespoidea.Vespidae.Vespinae.Vespula.#N/C</v>
          </cell>
        </row>
        <row r="869">
          <cell r="AN869" t="str">
            <v>Insecta.Diptera.Brachycera.Muscomorpha.Muscoidea.#N/C.#N/C.#N/C.#N/C</v>
          </cell>
        </row>
        <row r="870">
          <cell r="AN870" t="str">
            <v>Insecta.Diptera.Brachycera.Muscomorpha.Oestroidea.Sarcophagidae.#N/C.#N/C.#N/C</v>
          </cell>
        </row>
        <row r="871">
          <cell r="AN871" t="str">
            <v>Insecta.Diptera.Brachycera.#N/C.#N/C.#N/C.#N/C.#N/C.#N/C</v>
          </cell>
        </row>
        <row r="872">
          <cell r="AN872" t="str">
            <v>Insecta.Diptera.Brachycera.Muscomorpha.Muscoidea.Fanniidae.0.Fannia.#N/C</v>
          </cell>
        </row>
        <row r="873">
          <cell r="AN873" t="str">
            <v>Insecta.Diptera.Brachycera.Muscomorpha.Syrphoidea.Syrphidae.Syrphinae.Sphaerophoria.#N/C</v>
          </cell>
        </row>
        <row r="874">
          <cell r="AN874" t="str">
            <v>Insecta.Diptera.Brachycera.Muscomorpha.Muscoidea.Fanniidae.0.Fannia.#N/C</v>
          </cell>
        </row>
        <row r="875">
          <cell r="AN875" t="str">
            <v>Insecta.Diptera.Brachycera.#N/C.#N/C.#N/C.#N/C.#N/C.#N/C</v>
          </cell>
        </row>
        <row r="876">
          <cell r="AN876" t="str">
            <v>Insecta.Diptera.Brachycera.#N/C.#N/C.#N/C.#N/C.#N/C.#N/C</v>
          </cell>
        </row>
        <row r="877">
          <cell r="AN877" t="str">
            <v>Insecta.Diptera.Brachycera.Muscomorpha.Muscoidea.Fanniidae.0.Fannia.#N/C</v>
          </cell>
        </row>
        <row r="878">
          <cell r="AN878" t="str">
            <v>Insecta.Hymenoptera.Apocrita.Aculeata.Vespoidea.Vespidae.Vespinae.Vespula.#N/C</v>
          </cell>
        </row>
        <row r="879">
          <cell r="AN879" t="str">
            <v>Insecta.Diptera.Brachycera.#N/C.#N/C.#N/C.#N/C.#N/C.#N/C</v>
          </cell>
        </row>
        <row r="880">
          <cell r="AN880" t="str">
            <v>Insecta.Diptera.Brachycera.#N/C.#N/C.#N/C.#N/C.#N/C.#N/C</v>
          </cell>
        </row>
        <row r="881">
          <cell r="AN881" t="str">
            <v>Insecta.Diptera.Brachycera.#N/C.#N/C.#N/C.#N/C.#N/C.#N/C</v>
          </cell>
        </row>
        <row r="882">
          <cell r="AN882" t="str">
            <v>Insecta.Diptera.Brachycera.Muscomorpha.Muscoidea.#N/C.#N/C.#N/C.#N/C</v>
          </cell>
        </row>
        <row r="883">
          <cell r="AN883" t="str">
            <v>Insecta.Diptera.Brachycera.Muscomorpha.Ephydroidea.Drosophilidae.Drosophilinae.Drosophila.#N/C</v>
          </cell>
        </row>
        <row r="884">
          <cell r="AN884" t="str">
            <v>Insecta.Diptera.Brachycera.Muscomorpha.Muscoidea.#N/C.#N/C.#N/C.#N/C</v>
          </cell>
        </row>
        <row r="885">
          <cell r="AN885" t="str">
            <v>Insecta.Diptera.Brachycera.Muscomorpha.Muscoidea.Fanniidae.0.Fannia.#N/C</v>
          </cell>
        </row>
        <row r="886">
          <cell r="AN886" t="str">
            <v>Insecta.Diptera.Brachycera.#N/C.#N/C.#N/C.#N/C.#N/C.#N/C</v>
          </cell>
        </row>
        <row r="887">
          <cell r="AN887" t="str">
            <v>Insecta.Diptera.Brachycera.#N/C.#N/C.#N/C.#N/C.#N/C.#N/C</v>
          </cell>
        </row>
        <row r="888">
          <cell r="AN888" t="str">
            <v>Insecta.Diptera.Brachycera.#N/C.#N/C.#N/C.#N/C.#N/C.#N/C</v>
          </cell>
        </row>
        <row r="889">
          <cell r="AN889" t="str">
            <v>Insecta.Diptera.Brachycera.#N/C.#N/C.#N/C.#N/C.#N/C.#N/C</v>
          </cell>
        </row>
        <row r="890">
          <cell r="AN890" t="str">
            <v>Insecta.Diptera.Brachycera.Muscomorpha.Ephydroidea.Drosophilidae.Drosophilinae.Drosophila.#N/C</v>
          </cell>
        </row>
        <row r="891">
          <cell r="AN891" t="str">
            <v>Insecta.Diptera.Brachycera.#N/C.#N/C.#N/C.#N/C.#N/C.#N/C</v>
          </cell>
        </row>
        <row r="892">
          <cell r="AN892" t="str">
            <v>Insecta.Diptera.Brachycera.Muscomorpha.Muscoidea.#N/C.#N/C.#N/C.#N/C</v>
          </cell>
        </row>
        <row r="893">
          <cell r="AN893" t="str">
            <v>Insecta.Diptera.Brachycera.Muscomorpha.Tephritoidea.Tephritidae.Tephritinae.#N/C.#N/C</v>
          </cell>
        </row>
        <row r="894">
          <cell r="AN894" t="str">
            <v>Insecta.#N/C.#N/C.#N/C.#N/C.#N/C.#N/C.#N/C.#N/C</v>
          </cell>
        </row>
        <row r="895">
          <cell r="AN895" t="str">
            <v>Insecta.Diptera.Brachycera.Muscomorpha.Oestroidea.#N/C.#N/C.#N/C.#N/C</v>
          </cell>
        </row>
        <row r="896">
          <cell r="AN896" t="str">
            <v>Insecta.Diptera.Brachycera.Muscomorpha.Ephydroidea.Drosophilidae.Drosophilinae.Drosophila.#N/C</v>
          </cell>
        </row>
        <row r="897">
          <cell r="AN897" t="str">
            <v>Insecta.Diptera.Brachycera.Muscomorpha.Ephydroidea.Drosophilidae.Drosophilinae.#N/C.#N/C</v>
          </cell>
        </row>
        <row r="898">
          <cell r="AN898" t="str">
            <v>Insecta.Diptera.Brachycera.#N/C.#N/C.#N/C.#N/C.#N/C.#N/C</v>
          </cell>
        </row>
        <row r="899">
          <cell r="AN899" t="str">
            <v>Insecta.Hymenoptera.Apocrita.Parasitica.Ichneumonoidea.Ichneumonidae.#N/C.#N/C.#N/C</v>
          </cell>
        </row>
        <row r="900">
          <cell r="AN900" t="str">
            <v>Insecta.Diptera.Brachycera.#N/C.#N/C.#N/C.#N/C.#N/C.#N/C</v>
          </cell>
        </row>
        <row r="901">
          <cell r="AN901" t="str">
            <v>Insecta.Diptera.Brachycera.Muscomorpha.Muscoidea.Fanniidae.0.Fannia.#N/C</v>
          </cell>
        </row>
        <row r="902">
          <cell r="AN902" t="str">
            <v>Insecta.Diptera.Brachycera.Muscomorpha.Oestroidea.Tachinidae.Tachininae.Tachina.#N/C</v>
          </cell>
        </row>
        <row r="903">
          <cell r="AN903" t="str">
            <v>Insecta.Diptera.Brachycera.#N/C.#N/C.#N/C.#N/C.#N/C.#N/C</v>
          </cell>
        </row>
        <row r="904">
          <cell r="AN904" t="str">
            <v>Insecta.Diptera.Brachycera.Muscomorpha.Muscoidea.Fanniidae.0.Fannia.#N/C</v>
          </cell>
        </row>
        <row r="905">
          <cell r="AN905" t="str">
            <v>Insecta.Diptera.Brachycera.Muscomorpha.Ephydroidea.Drosophilidae.Drosophilinae.Drosophila.#N/C</v>
          </cell>
        </row>
        <row r="906">
          <cell r="AN906" t="str">
            <v>Insecta.Diptera.Brachycera.#N/C.#N/C.#N/C.#N/C.#N/C.#N/C</v>
          </cell>
        </row>
        <row r="907">
          <cell r="AN907" t="str">
            <v>Insecta.Diptera.Brachycera.#N/C.#N/C.#N/C.#N/C.#N/C.#N/C</v>
          </cell>
        </row>
        <row r="908">
          <cell r="AN908" t="str">
            <v>Insecta.Diptera.Brachycera.Muscomorpha.Muscoidea.Fanniidae.0.Fannia.#N/C</v>
          </cell>
        </row>
        <row r="909">
          <cell r="AN909" t="str">
            <v>Insecta.Diptera.Brachycera.Muscomorpha.Muscoidea.Fanniidae.0.Fannia.#N/C</v>
          </cell>
        </row>
        <row r="910">
          <cell r="AN910" t="str">
            <v>Insecta.Diptera.Brachycera.Muscomorpha.Muscoidea.Fanniidae.0.Fannia.#N/C</v>
          </cell>
        </row>
        <row r="911">
          <cell r="AN911" t="str">
            <v>Insecta.Diptera.Brachycera.#N/C.#N/C.#N/C.#N/C.#N/C.#N/C</v>
          </cell>
        </row>
        <row r="912">
          <cell r="AN912" t="str">
            <v>Insecta.Diptera.Brachycera.#N/C.#N/C.#N/C.#N/C.#N/C.#N/C</v>
          </cell>
        </row>
        <row r="913">
          <cell r="AN913" t="str">
            <v>Insecta.Diptera.Brachycera.Muscomorpha.Muscoidea.Fanniidae.0.Fannia.#N/C</v>
          </cell>
        </row>
        <row r="914">
          <cell r="AN914" t="str">
            <v>Insecta.Diptera.Brachycera.Muscomorpha.Muscoidea.Fanniidae.0.Fannia.#N/C</v>
          </cell>
        </row>
        <row r="915">
          <cell r="AN915" t="str">
            <v>Insecta.Diptera.Brachycera.Muscomorpha.Ephydroidea.Drosophilidae.Drosophilinae.#N/C.#N/C</v>
          </cell>
        </row>
        <row r="916">
          <cell r="AN916" t="str">
            <v>Insecta.Diptera.Brachycera.Muscomorpha.Muscoidea.Fanniidae.0.Fannia.#N/C</v>
          </cell>
        </row>
        <row r="917">
          <cell r="AN917" t="str">
            <v>Insecta.Hymenoptera.Apocrita.Aculeata.Vespoidea.Vespidae.Vespinae.Vespula.#N/C</v>
          </cell>
        </row>
        <row r="918">
          <cell r="AN918" t="str">
            <v>Insecta.Diptera.Brachycera.#N/C.#N/C.#N/C.#N/C.#N/C.#N/C</v>
          </cell>
        </row>
        <row r="919">
          <cell r="AN919" t="str">
            <v>Insecta.Diptera.Brachycera.Muscomorpha.Muscoidea.Fanniidae.0.Fannia.#N/C</v>
          </cell>
        </row>
        <row r="920">
          <cell r="AN920" t="str">
            <v>Insecta.Diptera.Brachycera.Muscomorpha.Muscoidea.#N/C.#N/C.#N/C.#N/C</v>
          </cell>
        </row>
        <row r="921">
          <cell r="AN921" t="str">
            <v>Insecta.Diptera.Brachycera.Muscomorpha.Muscoidea.Fanniidae.0.Fannia.#N/C</v>
          </cell>
        </row>
        <row r="922">
          <cell r="AN922" t="str">
            <v>Insecta.Diptera.Brachycera.Muscomorpha.Muscoidea.Fanniidae.0.Fannia.#N/C</v>
          </cell>
        </row>
        <row r="923">
          <cell r="AN923" t="str">
            <v>Insecta.Diptera.Brachycera.Muscomorpha.Muscoidea.Fanniidae.0.Fannia.#N/C</v>
          </cell>
        </row>
        <row r="924">
          <cell r="AN924" t="str">
            <v>Insecta.Hemiptera.Heteroptera.Pentatomomorpha.Miroidea.Miridae.Mirinae.#N/C.#N/C</v>
          </cell>
        </row>
        <row r="925">
          <cell r="AN925" t="str">
            <v>Insecta.Diptera.Brachycera.#N/C.#N/C.#N/C.#N/C.#N/C.#N/C</v>
          </cell>
        </row>
        <row r="926">
          <cell r="AN926" t="str">
            <v>Insecta.Diptera.Brachycera.Muscomorpha.Muscoidea.Fanniidae.0.Fannia.#N/C</v>
          </cell>
        </row>
        <row r="927">
          <cell r="AN927" t="str">
            <v>Insecta.Hymenoptera.Apocrita.Aculeata.Vespoidea.Vespidae.Vespinae.Vespula.#N/C</v>
          </cell>
        </row>
        <row r="928">
          <cell r="AN928" t="str">
            <v>Insecta.Diptera.Brachycera.Muscomorpha.Muscoidea.Fanniidae.0.Fannia.#N/C</v>
          </cell>
        </row>
        <row r="929">
          <cell r="AN929" t="str">
            <v>Insecta.Diptera.Brachycera.Muscomorpha.Muscoidea.#N/C.#N/C.#N/C.#N/C</v>
          </cell>
        </row>
        <row r="930">
          <cell r="AN930" t="str">
            <v>Insecta.Diptera.Brachycera.#N/C.#N/C.#N/C.#N/C.#N/C.#N/C</v>
          </cell>
        </row>
        <row r="931">
          <cell r="AN931" t="str">
            <v>Insecta.Diptera.Brachycera.Muscomorpha.Muscoidea.Fanniidae.0.Fannia.#N/C</v>
          </cell>
        </row>
        <row r="932">
          <cell r="AN932" t="str">
            <v>Insecta.Diptera.Brachycera.Muscomorpha.Oestroidea.Sarcophagidae.Sarcophaginae.Sarcophaga.#N/C</v>
          </cell>
        </row>
        <row r="933">
          <cell r="AN933" t="str">
            <v>Insecta.Diptera.Brachycera.#N/C.#N/C.#N/C.#N/C.#N/C.#N/C</v>
          </cell>
        </row>
        <row r="934">
          <cell r="AN934" t="str">
            <v>Insecta.Diptera.Brachycera.Muscomorpha.Muscoidea.Fanniidae.0.Fannia.#N/C</v>
          </cell>
        </row>
        <row r="935">
          <cell r="AN935" t="str">
            <v>Insecta.Diptera.Brachycera.#N/C.#N/C.#N/C.#N/C.#N/C.#N/C</v>
          </cell>
        </row>
        <row r="936">
          <cell r="AN936" t="str">
            <v>Insecta.Diptera.Brachycera.Muscomorpha.Oestroidea.#N/C.#N/C.#N/C.#N/C</v>
          </cell>
        </row>
        <row r="937">
          <cell r="AN937" t="str">
            <v>Insecta.Diptera.Brachycera.#N/C.#N/C.#N/C.#N/C.#N/C.#N/C</v>
          </cell>
        </row>
        <row r="938">
          <cell r="AN938" t="str">
            <v>Insecta.Diptera.Brachycera.Muscomorpha.Tephritoidea.Tephritidae.Trypetinae.Anomoia.#N/C</v>
          </cell>
        </row>
        <row r="939">
          <cell r="AN939" t="str">
            <v>Insecta.Diptera.Brachycera.Muscomorpha.Muscoidea.#N/C.#N/C.#N/C.#N/C</v>
          </cell>
        </row>
        <row r="940">
          <cell r="AN940" t="str">
            <v>Insecta.Diptera.Brachycera.Muscomorpha.Muscoidea.#N/C.#N/C.#N/C.#N/C</v>
          </cell>
        </row>
        <row r="941">
          <cell r="AN941" t="str">
            <v>Insecta.Diptera.Brachycera.Muscomorpha.Muscoidea.Fanniidae.0.Fannia.#N/C</v>
          </cell>
        </row>
        <row r="942">
          <cell r="AN942" t="str">
            <v>Insecta.Diptera.Brachycera.#N/C.#N/C.#N/C.#N/C.#N/C.#N/C</v>
          </cell>
        </row>
        <row r="943">
          <cell r="AN943" t="str">
            <v>Insecta.Diptera.Brachycera.Muscomorpha.Muscoidea.Fanniidae.0.Fannia.#N/C</v>
          </cell>
        </row>
        <row r="944">
          <cell r="AN944" t="str">
            <v>Insecta.Diptera.Brachycera.Muscomorpha.Muscoidea.Fanniidae.0.Fannia.#N/C</v>
          </cell>
        </row>
        <row r="945">
          <cell r="AN945" t="str">
            <v>Insecta.Diptera.Brachycera.Asilomorpha.Asiloidea.Asilidae.Asilinae.#N/C.#N/C</v>
          </cell>
        </row>
        <row r="946">
          <cell r="AN946" t="str">
            <v>Insecta.Diptera.Brachycera.#N/C.#N/C.#N/C.#N/C.#N/C.#N/C</v>
          </cell>
        </row>
        <row r="947">
          <cell r="AN947" t="str">
            <v>Insecta.Diptera.Brachycera.Muscomorpha.Muscoidea.#N/C.#N/C.#N/C.#N/C</v>
          </cell>
        </row>
        <row r="948">
          <cell r="AN948" t="str">
            <v>Insecta.Diptera.Brachycera.#N/C.#N/C.#N/C.#N/C.#N/C.#N/C</v>
          </cell>
        </row>
        <row r="949">
          <cell r="AN949" t="str">
            <v>Insecta.Diptera.Brachycera.#N/C.#N/C.#N/C.#N/C.#N/C.#N/C</v>
          </cell>
        </row>
        <row r="950">
          <cell r="AN950" t="str">
            <v>Insecta.Diptera.Brachycera.#N/C.#N/C.#N/C.#N/C.#N/C.#N/C</v>
          </cell>
        </row>
        <row r="951">
          <cell r="AN951" t="str">
            <v>Insecta.Diptera.Brachycera.Muscomorpha.Muscoidea.Fanniidae.0.Fannia.#N/C</v>
          </cell>
        </row>
        <row r="952">
          <cell r="AN952" t="str">
            <v>Insecta.Diptera.Brachycera.#N/C.#N/C.#N/C.#N/C.#N/C.#N/C</v>
          </cell>
        </row>
        <row r="953">
          <cell r="AN953" t="str">
            <v>Insecta.Diptera.Brachycera.Muscomorpha.Muscoidea.Fanniidae.0.Fannia.#N/C</v>
          </cell>
        </row>
        <row r="954">
          <cell r="AN954" t="str">
            <v>Insecta.Diptera.Brachycera.#N/C.#N/C.#N/C.#N/C.#N/C.#N/C</v>
          </cell>
        </row>
        <row r="955">
          <cell r="AN955" t="str">
            <v>Insecta.Diptera.Brachycera.Muscomorpha.Muscoidea.Fanniidae.0.Fannia.#N/C</v>
          </cell>
        </row>
        <row r="956">
          <cell r="AN956" t="str">
            <v>Insecta.Diptera.Brachycera.Muscomorpha.Muscoidea.#N/C.#N/C.#N/C.#N/C</v>
          </cell>
        </row>
        <row r="957">
          <cell r="AN957" t="str">
            <v>Insecta.Diptera.Brachycera.Muscomorpha.Muscoidea.Fanniidae.0.Fannia.#N/C</v>
          </cell>
        </row>
        <row r="958">
          <cell r="AN958" t="str">
            <v>Insecta.Diptera.Brachycera.#N/C.#N/C.#N/C.#N/C.#N/C.#N/C</v>
          </cell>
        </row>
        <row r="959">
          <cell r="AN959" t="str">
            <v>Insecta.Diptera.Brachycera.#N/C.#N/C.#N/C.#N/C.#N/C.#N/C</v>
          </cell>
        </row>
        <row r="960">
          <cell r="AN960" t="str">
            <v>Insecta.Diptera.Brachycera.Muscomorpha.Muscoidea.#N/C.#N/C.#N/C.#N/C</v>
          </cell>
        </row>
        <row r="961">
          <cell r="AN961" t="str">
            <v>Insecta.Diptera.Brachycera.Muscomorpha.Muscoidea.Fanniidae.0.Fannia.#N/C</v>
          </cell>
        </row>
        <row r="962">
          <cell r="AN962" t="str">
            <v>Insecta.Diptera.Brachycera.Muscomorpha.Muscoidea.Fanniidae.0.Fannia.#N/C</v>
          </cell>
        </row>
        <row r="963">
          <cell r="AN963" t="str">
            <v>Insecta.Diptera.Brachycera.Muscomorpha.Muscoidea.Fanniidae.0.Fannia.#N/C</v>
          </cell>
        </row>
        <row r="964">
          <cell r="AN964" t="str">
            <v>Insecta.Diptera.Brachycera.Muscomorpha.Muscoidea.Fanniidae.0.Fannia.#N/C</v>
          </cell>
        </row>
        <row r="965">
          <cell r="AN965" t="str">
            <v>Insecta.Diptera.Brachycera.Muscomorpha.Muscoidea.Fanniidae.0.Fannia.#N/C</v>
          </cell>
        </row>
        <row r="966">
          <cell r="AN966" t="str">
            <v>Insecta.Diptera.Brachycera.#N/C.#N/C.#N/C.#N/C.#N/C.#N/C</v>
          </cell>
        </row>
        <row r="967">
          <cell r="AN967" t="str">
            <v>Insecta.#N/C.#N/C.#N/C.#N/C.#N/C.#N/C.#N/C.#N/C</v>
          </cell>
        </row>
        <row r="968">
          <cell r="AN968" t="str">
            <v>Insecta.Diptera.Brachycera.#N/C.#N/C.#N/C.#N/C.#N/C.#N/C</v>
          </cell>
        </row>
        <row r="969">
          <cell r="AN969" t="str">
            <v>Insecta.Diptera.Brachycera.Muscomorpha.Muscoidea.#N/C.#N/C.#N/C.#N/C</v>
          </cell>
        </row>
        <row r="970">
          <cell r="AN970" t="str">
            <v>Insecta.Diptera.Brachycera.Muscomorpha.Muscoidea.Fanniidae.0.Fannia.#N/C</v>
          </cell>
        </row>
        <row r="971">
          <cell r="AN971" t="str">
            <v>Insecta.Diptera.Brachycera.Muscomorpha.Tephritoidea.Tephritidae.Trypetinae.Anomoia.#N/C</v>
          </cell>
        </row>
        <row r="972">
          <cell r="AN972" t="str">
            <v>Insecta.Diptera.Brachycera.#N/C.#N/C.#N/C.#N/C.#N/C.#N/C</v>
          </cell>
        </row>
        <row r="973">
          <cell r="AN973" t="str">
            <v>Insecta.Diptera.Brachycera.Muscomorpha.Muscoidea.Fanniidae.0.Fannia.#N/C</v>
          </cell>
        </row>
        <row r="974">
          <cell r="AN974" t="str">
            <v>Insecta.#N/C.#N/C.#N/C.#N/C.#N/C.#N/C.#N/C.#N/C</v>
          </cell>
        </row>
        <row r="975">
          <cell r="AN975" t="str">
            <v>Insecta.Diptera.Brachycera.#N/C.#N/C.#N/C.#N/C.#N/C.#N/C</v>
          </cell>
        </row>
        <row r="976">
          <cell r="AN976" t="str">
            <v>Insecta.Diptera.Brachycera.Muscomorpha.Muscoidea.#N/C.#N/C.#N/C.#N/C</v>
          </cell>
        </row>
        <row r="977">
          <cell r="AN977" t="str">
            <v>Insecta.Diptera.Brachycera.Muscomorpha.Muscoidea.Fanniidae.0.Fannia.#N/C</v>
          </cell>
        </row>
        <row r="978">
          <cell r="AN978" t="str">
            <v>Insecta.Diptera.Brachycera.Muscomorpha.Muscoidea.#N/C.#N/C.#N/C.#N/C</v>
          </cell>
        </row>
        <row r="979">
          <cell r="AN979" t="str">
            <v>Insecta.Diptera.Brachycera.Muscomorpha.Muscoidea.Fanniidae.0.Fannia.#N/C</v>
          </cell>
        </row>
        <row r="980">
          <cell r="AN980" t="str">
            <v>Insecta.Diptera.Brachycera.Muscomorpha.Muscoidea.Fanniidae.0.Fannia.#N/C</v>
          </cell>
        </row>
        <row r="981">
          <cell r="AN981" t="str">
            <v>Insecta.Diptera.Brachycera.Muscomorpha.Muscoidea.#N/C.#N/C.#N/C.#N/C</v>
          </cell>
        </row>
        <row r="982">
          <cell r="AN982" t="str">
            <v>Insecta.Diptera.Brachycera.#N/C.#N/C.#N/C.#N/C.#N/C.#N/C</v>
          </cell>
        </row>
        <row r="983">
          <cell r="AN983" t="str">
            <v>Insecta.Diptera.Brachycera.Muscomorpha.Syrphoidea.Syrphidae.Syrphinae.Episyrphus.#N/C</v>
          </cell>
        </row>
        <row r="984">
          <cell r="AN984" t="str">
            <v>Insecta.Diptera.Brachycera.Muscomorpha.Muscoidea.Fanniidae.0.Fannia.#N/C</v>
          </cell>
        </row>
        <row r="985">
          <cell r="AN985" t="str">
            <v>Insecta.Diptera.Brachycera.Muscomorpha.Ephydroidea.Drosophilidae.Drosophilinae.Drosophila.#N/C</v>
          </cell>
        </row>
        <row r="986">
          <cell r="AN986" t="str">
            <v>Insecta.Diptera.Brachycera.Muscomorpha.Muscoidea.Fanniidae.0.Fannia.#N/C</v>
          </cell>
        </row>
        <row r="987">
          <cell r="AN987" t="str">
            <v>Insecta.Diptera.Brachycera.#N/C.#N/C.#N/C.#N/C.#N/C.#N/C</v>
          </cell>
        </row>
        <row r="988">
          <cell r="AN988" t="str">
            <v>Insecta.Diptera.Brachycera.Muscomorpha.Muscoidea.#N/C.#N/C.#N/C.#N/C</v>
          </cell>
        </row>
        <row r="989">
          <cell r="AN989" t="str">
            <v>Insecta.#N/C.#N/C.#N/C.#N/C.#N/C.#N/C.#N/C.#N/C</v>
          </cell>
        </row>
        <row r="990">
          <cell r="AN990" t="str">
            <v>Insecta.#N/C.#N/C.#N/C.#N/C.#N/C.#N/C.#N/C.#N/C</v>
          </cell>
        </row>
        <row r="991">
          <cell r="AN991" t="str">
            <v>Insecta.Diptera.Brachycera.Muscomorpha.Muscoidea.#N/C.#N/C.#N/C.#N/C</v>
          </cell>
        </row>
        <row r="992">
          <cell r="AN992" t="str">
            <v>Insecta.Diptera.Brachycera.#N/C.#N/C.#N/C.#N/C.#N/C.#N/C</v>
          </cell>
        </row>
        <row r="993">
          <cell r="AN993" t="str">
            <v>Insecta.Diptera.Brachycera.Muscomorpha.Muscoidea.Fanniidae.0.Fannia.#N/C</v>
          </cell>
        </row>
        <row r="994">
          <cell r="AN994" t="str">
            <v>Insecta.#N/C.#N/C.#N/C.#N/C.#N/C.#N/C.#N/C.#N/C</v>
          </cell>
        </row>
        <row r="995">
          <cell r="AN995" t="str">
            <v>Insecta.#N/C.#N/C.#N/C.#N/C.#N/C.#N/C.#N/C.#N/C</v>
          </cell>
        </row>
        <row r="996">
          <cell r="AN996" t="str">
            <v>Insecta.Diptera.Brachycera.Muscomorpha.Phoroidea.Phoridae.#N/C.#N/C.#N/C</v>
          </cell>
        </row>
        <row r="997">
          <cell r="AN997" t="str">
            <v>Insecta.#N/C.#N/C.#N/C.#N/C.#N/C.#N/C.#N/C.#N/C</v>
          </cell>
        </row>
        <row r="998">
          <cell r="AN998" t="str">
            <v>Insecta.Diptera.Brachycera.#N/C.#N/C.#N/C.#N/C.#N/C.#N/C</v>
          </cell>
        </row>
        <row r="999">
          <cell r="AN999" t="str">
            <v>Insecta.Diptera.Brachycera.Muscomorpha.Muscoidea.#N/C.#N/C.#N/C.#N/C</v>
          </cell>
        </row>
        <row r="1000">
          <cell r="AN1000" t="str">
            <v>Insecta.#N/C.#N/C.#N/C.#N/C.#N/C.#N/C.#N/C.#N/C</v>
          </cell>
        </row>
        <row r="1001">
          <cell r="AN1001" t="str">
            <v>Insecta.Diptera.Brachycera.#N/C.#N/C.#N/C.#N/C.#N/C.#N/C</v>
          </cell>
        </row>
        <row r="1002">
          <cell r="AN1002" t="str">
            <v>Insecta.Diptera.Brachycera.Muscomorpha.Muscoidea.#N/C.#N/C.#N/C.#N/C</v>
          </cell>
        </row>
        <row r="1003">
          <cell r="AN1003" t="str">
            <v>insecta.#N/C.#N/C.#N/C.#N/C.#N/C.#N/C.#N/C.#N/C</v>
          </cell>
        </row>
        <row r="1004">
          <cell r="AN1004" t="str">
            <v>Insecta.Diptera.Brachycera.Muscomorpha.Muscoidea.Fanniidae.0.Fannia.#N/C</v>
          </cell>
        </row>
        <row r="1005">
          <cell r="AN1005" t="str">
            <v>Insecta.Diptera.Brachycera.Muscomorpha.Muscoidea.Fanniidae.0.Fannia.#N/C</v>
          </cell>
        </row>
        <row r="1006">
          <cell r="AN1006" t="str">
            <v>Insecta.Diptera.Brachycera.Muscomorpha.Muscoidea.#N/C.#N/C.#N/C.#N/C</v>
          </cell>
        </row>
        <row r="1007">
          <cell r="AN1007" t="str">
            <v>Insecta.Diptera.Brachycera.#N/C.#N/C.#N/C.#N/C.#N/C.#N/C</v>
          </cell>
        </row>
        <row r="1008">
          <cell r="AN1008" t="str">
            <v>Insecta.Diptera.Brachycera.#N/C.#N/C.#N/C.#N/C.#N/C.#N/C</v>
          </cell>
        </row>
        <row r="1009">
          <cell r="AN1009" t="str">
            <v>Insecta.Diptera.Brachycera.Muscomorpha.Sciomyzoidea.Sepsidae.Sepsinae.Parapalaeosepsis.#N/C</v>
          </cell>
        </row>
        <row r="1010">
          <cell r="AN1010" t="str">
            <v>Insecta.Diptera.Brachycera.Muscomorpha.Muscoidea.#N/C.#N/C.#N/C.#N/C</v>
          </cell>
        </row>
        <row r="1011">
          <cell r="AN1011" t="str">
            <v>Insecta.Diptera.Brachycera.#N/C.#N/C.#N/C.#N/C.#N/C.#N/C</v>
          </cell>
        </row>
        <row r="1012">
          <cell r="AN1012" t="str">
            <v>Insecta.Diptera.Brachycera.Muscomorpha.Muscoidea.Fanniidae.0.Fannia.#N/C</v>
          </cell>
        </row>
        <row r="1013">
          <cell r="AN1013" t="str">
            <v>Insecta.Diptera.Brachycera.#N/C.#N/C.#N/C.#N/C.#N/C.#N/C</v>
          </cell>
        </row>
        <row r="1014">
          <cell r="AN1014" t="str">
            <v>Insecta.Diptera.Brachycera.Muscomorpha.Muscoidea.#N/C.#N/C.#N/C.#N/C</v>
          </cell>
        </row>
        <row r="1015">
          <cell r="AN1015" t="str">
            <v>Insecta.Diptera.Brachycera.Muscomorpha.Muscoidea.Fanniidae.0.Fannia.#N/C</v>
          </cell>
        </row>
        <row r="1016">
          <cell r="AN1016" t="str">
            <v>Insecta.Diptera.Brachycera.Muscomorpha.Muscoidea.Fanniidae.0.Fannia.#N/C</v>
          </cell>
        </row>
        <row r="1017">
          <cell r="AN1017" t="str">
            <v>Insecta.Diptera.Brachycera.Muscomorpha.Muscoidea.Fanniidae.0.Fannia.#N/C</v>
          </cell>
        </row>
        <row r="1018">
          <cell r="AN1018" t="str">
            <v>Insecta.Diptera.Brachycera.#N/C.#N/C.#N/C.#N/C.#N/C.#N/C</v>
          </cell>
        </row>
        <row r="1019">
          <cell r="AN1019" t="str">
            <v>Insecta.Diptera.Brachycera.Muscomorpha.Muscoidea.#N/C.#N/C.#N/C.#N/C</v>
          </cell>
        </row>
        <row r="1020">
          <cell r="AN1020" t="str">
            <v>Insecta.Diptera.Brachycera.#N/C.#N/C.#N/C.#N/C.#N/C.#N/C</v>
          </cell>
        </row>
        <row r="1021">
          <cell r="AN1021" t="str">
            <v>Insecta.Diptera.Brachycera.Muscomorpha.Muscoidea.#N/C.#N/C.#N/C.#N/C</v>
          </cell>
        </row>
        <row r="1022">
          <cell r="AN1022" t="str">
            <v>Insecta.Diptera.Brachycera.#N/C.#N/C.#N/C.#N/C.#N/C.#N/C</v>
          </cell>
        </row>
        <row r="1023">
          <cell r="AN1023" t="str">
            <v>Insecta.Diptera.Brachycera.#N/C.#N/C.#N/C.#N/C.#N/C.#N/C</v>
          </cell>
        </row>
        <row r="1024">
          <cell r="AN1024" t="str">
            <v>Insecta.Diptera.Brachycera.#N/C.#N/C.#N/C.#N/C.#N/C.#N/C</v>
          </cell>
        </row>
        <row r="1025">
          <cell r="AN1025" t="str">
            <v>Insecta.Diptera.Brachycera.#N/C.#N/C.#N/C.#N/C.#N/C.#N/C</v>
          </cell>
        </row>
        <row r="1026">
          <cell r="AN1026" t="str">
            <v>Insecta.Diptera.Brachycera.#N/C.#N/C.#N/C.#N/C.#N/C.#N/C</v>
          </cell>
        </row>
        <row r="1027">
          <cell r="AN1027" t="str">
            <v>Insecta.Diptera.Brachycera.Muscomorpha.Muscoidea.Fanniidae.0.Fannia.#N/C</v>
          </cell>
        </row>
        <row r="1028">
          <cell r="AN1028" t="str">
            <v>Insecta.Diptera.Brachycera.Muscomorpha.Muscoidea.Fanniidae.0.Fannia.#N/C</v>
          </cell>
        </row>
        <row r="1029">
          <cell r="AN1029" t="str">
            <v>Insecta.Diptera.Brachycera.#N/C.#N/C.#N/C.#N/C.#N/C.#N/C</v>
          </cell>
        </row>
        <row r="1030">
          <cell r="AN1030" t="str">
            <v>Insecta.Diptera.Brachycera.Muscomorpha.Muscoidea.Fanniidae.0.Fannia.#N/C</v>
          </cell>
        </row>
        <row r="1031">
          <cell r="AN1031" t="str">
            <v>Insecta.Diptera.Brachycera.Muscomorpha.Muscoidea.#N/C.#N/C.#N/C.#N/C</v>
          </cell>
        </row>
        <row r="1032">
          <cell r="AN1032" t="str">
            <v>Insecta.Diptera.Brachycera.Muscomorpha.Muscoidea.Fanniidae.0.Fannia.#N/C</v>
          </cell>
        </row>
        <row r="1033">
          <cell r="AN1033" t="str">
            <v>Insecta.Diptera.Brachycera.Muscomorpha.Muscoidea.Fanniidae.0.Fannia.#N/C</v>
          </cell>
        </row>
        <row r="1034">
          <cell r="AN1034" t="str">
            <v>Insecta.Diptera.Brachycera.#N/C.#N/C.#N/C.#N/C.#N/C.#N/C</v>
          </cell>
        </row>
        <row r="1035">
          <cell r="AN1035" t="str">
            <v>Insecta.Diptera.Brachycera.Muscomorpha.Muscoidea.Fanniidae.0.Fannia.#N/C</v>
          </cell>
        </row>
        <row r="1036">
          <cell r="AN1036" t="str">
            <v>Insecta.Diptera.Brachycera.#N/C.#N/C.#N/C.#N/C.#N/C.#N/C</v>
          </cell>
        </row>
        <row r="1037">
          <cell r="AN1037" t="str">
            <v>#N/C.#N/C.#N/C.#N/C.#N/C.#N/C.#N/C.#N/C.#N/C</v>
          </cell>
        </row>
        <row r="1038">
          <cell r="AN1038" t="str">
            <v>Insecta.Diptera.Brachycera.#N/C.#N/C.#N/C.#N/C.#N/C.#N/C</v>
          </cell>
        </row>
        <row r="1039">
          <cell r="AN1039" t="str">
            <v>Insecta.Diptera.Brachycera.#N/C.#N/C.#N/C.#N/C.#N/C.#N/C</v>
          </cell>
        </row>
        <row r="1040">
          <cell r="AN1040" t="str">
            <v>Insecta.Diptera.Brachycera.Muscomorpha.Muscoidea.#N/C.#N/C.#N/C.#N/C</v>
          </cell>
        </row>
        <row r="1041">
          <cell r="AN1041" t="str">
            <v>Insecta.Diptera.Brachycera.#N/C.#N/C.#N/C.#N/C.#N/C.#N/C</v>
          </cell>
        </row>
        <row r="1042">
          <cell r="AN1042" t="str">
            <v>Insecta.Diptera.Brachycera.#N/C.#N/C.#N/C.#N/C.#N/C.#N/C</v>
          </cell>
        </row>
        <row r="1043">
          <cell r="AN1043" t="str">
            <v>Insecta.Diptera.Brachycera.Muscomorpha.Muscoidea.Fanniidae.0.Fannia.#N/C</v>
          </cell>
        </row>
        <row r="1044">
          <cell r="AN1044" t="str">
            <v>Insecta.Diptera.Brachycera.#N/C.#N/C.#N/C.#N/C.#N/C.#N/C</v>
          </cell>
        </row>
        <row r="1045">
          <cell r="AN1045" t="str">
            <v>Insecta.Diptera.Brachycera.#N/C.#N/C.#N/C.#N/C.#N/C.#N/C</v>
          </cell>
        </row>
        <row r="1046">
          <cell r="AN1046" t="str">
            <v>Insecta.Diptera.Brachycera.Muscomorpha.Phoroidea.Phoridae.Metopininae.Megaselia.#N/C</v>
          </cell>
        </row>
        <row r="1047">
          <cell r="AN1047" t="str">
            <v>Insecta.#N/C.#N/C.#N/C.#N/C.#N/C.#N/C.#N/C.#N/C</v>
          </cell>
        </row>
        <row r="1048">
          <cell r="AN1048" t="str">
            <v>Insecta.Diptera.Brachycera.Muscomorpha.Muscoidea.Fanniidae.0.Fannia.#N/C</v>
          </cell>
        </row>
        <row r="1049">
          <cell r="AN1049" t="str">
            <v>Insecta.Diptera.Brachycera.Muscomorpha.Lauxanioidea.Lauxaniidae.Lauxaniinae.Calliopum.#N/C</v>
          </cell>
        </row>
        <row r="1050">
          <cell r="AN1050" t="str">
            <v>Insecta.Diptera.Brachycera.Muscomorpha.Muscoidea.#N/C.#N/C.#N/C.#N/C</v>
          </cell>
        </row>
        <row r="1051">
          <cell r="AN1051" t="str">
            <v>Insecta.Diptera.Brachycera.Muscomorpha.Muscoidea.#N/C.#N/C.#N/C.#N/C</v>
          </cell>
        </row>
        <row r="1052">
          <cell r="AN1052" t="str">
            <v>Insecta.Hymenoptera.Apocrita.Aculeata.Vespoidea.Vespidae.Vespinae.Vespula.#N/C</v>
          </cell>
        </row>
        <row r="1053">
          <cell r="AN1053" t="str">
            <v>Insecta.Diptera.Brachycera.#N/C.#N/C.#N/C.#N/C.#N/C.#N/C</v>
          </cell>
        </row>
        <row r="1054">
          <cell r="AN1054" t="str">
            <v>Insecta.Diptera.Brachycera.#N/C.#N/C.#N/C.#N/C.#N/C.#N/C</v>
          </cell>
        </row>
        <row r="1055">
          <cell r="AN1055" t="str">
            <v>Insecta.Diptera.Brachycera.Muscomorpha.Muscoidea.Fanniidae.0.Fannia.#N/C</v>
          </cell>
        </row>
        <row r="1056">
          <cell r="AN1056" t="str">
            <v>Insecta.Diptera.Brachycera.Muscomorpha.Muscoidea.Fanniidae.0.Fannia.#N/C</v>
          </cell>
        </row>
        <row r="1057">
          <cell r="AN1057" t="str">
            <v>Insecta.Diptera.Brachycera.Muscomorpha.Oestroidea.Sarcophagidae.#N/C.#N/C.#N/C</v>
          </cell>
        </row>
        <row r="1058">
          <cell r="AN1058" t="str">
            <v>Insecta.Diptera.Brachycera.Muscomorpha.Muscoidea.Fanniidae.0.Fannia.#N/C</v>
          </cell>
        </row>
        <row r="1059">
          <cell r="AN1059" t="str">
            <v>Insecta.Diptera.Brachycera.#N/C.#N/C.#N/C.#N/C.#N/C.#N/C</v>
          </cell>
        </row>
        <row r="1060">
          <cell r="AN1060" t="str">
            <v>Insecta.Diptera.Brachycera.#N/C.#N/C.#N/C.#N/C.#N/C.#N/C</v>
          </cell>
        </row>
        <row r="1061">
          <cell r="AN1061" t="str">
            <v>Insecta.Diptera.Brachycera.Muscomorpha.Muscoidea.Fanniidae.0.Fannia.#N/C</v>
          </cell>
        </row>
        <row r="1062">
          <cell r="AN1062" t="str">
            <v>Insecta.Diptera.Brachycera.Muscomorpha.Muscoidea.Fanniidae.0.Fannia.#N/C</v>
          </cell>
        </row>
        <row r="1063">
          <cell r="AN1063" t="str">
            <v>Insecta.Hymenoptera.Apocrita.Aculeata.Formicoidea.Formicidae.#N/C.#N/C.#N/C</v>
          </cell>
        </row>
        <row r="1064">
          <cell r="AN1064" t="str">
            <v>Insecta.Diptera.Brachycera.Muscomorpha.Muscoidea.#N/C.#N/C.#N/C.#N/C</v>
          </cell>
        </row>
        <row r="1065">
          <cell r="AN1065" t="str">
            <v>Insecta.Diptera.Brachycera.Muscomorpha.Oestroidea.Sarcophagidae.Sarcophaginae.#N/C.#N/C</v>
          </cell>
        </row>
        <row r="1066">
          <cell r="AN1066" t="str">
            <v>Insecta.Diptera.Brachycera.Muscomorpha.Muscoidea.Fanniidae.0.Fannia.#N/C</v>
          </cell>
        </row>
        <row r="1067">
          <cell r="AN1067" t="str">
            <v>Insecta.Diptera.Brachycera.Muscomorpha.Muscoidea.#N/C.#N/C.#N/C.#N/C</v>
          </cell>
        </row>
        <row r="1068">
          <cell r="AN1068" t="str">
            <v>Insecta.Diptera.Brachycera.Muscomorpha.Muscoidea.Fanniidae.0.Fannia.#N/C</v>
          </cell>
        </row>
        <row r="1069">
          <cell r="AN1069" t="str">
            <v>Insecta.Diptera.Brachycera.Muscomorpha.Oestroidea.Tachinidae.Tachininae.Tachina.#N/C</v>
          </cell>
        </row>
        <row r="1070">
          <cell r="AN1070" t="str">
            <v>Insecta.Diptera.Brachycera.Muscomorpha.Oestroidea.Calliphoridae.#N/C.#N/C.#N/C</v>
          </cell>
        </row>
        <row r="1071">
          <cell r="AN1071" t="str">
            <v>Insecta.Diptera.Brachycera.Muscomorpha.Oestroidea.Sarcophagidae.#N/C.#N/C.#N/C</v>
          </cell>
        </row>
        <row r="1072">
          <cell r="AN1072" t="str">
            <v>Insecta.Diptera.Brachycera.Muscomorpha.Muscoidea.Fanniidae.0.Fannia.#N/C</v>
          </cell>
        </row>
        <row r="1073">
          <cell r="AN1073" t="str">
            <v>Insecta.Diptera.Brachycera.Muscomorpha.Muscoidea.Fanniidae.0.Fannia.#N/C</v>
          </cell>
        </row>
        <row r="1074">
          <cell r="AN1074" t="str">
            <v>Insecta.Diptera.Brachycera.#N/C.#N/C.#N/C.#N/C.#N/C.#N/C</v>
          </cell>
        </row>
        <row r="1075">
          <cell r="AN1075" t="str">
            <v>Insecta.Diptera.Brachycera.Muscomorpha.Muscoidea.Fanniidae.0.Fannia.#N/C</v>
          </cell>
        </row>
        <row r="1076">
          <cell r="AN1076" t="str">
            <v>Insecta.Diptera.Brachycera.Muscomorpha.Muscoidea.Fanniidae.0.Fannia.#N/C</v>
          </cell>
        </row>
        <row r="1077">
          <cell r="AN1077" t="str">
            <v>Insecta.Diptera.Brachycera.Muscomorpha.Muscoidea.Fanniidae.0.Fannia.#N/C</v>
          </cell>
        </row>
        <row r="1078">
          <cell r="AN1078" t="str">
            <v>Insecta.Diptera.Brachycera.#N/C.#N/C.#N/C.#N/C.#N/C.#N/C</v>
          </cell>
        </row>
        <row r="1079">
          <cell r="AN1079" t="str">
            <v>Insecta.Diptera.Brachycera.Muscomorpha.Oestroidea.Sarcophagidae.#N/C.#N/C.#N/C</v>
          </cell>
        </row>
        <row r="1080">
          <cell r="AN1080" t="str">
            <v>Insecta.Diptera.Brachycera.Muscomorpha.Muscoidea.Fanniidae.0.Fannia.#N/C</v>
          </cell>
        </row>
        <row r="1081">
          <cell r="AN1081" t="str">
            <v>Insecta.Diptera.Brachycera.#N/C.#N/C.#N/C.#N/C.#N/C.#N/C</v>
          </cell>
        </row>
        <row r="1082">
          <cell r="AN1082" t="str">
            <v>Insecta.Diptera.Brachycera.Muscomorpha.Muscoidea.#N/C.#N/C.#N/C.#N/C</v>
          </cell>
        </row>
        <row r="1083">
          <cell r="AN1083" t="str">
            <v>Insecta.Diptera.Brachycera.Muscomorpha.Carnoidea.Chloropidae.Chloropinae.Thaumatomyia.#N/C</v>
          </cell>
        </row>
        <row r="1084">
          <cell r="AN1084" t="str">
            <v>Insecta.Diptera.Brachycera.#N/C.#N/C.#N/C.#N/C.#N/C.#N/C</v>
          </cell>
        </row>
        <row r="1085">
          <cell r="AN1085" t="str">
            <v>Insecta.Diptera.Brachycera.#N/C.#N/C.#N/C.#N/C.#N/C.#N/C</v>
          </cell>
        </row>
        <row r="1086">
          <cell r="AN1086" t="str">
            <v>Insecta.Diptera.Brachycera.Muscomorpha.Muscoidea.#N/C.#N/C.#N/C.#N/C</v>
          </cell>
        </row>
        <row r="1087">
          <cell r="AN1087" t="str">
            <v>Insecta.Diptera.Brachycera.Muscomorpha.Muscoidea.Fanniidae.0.Fannia.#N/C</v>
          </cell>
        </row>
        <row r="1088">
          <cell r="AN1088" t="str">
            <v>Insecta.Diptera.Brachycera.Muscomorpha.Muscoidea.Fanniidae.0.Fannia.#N/C</v>
          </cell>
        </row>
        <row r="1089">
          <cell r="AN1089" t="str">
            <v>Insecta.Diptera.Brachycera.Muscomorpha.Muscoidea.Fanniidae.0.Fannia.#N/C</v>
          </cell>
        </row>
        <row r="1090">
          <cell r="AN1090" t="str">
            <v>Insecta.Diptera.Brachycera.Muscomorpha.Muscoidea.Fanniidae.0.Fannia.#N/C</v>
          </cell>
        </row>
        <row r="1091">
          <cell r="AN1091" t="str">
            <v>Insecta.Diptera.Brachycera.#N/C.#N/C.#N/C.#N/C.#N/C.#N/C</v>
          </cell>
        </row>
        <row r="1092">
          <cell r="AN1092" t="str">
            <v>Insecta.Diptera.Brachycera.Muscomorpha.Muscoidea.#N/C.#N/C.#N/C.#N/C</v>
          </cell>
        </row>
        <row r="1093">
          <cell r="AN1093" t="str">
            <v>Insecta.Diptera.Brachycera.Muscomorpha.Muscoidea.#N/C.#N/C.#N/C.#N/C</v>
          </cell>
        </row>
        <row r="1094">
          <cell r="AN1094" t="str">
            <v>Insecta.Diptera.Brachycera.Muscomorpha.Muscoidea.#N/C.#N/C.#N/C.#N/C</v>
          </cell>
        </row>
        <row r="1095">
          <cell r="AN1095" t="str">
            <v>Insecta.Diptera.Brachycera.#N/C.#N/C.#N/C.#N/C.#N/C.#N/C</v>
          </cell>
        </row>
        <row r="1096">
          <cell r="AN1096" t="str">
            <v>Insecta.Diptera.Brachycera.Muscomorpha.Muscoidea.Fanniidae.0.Fannia.#N/C</v>
          </cell>
        </row>
        <row r="1097">
          <cell r="AN1097" t="str">
            <v>Insecta.Diptera.Brachycera.#N/C.#N/C.#N/C.#N/C.#N/C.#N/C</v>
          </cell>
        </row>
        <row r="1098">
          <cell r="AN1098" t="str">
            <v>Insecta.Diptera.Brachycera.#N/C.#N/C.#N/C.#N/C.#N/C.#N/C</v>
          </cell>
        </row>
        <row r="1099">
          <cell r="AN1099" t="str">
            <v>Insecta.Diptera.Brachycera.Muscomorpha.Muscoidea.#N/C.#N/C.#N/C.#N/C</v>
          </cell>
        </row>
        <row r="1100">
          <cell r="AN1100" t="str">
            <v>Insecta.Diptera.Brachycera.Muscomorpha.Muscoidea.#N/C.#N/C.#N/C.#N/C</v>
          </cell>
        </row>
        <row r="1101">
          <cell r="AN1101" t="str">
            <v>Insecta.Diptera.Brachycera.#N/C.#N/C.#N/C.#N/C.#N/C.#N/C</v>
          </cell>
        </row>
        <row r="1102">
          <cell r="AN1102" t="str">
            <v>Insecta.Diptera.Brachycera.Muscomorpha.Muscoidea.#N/C.#N/C.#N/C.#N/C</v>
          </cell>
        </row>
        <row r="1103">
          <cell r="AN1103" t="str">
            <v>Insecta.Diptera.Brachycera.Muscomorpha.Muscoidea.Fanniidae.0.Fannia.#N/C</v>
          </cell>
        </row>
        <row r="1104">
          <cell r="AN1104" t="str">
            <v>Insecta.Diptera.Brachycera.#N/C.#N/C.#N/C.#N/C.#N/C.#N/C</v>
          </cell>
        </row>
        <row r="1105">
          <cell r="AN1105" t="str">
            <v>Insecta.Diptera.Brachycera.#N/C.#N/C.#N/C.#N/C.#N/C.#N/C</v>
          </cell>
        </row>
        <row r="1106">
          <cell r="AN1106" t="str">
            <v>Insecta.Diptera.Brachycera.Muscomorpha.Muscoidea.Fanniidae.0.Fannia.#N/C</v>
          </cell>
        </row>
        <row r="1107">
          <cell r="AN1107" t="str">
            <v>Insecta.Diptera.Brachycera.#N/C.#N/C.#N/C.#N/C.#N/C.#N/C</v>
          </cell>
        </row>
        <row r="1108">
          <cell r="AN1108" t="str">
            <v>Insecta.Diptera.Brachycera.Muscomorpha.Muscoidea.Fanniidae.0.Fannia.#N/C</v>
          </cell>
        </row>
        <row r="1109">
          <cell r="AN1109" t="str">
            <v>Insecta.Diptera.Brachycera.Muscomorpha.Muscoidea.Fanniidae.0.Fannia.#N/C</v>
          </cell>
        </row>
        <row r="1110">
          <cell r="AN1110" t="str">
            <v>Insecta.Diptera.Brachycera.Muscomorpha.Syrphoidea.Syrphidae.Syrphinae.Episyrphus.#N/C</v>
          </cell>
        </row>
        <row r="1111">
          <cell r="AN1111" t="str">
            <v>Insecta.Diptera.Brachycera.#N/C.#N/C.#N/C.#N/C.#N/C.#N/C</v>
          </cell>
        </row>
        <row r="1112">
          <cell r="AN1112" t="str">
            <v>Insecta.Diptera.Brachycera.Muscomorpha.Muscoidea.Fanniidae.0.Fannia.#N/C</v>
          </cell>
        </row>
        <row r="1113">
          <cell r="AN1113" t="str">
            <v>Insecta.Diptera.Brachycera.Muscomorpha.Muscoidea.Fanniidae.0.Fannia.#N/C</v>
          </cell>
        </row>
        <row r="1114">
          <cell r="AN1114" t="str">
            <v>Insecta.Diptera.Brachycera.#N/C.#N/C.#N/C.#N/C.#N/C.#N/C</v>
          </cell>
        </row>
        <row r="1115">
          <cell r="AN1115" t="str">
            <v>Insecta.Diptera.Brachycera.Muscomorpha.Oestroidea.Tachinidae.Tachininae.Tachina.#N/C</v>
          </cell>
        </row>
        <row r="1116">
          <cell r="AN1116" t="str">
            <v>Insecta.Diptera.Brachycera.Muscomorpha.Muscoidea.Fanniidae.0.Fannia.#N/C</v>
          </cell>
        </row>
        <row r="1117">
          <cell r="AN1117" t="str">
            <v>Insecta.Diptera.Brachycera.Muscomorpha.Muscoidea.Fanniidae.0.Fannia.#N/C</v>
          </cell>
        </row>
        <row r="1118">
          <cell r="AN1118" t="str">
            <v>Insecta.Diptera.Brachycera.Muscomorpha.Muscoidea.Fanniidae.0.Fannia.#N/C</v>
          </cell>
        </row>
        <row r="1119">
          <cell r="AN1119" t="str">
            <v>Insecta.Diptera.Brachycera.Muscomorpha.Muscoidea.Fanniidae.0.Fannia.#N/C</v>
          </cell>
        </row>
        <row r="1120">
          <cell r="AN1120" t="str">
            <v>Insecta.Diptera.Brachycera.Muscomorpha.Muscoidea.#N/C.#N/C.#N/C.#N/C</v>
          </cell>
        </row>
        <row r="1121">
          <cell r="AN1121" t="str">
            <v>Insecta.Diptera.Brachycera.Muscomorpha.Muscoidea.Fanniidae.0.Fannia.#N/C</v>
          </cell>
        </row>
        <row r="1122">
          <cell r="AN1122" t="str">
            <v>Insecta.Diptera.Brachycera.Muscomorpha.Oestroidea.Calliphoridae.Calliphorinae.Bellardia.#N/C</v>
          </cell>
        </row>
        <row r="1123">
          <cell r="AN1123" t="str">
            <v>Insecta.Diptera.Brachycera.#N/C.#N/C.#N/C.#N/C.#N/C.#N/C</v>
          </cell>
        </row>
        <row r="1124">
          <cell r="AN1124" t="str">
            <v>Insecta.Diptera.Brachycera.Muscomorpha.Oestroidea.Rhinophoridae.0.Paykullia.#N/C</v>
          </cell>
        </row>
        <row r="1125">
          <cell r="AN1125" t="str">
            <v>Insecta.Diptera.Brachycera.Muscomorpha.Muscoidea.Fanniidae.0.Fannia.#N/C</v>
          </cell>
        </row>
        <row r="1126">
          <cell r="AN1126" t="str">
            <v>Insecta.Diptera.Brachycera.#N/C.#N/C.#N/C.#N/C.#N/C.#N/C</v>
          </cell>
        </row>
        <row r="1127">
          <cell r="AN1127" t="str">
            <v>Insecta.Diptera.Brachycera.Muscomorpha.Muscoidea.Fanniidae.0.Fannia.#N/C</v>
          </cell>
        </row>
        <row r="1128">
          <cell r="AN1128" t="str">
            <v>Insecta.Diptera.Brachycera.Muscomorpha.Oestroidea.Sarcophagidae.#N/C.#N/C.#N/C</v>
          </cell>
        </row>
        <row r="1129">
          <cell r="AN1129" t="str">
            <v>Insecta.Diptera.Brachycera.Muscomorpha.Muscoidea.Fanniidae.0.Fannia.#N/C</v>
          </cell>
        </row>
        <row r="1130">
          <cell r="AN1130" t="str">
            <v>Insecta.Diptera.Brachycera.Muscomorpha.Muscoidea.#N/C.#N/C.#N/C.#N/C</v>
          </cell>
        </row>
        <row r="1131">
          <cell r="AN1131" t="str">
            <v>Insecta.Hymenoptera.Apocrita.Aculeata.Vespoidea.Vespidae.Vespinae.Vespula.#N/C</v>
          </cell>
        </row>
        <row r="1132">
          <cell r="AN1132" t="str">
            <v>Insecta.Diptera.Brachycera.Muscomorpha.Muscoidea.#N/C.#N/C.#N/C.#N/C</v>
          </cell>
        </row>
        <row r="1133">
          <cell r="AN1133" t="str">
            <v>Insecta.Hymenoptera.Apocrita.Aculeata.Vespoidea.Vespidae.Vespinae.Vespula.#N/C</v>
          </cell>
        </row>
        <row r="1134">
          <cell r="AN1134" t="str">
            <v>Insecta.Diptera.Brachycera.Muscomorpha.Muscoidea.#N/C.#N/C.#N/C.#N/C</v>
          </cell>
        </row>
        <row r="1135">
          <cell r="AN1135" t="str">
            <v>Insecta.Diptera.Brachycera.#N/C.#N/C.#N/C.#N/C.#N/C.#N/C</v>
          </cell>
        </row>
        <row r="1136">
          <cell r="AN1136" t="str">
            <v>Insecta.Diptera.Brachycera.#N/C.#N/C.#N/C.#N/C.#N/C.#N/C</v>
          </cell>
        </row>
        <row r="1137">
          <cell r="AN1137" t="str">
            <v>Insecta.Diptera.Brachycera.Muscomorpha.Syrphoidea.Syrphidae.Syrphinae.Episyrphus.#N/C</v>
          </cell>
        </row>
        <row r="1138">
          <cell r="AN1138" t="str">
            <v>Insecta.Diptera.Brachycera.Muscomorpha.Muscoidea.Fanniidae.0.Fannia.#N/C</v>
          </cell>
        </row>
        <row r="1139">
          <cell r="AN1139" t="str">
            <v>Insecta.Diptera.Brachycera.Muscomorpha.Muscoidea.#N/C.#N/C.#N/C.#N/C</v>
          </cell>
        </row>
        <row r="1140">
          <cell r="AN1140" t="str">
            <v>Insecta.Diptera.Brachycera.#N/C.#N/C.#N/C.#N/C.#N/C.#N/C</v>
          </cell>
        </row>
        <row r="1141">
          <cell r="AN1141" t="str">
            <v>Insecta.Coleoptera.Polyphaga.Cucujiformia.Coccinelloidea.Coccinellidae.#N/C.#N/C.#N/C</v>
          </cell>
        </row>
        <row r="1142">
          <cell r="AN1142" t="str">
            <v>Insecta.Diptera.Brachycera.Muscomorpha.Muscoidea.Fanniidae.0.Fannia.#N/C</v>
          </cell>
        </row>
        <row r="1143">
          <cell r="AN1143" t="str">
            <v>Insecta.Diptera.Brachycera.#N/C.#N/C.#N/C.#N/C.#N/C.#N/C</v>
          </cell>
        </row>
        <row r="1144">
          <cell r="AN1144" t="str">
            <v>Insecta.Hymenoptera.Apocrita.Parasitica.Chalcidoidea.Eulophidae.#N/C.#N/C.#N/C</v>
          </cell>
        </row>
        <row r="1145">
          <cell r="AN1145" t="str">
            <v>Insecta.#N/C.#N/C.#N/C.#N/C.#N/C.#N/C.#N/C.#N/C</v>
          </cell>
        </row>
        <row r="1146">
          <cell r="AN1146" t="str">
            <v>Insecta.Diptera.Brachycera.Muscomorpha.Oestroidea.#N/C.#N/C.#N/C.#N/C</v>
          </cell>
        </row>
        <row r="1147">
          <cell r="AN1147" t="str">
            <v>Insecta.Diptera.Brachycera.Muscomorpha.Muscoidea.Fanniidae.0.Fannia.#N/C</v>
          </cell>
        </row>
        <row r="1148">
          <cell r="AN1148" t="str">
            <v>Insecta.Diptera.Brachycera.Muscomorpha.Muscoidea.Fanniidae.0.Fannia.#N/C</v>
          </cell>
        </row>
        <row r="1149">
          <cell r="AN1149" t="str">
            <v>Insecta.Coleoptera.Polyphaga.Cucujiformia.Coccinelloidea.Coccinellidae.Coccinellinae.#N/C.#N/C</v>
          </cell>
        </row>
        <row r="1150">
          <cell r="AN1150" t="str">
            <v>Insecta.Diptera.Brachycera.Muscomorpha.Muscoidea.Fanniidae.0.Fannia.#N/C</v>
          </cell>
        </row>
        <row r="1151">
          <cell r="AN1151" t="str">
            <v>Insecta.Diptera.Brachycera.#N/C.#N/C.#N/C.#N/C.#N/C.#N/C</v>
          </cell>
        </row>
        <row r="1152">
          <cell r="AN1152" t="str">
            <v>Insecta.Diptera.Brachycera.#N/C.#N/C.#N/C.#N/C.#N/C.#N/C</v>
          </cell>
        </row>
        <row r="1153">
          <cell r="AN1153" t="str">
            <v>Insecta.Coleoptera.Polyphaga.Cucujiformia.Curculionoidea.Curculionidae.Entiminae.Polydrusus.#N/C</v>
          </cell>
        </row>
        <row r="1154">
          <cell r="AN1154" t="str">
            <v>Insecta.#N/C.#N/C.#N/C.#N/C.#N/C.#N/C.#N/C.#N/C</v>
          </cell>
        </row>
        <row r="1155">
          <cell r="AN1155" t="str">
            <v>Insecta.Diptera.Brachycera.Asilomorpha.Empidoidea.Hybotidae.Tachydromiinae.Tachydromia.#N/C</v>
          </cell>
        </row>
        <row r="1156">
          <cell r="AN1156" t="str">
            <v>Insecta.Coleoptera.Polyphaga.Cucujiformia.Coccinelloidea.Coccinellidae.#N/C.#N/C.#N/C</v>
          </cell>
        </row>
        <row r="1157">
          <cell r="AN1157" t="str">
            <v>Insecta.Diptera.Brachycera.Muscomorpha.Syrphoidea.Syrphidae.Syrphinae.Dasysyrphus.#N/C</v>
          </cell>
        </row>
        <row r="1158">
          <cell r="AN1158" t="str">
            <v>Insecta.Hymenoptera.Apocrita.Parasitica.Ichneumonoidea.Ichneumonidae.Phygadeuontinae.Gelis.#N/C</v>
          </cell>
        </row>
        <row r="1159">
          <cell r="AN1159" t="str">
            <v>Insecta.Diptera.Brachycera.Muscomorpha.Syrphoidea.Syrphidae.Syrphinae.Dasysyrphus.#N/C</v>
          </cell>
        </row>
        <row r="1160">
          <cell r="AN1160" t="str">
            <v>Insecta.Diptera.#N/C.#N/C.#N/C.#N/C.#N/C.#N/C.#N/C</v>
          </cell>
        </row>
        <row r="1161">
          <cell r="AN1161" t="str">
            <v>Insecta.Diptera.Brachycera.Muscomorpha.Muscoidea.#N/C.#N/C.#N/C.#N/C</v>
          </cell>
        </row>
        <row r="1162">
          <cell r="AN1162" t="str">
            <v>Insecta.Diptera.Brachycera.Muscomorpha.Tephritoidea.Pallopteridae.Pallopteridae.Palloptera.#N/C</v>
          </cell>
        </row>
        <row r="1163">
          <cell r="AN1163" t="str">
            <v>Insecta.Diptera.Brachycera.#N/C.#N/C.#N/C.#N/C.#N/C.#N/C</v>
          </cell>
        </row>
        <row r="1164">
          <cell r="AN1164" t="str">
            <v>Insecta.Coleoptera.Polyphaga.Cucujiformia.Coccinelloidea.Coccinellidae.#N/C.#N/C.#N/C</v>
          </cell>
        </row>
        <row r="1165">
          <cell r="AN1165" t="str">
            <v>Insecta.Dermaptera.Forficulina.0.Forficuloidea.Forficulidae.Forficulinae.Forficula.#N/C</v>
          </cell>
        </row>
        <row r="1166">
          <cell r="AN1166" t="str">
            <v>Insecta.Diptera.Brachycera.Muscomorpha.Muscoidea.Fanniidae.0.Fannia.#N/C</v>
          </cell>
        </row>
        <row r="1167">
          <cell r="AN1167" t="str">
            <v>Insecta.Diptera.Brachycera.Muscomorpha.Muscoidea.Fanniidae.0.Fannia.#N/C</v>
          </cell>
        </row>
        <row r="1168">
          <cell r="AN1168" t="str">
            <v>Insecta.Coleoptera.Polyphaga.Cucujiformia.Coccinelloidea.Coccinellidae.#N/C.#N/C.#N/C</v>
          </cell>
        </row>
        <row r="1169">
          <cell r="AN1169" t="str">
            <v>Insecta.Hymenoptera.Apocrita.Aculeata.Vespoidea.Vespidae.Eumeninae.Ancistrocerus.#N/C</v>
          </cell>
        </row>
        <row r="1170">
          <cell r="AN1170" t="str">
            <v>Insecta.Diptera.Brachycera.Muscomorpha.Muscoidea.#N/C.#N/C.#N/C.#N/C</v>
          </cell>
        </row>
        <row r="1171">
          <cell r="AN1171" t="str">
            <v>Insecta.Diptera.Brachycera.Muscomorpha.Syrphoidea.Syrphidae.Syrphinae.Episyrphus.#N/C</v>
          </cell>
        </row>
        <row r="1172">
          <cell r="AN1172" t="str">
            <v>Insecta.Diptera.Brachycera.Muscomorpha.Muscoidea.Fanniidae.0.Fannia.#N/C</v>
          </cell>
        </row>
        <row r="1173">
          <cell r="AN1173" t="str">
            <v>Insecta.Diptera.Brachycera.Muscomorpha.Muscoidea.Fanniidae.0.Fannia.#N/C</v>
          </cell>
        </row>
        <row r="1174">
          <cell r="AN1174" t="str">
            <v>Insecta.Diptera.Brachycera.Muscomorpha.Muscoidea.#N/C.#N/C.#N/C.#N/C</v>
          </cell>
        </row>
        <row r="1175">
          <cell r="AN1175" t="str">
            <v>Insecta.Diptera.Brachycera.Muscomorpha.Muscoidea.#N/C.#N/C.#N/C.#N/C</v>
          </cell>
        </row>
        <row r="1176">
          <cell r="AN1176" t="str">
            <v>Insecta.Coleoptera.Polyphaga.Cucujiformia.Coccinelloidea.Coccinellidae.Coccinellinae.#N/C.#N/C</v>
          </cell>
        </row>
        <row r="1177">
          <cell r="AN1177" t="str">
            <v>Insecta.Diptera.Brachycera.Asilomorpha.Asiloidea.Asilidae.Laphriinae.#N/C.#N/C</v>
          </cell>
        </row>
        <row r="1178">
          <cell r="AN1178" t="str">
            <v>Insecta.Diptera.Brachycera.Muscomorpha.Syrphoidea.Syrphidae.Syrphinae.Episyrphus.#N/C</v>
          </cell>
        </row>
        <row r="1179">
          <cell r="AN1179" t="str">
            <v>Insecta.Diptera.Brachycera.Muscomorpha.Muscoidea.Fanniidae.0.Fannia.#N/C</v>
          </cell>
        </row>
        <row r="1180">
          <cell r="AN1180" t="str">
            <v>Insecta.Coleoptera.Polyphaga.Cucujiformia.Coccinelloidea.Coccinellidae.Coccinellinae.#N/C.#N/C</v>
          </cell>
        </row>
        <row r="1181">
          <cell r="AN1181" t="str">
            <v>Insecta.Coleoptera.Polyphaga.Cucujiformia.Coccinelloidea.Coccinellidae.Coccinellinae.Harmonia.axyridis</v>
          </cell>
        </row>
        <row r="1182">
          <cell r="AN1182" t="str">
            <v>Insecta.Diptera.Brachycera.#N/C.#N/C.#N/C.#N/C.#N/C.#N/C</v>
          </cell>
        </row>
        <row r="1183">
          <cell r="AN1183" t="str">
            <v>Insecta.Diptera.Brachycera.Muscomorpha.Muscoidea.Muscidae.#N/C.#N/C.#N/C</v>
          </cell>
        </row>
        <row r="1184">
          <cell r="AN1184" t="str">
            <v>Insecta.Diptera.Brachycera.Muscomorpha.Muscoidea.#N/C.#N/C.#N/C.#N/C</v>
          </cell>
        </row>
        <row r="1185">
          <cell r="AN1185" t="str">
            <v>Insecta.Diptera.Brachycera.#N/C.#N/C.#N/C.#N/C.#N/C.#N/C</v>
          </cell>
        </row>
        <row r="1186">
          <cell r="AN1186" t="str">
            <v>Insecta.Diptera.Brachycera.Muscomorpha.Lauxanioidea.Lauxaniidae.Lauxaniinae.Calliopum.#N/C</v>
          </cell>
        </row>
        <row r="1187">
          <cell r="AN1187" t="str">
            <v>Insecta.Hymenoptera.Apocrita.Aculeata.Apoidea.Crabronidae.Pemphredoninae.Pemphredon.#N/C</v>
          </cell>
        </row>
        <row r="1188">
          <cell r="AN1188" t="str">
            <v>Insecta.Coleoptera.Polyphaga.Cucujiformia.Coccinelloidea.Coccinellidae.Coccinellinae.Harmonia.#N/C</v>
          </cell>
        </row>
        <row r="1189">
          <cell r="AN1189" t="str">
            <v>Insecta.Diptera.Brachycera.Muscomorpha.Lauxanioidea.Lauxaniidae.Lauxaniinae.Calliopum.#N/C</v>
          </cell>
        </row>
        <row r="1190">
          <cell r="AN1190" t="str">
            <v>Insecta.Diptera.Brachycera.Muscomorpha.Muscoidea.Muscidae.#N/C.#N/C.#N/C</v>
          </cell>
        </row>
        <row r="1191">
          <cell r="AN1191" t="str">
            <v>Insecta.Coleoptera.Polyphaga.Cucujiformia.Coccinelloidea.Coccinellidae.Coccinellinae.Harmonia.#N/C</v>
          </cell>
        </row>
        <row r="1192">
          <cell r="AN1192" t="str">
            <v>Insecta.Diptera.Brachycera.Muscomorpha.Muscoidea.Fanniidae.0.Fannia.#N/C</v>
          </cell>
        </row>
        <row r="1193">
          <cell r="AN1193" t="str">
            <v>Insecta.Diptera.Brachycera.Muscomorpha.Lauxanioidea.Lauxaniidae.Lauxaniinae.Calliopum.#N/C</v>
          </cell>
        </row>
        <row r="1194">
          <cell r="AN1194" t="str">
            <v>Insecta.Diptera.Brachycera.Muscomorpha.Muscoidea.Anthomyiidae.Anthomyiinae.Anthomyia.#N/C</v>
          </cell>
        </row>
        <row r="1195">
          <cell r="AN1195" t="str">
            <v>Insecta.Diptera.Brachycera.Muscomorpha.Syrphoidea.Syrphidae.Syrphinae.Sphaerophoria.#N/C</v>
          </cell>
        </row>
        <row r="1196">
          <cell r="AN1196" t="str">
            <v>Insecta.#N/C.#N/C.#N/C.#N/C.#N/C.#N/C.#N/C.#N/C</v>
          </cell>
        </row>
        <row r="1197">
          <cell r="AN1197" t="str">
            <v>Insecta.Trichoptera.Integripalpia.Plenitentoria.Limnephiloidea.Limnephilidae.Limnephilinae.#N/C.#N/C</v>
          </cell>
        </row>
        <row r="1198">
          <cell r="AN1198" t="str">
            <v>Insecta.Diptera.Nematocera.Tipulomorpha.Tipuloidea.Tipulidae.Tipulinae.Tipula.#N/C</v>
          </cell>
        </row>
        <row r="1199">
          <cell r="AN1199" t="str">
            <v>Insecta.Diptera.Brachycera.Muscomorpha.Muscoidea.Muscidae.#N/C.#N/C.#N/C</v>
          </cell>
        </row>
        <row r="1200">
          <cell r="AN1200" t="str">
            <v>Insecta.Coleoptera.Polyphaga.Cucujiformia.Coccinelloidea.Coccinellidae.Coccinellinae.Harmonia.#N/C</v>
          </cell>
        </row>
        <row r="1201">
          <cell r="AN1201" t="str">
            <v>Insecta.Diptera.Brachycera.#N/C.#N/C.#N/C.#N/C.#N/C.#N/C</v>
          </cell>
        </row>
        <row r="1202">
          <cell r="AN1202" t="str">
            <v>Insecta.Diptera.Brachycera.Muscomorpha.Muscoidea.#N/C.#N/C.#N/C.#N/C</v>
          </cell>
        </row>
        <row r="1203">
          <cell r="AN1203" t="str">
            <v>Insecta.Coleoptera.Polyphaga.Cucujiformia.Coccinelloidea.Coccinellidae.Coccinellinae.Coccinellini.#N/C</v>
          </cell>
        </row>
        <row r="1204">
          <cell r="AN1204" t="str">
            <v>Insecta.Diptera.Brachycera.Muscomorpha.Lauxanioidea.Lauxaniidae.Lauxaniinae.Calliopum.#N/C</v>
          </cell>
        </row>
        <row r="1205">
          <cell r="AN1205" t="str">
            <v>Insecta.Diptera.Brachycera.#N/C.#N/C.#N/C.#N/C.#N/C.#N/C</v>
          </cell>
        </row>
        <row r="1206">
          <cell r="AN1206" t="str">
            <v>Insecta.Diptera.Brachycera.Muscomorpha.Oestroidea.Sarcophagidae.#N/C.#N/C.#N/C</v>
          </cell>
        </row>
        <row r="1207">
          <cell r="AN1207" t="str">
            <v>Insecta.Coleoptera.Polyphaga.Cucujiformia.Coccinelloidea.Coccinellidae.Coccinellinae.Coccinellini.#N/C</v>
          </cell>
        </row>
        <row r="1208">
          <cell r="AN1208" t="str">
            <v>Insecta.Diptera.Brachycera.Muscomorpha.Muscoidea.Fanniidae.0.Fannia.#N/C</v>
          </cell>
        </row>
      </sheetData>
      <sheetData sheetId="1"/>
      <sheetData sheetId="2">
        <row r="1">
          <cell r="D1" t="str">
            <v>Infraorder</v>
          </cell>
          <cell r="E1" t="str">
            <v>Superfamily</v>
          </cell>
        </row>
        <row r="2">
          <cell r="D2" t="str">
            <v>Araneomorphae</v>
          </cell>
          <cell r="E2" t="str">
            <v>Araneoidea</v>
          </cell>
        </row>
        <row r="3">
          <cell r="D3" t="str">
            <v>Araneomorphae</v>
          </cell>
          <cell r="E3" t="str">
            <v>Dictynoidea</v>
          </cell>
        </row>
        <row r="4">
          <cell r="D4" t="str">
            <v>Cucujiformia</v>
          </cell>
          <cell r="E4" t="str">
            <v>Tenebrionoidea</v>
          </cell>
        </row>
        <row r="6">
          <cell r="D6" t="str">
            <v>Cucujiformia</v>
          </cell>
          <cell r="E6" t="str">
            <v>Coccinelloidea</v>
          </cell>
        </row>
        <row r="7">
          <cell r="D7" t="str">
            <v>Cucujiformia</v>
          </cell>
          <cell r="E7" t="str">
            <v>Chrysomeloidea</v>
          </cell>
        </row>
        <row r="8">
          <cell r="D8" t="str">
            <v>Cucujiformia</v>
          </cell>
          <cell r="E8" t="str">
            <v>Tenebrionoidea</v>
          </cell>
        </row>
        <row r="9">
          <cell r="D9" t="str">
            <v>Cucujiformia</v>
          </cell>
          <cell r="E9" t="str">
            <v>Curculionoidea</v>
          </cell>
        </row>
        <row r="10">
          <cell r="E10" t="str">
            <v>Forficuloidea</v>
          </cell>
        </row>
        <row r="11">
          <cell r="D11" t="str">
            <v>Tipulomorpha</v>
          </cell>
          <cell r="E11" t="str">
            <v>Tipuloidea</v>
          </cell>
        </row>
        <row r="12">
          <cell r="D12" t="str">
            <v>Asilomorpha</v>
          </cell>
          <cell r="E12" t="str">
            <v>Empidoidea</v>
          </cell>
        </row>
        <row r="13">
          <cell r="D13" t="str">
            <v>Muscomorpha</v>
          </cell>
          <cell r="E13" t="str">
            <v>Muscoidea</v>
          </cell>
        </row>
        <row r="14">
          <cell r="D14" t="str">
            <v>Bibionomorpha</v>
          </cell>
          <cell r="E14" t="str">
            <v>Bibionoidea</v>
          </cell>
        </row>
        <row r="15">
          <cell r="D15" t="str">
            <v>Muscomorpha</v>
          </cell>
          <cell r="E15" t="str">
            <v>Oestroidea</v>
          </cell>
        </row>
        <row r="16">
          <cell r="D16" t="str">
            <v>Muscomorpha</v>
          </cell>
          <cell r="E16" t="str">
            <v>Oestroidea</v>
          </cell>
        </row>
        <row r="17">
          <cell r="D17" t="str">
            <v>Muscomorpha</v>
          </cell>
          <cell r="E17" t="str">
            <v>Oestroidea</v>
          </cell>
        </row>
        <row r="18">
          <cell r="D18" t="str">
            <v>Muscomorpha</v>
          </cell>
          <cell r="E18" t="str">
            <v>Oestroidea</v>
          </cell>
        </row>
        <row r="19">
          <cell r="D19" t="str">
            <v>Muscomorpha</v>
          </cell>
          <cell r="E19" t="str">
            <v>Carnoidea</v>
          </cell>
        </row>
        <row r="20">
          <cell r="D20" t="str">
            <v>Muscomorpha</v>
          </cell>
          <cell r="E20" t="str">
            <v>Muscoidea</v>
          </cell>
        </row>
        <row r="21">
          <cell r="D21" t="str">
            <v>Muscomorpha</v>
          </cell>
          <cell r="E21" t="str">
            <v>Muscoidea</v>
          </cell>
        </row>
        <row r="22">
          <cell r="D22" t="str">
            <v>Muscomorpha</v>
          </cell>
          <cell r="E22" t="str">
            <v>Muscoidea</v>
          </cell>
        </row>
        <row r="23">
          <cell r="D23" t="str">
            <v>Muscomorpha</v>
          </cell>
          <cell r="E23" t="str">
            <v>Opomyzoidea</v>
          </cell>
        </row>
        <row r="24">
          <cell r="D24" t="str">
            <v>Muscomorpha</v>
          </cell>
          <cell r="E24" t="str">
            <v>Phoroidea</v>
          </cell>
        </row>
        <row r="25">
          <cell r="D25" t="str">
            <v>Muscomorpha</v>
          </cell>
          <cell r="E25" t="str">
            <v>Sphaeroceroidea</v>
          </cell>
        </row>
        <row r="26">
          <cell r="D26" t="str">
            <v>Muscomorpha</v>
          </cell>
          <cell r="E26" t="str">
            <v>Ephydroidea</v>
          </cell>
        </row>
        <row r="27">
          <cell r="D27" t="str">
            <v>Muscomorpha</v>
          </cell>
          <cell r="E27" t="str">
            <v>Ephydroidea</v>
          </cell>
        </row>
        <row r="28">
          <cell r="D28" t="str">
            <v>Muscomorpha</v>
          </cell>
          <cell r="E28" t="str">
            <v>Lauxanioidea</v>
          </cell>
        </row>
        <row r="29">
          <cell r="D29" t="str">
            <v>Muscomorpha</v>
          </cell>
          <cell r="E29" t="str">
            <v>Tephritoidea</v>
          </cell>
        </row>
        <row r="30">
          <cell r="D30" t="str">
            <v>Muscomorpha</v>
          </cell>
          <cell r="E30" t="str">
            <v>Tephritoidea</v>
          </cell>
        </row>
        <row r="31">
          <cell r="D31" t="str">
            <v>Bibionomorpha</v>
          </cell>
          <cell r="E31" t="str">
            <v>Anisopodoidea</v>
          </cell>
        </row>
        <row r="32">
          <cell r="D32" t="str">
            <v>Bibionomorpha</v>
          </cell>
          <cell r="E32" t="str">
            <v>Sciaroidea</v>
          </cell>
        </row>
        <row r="33">
          <cell r="D33" t="str">
            <v>Bibionomorpha</v>
          </cell>
          <cell r="E33" t="str">
            <v>Sciaroidea</v>
          </cell>
        </row>
        <row r="34">
          <cell r="D34" t="str">
            <v>Muscomorpha</v>
          </cell>
          <cell r="E34" t="str">
            <v>Syrphoidea</v>
          </cell>
        </row>
        <row r="35">
          <cell r="D35" t="str">
            <v>Muscomorpha</v>
          </cell>
          <cell r="E35" t="str">
            <v>Sciomyzoidea</v>
          </cell>
        </row>
        <row r="36">
          <cell r="D36" t="str">
            <v>Culicomorpha</v>
          </cell>
          <cell r="E36" t="str">
            <v>Chironomoidea</v>
          </cell>
        </row>
        <row r="37">
          <cell r="D37" t="str">
            <v>Culicomorpha</v>
          </cell>
          <cell r="E37" t="str">
            <v>Culicoidea</v>
          </cell>
        </row>
        <row r="38">
          <cell r="D38" t="str">
            <v>Asilomorpha</v>
          </cell>
          <cell r="E38" t="str">
            <v>Asiloidea</v>
          </cell>
        </row>
        <row r="39">
          <cell r="D39" t="str">
            <v>Muscomorpha</v>
          </cell>
          <cell r="E39" t="str">
            <v>Sciomyzoidea</v>
          </cell>
        </row>
        <row r="40">
          <cell r="D40" t="str">
            <v>Tabanomorpha</v>
          </cell>
          <cell r="E40" t="str">
            <v>Rhagionoidea</v>
          </cell>
        </row>
        <row r="41">
          <cell r="D41" t="str">
            <v>Stratiomyomorpha</v>
          </cell>
          <cell r="E41" t="str">
            <v>Stratiomyoidea</v>
          </cell>
        </row>
        <row r="42">
          <cell r="D42" t="str">
            <v>Pentatomomorpha</v>
          </cell>
          <cell r="E42" t="str">
            <v>Lygaeoidea</v>
          </cell>
        </row>
        <row r="43">
          <cell r="D43" t="str">
            <v>Pentatomomorpha</v>
          </cell>
          <cell r="E43" t="str">
            <v>Miroidea</v>
          </cell>
        </row>
        <row r="44">
          <cell r="D44" t="str">
            <v>Cicadomorpha</v>
          </cell>
          <cell r="E44" t="str">
            <v>Cicadoidea</v>
          </cell>
        </row>
        <row r="45">
          <cell r="D45" t="str">
            <v>Cicadomorpha</v>
          </cell>
          <cell r="E45" t="str">
            <v>Membracoidea</v>
          </cell>
        </row>
        <row r="46">
          <cell r="D46" t="str">
            <v>Aculeata</v>
          </cell>
          <cell r="E46" t="str">
            <v>Formicoidea</v>
          </cell>
        </row>
        <row r="47">
          <cell r="D47" t="str">
            <v>Aculeata</v>
          </cell>
          <cell r="E47" t="str">
            <v>Apoidea</v>
          </cell>
        </row>
        <row r="48">
          <cell r="D48" t="str">
            <v>Aculeata</v>
          </cell>
          <cell r="E48" t="str">
            <v>Apoidea</v>
          </cell>
        </row>
        <row r="49">
          <cell r="D49" t="str">
            <v>Parasitica</v>
          </cell>
          <cell r="E49" t="str">
            <v>Ichneumonoidea</v>
          </cell>
        </row>
        <row r="50">
          <cell r="D50" t="str">
            <v>Parasitica</v>
          </cell>
          <cell r="E50" t="str">
            <v>Chalcidoidea</v>
          </cell>
        </row>
        <row r="51">
          <cell r="D51" t="str">
            <v>Parasitica</v>
          </cell>
          <cell r="E51" t="str">
            <v>Ichneumonoidea</v>
          </cell>
        </row>
        <row r="52">
          <cell r="E52" t="str">
            <v>Tenthredinoidea</v>
          </cell>
        </row>
        <row r="53">
          <cell r="D53" t="str">
            <v>Aculeata</v>
          </cell>
          <cell r="E53" t="str">
            <v>Pompiloidea</v>
          </cell>
        </row>
        <row r="54">
          <cell r="D54" t="str">
            <v>Aculeata</v>
          </cell>
          <cell r="E54" t="str">
            <v>Vespoidea</v>
          </cell>
        </row>
        <row r="55">
          <cell r="D55" t="str">
            <v>Rhopalocera</v>
          </cell>
          <cell r="E55" t="str">
            <v>Papilionoidea</v>
          </cell>
        </row>
        <row r="56">
          <cell r="D56" t="str">
            <v>Rhopalocera</v>
          </cell>
          <cell r="E56" t="str">
            <v>Zygaenoidea</v>
          </cell>
        </row>
        <row r="57">
          <cell r="D57" t="str">
            <v>Heterocera</v>
          </cell>
          <cell r="E57" t="str">
            <v>Gelechioidea</v>
          </cell>
        </row>
        <row r="58">
          <cell r="D58" t="str">
            <v>Heterocera</v>
          </cell>
          <cell r="E58" t="str">
            <v>Geometroidea</v>
          </cell>
        </row>
        <row r="59">
          <cell r="D59" t="str">
            <v>Heterocera</v>
          </cell>
          <cell r="E59" t="str">
            <v>Noctuoidea</v>
          </cell>
        </row>
        <row r="60">
          <cell r="D60" t="str">
            <v>Heterocera</v>
          </cell>
          <cell r="E60" t="str">
            <v>Pyraloidea</v>
          </cell>
        </row>
        <row r="61">
          <cell r="D61" t="str">
            <v>Heterocera</v>
          </cell>
          <cell r="E61" t="str">
            <v>Tineoidea</v>
          </cell>
        </row>
        <row r="62">
          <cell r="D62" t="str">
            <v>Heterocera</v>
          </cell>
          <cell r="E62" t="str">
            <v>Yponomeutoidea</v>
          </cell>
        </row>
        <row r="63">
          <cell r="E63" t="str">
            <v>Panorpoidea</v>
          </cell>
        </row>
        <row r="64">
          <cell r="E64" t="str">
            <v>Hemerobioidea</v>
          </cell>
        </row>
        <row r="65">
          <cell r="E65" t="str">
            <v>Chrysopoidea</v>
          </cell>
        </row>
        <row r="66">
          <cell r="D66" t="str">
            <v>Acrididea</v>
          </cell>
          <cell r="E66" t="str">
            <v>Acridoidea</v>
          </cell>
        </row>
        <row r="67">
          <cell r="D67" t="str">
            <v>Tettigoniidea</v>
          </cell>
          <cell r="E67" t="str">
            <v>Tettigonioidea</v>
          </cell>
        </row>
        <row r="68">
          <cell r="D68" t="str">
            <v>Plenitentoria</v>
          </cell>
          <cell r="E68" t="str">
            <v>Limnephiloidea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iavass" id="{F6FF1E5A-4084-45A7-AA86-16E926DDC096}" userId="S::chiavass@agro.uba.ar::66672c9c-71d9-43de-98c8-3d9a4e5f174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02820-B1DB-463D-8C80-FFD8E1161E16}" name="ClassificationClasses" displayName="ClassificationClasses" ref="A1:J70" totalsRowShown="0" headerRowDxfId="34" dataDxfId="33" tableBorderDxfId="32" headerRowCellStyle="Normal 2" dataCellStyle="Normal 2">
  <autoFilter ref="A1:J70" xr:uid="{4B48A488-9F4C-4631-9A84-342FEF4C8DD0}"/>
  <sortState xmlns:xlrd2="http://schemas.microsoft.com/office/spreadsheetml/2017/richdata2" ref="A2:J70">
    <sortCondition ref="A2:A70"/>
    <sortCondition ref="B2:B70"/>
    <sortCondition ref="C2:C70"/>
    <sortCondition ref="D2:D70"/>
    <sortCondition ref="E2:E70"/>
    <sortCondition ref="F2:F70"/>
    <sortCondition ref="G2:G70"/>
  </sortState>
  <tableColumns count="10">
    <tableColumn id="1" xr3:uid="{4C949DBF-0F19-4DFB-8819-C2F18C6DE793}" name="Class" dataDxfId="31" dataCellStyle="Standard 2"/>
    <tableColumn id="2" xr3:uid="{BD31C04C-E5E5-44D2-8933-A74D23A1657C}" name="Order" dataDxfId="30" dataCellStyle="Standard 2"/>
    <tableColumn id="3" xr3:uid="{E215EC1C-8553-455D-8B0F-59695F4C2A94}" name="Suborder" dataDxfId="29" dataCellStyle="Standard 2"/>
    <tableColumn id="4" xr3:uid="{67A693FE-3CCD-4D36-9527-6ED7683E2D1D}" name="Infraorder" dataDxfId="28" dataCellStyle="Normal 2"/>
    <tableColumn id="5" xr3:uid="{E08E7DC8-5BD3-41D1-A0D7-1D859E5EA76D}" name="Superfamily" dataDxfId="27" dataCellStyle="Normal 2"/>
    <tableColumn id="6" xr3:uid="{A26C2715-900C-4948-AF4A-BCDE8ABE09E1}" name="Family" dataDxfId="26" dataCellStyle="Normal 2"/>
    <tableColumn id="7" xr3:uid="{3F7D2DEC-231D-48EB-A7A1-414BDD189FB2}" name="Subfamily" dataDxfId="25" dataCellStyle="Normal 2"/>
    <tableColumn id="8" xr3:uid="{2A4B6A7A-F577-4696-AFC6-35E72E19DA87}" name="Other aspect" dataDxfId="24" dataCellStyle="Normal 2"/>
    <tableColumn id="9" xr3:uid="{A22AC78B-B236-4E55-BB3A-1CDA98E1F105}" name="Classification Class" dataDxfId="23" dataCellStyle="Normal 2"/>
    <tableColumn id="10" xr3:uid="{61129AFB-BD1A-490C-9443-6F9463221DF8}" name="Key" dataDxfId="22" dataCellStyle="Normal 2">
      <calculatedColumnFormula>+_xlfn.CONCAT(A2,".",B2,".",C2,".",D2,".",E2,".",F2,".",G2)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4" dT="2025-03-25T09:06:42.17" personId="{F6FF1E5A-4084-45A7-AA86-16E926DDC096}" id="{7120472E-A5EB-4305-8229-8C5F3FC746E4}">
    <text>Should be renamed to: oestroid_fly</text>
  </threadedComment>
  <threadedComment ref="D62" dT="2025-03-24T11:04:44.08" personId="{F6FF1E5A-4084-45A7-AA86-16E926DDC096}" id="{73CCAAD3-AC1C-49C0-9839-2355E5ECDADB}">
    <text>Plus Zygaenoidea, colorful moths that belong to heteroceta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 filterMode="1">
    <tabColor rgb="FF00B050"/>
    <pageSetUpPr fitToPage="1"/>
  </sheetPr>
  <dimension ref="A1:T1211"/>
  <sheetViews>
    <sheetView tabSelected="1" zoomScale="75" zoomScaleNormal="75" workbookViewId="0">
      <pane ySplit="1" topLeftCell="A50" activePane="bottomLeft" state="frozen"/>
      <selection activeCell="L33" sqref="L33"/>
      <selection pane="bottomLeft" activeCell="J441" sqref="J441"/>
    </sheetView>
  </sheetViews>
  <sheetFormatPr baseColWidth="10" defaultColWidth="10.33203125" defaultRowHeight="14.4" x14ac:dyDescent="0.3"/>
  <cols>
    <col min="1" max="1" width="7.44140625" style="13" bestFit="1" customWidth="1"/>
    <col min="2" max="2" width="11.5546875" style="6" bestFit="1" customWidth="1"/>
    <col min="3" max="3" width="26" style="39" bestFit="1" customWidth="1"/>
    <col min="4" max="4" width="27.44140625" style="39" bestFit="1" customWidth="1"/>
    <col min="5" max="5" width="9.5546875" style="16" customWidth="1"/>
    <col min="6" max="6" width="10.109375" style="7" customWidth="1"/>
    <col min="7" max="7" width="10" style="14" customWidth="1"/>
    <col min="8" max="8" width="7.88671875" style="4" customWidth="1"/>
    <col min="9" max="9" width="6.6640625" style="4" customWidth="1"/>
    <col min="10" max="10" width="15.33203125" style="4" bestFit="1" customWidth="1"/>
    <col min="11" max="11" width="16.33203125" style="18" bestFit="1" customWidth="1"/>
    <col min="12" max="12" width="10" style="3" bestFit="1" customWidth="1"/>
    <col min="13" max="13" width="13.33203125" style="3" bestFit="1" customWidth="1"/>
    <col min="14" max="14" width="16.6640625" style="3" bestFit="1" customWidth="1"/>
    <col min="15" max="15" width="18" style="3" bestFit="1" customWidth="1"/>
    <col min="16" max="16" width="16.33203125" style="3" bestFit="1" customWidth="1"/>
    <col min="17" max="17" width="15.109375" style="3" bestFit="1" customWidth="1"/>
    <col min="18" max="18" width="16.6640625" style="3" bestFit="1" customWidth="1"/>
    <col min="19" max="19" width="18.44140625" style="3" bestFit="1" customWidth="1"/>
    <col min="20" max="20" width="21.5546875" style="3" bestFit="1" customWidth="1"/>
    <col min="21" max="16384" width="10.33203125" style="13"/>
  </cols>
  <sheetData>
    <row r="1" spans="1:20" ht="29.4" customHeight="1" x14ac:dyDescent="0.3">
      <c r="A1" s="8" t="s">
        <v>0</v>
      </c>
      <c r="B1" s="8" t="s">
        <v>1</v>
      </c>
      <c r="C1" s="12" t="s">
        <v>2</v>
      </c>
      <c r="D1" s="12" t="s">
        <v>3</v>
      </c>
      <c r="E1" s="15" t="s">
        <v>4</v>
      </c>
      <c r="F1" s="9" t="s">
        <v>5</v>
      </c>
      <c r="G1" s="10" t="s">
        <v>6</v>
      </c>
      <c r="H1" s="11" t="s">
        <v>7</v>
      </c>
      <c r="I1" s="11" t="s">
        <v>8</v>
      </c>
      <c r="J1" s="32" t="s">
        <v>9</v>
      </c>
      <c r="K1" s="23" t="s">
        <v>10</v>
      </c>
      <c r="L1" s="17" t="s">
        <v>11</v>
      </c>
      <c r="M1" s="17" t="s">
        <v>12</v>
      </c>
      <c r="N1" s="17" t="s">
        <v>13</v>
      </c>
      <c r="O1" s="71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24" t="s">
        <v>19</v>
      </c>
    </row>
    <row r="2" spans="1:20" hidden="1" x14ac:dyDescent="0.3">
      <c r="A2" s="72">
        <v>1</v>
      </c>
      <c r="B2" s="73">
        <v>44389</v>
      </c>
      <c r="C2" s="74" t="s">
        <v>21</v>
      </c>
      <c r="D2" s="74" t="s">
        <v>22</v>
      </c>
      <c r="E2" s="75">
        <v>44389.584652777776</v>
      </c>
      <c r="F2" s="76">
        <v>44389.586018518516</v>
      </c>
      <c r="G2" s="77">
        <f t="shared" ref="G2:G65" si="0">F2-E2</f>
        <v>1.3657407398568466E-3</v>
      </c>
      <c r="H2" s="78" t="s">
        <v>23</v>
      </c>
      <c r="I2" s="78" t="s">
        <v>24</v>
      </c>
      <c r="J2" s="79" t="str">
        <f>IF(ISBLANK(C2),"",IF(C2=D2, "1 video",CONCATENATE((+COUNTIFS(Video_List!$C:$C,"&lt;=" &amp;Monitoring!F2)-COUNTIFS(Video_List!$C:$C,"&lt;=" &amp;Monitoring!E2))+1," videos")))</f>
        <v>3 videos</v>
      </c>
      <c r="K2" s="80" t="s">
        <v>23</v>
      </c>
      <c r="L2" s="81" t="str">
        <f>+IFERROR(IF(M2="#N/C","#N/C",IF(N2=0,INDEX(Taxonomy_UniqueValues!A:A,MATCH(N2,Taxonomy_UniqueValues!C:C,0)),INDEX(Taxonomy_UniqueValues!A:A,MATCH(M2,Taxonomy_UniqueValues!B:B,0)))),"#N/C")</f>
        <v>Insecta</v>
      </c>
      <c r="M2" s="81" t="str">
        <f>+IFERROR(IF(N2="#N/C","#N/C",IF(O2=0,INDEX(Taxonomy_UniqueValues!B:B,MATCH(O2,Taxonomy_UniqueValues!D:D,0)),INDEX(Taxonomy_UniqueValues!B:B,MATCH(N2,Taxonomy_UniqueValues!C:C,0)))),"#N/C")</f>
        <v>Diptera</v>
      </c>
      <c r="N2" s="81" t="str">
        <f>+IFERROR(IF(O2="#N/C","#N/C",IF(P2=0,INDEX(Taxonomy_UniqueValues!C:C,MATCH(P2,Taxonomy_UniqueValues!E:E,0)),INDEX(Taxonomy_UniqueValues!C:C,MATCH(O2,Taxonomy_UniqueValues!D:D,0)))),"#N/C")</f>
        <v>Brachycera</v>
      </c>
      <c r="O2" s="81" t="str">
        <f>+IFERROR(IF(P2="#N/C","#N/C",IF(Q2=0,INDEX(Taxonomy_UniqueValues!D:D,MATCH(Q2,Taxonomy_UniqueValues!F:F,0)),INDEX(Taxonomy_UniqueValues!D:D,MATCH(P2,Taxonomy_UniqueValues!E:E,0)))),"#N/C")</f>
        <v>Asilomorpha</v>
      </c>
      <c r="P2" s="81" t="str">
        <f>+IFERROR(IF(Q2="#N/C","#N/C",IF(R2=0,INDEX(Taxonomy_UniqueValues!E:E,MATCH(R2,Taxonomy_UniqueValues!G:G,0)),INDEX(Taxonomy_UniqueValues!E:E,MATCH(Q2,Taxonomy_UniqueValues!F:F,0)))),"#N/C")</f>
        <v>Asiloidea</v>
      </c>
      <c r="Q2" s="81" t="str">
        <f>+IFERROR(IF(R2="#N/C","#N/C",IF(S2=0,INDEX(Taxonomy_UniqueValues!F:F,MATCH(S2,Taxonomy_UniqueValues!H:H,0)),INDEX(Taxonomy_UniqueValues!F:F,MATCH(R2,Taxonomy_UniqueValues!G:G,0)))),"#N/C")</f>
        <v>Asilidae</v>
      </c>
      <c r="R2" s="81" t="str">
        <f>+IFERROR(IF(S2="#N/C","#N/C",IF(T2=0,INDEX(Taxonomy_UniqueValues!G:G,MATCH(T2,Taxonomy_UniqueValues!I:I,0)),INDEX(Taxonomy_UniqueValues!G:G,MATCH(S2,Taxonomy_UniqueValues!H:H,0)))),"#N/C")</f>
        <v>Asilinae</v>
      </c>
      <c r="S2" s="82" t="s">
        <v>25</v>
      </c>
      <c r="T2" s="83" t="s">
        <v>26</v>
      </c>
    </row>
    <row r="3" spans="1:20" hidden="1" x14ac:dyDescent="0.3">
      <c r="A3" s="84">
        <v>2</v>
      </c>
      <c r="B3" s="6">
        <v>44389</v>
      </c>
      <c r="C3" s="85" t="s">
        <v>27</v>
      </c>
      <c r="D3" s="85" t="s">
        <v>27</v>
      </c>
      <c r="E3" s="16">
        <v>44389.624502314815</v>
      </c>
      <c r="F3" s="7">
        <v>44389.624548611115</v>
      </c>
      <c r="G3" s="14">
        <f t="shared" si="0"/>
        <v>4.6296299842651933E-5</v>
      </c>
      <c r="H3" s="86" t="s">
        <v>23</v>
      </c>
      <c r="I3" s="86" t="s">
        <v>24</v>
      </c>
      <c r="J3" s="87" t="str">
        <f>IF(ISBLANK(C3),"",IF(C3=D3, "1 video",CONCATENATE((+COUNTIFS(Video_List!$C:$C,"&lt;=" &amp;Monitoring!F3)-COUNTIFS(Video_List!$C:$C,"&lt;=" &amp;Monitoring!E3))+1," videos")))</f>
        <v>1 video</v>
      </c>
      <c r="K3" s="25" t="s">
        <v>23</v>
      </c>
      <c r="L3" s="40" t="s">
        <v>28</v>
      </c>
      <c r="M3" s="40" t="s">
        <v>29</v>
      </c>
      <c r="N3" s="40" t="s">
        <v>30</v>
      </c>
      <c r="O3" s="88" t="str">
        <f>+IFERROR(IF(P3="#N/C","#N/C",IF(Q3=0,INDEX(Taxonomy_UniqueValues!D:D,MATCH(Q3,Taxonomy_UniqueValues!F:F,0)),INDEX(Taxonomy_UniqueValues!D:D,MATCH(P3,Taxonomy_UniqueValues!E:E,0)))),"#N/C")</f>
        <v>#N/C</v>
      </c>
      <c r="P3" s="40" t="s">
        <v>26</v>
      </c>
      <c r="Q3" s="40" t="s">
        <v>26</v>
      </c>
      <c r="R3" s="40" t="s">
        <v>26</v>
      </c>
      <c r="S3" s="40" t="s">
        <v>26</v>
      </c>
      <c r="T3" s="26" t="s">
        <v>26</v>
      </c>
    </row>
    <row r="4" spans="1:20" hidden="1" x14ac:dyDescent="0.3">
      <c r="A4" s="84">
        <v>3</v>
      </c>
      <c r="B4" s="6">
        <v>44389</v>
      </c>
      <c r="C4" s="85" t="s">
        <v>31</v>
      </c>
      <c r="D4" s="85" t="s">
        <v>31</v>
      </c>
      <c r="E4" s="16">
        <v>44389.628761574073</v>
      </c>
      <c r="F4" s="7">
        <v>44389.628993055558</v>
      </c>
      <c r="G4" s="14">
        <f t="shared" si="0"/>
        <v>2.3148148466134444E-4</v>
      </c>
      <c r="H4" s="86" t="s">
        <v>23</v>
      </c>
      <c r="I4" s="86" t="s">
        <v>24</v>
      </c>
      <c r="J4" s="87" t="str">
        <f>IF(ISBLANK(C4),"",IF(C4=D4, "1 video",CONCATENATE((+COUNTIFS(Video_List!$C:$C,"&lt;=" &amp;Monitoring!F4)-COUNTIFS(Video_List!$C:$C,"&lt;=" &amp;Monitoring!E4))+1," videos")))</f>
        <v>1 video</v>
      </c>
      <c r="K4" s="25" t="s">
        <v>23</v>
      </c>
      <c r="L4" s="40" t="s">
        <v>28</v>
      </c>
      <c r="M4" s="40" t="s">
        <v>32</v>
      </c>
      <c r="N4" s="40" t="s">
        <v>33</v>
      </c>
      <c r="O4" s="88" t="str">
        <f>+IFERROR(IF(P4="#N/C","#N/C",IF(Q4=0,INDEX(Taxonomy_UniqueValues!D:D,MATCH(Q4,Taxonomy_UniqueValues!F:F,0)),INDEX(Taxonomy_UniqueValues!D:D,MATCH(P4,Taxonomy_UniqueValues!E:E,0)))),"#N/C")</f>
        <v>#N/C</v>
      </c>
      <c r="P4" s="40" t="s">
        <v>26</v>
      </c>
      <c r="Q4" s="40" t="s">
        <v>26</v>
      </c>
      <c r="R4" s="40" t="s">
        <v>26</v>
      </c>
      <c r="S4" s="40" t="s">
        <v>26</v>
      </c>
      <c r="T4" s="26" t="s">
        <v>26</v>
      </c>
    </row>
    <row r="5" spans="1:20" hidden="1" x14ac:dyDescent="0.3">
      <c r="A5" s="84">
        <v>4</v>
      </c>
      <c r="B5" s="6">
        <v>44389</v>
      </c>
      <c r="C5" s="85" t="s">
        <v>34</v>
      </c>
      <c r="D5" s="85" t="s">
        <v>34</v>
      </c>
      <c r="E5" s="16">
        <v>44389.638807870368</v>
      </c>
      <c r="F5" s="7">
        <v>44389.638854166667</v>
      </c>
      <c r="G5" s="14">
        <f t="shared" si="0"/>
        <v>4.6296299842651933E-5</v>
      </c>
      <c r="H5" s="86" t="s">
        <v>23</v>
      </c>
      <c r="I5" s="86" t="s">
        <v>24</v>
      </c>
      <c r="J5" s="87" t="str">
        <f>IF(ISBLANK(C5),"",IF(C5=D5, "1 video",CONCATENATE((+COUNTIFS(Video_List!$C:$C,"&lt;=" &amp;Monitoring!F5)-COUNTIFS(Video_List!$C:$C,"&lt;=" &amp;Monitoring!E5))+1," videos")))</f>
        <v>1 video</v>
      </c>
      <c r="K5" s="27" t="s">
        <v>35</v>
      </c>
      <c r="L5" s="40" t="s">
        <v>28</v>
      </c>
      <c r="M5" s="40" t="s">
        <v>29</v>
      </c>
      <c r="N5" s="40" t="s">
        <v>30</v>
      </c>
      <c r="O5" s="88" t="str">
        <f>+IFERROR(IF(P5="#N/C","#N/C",IF(Q5=0,INDEX(Taxonomy_UniqueValues!D:D,MATCH(Q5,Taxonomy_UniqueValues!F:F,0)),INDEX(Taxonomy_UniqueValues!D:D,MATCH(P5,Taxonomy_UniqueValues!E:E,0)))),"#N/C")</f>
        <v>#N/C</v>
      </c>
      <c r="P5" s="40" t="s">
        <v>26</v>
      </c>
      <c r="Q5" s="40" t="s">
        <v>26</v>
      </c>
      <c r="R5" s="40" t="s">
        <v>26</v>
      </c>
      <c r="S5" s="40" t="s">
        <v>26</v>
      </c>
      <c r="T5" s="26" t="s">
        <v>26</v>
      </c>
    </row>
    <row r="6" spans="1:20" hidden="1" x14ac:dyDescent="0.3">
      <c r="A6" s="84">
        <v>5</v>
      </c>
      <c r="B6" s="6">
        <v>44389</v>
      </c>
      <c r="C6" s="85" t="s">
        <v>36</v>
      </c>
      <c r="D6" s="85" t="s">
        <v>36</v>
      </c>
      <c r="E6" s="16">
        <v>44389.650081018517</v>
      </c>
      <c r="F6" s="7">
        <v>44389.650416666664</v>
      </c>
      <c r="G6" s="14">
        <f t="shared" si="0"/>
        <v>3.3564814657438546E-4</v>
      </c>
      <c r="H6" s="86" t="s">
        <v>23</v>
      </c>
      <c r="I6" s="86" t="s">
        <v>24</v>
      </c>
      <c r="J6" s="87" t="str">
        <f>IF(ISBLANK(C6),"",IF(C6=D6, "1 video",CONCATENATE((+COUNTIFS(Video_List!$C:$C,"&lt;=" &amp;Monitoring!F6)-COUNTIFS(Video_List!$C:$C,"&lt;=" &amp;Monitoring!E6))+1," videos")))</f>
        <v>1 video</v>
      </c>
      <c r="K6" s="27" t="s">
        <v>35</v>
      </c>
      <c r="L6" s="40" t="s">
        <v>28</v>
      </c>
      <c r="M6" s="40" t="s">
        <v>29</v>
      </c>
      <c r="N6" s="40" t="s">
        <v>30</v>
      </c>
      <c r="O6" s="88" t="str">
        <f>+IFERROR(IF(P6="#N/C","#N/C",IF(Q6=0,INDEX(Taxonomy_UniqueValues!D:D,MATCH(Q6,Taxonomy_UniqueValues!F:F,0)),INDEX(Taxonomy_UniqueValues!D:D,MATCH(P6,Taxonomy_UniqueValues!E:E,0)))),"#N/C")</f>
        <v>Muscomorpha</v>
      </c>
      <c r="P6" s="40" t="s">
        <v>37</v>
      </c>
      <c r="Q6" s="40" t="s">
        <v>38</v>
      </c>
      <c r="R6" s="40" t="s">
        <v>39</v>
      </c>
      <c r="S6" s="40" t="s">
        <v>40</v>
      </c>
      <c r="T6" s="26" t="s">
        <v>26</v>
      </c>
    </row>
    <row r="7" spans="1:20" hidden="1" x14ac:dyDescent="0.3">
      <c r="A7" s="84">
        <v>6</v>
      </c>
      <c r="B7" s="6">
        <v>44389</v>
      </c>
      <c r="C7" s="85" t="s">
        <v>41</v>
      </c>
      <c r="D7" s="85" t="s">
        <v>41</v>
      </c>
      <c r="E7" s="16">
        <v>44389.654942129629</v>
      </c>
      <c r="F7" s="7">
        <v>44389.655011574076</v>
      </c>
      <c r="G7" s="14">
        <f t="shared" si="0"/>
        <v>6.9444446125999093E-5</v>
      </c>
      <c r="H7" s="4" t="s">
        <v>23</v>
      </c>
      <c r="I7" s="4" t="s">
        <v>24</v>
      </c>
      <c r="J7" s="87" t="str">
        <f>IF(ISBLANK(C7),"",IF(C7=D7, "1 video",CONCATENATE((+COUNTIFS(Video_List!$C:$C,"&lt;=" &amp;Monitoring!F7)-COUNTIFS(Video_List!$C:$C,"&lt;=" &amp;Monitoring!E7))+1," videos")))</f>
        <v>1 video</v>
      </c>
      <c r="K7" s="27" t="s">
        <v>35</v>
      </c>
      <c r="L7" s="40" t="s">
        <v>28</v>
      </c>
      <c r="M7" s="40" t="s">
        <v>29</v>
      </c>
      <c r="N7" s="40" t="s">
        <v>30</v>
      </c>
      <c r="O7" s="88" t="str">
        <f>+IFERROR(IF(P7="#N/C","#N/C",IF(Q7=0,INDEX(Taxonomy_UniqueValues!D:D,MATCH(Q7,Taxonomy_UniqueValues!F:F,0)),INDEX(Taxonomy_UniqueValues!D:D,MATCH(P7,Taxonomy_UniqueValues!E:E,0)))),"#N/C")</f>
        <v>#N/C</v>
      </c>
      <c r="P7" s="40" t="s">
        <v>26</v>
      </c>
      <c r="Q7" s="40" t="s">
        <v>26</v>
      </c>
      <c r="R7" s="40" t="s">
        <v>26</v>
      </c>
      <c r="S7" s="40" t="s">
        <v>26</v>
      </c>
      <c r="T7" s="26" t="s">
        <v>26</v>
      </c>
    </row>
    <row r="8" spans="1:20" hidden="1" x14ac:dyDescent="0.3">
      <c r="A8" s="84">
        <v>7</v>
      </c>
      <c r="B8" s="6">
        <v>44389</v>
      </c>
      <c r="C8" s="85" t="s">
        <v>42</v>
      </c>
      <c r="D8" s="85" t="s">
        <v>42</v>
      </c>
      <c r="E8" s="16">
        <v>44389.655868055554</v>
      </c>
      <c r="F8" s="7">
        <v>44389.655925925923</v>
      </c>
      <c r="G8" s="14">
        <f t="shared" si="0"/>
        <v>5.7870369346346706E-5</v>
      </c>
      <c r="H8" s="4" t="s">
        <v>23</v>
      </c>
      <c r="I8" s="4" t="s">
        <v>24</v>
      </c>
      <c r="J8" s="87" t="str">
        <f>IF(ISBLANK(C8),"",IF(C8=D8, "1 video",CONCATENATE((+COUNTIFS(Video_List!$C:$C,"&lt;=" &amp;Monitoring!F8)-COUNTIFS(Video_List!$C:$C,"&lt;=" &amp;Monitoring!E8))+1," videos")))</f>
        <v>1 video</v>
      </c>
      <c r="K8" s="27" t="s">
        <v>35</v>
      </c>
      <c r="L8" s="40" t="s">
        <v>28</v>
      </c>
      <c r="M8" s="40" t="s">
        <v>29</v>
      </c>
      <c r="N8" s="40" t="s">
        <v>30</v>
      </c>
      <c r="O8" s="88" t="str">
        <f>+IFERROR(IF(P8="#N/C","#N/C",IF(Q8=0,INDEX(Taxonomy_UniqueValues!D:D,MATCH(Q8,Taxonomy_UniqueValues!F:F,0)),INDEX(Taxonomy_UniqueValues!D:D,MATCH(P8,Taxonomy_UniqueValues!E:E,0)))),"#N/C")</f>
        <v>#N/C</v>
      </c>
      <c r="P8" s="40" t="s">
        <v>26</v>
      </c>
      <c r="Q8" s="40" t="s">
        <v>26</v>
      </c>
      <c r="R8" s="40" t="s">
        <v>26</v>
      </c>
      <c r="S8" s="40" t="s">
        <v>26</v>
      </c>
      <c r="T8" s="26" t="s">
        <v>26</v>
      </c>
    </row>
    <row r="9" spans="1:20" hidden="1" x14ac:dyDescent="0.3">
      <c r="A9" s="84">
        <v>8</v>
      </c>
      <c r="B9" s="6">
        <v>44389</v>
      </c>
      <c r="C9" s="85" t="s">
        <v>43</v>
      </c>
      <c r="D9" s="85" t="s">
        <v>44</v>
      </c>
      <c r="E9" s="16">
        <v>44389.66810185185</v>
      </c>
      <c r="F9" s="7">
        <v>44389.671689814815</v>
      </c>
      <c r="G9" s="14">
        <f t="shared" si="0"/>
        <v>3.5879629649571143E-3</v>
      </c>
      <c r="H9" s="86" t="s">
        <v>23</v>
      </c>
      <c r="I9" s="86" t="s">
        <v>24</v>
      </c>
      <c r="J9" s="87" t="str">
        <f>IF(ISBLANK(C9),"",IF(C9=D9, "1 video",CONCATENATE((+COUNTIFS(Video_List!$C:$C,"&lt;=" &amp;Monitoring!F9)-COUNTIFS(Video_List!$C:$C,"&lt;=" &amp;Monitoring!E9))+1," videos")))</f>
        <v>2 videos</v>
      </c>
      <c r="K9" s="27" t="s">
        <v>35</v>
      </c>
      <c r="L9" s="40" t="s">
        <v>28</v>
      </c>
      <c r="M9" s="40" t="s">
        <v>29</v>
      </c>
      <c r="N9" s="40" t="s">
        <v>30</v>
      </c>
      <c r="O9" s="88" t="str">
        <f>+IFERROR(IF(P9="#N/C","#N/C",IF(Q9=0,INDEX(Taxonomy_UniqueValues!D:D,MATCH(Q9,Taxonomy_UniqueValues!F:F,0)),INDEX(Taxonomy_UniqueValues!D:D,MATCH(P9,Taxonomy_UniqueValues!E:E,0)))),"#N/C")</f>
        <v>Muscomorpha</v>
      </c>
      <c r="P9" s="40" t="s">
        <v>37</v>
      </c>
      <c r="Q9" s="40" t="s">
        <v>38</v>
      </c>
      <c r="R9" s="40" t="s">
        <v>39</v>
      </c>
      <c r="S9" s="40" t="s">
        <v>26</v>
      </c>
      <c r="T9" s="26" t="s">
        <v>26</v>
      </c>
    </row>
    <row r="10" spans="1:20" hidden="1" x14ac:dyDescent="0.3">
      <c r="A10" s="84">
        <v>9</v>
      </c>
      <c r="B10" s="6">
        <v>44389</v>
      </c>
      <c r="C10" s="85" t="s">
        <v>45</v>
      </c>
      <c r="D10" s="85" t="s">
        <v>45</v>
      </c>
      <c r="E10" s="16">
        <v>44389.705347222225</v>
      </c>
      <c r="F10" s="7">
        <v>44389.705381944441</v>
      </c>
      <c r="G10" s="14">
        <f t="shared" si="0"/>
        <v>3.4722215787041932E-5</v>
      </c>
      <c r="H10" s="86" t="s">
        <v>23</v>
      </c>
      <c r="I10" s="86" t="s">
        <v>24</v>
      </c>
      <c r="J10" s="87" t="str">
        <f>IF(ISBLANK(C10),"",IF(C10=D10, "1 video",CONCATENATE((+COUNTIFS(Video_List!$C:$C,"&lt;=" &amp;Monitoring!F10)-COUNTIFS(Video_List!$C:$C,"&lt;=" &amp;Monitoring!E10))+1," videos")))</f>
        <v>1 video</v>
      </c>
      <c r="K10" s="27" t="s">
        <v>35</v>
      </c>
      <c r="L10" s="40" t="s">
        <v>28</v>
      </c>
      <c r="M10" s="40" t="s">
        <v>29</v>
      </c>
      <c r="N10" s="40" t="s">
        <v>30</v>
      </c>
      <c r="O10" s="88" t="str">
        <f>+IFERROR(IF(P10="#N/C","#N/C",IF(Q10=0,INDEX(Taxonomy_UniqueValues!D:D,MATCH(Q10,Taxonomy_UniqueValues!F:F,0)),INDEX(Taxonomy_UniqueValues!D:D,MATCH(P10,Taxonomy_UniqueValues!E:E,0)))),"#N/C")</f>
        <v>#N/C</v>
      </c>
      <c r="P10" s="40" t="s">
        <v>26</v>
      </c>
      <c r="Q10" s="40" t="s">
        <v>26</v>
      </c>
      <c r="R10" s="40" t="s">
        <v>26</v>
      </c>
      <c r="S10" s="40" t="s">
        <v>26</v>
      </c>
      <c r="T10" s="26" t="s">
        <v>26</v>
      </c>
    </row>
    <row r="11" spans="1:20" hidden="1" x14ac:dyDescent="0.3">
      <c r="A11" s="84">
        <v>10</v>
      </c>
      <c r="B11" s="6">
        <v>44389</v>
      </c>
      <c r="C11" s="85" t="s">
        <v>45</v>
      </c>
      <c r="D11" s="85" t="s">
        <v>45</v>
      </c>
      <c r="E11" s="16">
        <v>44389.705729166664</v>
      </c>
      <c r="F11" s="7">
        <v>44389.705740740741</v>
      </c>
      <c r="G11" s="14">
        <f t="shared" si="0"/>
        <v>1.1574076779652387E-5</v>
      </c>
      <c r="H11" s="4" t="s">
        <v>46</v>
      </c>
      <c r="I11" s="4" t="s">
        <v>46</v>
      </c>
      <c r="J11" s="87" t="str">
        <f>IF(ISBLANK(C11),"",IF(C11=D11, "1 video",CONCATENATE((+COUNTIFS(Video_List!$C:$C,"&lt;=" &amp;Monitoring!F11)-COUNTIFS(Video_List!$C:$C,"&lt;=" &amp;Monitoring!E11))+1," videos")))</f>
        <v>1 video</v>
      </c>
      <c r="K11" s="25" t="s">
        <v>23</v>
      </c>
      <c r="L11" s="40" t="s">
        <v>28</v>
      </c>
      <c r="M11" s="40" t="s">
        <v>47</v>
      </c>
      <c r="N11" s="40" t="s">
        <v>48</v>
      </c>
      <c r="O11" s="88" t="str">
        <f>+IFERROR(IF(P11="#N/C","#N/C",IF(Q11=0,INDEX(Taxonomy_UniqueValues!D:D,MATCH(Q11,Taxonomy_UniqueValues!F:F,0)),INDEX(Taxonomy_UniqueValues!D:D,MATCH(P11,Taxonomy_UniqueValues!E:E,0)))),"#N/C")</f>
        <v>Rhopalocera</v>
      </c>
      <c r="P11" s="40" t="s">
        <v>49</v>
      </c>
      <c r="Q11" s="40" t="s">
        <v>50</v>
      </c>
      <c r="R11" s="40" t="s">
        <v>51</v>
      </c>
      <c r="S11" s="40" t="s">
        <v>52</v>
      </c>
      <c r="T11" s="26" t="s">
        <v>26</v>
      </c>
    </row>
    <row r="12" spans="1:20" hidden="1" x14ac:dyDescent="0.3">
      <c r="A12" s="84">
        <v>11</v>
      </c>
      <c r="B12" s="6">
        <v>44389</v>
      </c>
      <c r="C12" s="85" t="s">
        <v>53</v>
      </c>
      <c r="D12" s="85" t="s">
        <v>53</v>
      </c>
      <c r="E12" s="16">
        <v>44389.711041666669</v>
      </c>
      <c r="F12" s="7">
        <v>44389.711122685185</v>
      </c>
      <c r="G12" s="14">
        <f t="shared" si="0"/>
        <v>8.1018515629693866E-5</v>
      </c>
      <c r="H12" s="4" t="s">
        <v>23</v>
      </c>
      <c r="I12" s="4" t="s">
        <v>24</v>
      </c>
      <c r="J12" s="87" t="str">
        <f>IF(ISBLANK(C12),"",IF(C12=D12, "1 video",CONCATENATE((+COUNTIFS(Video_List!$C:$C,"&lt;=" &amp;Monitoring!F12)-COUNTIFS(Video_List!$C:$C,"&lt;=" &amp;Monitoring!E12))+1," videos")))</f>
        <v>1 video</v>
      </c>
      <c r="K12" s="27" t="s">
        <v>35</v>
      </c>
      <c r="L12" s="40" t="s">
        <v>28</v>
      </c>
      <c r="M12" s="40" t="s">
        <v>29</v>
      </c>
      <c r="N12" s="40" t="s">
        <v>30</v>
      </c>
      <c r="O12" s="88" t="str">
        <f>+IFERROR(IF(P12="#N/C","#N/C",IF(Q12=0,INDEX(Taxonomy_UniqueValues!D:D,MATCH(Q12,Taxonomy_UniqueValues!F:F,0)),INDEX(Taxonomy_UniqueValues!D:D,MATCH(P12,Taxonomy_UniqueValues!E:E,0)))),"#N/C")</f>
        <v>Muscomorpha</v>
      </c>
      <c r="P12" s="40" t="s">
        <v>54</v>
      </c>
      <c r="Q12" s="40" t="s">
        <v>55</v>
      </c>
      <c r="R12" s="40" t="s">
        <v>56</v>
      </c>
      <c r="S12" s="40" t="s">
        <v>57</v>
      </c>
      <c r="T12" s="26" t="s">
        <v>26</v>
      </c>
    </row>
    <row r="13" spans="1:20" hidden="1" x14ac:dyDescent="0.3">
      <c r="A13" s="84">
        <v>12</v>
      </c>
      <c r="B13" s="6">
        <v>44389</v>
      </c>
      <c r="C13" s="85" t="s">
        <v>58</v>
      </c>
      <c r="D13" s="85" t="s">
        <v>58</v>
      </c>
      <c r="E13" s="16">
        <v>44389.718518518515</v>
      </c>
      <c r="F13" s="7">
        <v>44389.718634259261</v>
      </c>
      <c r="G13" s="14">
        <f t="shared" si="0"/>
        <v>1.1574074596865103E-4</v>
      </c>
      <c r="H13" s="86" t="s">
        <v>23</v>
      </c>
      <c r="I13" s="86" t="s">
        <v>24</v>
      </c>
      <c r="J13" s="87" t="str">
        <f>IF(ISBLANK(C13),"",IF(C13=D13, "1 video",CONCATENATE((+COUNTIFS(Video_List!$C:$C,"&lt;=" &amp;Monitoring!F13)-COUNTIFS(Video_List!$C:$C,"&lt;=" &amp;Monitoring!E13))+1," videos")))</f>
        <v>1 video</v>
      </c>
      <c r="K13" s="27" t="s">
        <v>35</v>
      </c>
      <c r="L13" s="40" t="s">
        <v>28</v>
      </c>
      <c r="M13" s="40" t="s">
        <v>29</v>
      </c>
      <c r="N13" s="40" t="s">
        <v>30</v>
      </c>
      <c r="O13" s="88" t="str">
        <f>+IFERROR(IF(P13="#N/C","#N/C",IF(Q13=0,INDEX(Taxonomy_UniqueValues!D:D,MATCH(Q13,Taxonomy_UniqueValues!F:F,0)),INDEX(Taxonomy_UniqueValues!D:D,MATCH(P13,Taxonomy_UniqueValues!E:E,0)))),"#N/C")</f>
        <v>#N/C</v>
      </c>
      <c r="P13" s="40" t="s">
        <v>26</v>
      </c>
      <c r="Q13" s="40" t="s">
        <v>26</v>
      </c>
      <c r="R13" s="40" t="s">
        <v>26</v>
      </c>
      <c r="S13" s="40" t="s">
        <v>26</v>
      </c>
      <c r="T13" s="26" t="s">
        <v>26</v>
      </c>
    </row>
    <row r="14" spans="1:20" hidden="1" x14ac:dyDescent="0.3">
      <c r="A14" s="84">
        <v>13</v>
      </c>
      <c r="B14" s="6">
        <v>44389</v>
      </c>
      <c r="C14" s="85" t="s">
        <v>59</v>
      </c>
      <c r="D14" s="85" t="s">
        <v>59</v>
      </c>
      <c r="E14" s="16">
        <v>44389.721377314818</v>
      </c>
      <c r="F14" s="7">
        <v>44389.721435185187</v>
      </c>
      <c r="G14" s="14">
        <f t="shared" si="0"/>
        <v>5.7870369346346706E-5</v>
      </c>
      <c r="H14" s="86" t="s">
        <v>23</v>
      </c>
      <c r="I14" s="86" t="s">
        <v>24</v>
      </c>
      <c r="J14" s="87" t="str">
        <f>IF(ISBLANK(C14),"",IF(C14=D14, "1 video",CONCATENATE((+COUNTIFS(Video_List!$C:$C,"&lt;=" &amp;Monitoring!F14)-COUNTIFS(Video_List!$C:$C,"&lt;=" &amp;Monitoring!E14))+1," videos")))</f>
        <v>1 video</v>
      </c>
      <c r="K14" s="27" t="s">
        <v>35</v>
      </c>
      <c r="L14" s="40" t="s">
        <v>28</v>
      </c>
      <c r="M14" s="40" t="s">
        <v>29</v>
      </c>
      <c r="N14" s="40" t="s">
        <v>30</v>
      </c>
      <c r="O14" s="88" t="str">
        <f>+IFERROR(IF(P14="#N/C","#N/C",IF(Q14=0,INDEX(Taxonomy_UniqueValues!D:D,MATCH(Q14,Taxonomy_UniqueValues!F:F,0)),INDEX(Taxonomy_UniqueValues!D:D,MATCH(P14,Taxonomy_UniqueValues!E:E,0)))),"#N/C")</f>
        <v>#N/C</v>
      </c>
      <c r="P14" s="40" t="s">
        <v>26</v>
      </c>
      <c r="Q14" s="40" t="s">
        <v>26</v>
      </c>
      <c r="R14" s="40" t="s">
        <v>26</v>
      </c>
      <c r="S14" s="40" t="s">
        <v>26</v>
      </c>
      <c r="T14" s="26" t="s">
        <v>26</v>
      </c>
    </row>
    <row r="15" spans="1:20" hidden="1" x14ac:dyDescent="0.3">
      <c r="A15" s="84">
        <v>14</v>
      </c>
      <c r="B15" s="6">
        <v>44389</v>
      </c>
      <c r="C15" s="85" t="s">
        <v>60</v>
      </c>
      <c r="D15" s="85" t="s">
        <v>60</v>
      </c>
      <c r="E15" s="16">
        <v>44389.729212962964</v>
      </c>
      <c r="F15" s="7">
        <v>44389.729247685187</v>
      </c>
      <c r="G15" s="14">
        <f t="shared" si="0"/>
        <v>3.4722223062999547E-5</v>
      </c>
      <c r="H15" s="86" t="s">
        <v>23</v>
      </c>
      <c r="I15" s="86" t="s">
        <v>24</v>
      </c>
      <c r="J15" s="87" t="str">
        <f>IF(ISBLANK(C15),"",IF(C15=D15, "1 video",CONCATENATE((+COUNTIFS(Video_List!$C:$C,"&lt;=" &amp;Monitoring!F15)-COUNTIFS(Video_List!$C:$C,"&lt;=" &amp;Monitoring!E15))+1," videos")))</f>
        <v>1 video</v>
      </c>
      <c r="K15" s="27" t="s">
        <v>35</v>
      </c>
      <c r="L15" s="40" t="s">
        <v>28</v>
      </c>
      <c r="M15" s="40" t="s">
        <v>29</v>
      </c>
      <c r="N15" s="40" t="s">
        <v>30</v>
      </c>
      <c r="O15" s="88" t="str">
        <f>+IFERROR(IF(P15="#N/C","#N/C",IF(Q15=0,INDEX(Taxonomy_UniqueValues!D:D,MATCH(Q15,Taxonomy_UniqueValues!F:F,0)),INDEX(Taxonomy_UniqueValues!D:D,MATCH(P15,Taxonomy_UniqueValues!E:E,0)))),"#N/C")</f>
        <v>#N/C</v>
      </c>
      <c r="P15" s="40" t="s">
        <v>26</v>
      </c>
      <c r="Q15" s="40" t="s">
        <v>26</v>
      </c>
      <c r="R15" s="40" t="s">
        <v>26</v>
      </c>
      <c r="S15" s="40" t="s">
        <v>26</v>
      </c>
      <c r="T15" s="26" t="s">
        <v>26</v>
      </c>
    </row>
    <row r="16" spans="1:20" hidden="1" x14ac:dyDescent="0.3">
      <c r="A16" s="84">
        <v>15</v>
      </c>
      <c r="B16" s="6">
        <v>44389</v>
      </c>
      <c r="C16" s="85" t="s">
        <v>61</v>
      </c>
      <c r="D16" s="85" t="s">
        <v>61</v>
      </c>
      <c r="E16" s="16">
        <v>44389.729803240742</v>
      </c>
      <c r="F16" s="7">
        <v>44389.729861111111</v>
      </c>
      <c r="G16" s="14">
        <f t="shared" si="0"/>
        <v>5.7870369346346706E-5</v>
      </c>
      <c r="H16" s="4" t="s">
        <v>23</v>
      </c>
      <c r="I16" s="4" t="s">
        <v>24</v>
      </c>
      <c r="J16" s="87" t="str">
        <f>IF(ISBLANK(C16),"",IF(C16=D16, "1 video",CONCATENATE((+COUNTIFS(Video_List!$C:$C,"&lt;=" &amp;Monitoring!F16)-COUNTIFS(Video_List!$C:$C,"&lt;=" &amp;Monitoring!E16))+1," videos")))</f>
        <v>1 video</v>
      </c>
      <c r="K16" s="25" t="s">
        <v>23</v>
      </c>
      <c r="L16" s="40" t="s">
        <v>28</v>
      </c>
      <c r="M16" s="40" t="s">
        <v>32</v>
      </c>
      <c r="N16" s="40" t="s">
        <v>33</v>
      </c>
      <c r="O16" s="88" t="str">
        <f>+IFERROR(IF(P16="#N/C","#N/C",IF(Q16=0,INDEX(Taxonomy_UniqueValues!D:D,MATCH(Q16,Taxonomy_UniqueValues!F:F,0)),INDEX(Taxonomy_UniqueValues!D:D,MATCH(P16,Taxonomy_UniqueValues!E:E,0)))),"#N/C")</f>
        <v>Parasitica</v>
      </c>
      <c r="P16" s="40" t="s">
        <v>62</v>
      </c>
      <c r="Q16" s="40" t="s">
        <v>63</v>
      </c>
      <c r="R16" s="40" t="s">
        <v>26</v>
      </c>
      <c r="S16" s="40" t="s">
        <v>26</v>
      </c>
      <c r="T16" s="26" t="s">
        <v>26</v>
      </c>
    </row>
    <row r="17" spans="1:20" hidden="1" x14ac:dyDescent="0.3">
      <c r="A17" s="84">
        <v>16</v>
      </c>
      <c r="B17" s="6">
        <v>44389</v>
      </c>
      <c r="C17" s="85" t="s">
        <v>64</v>
      </c>
      <c r="D17" s="85" t="s">
        <v>64</v>
      </c>
      <c r="E17" s="16">
        <v>44389.739328703705</v>
      </c>
      <c r="F17" s="7">
        <v>44389.739374999997</v>
      </c>
      <c r="G17" s="14">
        <f t="shared" si="0"/>
        <v>4.6296292566694319E-5</v>
      </c>
      <c r="H17" s="86" t="s">
        <v>23</v>
      </c>
      <c r="I17" s="86" t="s">
        <v>24</v>
      </c>
      <c r="J17" s="87" t="str">
        <f>IF(ISBLANK(C17),"",IF(C17=D17, "1 video",CONCATENATE((+COUNTIFS(Video_List!$C:$C,"&lt;=" &amp;Monitoring!F17)-COUNTIFS(Video_List!$C:$C,"&lt;=" &amp;Monitoring!E17))+1," videos")))</f>
        <v>1 video</v>
      </c>
      <c r="K17" s="27" t="s">
        <v>35</v>
      </c>
      <c r="L17" s="40" t="s">
        <v>28</v>
      </c>
      <c r="M17" s="40" t="s">
        <v>29</v>
      </c>
      <c r="N17" s="40" t="s">
        <v>30</v>
      </c>
      <c r="O17" s="88" t="str">
        <f>+IFERROR(IF(P17="#N/C","#N/C",IF(Q17=0,INDEX(Taxonomy_UniqueValues!D:D,MATCH(Q17,Taxonomy_UniqueValues!F:F,0)),INDEX(Taxonomy_UniqueValues!D:D,MATCH(P17,Taxonomy_UniqueValues!E:E,0)))),"#N/C")</f>
        <v>#N/C</v>
      </c>
      <c r="P17" s="40" t="s">
        <v>26</v>
      </c>
      <c r="Q17" s="40" t="s">
        <v>26</v>
      </c>
      <c r="R17" s="40" t="s">
        <v>26</v>
      </c>
      <c r="S17" s="40" t="s">
        <v>26</v>
      </c>
      <c r="T17" s="26" t="s">
        <v>26</v>
      </c>
    </row>
    <row r="18" spans="1:20" hidden="1" x14ac:dyDescent="0.3">
      <c r="A18" s="84">
        <v>17</v>
      </c>
      <c r="B18" s="6">
        <v>44389</v>
      </c>
      <c r="C18" s="85" t="s">
        <v>65</v>
      </c>
      <c r="D18" s="85" t="s">
        <v>66</v>
      </c>
      <c r="E18" s="16">
        <v>44389.739791666667</v>
      </c>
      <c r="F18" s="7">
        <v>44389.740717592591</v>
      </c>
      <c r="G18" s="14">
        <f t="shared" si="0"/>
        <v>9.2592592409346253E-4</v>
      </c>
      <c r="H18" s="86" t="s">
        <v>23</v>
      </c>
      <c r="I18" s="86" t="s">
        <v>24</v>
      </c>
      <c r="J18" s="87" t="str">
        <f>IF(ISBLANK(C18),"",IF(C18=D18, "1 video",CONCATENATE((+COUNTIFS(Video_List!$C:$C,"&lt;=" &amp;Monitoring!F18)-COUNTIFS(Video_List!$C:$C,"&lt;=" &amp;Monitoring!E18))+1," videos")))</f>
        <v>2 videos</v>
      </c>
      <c r="K18" s="25" t="s">
        <v>23</v>
      </c>
      <c r="L18" s="40" t="s">
        <v>28</v>
      </c>
      <c r="M18" s="40" t="s">
        <v>67</v>
      </c>
      <c r="N18" s="40" t="s">
        <v>68</v>
      </c>
      <c r="O18" s="88" t="str">
        <f>+IFERROR(IF(P18="#N/C","#N/C",IF(Q18=0,INDEX(Taxonomy_UniqueValues!D:D,MATCH(Q18,Taxonomy_UniqueValues!F:F,0)),INDEX(Taxonomy_UniqueValues!D:D,MATCH(P18,Taxonomy_UniqueValues!E:E,0)))),"#N/C")</f>
        <v>Cucujiformia</v>
      </c>
      <c r="P18" s="40" t="s">
        <v>69</v>
      </c>
      <c r="Q18" s="40" t="s">
        <v>70</v>
      </c>
      <c r="R18" s="40" t="s">
        <v>71</v>
      </c>
      <c r="S18" s="40" t="s">
        <v>72</v>
      </c>
      <c r="T18" s="26" t="s">
        <v>73</v>
      </c>
    </row>
    <row r="19" spans="1:20" hidden="1" x14ac:dyDescent="0.3">
      <c r="A19" s="84">
        <v>18</v>
      </c>
      <c r="B19" s="6">
        <v>44389</v>
      </c>
      <c r="C19" s="85" t="s">
        <v>74</v>
      </c>
      <c r="D19" s="85" t="s">
        <v>74</v>
      </c>
      <c r="E19" s="16">
        <v>44389.758148148147</v>
      </c>
      <c r="F19" s="7">
        <v>44389.758194444446</v>
      </c>
      <c r="G19" s="14">
        <f t="shared" si="0"/>
        <v>4.6296299842651933E-5</v>
      </c>
      <c r="H19" s="86" t="s">
        <v>23</v>
      </c>
      <c r="I19" s="86" t="s">
        <v>24</v>
      </c>
      <c r="J19" s="87" t="str">
        <f>IF(ISBLANK(C19),"",IF(C19=D19, "1 video",CONCATENATE((+COUNTIFS(Video_List!$C:$C,"&lt;=" &amp;Monitoring!F19)-COUNTIFS(Video_List!$C:$C,"&lt;=" &amp;Monitoring!E19))+1," videos")))</f>
        <v>1 video</v>
      </c>
      <c r="K19" s="27" t="s">
        <v>35</v>
      </c>
      <c r="L19" s="40" t="s">
        <v>28</v>
      </c>
      <c r="M19" s="40" t="s">
        <v>29</v>
      </c>
      <c r="N19" s="40" t="s">
        <v>30</v>
      </c>
      <c r="O19" s="88" t="str">
        <f>+IFERROR(IF(P19="#N/C","#N/C",IF(Q19=0,INDEX(Taxonomy_UniqueValues!D:D,MATCH(Q19,Taxonomy_UniqueValues!F:F,0)),INDEX(Taxonomy_UniqueValues!D:D,MATCH(P19,Taxonomy_UniqueValues!E:E,0)))),"#N/C")</f>
        <v>#N/C</v>
      </c>
      <c r="P19" s="40" t="s">
        <v>26</v>
      </c>
      <c r="Q19" s="40" t="s">
        <v>26</v>
      </c>
      <c r="R19" s="40" t="s">
        <v>26</v>
      </c>
      <c r="S19" s="40" t="s">
        <v>26</v>
      </c>
      <c r="T19" s="26" t="s">
        <v>26</v>
      </c>
    </row>
    <row r="20" spans="1:20" hidden="1" x14ac:dyDescent="0.3">
      <c r="A20" s="84">
        <v>19</v>
      </c>
      <c r="B20" s="6">
        <v>44389</v>
      </c>
      <c r="C20" s="85" t="s">
        <v>75</v>
      </c>
      <c r="D20" s="85" t="s">
        <v>75</v>
      </c>
      <c r="E20" s="16">
        <v>44389.760567129626</v>
      </c>
      <c r="F20" s="7">
        <v>44389.760601851849</v>
      </c>
      <c r="G20" s="14">
        <f t="shared" si="0"/>
        <v>3.4722223062999547E-5</v>
      </c>
      <c r="H20" s="4" t="s">
        <v>46</v>
      </c>
      <c r="I20" s="4" t="s">
        <v>46</v>
      </c>
      <c r="J20" s="87" t="str">
        <f>IF(ISBLANK(C20),"",IF(C20=D20, "1 video",CONCATENATE((+COUNTIFS(Video_List!$C:$C,"&lt;=" &amp;Monitoring!F20)-COUNTIFS(Video_List!$C:$C,"&lt;=" &amp;Monitoring!E20))+1," videos")))</f>
        <v>1 video</v>
      </c>
      <c r="K20" s="25" t="s">
        <v>23</v>
      </c>
      <c r="L20" s="40" t="s">
        <v>28</v>
      </c>
      <c r="M20" s="40" t="s">
        <v>32</v>
      </c>
      <c r="N20" s="40" t="s">
        <v>33</v>
      </c>
      <c r="O20" s="88" t="str">
        <f>+IFERROR(IF(P20="#N/C","#N/C",IF(Q20=0,INDEX(Taxonomy_UniqueValues!D:D,MATCH(Q20,Taxonomy_UniqueValues!F:F,0)),INDEX(Taxonomy_UniqueValues!D:D,MATCH(P20,Taxonomy_UniqueValues!E:E,0)))),"#N/C")</f>
        <v>Parasitica</v>
      </c>
      <c r="P20" s="40" t="s">
        <v>62</v>
      </c>
      <c r="Q20" s="40" t="s">
        <v>63</v>
      </c>
      <c r="R20" s="40" t="s">
        <v>76</v>
      </c>
      <c r="S20" s="40" t="s">
        <v>77</v>
      </c>
      <c r="T20" s="26" t="s">
        <v>78</v>
      </c>
    </row>
    <row r="21" spans="1:20" hidden="1" x14ac:dyDescent="0.3">
      <c r="A21" s="84">
        <v>20</v>
      </c>
      <c r="B21" s="6">
        <v>44389</v>
      </c>
      <c r="C21" s="85" t="s">
        <v>79</v>
      </c>
      <c r="D21" s="85" t="s">
        <v>79</v>
      </c>
      <c r="E21" s="16">
        <v>44389.770127314812</v>
      </c>
      <c r="F21" s="7">
        <v>44389.770219907405</v>
      </c>
      <c r="G21" s="14">
        <f t="shared" si="0"/>
        <v>9.2592592409346253E-5</v>
      </c>
      <c r="H21" s="86" t="s">
        <v>23</v>
      </c>
      <c r="I21" s="86" t="s">
        <v>24</v>
      </c>
      <c r="J21" s="87" t="str">
        <f>IF(ISBLANK(C21),"",IF(C21=D21, "1 video",CONCATENATE((+COUNTIFS(Video_List!$C:$C,"&lt;=" &amp;Monitoring!F21)-COUNTIFS(Video_List!$C:$C,"&lt;=" &amp;Monitoring!E21))+1," videos")))</f>
        <v>1 video</v>
      </c>
      <c r="K21" s="27" t="s">
        <v>35</v>
      </c>
      <c r="L21" s="40" t="s">
        <v>28</v>
      </c>
      <c r="M21" s="40" t="s">
        <v>29</v>
      </c>
      <c r="N21" s="40" t="s">
        <v>30</v>
      </c>
      <c r="O21" s="88" t="str">
        <f>+IFERROR(IF(P21="#N/C","#N/C",IF(Q21=0,INDEX(Taxonomy_UniqueValues!D:D,MATCH(Q21,Taxonomy_UniqueValues!F:F,0)),INDEX(Taxonomy_UniqueValues!D:D,MATCH(P21,Taxonomy_UniqueValues!E:E,0)))),"#N/C")</f>
        <v>#N/C</v>
      </c>
      <c r="P21" s="40" t="s">
        <v>26</v>
      </c>
      <c r="Q21" s="40" t="s">
        <v>26</v>
      </c>
      <c r="R21" s="40" t="s">
        <v>26</v>
      </c>
      <c r="S21" s="40" t="s">
        <v>26</v>
      </c>
      <c r="T21" s="26" t="s">
        <v>26</v>
      </c>
    </row>
    <row r="22" spans="1:20" hidden="1" x14ac:dyDescent="0.3">
      <c r="A22" s="84">
        <v>21</v>
      </c>
      <c r="B22" s="6">
        <v>44389</v>
      </c>
      <c r="C22" s="85" t="s">
        <v>80</v>
      </c>
      <c r="D22" s="85" t="s">
        <v>80</v>
      </c>
      <c r="E22" s="16">
        <v>44389.771620370368</v>
      </c>
      <c r="F22" s="7">
        <v>44389.771701388891</v>
      </c>
      <c r="G22" s="14">
        <f t="shared" si="0"/>
        <v>8.101852290565148E-5</v>
      </c>
      <c r="H22" s="86" t="s">
        <v>23</v>
      </c>
      <c r="I22" s="86" t="s">
        <v>24</v>
      </c>
      <c r="J22" s="87" t="str">
        <f>IF(ISBLANK(C22),"",IF(C22=D22, "1 video",CONCATENATE((+COUNTIFS(Video_List!$C:$C,"&lt;=" &amp;Monitoring!F22)-COUNTIFS(Video_List!$C:$C,"&lt;=" &amp;Monitoring!E22))+1," videos")))</f>
        <v>1 video</v>
      </c>
      <c r="K22" s="27" t="s">
        <v>35</v>
      </c>
      <c r="L22" s="40" t="s">
        <v>28</v>
      </c>
      <c r="M22" s="40" t="s">
        <v>29</v>
      </c>
      <c r="N22" s="40" t="s">
        <v>30</v>
      </c>
      <c r="O22" s="88" t="str">
        <f>+IFERROR(IF(P22="#N/C","#N/C",IF(Q22=0,INDEX(Taxonomy_UniqueValues!D:D,MATCH(Q22,Taxonomy_UniqueValues!F:F,0)),INDEX(Taxonomy_UniqueValues!D:D,MATCH(P22,Taxonomy_UniqueValues!E:E,0)))),"#N/C")</f>
        <v>#N/C</v>
      </c>
      <c r="P22" s="40" t="s">
        <v>26</v>
      </c>
      <c r="Q22" s="40" t="s">
        <v>26</v>
      </c>
      <c r="R22" s="40" t="s">
        <v>26</v>
      </c>
      <c r="S22" s="40" t="s">
        <v>26</v>
      </c>
      <c r="T22" s="26" t="s">
        <v>26</v>
      </c>
    </row>
    <row r="23" spans="1:20" hidden="1" x14ac:dyDescent="0.3">
      <c r="A23" s="84">
        <v>22</v>
      </c>
      <c r="B23" s="6">
        <v>44389</v>
      </c>
      <c r="C23" s="85" t="s">
        <v>81</v>
      </c>
      <c r="D23" s="85" t="s">
        <v>81</v>
      </c>
      <c r="E23" s="16">
        <v>44389.779756944445</v>
      </c>
      <c r="F23" s="7">
        <v>44389.779942129629</v>
      </c>
      <c r="G23" s="14">
        <f t="shared" si="0"/>
        <v>1.8518518481869251E-4</v>
      </c>
      <c r="H23" s="86" t="s">
        <v>23</v>
      </c>
      <c r="I23" s="86" t="s">
        <v>24</v>
      </c>
      <c r="J23" s="87" t="str">
        <f>IF(ISBLANK(C23),"",IF(C23=D23, "1 video",CONCATENATE((+COUNTIFS(Video_List!$C:$C,"&lt;=" &amp;Monitoring!F23)-COUNTIFS(Video_List!$C:$C,"&lt;=" &amp;Monitoring!E23))+1," videos")))</f>
        <v>1 video</v>
      </c>
      <c r="K23" s="27" t="s">
        <v>35</v>
      </c>
      <c r="L23" s="40" t="s">
        <v>28</v>
      </c>
      <c r="M23" s="40" t="s">
        <v>29</v>
      </c>
      <c r="N23" s="40" t="s">
        <v>30</v>
      </c>
      <c r="O23" s="88" t="str">
        <f>+IFERROR(IF(P23="#N/C","#N/C",IF(Q23=0,INDEX(Taxonomy_UniqueValues!D:D,MATCH(Q23,Taxonomy_UniqueValues!F:F,0)),INDEX(Taxonomy_UniqueValues!D:D,MATCH(P23,Taxonomy_UniqueValues!E:E,0)))),"#N/C")</f>
        <v>#N/C</v>
      </c>
      <c r="P23" s="40" t="s">
        <v>26</v>
      </c>
      <c r="Q23" s="40" t="s">
        <v>26</v>
      </c>
      <c r="R23" s="40" t="s">
        <v>26</v>
      </c>
      <c r="S23" s="40" t="s">
        <v>26</v>
      </c>
      <c r="T23" s="26" t="s">
        <v>26</v>
      </c>
    </row>
    <row r="24" spans="1:20" hidden="1" x14ac:dyDescent="0.3">
      <c r="A24" s="84">
        <v>23</v>
      </c>
      <c r="B24" s="6">
        <v>44389</v>
      </c>
      <c r="C24" s="85" t="s">
        <v>82</v>
      </c>
      <c r="D24" s="85" t="s">
        <v>82</v>
      </c>
      <c r="E24" s="16">
        <v>44389.786296296297</v>
      </c>
      <c r="F24" s="7">
        <v>44389.78638888889</v>
      </c>
      <c r="G24" s="14">
        <f t="shared" si="0"/>
        <v>9.2592592409346253E-5</v>
      </c>
      <c r="H24" s="86" t="s">
        <v>23</v>
      </c>
      <c r="I24" s="86" t="s">
        <v>24</v>
      </c>
      <c r="J24" s="87" t="str">
        <f>IF(ISBLANK(C24),"",IF(C24=D24, "1 video",CONCATENATE((+COUNTIFS(Video_List!$C:$C,"&lt;=" &amp;Monitoring!F24)-COUNTIFS(Video_List!$C:$C,"&lt;=" &amp;Monitoring!E24))+1," videos")))</f>
        <v>1 video</v>
      </c>
      <c r="K24" s="27" t="s">
        <v>35</v>
      </c>
      <c r="L24" s="40" t="s">
        <v>28</v>
      </c>
      <c r="M24" s="40" t="s">
        <v>29</v>
      </c>
      <c r="N24" s="40" t="s">
        <v>30</v>
      </c>
      <c r="O24" s="88" t="str">
        <f>+IFERROR(IF(P24="#N/C","#N/C",IF(Q24=0,INDEX(Taxonomy_UniqueValues!D:D,MATCH(Q24,Taxonomy_UniqueValues!F:F,0)),INDEX(Taxonomy_UniqueValues!D:D,MATCH(P24,Taxonomy_UniqueValues!E:E,0)))),"#N/C")</f>
        <v>#N/C</v>
      </c>
      <c r="P24" s="40" t="s">
        <v>26</v>
      </c>
      <c r="Q24" s="40" t="s">
        <v>26</v>
      </c>
      <c r="R24" s="40" t="s">
        <v>26</v>
      </c>
      <c r="S24" s="40" t="s">
        <v>26</v>
      </c>
      <c r="T24" s="26" t="s">
        <v>26</v>
      </c>
    </row>
    <row r="25" spans="1:20" hidden="1" x14ac:dyDescent="0.3">
      <c r="A25" s="84">
        <v>24</v>
      </c>
      <c r="B25" s="6">
        <v>44389</v>
      </c>
      <c r="C25" s="85" t="s">
        <v>83</v>
      </c>
      <c r="D25" s="85" t="s">
        <v>83</v>
      </c>
      <c r="E25" s="16">
        <v>44389.787395833337</v>
      </c>
      <c r="F25" s="7">
        <v>44389.787499999999</v>
      </c>
      <c r="G25" s="14">
        <f t="shared" si="0"/>
        <v>1.0416666191304103E-4</v>
      </c>
      <c r="H25" s="86" t="s">
        <v>23</v>
      </c>
      <c r="I25" s="86" t="s">
        <v>24</v>
      </c>
      <c r="J25" s="87" t="str">
        <f>IF(ISBLANK(C25),"",IF(C25=D25, "1 video",CONCATENATE((+COUNTIFS(Video_List!$C:$C,"&lt;=" &amp;Monitoring!F25)-COUNTIFS(Video_List!$C:$C,"&lt;=" &amp;Monitoring!E25))+1," videos")))</f>
        <v>1 video</v>
      </c>
      <c r="K25" s="27" t="s">
        <v>35</v>
      </c>
      <c r="L25" s="40" t="s">
        <v>28</v>
      </c>
      <c r="M25" s="40" t="s">
        <v>29</v>
      </c>
      <c r="N25" s="40" t="s">
        <v>30</v>
      </c>
      <c r="O25" s="88" t="str">
        <f>+IFERROR(IF(P25="#N/C","#N/C",IF(Q25=0,INDEX(Taxonomy_UniqueValues!D:D,MATCH(Q25,Taxonomy_UniqueValues!F:F,0)),INDEX(Taxonomy_UniqueValues!D:D,MATCH(P25,Taxonomy_UniqueValues!E:E,0)))),"#N/C")</f>
        <v>#N/C</v>
      </c>
      <c r="P25" s="40" t="s">
        <v>26</v>
      </c>
      <c r="Q25" s="40" t="s">
        <v>26</v>
      </c>
      <c r="R25" s="40" t="s">
        <v>26</v>
      </c>
      <c r="S25" s="40" t="s">
        <v>26</v>
      </c>
      <c r="T25" s="26" t="s">
        <v>26</v>
      </c>
    </row>
    <row r="26" spans="1:20" hidden="1" x14ac:dyDescent="0.3">
      <c r="A26" s="84">
        <v>25</v>
      </c>
      <c r="B26" s="6">
        <v>44389</v>
      </c>
      <c r="C26" s="85" t="s">
        <v>84</v>
      </c>
      <c r="D26" s="85" t="s">
        <v>84</v>
      </c>
      <c r="E26" s="16">
        <v>44389.797395833331</v>
      </c>
      <c r="F26" s="7">
        <v>44389.797488425924</v>
      </c>
      <c r="G26" s="14">
        <f t="shared" si="0"/>
        <v>9.2592592409346253E-5</v>
      </c>
      <c r="H26" s="86" t="s">
        <v>23</v>
      </c>
      <c r="I26" s="86" t="s">
        <v>24</v>
      </c>
      <c r="J26" s="87" t="str">
        <f>IF(ISBLANK(C26),"",IF(C26=D26, "1 video",CONCATENATE((+COUNTIFS(Video_List!$C:$C,"&lt;=" &amp;Monitoring!F26)-COUNTIFS(Video_List!$C:$C,"&lt;=" &amp;Monitoring!E26))+1," videos")))</f>
        <v>1 video</v>
      </c>
      <c r="K26" s="27" t="s">
        <v>35</v>
      </c>
      <c r="L26" s="40" t="s">
        <v>28</v>
      </c>
      <c r="M26" s="40" t="s">
        <v>29</v>
      </c>
      <c r="N26" s="40" t="s">
        <v>30</v>
      </c>
      <c r="O26" s="88" t="str">
        <f>+IFERROR(IF(P26="#N/C","#N/C",IF(Q26=0,INDEX(Taxonomy_UniqueValues!D:D,MATCH(Q26,Taxonomy_UniqueValues!F:F,0)),INDEX(Taxonomy_UniqueValues!D:D,MATCH(P26,Taxonomy_UniqueValues!E:E,0)))),"#N/C")</f>
        <v>#N/C</v>
      </c>
      <c r="P26" s="40" t="s">
        <v>26</v>
      </c>
      <c r="Q26" s="40" t="s">
        <v>26</v>
      </c>
      <c r="R26" s="40" t="s">
        <v>26</v>
      </c>
      <c r="S26" s="40" t="s">
        <v>26</v>
      </c>
      <c r="T26" s="26" t="s">
        <v>26</v>
      </c>
    </row>
    <row r="27" spans="1:20" hidden="1" x14ac:dyDescent="0.3">
      <c r="A27" s="84">
        <v>26</v>
      </c>
      <c r="B27" s="6">
        <v>44389</v>
      </c>
      <c r="C27" s="85" t="s">
        <v>85</v>
      </c>
      <c r="D27" s="85" t="s">
        <v>85</v>
      </c>
      <c r="E27" s="16">
        <v>44389.79859953704</v>
      </c>
      <c r="F27" s="7">
        <v>44389.798854166664</v>
      </c>
      <c r="G27" s="14">
        <f t="shared" si="0"/>
        <v>2.5462962366873398E-4</v>
      </c>
      <c r="H27" s="86" t="s">
        <v>23</v>
      </c>
      <c r="I27" s="86" t="s">
        <v>24</v>
      </c>
      <c r="J27" s="87" t="str">
        <f>IF(ISBLANK(C27),"",IF(C27=D27, "1 video",CONCATENATE((+COUNTIFS(Video_List!$C:$C,"&lt;=" &amp;Monitoring!F27)-COUNTIFS(Video_List!$C:$C,"&lt;=" &amp;Monitoring!E27))+1," videos")))</f>
        <v>1 video</v>
      </c>
      <c r="K27" s="27" t="s">
        <v>35</v>
      </c>
      <c r="L27" s="40" t="s">
        <v>28</v>
      </c>
      <c r="M27" s="40" t="s">
        <v>29</v>
      </c>
      <c r="N27" s="40" t="s">
        <v>30</v>
      </c>
      <c r="O27" s="88" t="str">
        <f>+IFERROR(IF(P27="#N/C","#N/C",IF(Q27=0,INDEX(Taxonomy_UniqueValues!D:D,MATCH(Q27,Taxonomy_UniqueValues!F:F,0)),INDEX(Taxonomy_UniqueValues!D:D,MATCH(P27,Taxonomy_UniqueValues!E:E,0)))),"#N/C")</f>
        <v>#N/C</v>
      </c>
      <c r="P27" s="40" t="s">
        <v>26</v>
      </c>
      <c r="Q27" s="40" t="s">
        <v>26</v>
      </c>
      <c r="R27" s="40" t="s">
        <v>26</v>
      </c>
      <c r="S27" s="40" t="s">
        <v>26</v>
      </c>
      <c r="T27" s="26" t="s">
        <v>26</v>
      </c>
    </row>
    <row r="28" spans="1:20" hidden="1" x14ac:dyDescent="0.3">
      <c r="A28" s="84">
        <v>27</v>
      </c>
      <c r="B28" s="6">
        <v>44389</v>
      </c>
      <c r="C28" s="85" t="s">
        <v>86</v>
      </c>
      <c r="D28" s="85" t="s">
        <v>86</v>
      </c>
      <c r="E28" s="16">
        <v>44389.799641203703</v>
      </c>
      <c r="F28" s="7">
        <v>44389.799756944441</v>
      </c>
      <c r="G28" s="14">
        <f t="shared" si="0"/>
        <v>1.1574073869269341E-4</v>
      </c>
      <c r="H28" s="4" t="s">
        <v>23</v>
      </c>
      <c r="I28" s="4" t="s">
        <v>24</v>
      </c>
      <c r="J28" s="87" t="str">
        <f>IF(ISBLANK(C28),"",IF(C28=D28, "1 video",CONCATENATE((+COUNTIFS(Video_List!$C:$C,"&lt;=" &amp;Monitoring!F28)-COUNTIFS(Video_List!$C:$C,"&lt;=" &amp;Monitoring!E28))+1," videos")))</f>
        <v>1 video</v>
      </c>
      <c r="K28" s="25" t="s">
        <v>23</v>
      </c>
      <c r="L28" s="40" t="s">
        <v>28</v>
      </c>
      <c r="M28" s="40" t="s">
        <v>32</v>
      </c>
      <c r="N28" s="40" t="s">
        <v>33</v>
      </c>
      <c r="O28" s="88" t="str">
        <f>+IFERROR(IF(P28="#N/C","#N/C",IF(Q28=0,INDEX(Taxonomy_UniqueValues!D:D,MATCH(Q28,Taxonomy_UniqueValues!F:F,0)),INDEX(Taxonomy_UniqueValues!D:D,MATCH(P28,Taxonomy_UniqueValues!E:E,0)))),"#N/C")</f>
        <v>Parasitica</v>
      </c>
      <c r="P28" s="40" t="s">
        <v>62</v>
      </c>
      <c r="Q28" s="40" t="s">
        <v>26</v>
      </c>
      <c r="R28" s="40" t="s">
        <v>26</v>
      </c>
      <c r="S28" s="40" t="s">
        <v>26</v>
      </c>
      <c r="T28" s="26" t="s">
        <v>26</v>
      </c>
    </row>
    <row r="29" spans="1:20" hidden="1" x14ac:dyDescent="0.3">
      <c r="A29" s="84">
        <v>28</v>
      </c>
      <c r="B29" s="6">
        <v>44389</v>
      </c>
      <c r="C29" s="85" t="s">
        <v>87</v>
      </c>
      <c r="D29" s="85" t="s">
        <v>87</v>
      </c>
      <c r="E29" s="16">
        <v>44389.804710648146</v>
      </c>
      <c r="F29" s="7">
        <v>44389.804768518516</v>
      </c>
      <c r="G29" s="14">
        <f t="shared" si="0"/>
        <v>5.7870369346346706E-5</v>
      </c>
      <c r="H29" s="86" t="s">
        <v>23</v>
      </c>
      <c r="I29" s="86" t="s">
        <v>24</v>
      </c>
      <c r="J29" s="87" t="str">
        <f>IF(ISBLANK(C29),"",IF(C29=D29, "1 video",CONCATENATE((+COUNTIFS(Video_List!$C:$C,"&lt;=" &amp;Monitoring!F29)-COUNTIFS(Video_List!$C:$C,"&lt;=" &amp;Monitoring!E29))+1," videos")))</f>
        <v>1 video</v>
      </c>
      <c r="K29" s="27" t="s">
        <v>35</v>
      </c>
      <c r="L29" s="40" t="s">
        <v>28</v>
      </c>
      <c r="M29" s="40" t="s">
        <v>29</v>
      </c>
      <c r="N29" s="40" t="s">
        <v>30</v>
      </c>
      <c r="O29" s="88" t="str">
        <f>+IFERROR(IF(P29="#N/C","#N/C",IF(Q29=0,INDEX(Taxonomy_UniqueValues!D:D,MATCH(Q29,Taxonomy_UniqueValues!F:F,0)),INDEX(Taxonomy_UniqueValues!D:D,MATCH(P29,Taxonomy_UniqueValues!E:E,0)))),"#N/C")</f>
        <v>#N/C</v>
      </c>
      <c r="P29" s="40" t="s">
        <v>26</v>
      </c>
      <c r="Q29" s="40" t="s">
        <v>26</v>
      </c>
      <c r="R29" s="40" t="s">
        <v>26</v>
      </c>
      <c r="S29" s="40" t="s">
        <v>26</v>
      </c>
      <c r="T29" s="26" t="s">
        <v>26</v>
      </c>
    </row>
    <row r="30" spans="1:20" hidden="1" x14ac:dyDescent="0.3">
      <c r="A30" s="84">
        <v>29</v>
      </c>
      <c r="B30" s="6">
        <v>44389</v>
      </c>
      <c r="C30" s="85" t="s">
        <v>87</v>
      </c>
      <c r="D30" s="85" t="s">
        <v>87</v>
      </c>
      <c r="E30" s="16">
        <v>44389.805069444446</v>
      </c>
      <c r="F30" s="7">
        <v>44389.805312500001</v>
      </c>
      <c r="G30" s="14">
        <f t="shared" si="0"/>
        <v>2.4305555416503921E-4</v>
      </c>
      <c r="H30" s="86" t="s">
        <v>23</v>
      </c>
      <c r="I30" s="86" t="s">
        <v>24</v>
      </c>
      <c r="J30" s="87" t="str">
        <f>IF(ISBLANK(C30),"",IF(C30=D30, "1 video",CONCATENATE((+COUNTIFS(Video_List!$C:$C,"&lt;=" &amp;Monitoring!F30)-COUNTIFS(Video_List!$C:$C,"&lt;=" &amp;Monitoring!E30))+1," videos")))</f>
        <v>1 video</v>
      </c>
      <c r="K30" s="27" t="s">
        <v>35</v>
      </c>
      <c r="L30" s="40" t="s">
        <v>28</v>
      </c>
      <c r="M30" s="40" t="s">
        <v>29</v>
      </c>
      <c r="N30" s="40" t="s">
        <v>30</v>
      </c>
      <c r="O30" s="88" t="str">
        <f>+IFERROR(IF(P30="#N/C","#N/C",IF(Q30=0,INDEX(Taxonomy_UniqueValues!D:D,MATCH(Q30,Taxonomy_UniqueValues!F:F,0)),INDEX(Taxonomy_UniqueValues!D:D,MATCH(P30,Taxonomy_UniqueValues!E:E,0)))),"#N/C")</f>
        <v>#N/C</v>
      </c>
      <c r="P30" s="40" t="s">
        <v>26</v>
      </c>
      <c r="Q30" s="40" t="s">
        <v>26</v>
      </c>
      <c r="R30" s="40" t="s">
        <v>26</v>
      </c>
      <c r="S30" s="40" t="s">
        <v>26</v>
      </c>
      <c r="T30" s="26" t="s">
        <v>26</v>
      </c>
    </row>
    <row r="31" spans="1:20" hidden="1" x14ac:dyDescent="0.3">
      <c r="A31" s="84">
        <v>30</v>
      </c>
      <c r="B31" s="6">
        <v>44389</v>
      </c>
      <c r="C31" s="85" t="s">
        <v>88</v>
      </c>
      <c r="D31" s="85" t="s">
        <v>88</v>
      </c>
      <c r="E31" s="16">
        <v>44389.80804398148</v>
      </c>
      <c r="F31" s="7">
        <v>44389.808182870373</v>
      </c>
      <c r="G31" s="14">
        <f t="shared" si="0"/>
        <v>1.3888889225199819E-4</v>
      </c>
      <c r="H31" s="86" t="s">
        <v>46</v>
      </c>
      <c r="I31" s="86" t="s">
        <v>46</v>
      </c>
      <c r="J31" s="87" t="str">
        <f>IF(ISBLANK(C31),"",IF(C31=D31, "1 video",CONCATENATE((+COUNTIFS(Video_List!$C:$C,"&lt;=" &amp;Monitoring!F31)-COUNTIFS(Video_List!$C:$C,"&lt;=" &amp;Monitoring!E31))+1," videos")))</f>
        <v>1 video</v>
      </c>
      <c r="K31" s="27" t="s">
        <v>35</v>
      </c>
      <c r="L31" s="40" t="s">
        <v>28</v>
      </c>
      <c r="M31" s="40" t="s">
        <v>29</v>
      </c>
      <c r="N31" s="40" t="s">
        <v>30</v>
      </c>
      <c r="O31" s="88" t="str">
        <f>+IFERROR(IF(P31="#N/C","#N/C",IF(Q31=0,INDEX(Taxonomy_UniqueValues!D:D,MATCH(Q31,Taxonomy_UniqueValues!F:F,0)),INDEX(Taxonomy_UniqueValues!D:D,MATCH(P31,Taxonomy_UniqueValues!E:E,0)))),"#N/C")</f>
        <v>Muscomorpha</v>
      </c>
      <c r="P31" s="40" t="s">
        <v>37</v>
      </c>
      <c r="Q31" s="40" t="s">
        <v>38</v>
      </c>
      <c r="R31" s="40" t="s">
        <v>39</v>
      </c>
      <c r="S31" s="40" t="s">
        <v>26</v>
      </c>
      <c r="T31" s="26" t="s">
        <v>26</v>
      </c>
    </row>
    <row r="32" spans="1:20" hidden="1" x14ac:dyDescent="0.3">
      <c r="A32" s="84">
        <v>31</v>
      </c>
      <c r="B32" s="6">
        <v>44389</v>
      </c>
      <c r="C32" s="85" t="s">
        <v>89</v>
      </c>
      <c r="D32" s="85" t="s">
        <v>89</v>
      </c>
      <c r="E32" s="16">
        <v>44389.814560185187</v>
      </c>
      <c r="F32" s="7">
        <v>44389.814675925925</v>
      </c>
      <c r="G32" s="14">
        <f t="shared" si="0"/>
        <v>1.1574073869269341E-4</v>
      </c>
      <c r="H32" s="86" t="s">
        <v>23</v>
      </c>
      <c r="I32" s="86" t="s">
        <v>24</v>
      </c>
      <c r="J32" s="87" t="str">
        <f>IF(ISBLANK(C32),"",IF(C32=D32, "1 video",CONCATENATE((+COUNTIFS(Video_List!$C:$C,"&lt;=" &amp;Monitoring!F32)-COUNTIFS(Video_List!$C:$C,"&lt;=" &amp;Monitoring!E32))+1," videos")))</f>
        <v>1 video</v>
      </c>
      <c r="K32" s="27" t="s">
        <v>35</v>
      </c>
      <c r="L32" s="40" t="s">
        <v>28</v>
      </c>
      <c r="M32" s="40" t="s">
        <v>29</v>
      </c>
      <c r="N32" s="40" t="s">
        <v>30</v>
      </c>
      <c r="O32" s="88" t="str">
        <f>+IFERROR(IF(P32="#N/C","#N/C",IF(Q32=0,INDEX(Taxonomy_UniqueValues!D:D,MATCH(Q32,Taxonomy_UniqueValues!F:F,0)),INDEX(Taxonomy_UniqueValues!D:D,MATCH(P32,Taxonomy_UniqueValues!E:E,0)))),"#N/C")</f>
        <v>#N/C</v>
      </c>
      <c r="P32" s="40" t="s">
        <v>26</v>
      </c>
      <c r="Q32" s="40" t="s">
        <v>26</v>
      </c>
      <c r="R32" s="40" t="s">
        <v>26</v>
      </c>
      <c r="S32" s="40" t="s">
        <v>26</v>
      </c>
      <c r="T32" s="26" t="s">
        <v>26</v>
      </c>
    </row>
    <row r="33" spans="1:20" hidden="1" x14ac:dyDescent="0.3">
      <c r="A33" s="84">
        <v>32</v>
      </c>
      <c r="B33" s="6">
        <v>44389</v>
      </c>
      <c r="C33" s="85" t="s">
        <v>90</v>
      </c>
      <c r="D33" s="85" t="s">
        <v>90</v>
      </c>
      <c r="E33" s="16">
        <v>44389.817210648151</v>
      </c>
      <c r="F33" s="7">
        <v>44389.817256944443</v>
      </c>
      <c r="G33" s="14">
        <f t="shared" si="0"/>
        <v>4.6296292566694319E-5</v>
      </c>
      <c r="H33" s="86" t="s">
        <v>46</v>
      </c>
      <c r="I33" s="86" t="s">
        <v>46</v>
      </c>
      <c r="J33" s="87" t="str">
        <f>IF(ISBLANK(C33),"",IF(C33=D33, "1 video",CONCATENATE((+COUNTIFS(Video_List!$C:$C,"&lt;=" &amp;Monitoring!F33)-COUNTIFS(Video_List!$C:$C,"&lt;=" &amp;Monitoring!E33))+1," videos")))</f>
        <v>1 video</v>
      </c>
      <c r="K33" s="27" t="s">
        <v>35</v>
      </c>
      <c r="L33" s="40" t="s">
        <v>28</v>
      </c>
      <c r="M33" s="40" t="s">
        <v>29</v>
      </c>
      <c r="N33" s="40" t="s">
        <v>30</v>
      </c>
      <c r="O33" s="88" t="str">
        <f>+IFERROR(IF(P33="#N/C","#N/C",IF(Q33=0,INDEX(Taxonomy_UniqueValues!D:D,MATCH(Q33,Taxonomy_UniqueValues!F:F,0)),INDEX(Taxonomy_UniqueValues!D:D,MATCH(P33,Taxonomy_UniqueValues!E:E,0)))),"#N/C")</f>
        <v>Muscomorpha</v>
      </c>
      <c r="P33" s="40" t="s">
        <v>37</v>
      </c>
      <c r="Q33" s="40" t="s">
        <v>38</v>
      </c>
      <c r="R33" s="40" t="s">
        <v>39</v>
      </c>
      <c r="S33" s="40" t="s">
        <v>26</v>
      </c>
      <c r="T33" s="26" t="s">
        <v>26</v>
      </c>
    </row>
    <row r="34" spans="1:20" hidden="1" x14ac:dyDescent="0.3">
      <c r="A34" s="84">
        <v>33</v>
      </c>
      <c r="B34" s="6">
        <v>44389</v>
      </c>
      <c r="C34" s="85" t="s">
        <v>91</v>
      </c>
      <c r="D34" s="85" t="s">
        <v>91</v>
      </c>
      <c r="E34" s="16">
        <v>44389.819108796299</v>
      </c>
      <c r="F34" s="7">
        <v>44389.819282407407</v>
      </c>
      <c r="G34" s="14">
        <f t="shared" si="0"/>
        <v>1.7361110803904012E-4</v>
      </c>
      <c r="H34" s="86" t="s">
        <v>23</v>
      </c>
      <c r="I34" s="86" t="s">
        <v>24</v>
      </c>
      <c r="J34" s="87" t="str">
        <f>IF(ISBLANK(C34),"",IF(C34=D34, "1 video",CONCATENATE((+COUNTIFS(Video_List!$C:$C,"&lt;=" &amp;Monitoring!F34)-COUNTIFS(Video_List!$C:$C,"&lt;=" &amp;Monitoring!E34))+1," videos")))</f>
        <v>1 video</v>
      </c>
      <c r="K34" s="27" t="s">
        <v>35</v>
      </c>
      <c r="L34" s="40" t="s">
        <v>28</v>
      </c>
      <c r="M34" s="40" t="s">
        <v>29</v>
      </c>
      <c r="N34" s="40" t="s">
        <v>30</v>
      </c>
      <c r="O34" s="88" t="str">
        <f>+IFERROR(IF(P34="#N/C","#N/C",IF(Q34=0,INDEX(Taxonomy_UniqueValues!D:D,MATCH(Q34,Taxonomy_UniqueValues!F:F,0)),INDEX(Taxonomy_UniqueValues!D:D,MATCH(P34,Taxonomy_UniqueValues!E:E,0)))),"#N/C")</f>
        <v>#N/C</v>
      </c>
      <c r="P34" s="40" t="s">
        <v>26</v>
      </c>
      <c r="Q34" s="40" t="s">
        <v>26</v>
      </c>
      <c r="R34" s="40" t="s">
        <v>26</v>
      </c>
      <c r="S34" s="40" t="s">
        <v>26</v>
      </c>
      <c r="T34" s="26" t="s">
        <v>26</v>
      </c>
    </row>
    <row r="35" spans="1:20" hidden="1" x14ac:dyDescent="0.3">
      <c r="A35" s="84">
        <v>34</v>
      </c>
      <c r="B35" s="6">
        <v>44389</v>
      </c>
      <c r="C35" s="85" t="s">
        <v>92</v>
      </c>
      <c r="D35" s="85" t="s">
        <v>92</v>
      </c>
      <c r="E35" s="16">
        <v>44389.841307870367</v>
      </c>
      <c r="F35" s="7">
        <v>44389.841354166667</v>
      </c>
      <c r="G35" s="14">
        <f t="shared" si="0"/>
        <v>4.6296299842651933E-5</v>
      </c>
      <c r="H35" s="86" t="s">
        <v>23</v>
      </c>
      <c r="I35" s="86" t="s">
        <v>24</v>
      </c>
      <c r="J35" s="87" t="str">
        <f>IF(ISBLANK(C35),"",IF(C35=D35, "1 video",CONCATENATE((+COUNTIFS(Video_List!$C:$C,"&lt;=" &amp;Monitoring!F35)-COUNTIFS(Video_List!$C:$C,"&lt;=" &amp;Monitoring!E35))+1," videos")))</f>
        <v>1 video</v>
      </c>
      <c r="K35" s="27" t="s">
        <v>35</v>
      </c>
      <c r="L35" s="40" t="s">
        <v>28</v>
      </c>
      <c r="M35" s="40" t="s">
        <v>29</v>
      </c>
      <c r="N35" s="40" t="s">
        <v>30</v>
      </c>
      <c r="O35" s="88" t="str">
        <f>+IFERROR(IF(P35="#N/C","#N/C",IF(Q35=0,INDEX(Taxonomy_UniqueValues!D:D,MATCH(Q35,Taxonomy_UniqueValues!F:F,0)),INDEX(Taxonomy_UniqueValues!D:D,MATCH(P35,Taxonomy_UniqueValues!E:E,0)))),"#N/C")</f>
        <v>#N/C</v>
      </c>
      <c r="P35" s="40" t="s">
        <v>26</v>
      </c>
      <c r="Q35" s="40" t="s">
        <v>26</v>
      </c>
      <c r="R35" s="40" t="s">
        <v>26</v>
      </c>
      <c r="S35" s="40" t="s">
        <v>26</v>
      </c>
      <c r="T35" s="26" t="s">
        <v>26</v>
      </c>
    </row>
    <row r="36" spans="1:20" hidden="1" x14ac:dyDescent="0.3">
      <c r="A36" s="84">
        <v>35</v>
      </c>
      <c r="B36" s="6">
        <v>44389</v>
      </c>
      <c r="C36" s="85" t="s">
        <v>93</v>
      </c>
      <c r="D36" s="85" t="s">
        <v>93</v>
      </c>
      <c r="E36" s="16">
        <v>44389.853541666664</v>
      </c>
      <c r="F36" s="7">
        <v>44389.85359953704</v>
      </c>
      <c r="G36" s="14">
        <f t="shared" si="0"/>
        <v>5.787037662230432E-5</v>
      </c>
      <c r="H36" s="86" t="s">
        <v>23</v>
      </c>
      <c r="I36" s="86" t="s">
        <v>24</v>
      </c>
      <c r="J36" s="87" t="str">
        <f>IF(ISBLANK(C36),"",IF(C36=D36, "1 video",CONCATENATE((+COUNTIFS(Video_List!$C:$C,"&lt;=" &amp;Monitoring!F36)-COUNTIFS(Video_List!$C:$C,"&lt;=" &amp;Monitoring!E36))+1," videos")))</f>
        <v>1 video</v>
      </c>
      <c r="K36" s="27" t="s">
        <v>35</v>
      </c>
      <c r="L36" s="40" t="s">
        <v>28</v>
      </c>
      <c r="M36" s="40" t="s">
        <v>29</v>
      </c>
      <c r="N36" s="40" t="s">
        <v>30</v>
      </c>
      <c r="O36" s="88" t="str">
        <f>+IFERROR(IF(P36="#N/C","#N/C",IF(Q36=0,INDEX(Taxonomy_UniqueValues!D:D,MATCH(Q36,Taxonomy_UniqueValues!F:F,0)),INDEX(Taxonomy_UniqueValues!D:D,MATCH(P36,Taxonomy_UniqueValues!E:E,0)))),"#N/C")</f>
        <v>#N/C</v>
      </c>
      <c r="P36" s="40" t="s">
        <v>26</v>
      </c>
      <c r="Q36" s="40" t="s">
        <v>26</v>
      </c>
      <c r="R36" s="40" t="s">
        <v>26</v>
      </c>
      <c r="S36" s="40" t="s">
        <v>26</v>
      </c>
      <c r="T36" s="26" t="s">
        <v>26</v>
      </c>
    </row>
    <row r="37" spans="1:20" hidden="1" x14ac:dyDescent="0.3">
      <c r="A37" s="84">
        <v>36</v>
      </c>
      <c r="B37" s="6">
        <v>44389</v>
      </c>
      <c r="C37" s="85" t="s">
        <v>94</v>
      </c>
      <c r="D37" s="85" t="s">
        <v>94</v>
      </c>
      <c r="E37" s="16">
        <v>44389.866620370369</v>
      </c>
      <c r="F37" s="7">
        <v>44389.866851851853</v>
      </c>
      <c r="G37" s="14">
        <f t="shared" si="0"/>
        <v>2.3148148466134444E-4</v>
      </c>
      <c r="H37" s="86" t="s">
        <v>23</v>
      </c>
      <c r="I37" s="86" t="s">
        <v>24</v>
      </c>
      <c r="J37" s="87" t="str">
        <f>IF(ISBLANK(C37),"",IF(C37=D37, "1 video",CONCATENATE((+COUNTIFS(Video_List!$C:$C,"&lt;=" &amp;Monitoring!F37)-COUNTIFS(Video_List!$C:$C,"&lt;=" &amp;Monitoring!E37))+1," videos")))</f>
        <v>1 video</v>
      </c>
      <c r="K37" s="27" t="s">
        <v>35</v>
      </c>
      <c r="L37" s="40" t="s">
        <v>28</v>
      </c>
      <c r="M37" s="40" t="s">
        <v>29</v>
      </c>
      <c r="N37" s="40" t="s">
        <v>30</v>
      </c>
      <c r="O37" s="88" t="str">
        <f>+IFERROR(IF(P37="#N/C","#N/C",IF(Q37=0,INDEX(Taxonomy_UniqueValues!D:D,MATCH(Q37,Taxonomy_UniqueValues!F:F,0)),INDEX(Taxonomy_UniqueValues!D:D,MATCH(P37,Taxonomy_UniqueValues!E:E,0)))),"#N/C")</f>
        <v>#N/C</v>
      </c>
      <c r="P37" s="40" t="s">
        <v>26</v>
      </c>
      <c r="Q37" s="40" t="s">
        <v>26</v>
      </c>
      <c r="R37" s="40" t="s">
        <v>26</v>
      </c>
      <c r="S37" s="40" t="s">
        <v>26</v>
      </c>
      <c r="T37" s="26" t="s">
        <v>26</v>
      </c>
    </row>
    <row r="38" spans="1:20" hidden="1" x14ac:dyDescent="0.3">
      <c r="A38" s="84">
        <v>37</v>
      </c>
      <c r="B38" s="6">
        <v>44389</v>
      </c>
      <c r="C38" s="85" t="s">
        <v>95</v>
      </c>
      <c r="D38" s="85" t="s">
        <v>95</v>
      </c>
      <c r="E38" s="16">
        <v>44389.870763888888</v>
      </c>
      <c r="F38" s="7">
        <v>44389.870821759258</v>
      </c>
      <c r="G38" s="14">
        <f t="shared" si="0"/>
        <v>5.7870369346346706E-5</v>
      </c>
      <c r="H38" s="86" t="s">
        <v>23</v>
      </c>
      <c r="I38" s="86" t="s">
        <v>24</v>
      </c>
      <c r="J38" s="87" t="str">
        <f>IF(ISBLANK(C38),"",IF(C38=D38, "1 video",CONCATENATE((+COUNTIFS(Video_List!$C:$C,"&lt;=" &amp;Monitoring!F38)-COUNTIFS(Video_List!$C:$C,"&lt;=" &amp;Monitoring!E38))+1," videos")))</f>
        <v>1 video</v>
      </c>
      <c r="K38" s="27" t="s">
        <v>35</v>
      </c>
      <c r="L38" s="40" t="s">
        <v>28</v>
      </c>
      <c r="M38" s="40" t="s">
        <v>29</v>
      </c>
      <c r="N38" s="40" t="s">
        <v>30</v>
      </c>
      <c r="O38" s="88" t="str">
        <f>+IFERROR(IF(P38="#N/C","#N/C",IF(Q38=0,INDEX(Taxonomy_UniqueValues!D:D,MATCH(Q38,Taxonomy_UniqueValues!F:F,0)),INDEX(Taxonomy_UniqueValues!D:D,MATCH(P38,Taxonomy_UniqueValues!E:E,0)))),"#N/C")</f>
        <v>#N/C</v>
      </c>
      <c r="P38" s="40" t="s">
        <v>26</v>
      </c>
      <c r="Q38" s="40" t="s">
        <v>26</v>
      </c>
      <c r="R38" s="40" t="s">
        <v>26</v>
      </c>
      <c r="S38" s="40" t="s">
        <v>26</v>
      </c>
      <c r="T38" s="26" t="s">
        <v>26</v>
      </c>
    </row>
    <row r="39" spans="1:20" hidden="1" x14ac:dyDescent="0.3">
      <c r="A39" s="84">
        <v>38</v>
      </c>
      <c r="B39" s="6">
        <v>44390</v>
      </c>
      <c r="C39" s="85" t="s">
        <v>96</v>
      </c>
      <c r="D39" s="85" t="s">
        <v>96</v>
      </c>
      <c r="E39" s="16">
        <v>44390.297997685186</v>
      </c>
      <c r="F39" s="7">
        <v>44390.298078703701</v>
      </c>
      <c r="G39" s="14">
        <f t="shared" si="0"/>
        <v>8.1018515629693866E-5</v>
      </c>
      <c r="H39" s="4" t="s">
        <v>46</v>
      </c>
      <c r="I39" s="4" t="s">
        <v>46</v>
      </c>
      <c r="J39" s="87" t="str">
        <f>IF(ISBLANK(C39),"",IF(C39=D39, "1 video",CONCATENATE((+COUNTIFS(Video_List!$C:$C,"&lt;=" &amp;Monitoring!F39)-COUNTIFS(Video_List!$C:$C,"&lt;=" &amp;Monitoring!E39))+1," videos")))</f>
        <v>1 video</v>
      </c>
      <c r="K39" s="25" t="s">
        <v>23</v>
      </c>
      <c r="L39" s="40" t="s">
        <v>28</v>
      </c>
      <c r="M39" s="40" t="s">
        <v>29</v>
      </c>
      <c r="N39" s="40" t="s">
        <v>30</v>
      </c>
      <c r="O39" s="88" t="str">
        <f>+IFERROR(IF(P39="#N/C","#N/C",IF(Q39=0,INDEX(Taxonomy_UniqueValues!D:D,MATCH(Q39,Taxonomy_UniqueValues!F:F,0)),INDEX(Taxonomy_UniqueValues!D:D,MATCH(P39,Taxonomy_UniqueValues!E:E,0)))),"#N/C")</f>
        <v>#N/C</v>
      </c>
      <c r="P39" s="40" t="s">
        <v>26</v>
      </c>
      <c r="Q39" s="40" t="s">
        <v>26</v>
      </c>
      <c r="R39" s="40" t="s">
        <v>26</v>
      </c>
      <c r="S39" s="40" t="s">
        <v>26</v>
      </c>
      <c r="T39" s="26" t="s">
        <v>26</v>
      </c>
    </row>
    <row r="40" spans="1:20" hidden="1" x14ac:dyDescent="0.3">
      <c r="A40" s="84">
        <v>39</v>
      </c>
      <c r="B40" s="6">
        <v>44390</v>
      </c>
      <c r="C40" s="85" t="s">
        <v>97</v>
      </c>
      <c r="D40" s="85" t="s">
        <v>97</v>
      </c>
      <c r="E40" s="16">
        <v>44390.312476851854</v>
      </c>
      <c r="F40" s="7">
        <v>44390.315196759257</v>
      </c>
      <c r="G40" s="14">
        <f t="shared" si="0"/>
        <v>2.7199074029340409E-3</v>
      </c>
      <c r="H40" s="4" t="s">
        <v>23</v>
      </c>
      <c r="I40" s="4" t="s">
        <v>24</v>
      </c>
      <c r="J40" s="87" t="str">
        <f>IF(ISBLANK(C40),"",IF(C40=D40, "1 video",CONCATENATE((+COUNTIFS(Video_List!$C:$C,"&lt;=" &amp;Monitoring!F40)-COUNTIFS(Video_List!$C:$C,"&lt;=" &amp;Monitoring!E40))+1," videos")))</f>
        <v>1 video</v>
      </c>
      <c r="K40" s="27" t="s">
        <v>35</v>
      </c>
      <c r="L40" s="40" t="s">
        <v>28</v>
      </c>
      <c r="M40" s="40" t="s">
        <v>29</v>
      </c>
      <c r="N40" s="40" t="s">
        <v>30</v>
      </c>
      <c r="O40" s="88" t="str">
        <f>+IFERROR(IF(P40="#N/C","#N/C",IF(Q40=0,INDEX(Taxonomy_UniqueValues!D:D,MATCH(Q40,Taxonomy_UniqueValues!F:F,0)),INDEX(Taxonomy_UniqueValues!D:D,MATCH(P40,Taxonomy_UniqueValues!E:E,0)))),"#N/C")</f>
        <v>#N/C</v>
      </c>
      <c r="P40" s="40" t="s">
        <v>26</v>
      </c>
      <c r="Q40" s="40" t="s">
        <v>26</v>
      </c>
      <c r="R40" s="40" t="s">
        <v>26</v>
      </c>
      <c r="S40" s="40" t="s">
        <v>26</v>
      </c>
      <c r="T40" s="26" t="s">
        <v>26</v>
      </c>
    </row>
    <row r="41" spans="1:20" hidden="1" x14ac:dyDescent="0.3">
      <c r="A41" s="84">
        <v>40</v>
      </c>
      <c r="B41" s="6">
        <v>44390</v>
      </c>
      <c r="C41" s="85" t="s">
        <v>98</v>
      </c>
      <c r="D41" s="85" t="s">
        <v>98</v>
      </c>
      <c r="E41" s="16">
        <v>44390.329710648148</v>
      </c>
      <c r="F41" s="7">
        <v>44390.330046296294</v>
      </c>
      <c r="G41" s="14">
        <f t="shared" si="0"/>
        <v>3.3564814657438546E-4</v>
      </c>
      <c r="H41" s="4" t="s">
        <v>23</v>
      </c>
      <c r="I41" s="4" t="s">
        <v>24</v>
      </c>
      <c r="J41" s="87" t="str">
        <f>IF(ISBLANK(C41),"",IF(C41=D41, "1 video",CONCATENATE((+COUNTIFS(Video_List!$C:$C,"&lt;=" &amp;Monitoring!F41)-COUNTIFS(Video_List!$C:$C,"&lt;=" &amp;Monitoring!E41))+1," videos")))</f>
        <v>1 video</v>
      </c>
      <c r="K41" s="25" t="s">
        <v>23</v>
      </c>
      <c r="L41" s="40" t="s">
        <v>28</v>
      </c>
      <c r="M41" s="40" t="s">
        <v>32</v>
      </c>
      <c r="N41" s="40" t="s">
        <v>33</v>
      </c>
      <c r="O41" s="88" t="str">
        <f>+IFERROR(IF(P41="#N/C","#N/C",IF(Q41=0,INDEX(Taxonomy_UniqueValues!D:D,MATCH(Q41,Taxonomy_UniqueValues!F:F,0)),INDEX(Taxonomy_UniqueValues!D:D,MATCH(P41,Taxonomy_UniqueValues!E:E,0)))),"#N/C")</f>
        <v>Parasitica</v>
      </c>
      <c r="P41" s="40" t="s">
        <v>62</v>
      </c>
      <c r="Q41" s="40" t="s">
        <v>26</v>
      </c>
      <c r="R41" s="40" t="s">
        <v>26</v>
      </c>
      <c r="S41" s="40" t="s">
        <v>26</v>
      </c>
      <c r="T41" s="26" t="s">
        <v>26</v>
      </c>
    </row>
    <row r="42" spans="1:20" hidden="1" x14ac:dyDescent="0.3">
      <c r="A42" s="84">
        <v>41</v>
      </c>
      <c r="B42" s="6">
        <v>44390</v>
      </c>
      <c r="C42" s="85" t="s">
        <v>99</v>
      </c>
      <c r="D42" s="85" t="s">
        <v>99</v>
      </c>
      <c r="E42" s="16">
        <v>44390.406122685185</v>
      </c>
      <c r="F42" s="7">
        <v>44390.406180555554</v>
      </c>
      <c r="G42" s="14">
        <f t="shared" si="0"/>
        <v>5.7870369346346706E-5</v>
      </c>
      <c r="H42" s="4" t="s">
        <v>23</v>
      </c>
      <c r="I42" s="4" t="s">
        <v>24</v>
      </c>
      <c r="J42" s="87" t="str">
        <f>IF(ISBLANK(C42),"",IF(C42=D42, "1 video",CONCATENATE((+COUNTIFS(Video_List!$C:$C,"&lt;=" &amp;Monitoring!F42)-COUNTIFS(Video_List!$C:$C,"&lt;=" &amp;Monitoring!E42))+1," videos")))</f>
        <v>1 video</v>
      </c>
      <c r="K42" s="27" t="s">
        <v>35</v>
      </c>
      <c r="L42" s="40" t="s">
        <v>28</v>
      </c>
      <c r="M42" s="40" t="s">
        <v>29</v>
      </c>
      <c r="N42" s="40" t="s">
        <v>30</v>
      </c>
      <c r="O42" s="88" t="str">
        <f>+IFERROR(IF(P42="#N/C","#N/C",IF(Q42=0,INDEX(Taxonomy_UniqueValues!D:D,MATCH(Q42,Taxonomy_UniqueValues!F:F,0)),INDEX(Taxonomy_UniqueValues!D:D,MATCH(P42,Taxonomy_UniqueValues!E:E,0)))),"#N/C")</f>
        <v>#N/C</v>
      </c>
      <c r="P42" s="40" t="s">
        <v>26</v>
      </c>
      <c r="Q42" s="40" t="s">
        <v>26</v>
      </c>
      <c r="R42" s="40" t="s">
        <v>26</v>
      </c>
      <c r="S42" s="40" t="s">
        <v>26</v>
      </c>
      <c r="T42" s="26" t="s">
        <v>26</v>
      </c>
    </row>
    <row r="43" spans="1:20" hidden="1" x14ac:dyDescent="0.3">
      <c r="A43" s="84">
        <v>42</v>
      </c>
      <c r="B43" s="6">
        <v>44390</v>
      </c>
      <c r="C43" s="85" t="s">
        <v>100</v>
      </c>
      <c r="D43" s="85" t="s">
        <v>100</v>
      </c>
      <c r="E43" s="16">
        <v>44390.411666666667</v>
      </c>
      <c r="F43" s="7">
        <v>44390.411759259259</v>
      </c>
      <c r="G43" s="14">
        <f t="shared" si="0"/>
        <v>9.2592592409346253E-5</v>
      </c>
      <c r="H43" s="4" t="s">
        <v>35</v>
      </c>
      <c r="I43" s="4" t="s">
        <v>24</v>
      </c>
      <c r="J43" s="87" t="str">
        <f>IF(ISBLANK(C43),"",IF(C43=D43, "1 video",CONCATENATE((+COUNTIFS(Video_List!$C:$C,"&lt;=" &amp;Monitoring!F43)-COUNTIFS(Video_List!$C:$C,"&lt;=" &amp;Monitoring!E43))+1," videos")))</f>
        <v>1 video</v>
      </c>
      <c r="K43" s="25" t="s">
        <v>23</v>
      </c>
      <c r="L43" s="40" t="s">
        <v>28</v>
      </c>
      <c r="M43" s="40" t="s">
        <v>101</v>
      </c>
      <c r="N43" s="40">
        <v>0</v>
      </c>
      <c r="O43" s="88">
        <f>+IFERROR(IF(P43="#N/C","#N/C",IF(Q43=0,INDEX(Taxonomy_UniqueValues!D:D,MATCH(Q43,Taxonomy_UniqueValues!F:F,0)),INDEX(Taxonomy_UniqueValues!D:D,MATCH(P43,Taxonomy_UniqueValues!E:E,0)))),"#N/C")</f>
        <v>0</v>
      </c>
      <c r="P43" s="40" t="s">
        <v>102</v>
      </c>
      <c r="Q43" s="40" t="s">
        <v>103</v>
      </c>
      <c r="R43" s="40">
        <v>0</v>
      </c>
      <c r="S43" s="40" t="s">
        <v>104</v>
      </c>
      <c r="T43" s="26" t="s">
        <v>26</v>
      </c>
    </row>
    <row r="44" spans="1:20" hidden="1" x14ac:dyDescent="0.3">
      <c r="A44" s="84">
        <v>43</v>
      </c>
      <c r="B44" s="6">
        <v>44390</v>
      </c>
      <c r="C44" s="85" t="s">
        <v>105</v>
      </c>
      <c r="D44" s="85" t="s">
        <v>105</v>
      </c>
      <c r="E44" s="16">
        <v>44390.416504629633</v>
      </c>
      <c r="F44" s="7">
        <v>44390.416608796295</v>
      </c>
      <c r="G44" s="14">
        <f t="shared" si="0"/>
        <v>1.0416666191304103E-4</v>
      </c>
      <c r="H44" s="86" t="s">
        <v>46</v>
      </c>
      <c r="I44" s="86" t="s">
        <v>46</v>
      </c>
      <c r="J44" s="87" t="str">
        <f>IF(ISBLANK(C44),"",IF(C44=D44, "1 video",CONCATENATE((+COUNTIFS(Video_List!$C:$C,"&lt;=" &amp;Monitoring!F44)-COUNTIFS(Video_List!$C:$C,"&lt;=" &amp;Monitoring!E44))+1," videos")))</f>
        <v>1 video</v>
      </c>
      <c r="K44" s="27" t="s">
        <v>35</v>
      </c>
      <c r="L44" s="40" t="s">
        <v>28</v>
      </c>
      <c r="M44" s="40" t="s">
        <v>29</v>
      </c>
      <c r="N44" s="40" t="s">
        <v>30</v>
      </c>
      <c r="O44" s="88" t="str">
        <f>+IFERROR(IF(P44="#N/C","#N/C",IF(Q44=0,INDEX(Taxonomy_UniqueValues!D:D,MATCH(Q44,Taxonomy_UniqueValues!F:F,0)),INDEX(Taxonomy_UniqueValues!D:D,MATCH(P44,Taxonomy_UniqueValues!E:E,0)))),"#N/C")</f>
        <v>Muscomorpha</v>
      </c>
      <c r="P44" s="40" t="s">
        <v>37</v>
      </c>
      <c r="Q44" s="40" t="s">
        <v>38</v>
      </c>
      <c r="R44" s="40" t="s">
        <v>39</v>
      </c>
      <c r="S44" s="40" t="s">
        <v>26</v>
      </c>
      <c r="T44" s="26" t="s">
        <v>26</v>
      </c>
    </row>
    <row r="45" spans="1:20" hidden="1" x14ac:dyDescent="0.3">
      <c r="A45" s="84">
        <v>44</v>
      </c>
      <c r="B45" s="6">
        <v>44390</v>
      </c>
      <c r="C45" s="85" t="s">
        <v>106</v>
      </c>
      <c r="D45" s="85" t="s">
        <v>106</v>
      </c>
      <c r="E45" s="16">
        <v>44390.434108796297</v>
      </c>
      <c r="F45" s="7">
        <v>44390.434236111112</v>
      </c>
      <c r="G45" s="14">
        <f t="shared" si="0"/>
        <v>1.273148154723458E-4</v>
      </c>
      <c r="H45" s="86" t="s">
        <v>23</v>
      </c>
      <c r="I45" s="86" t="s">
        <v>24</v>
      </c>
      <c r="J45" s="87" t="str">
        <f>IF(ISBLANK(C45),"",IF(C45=D45, "1 video",CONCATENATE((+COUNTIFS(Video_List!$C:$C,"&lt;=" &amp;Monitoring!F45)-COUNTIFS(Video_List!$C:$C,"&lt;=" &amp;Monitoring!E45))+1," videos")))</f>
        <v>1 video</v>
      </c>
      <c r="K45" s="27" t="s">
        <v>35</v>
      </c>
      <c r="L45" s="40" t="s">
        <v>28</v>
      </c>
      <c r="M45" s="40" t="s">
        <v>29</v>
      </c>
      <c r="N45" s="40" t="s">
        <v>30</v>
      </c>
      <c r="O45" s="88" t="str">
        <f>+IFERROR(IF(P45="#N/C","#N/C",IF(Q45=0,INDEX(Taxonomy_UniqueValues!D:D,MATCH(Q45,Taxonomy_UniqueValues!F:F,0)),INDEX(Taxonomy_UniqueValues!D:D,MATCH(P45,Taxonomy_UniqueValues!E:E,0)))),"#N/C")</f>
        <v>#N/C</v>
      </c>
      <c r="P45" s="40" t="s">
        <v>26</v>
      </c>
      <c r="Q45" s="40" t="s">
        <v>26</v>
      </c>
      <c r="R45" s="40" t="s">
        <v>26</v>
      </c>
      <c r="S45" s="40" t="s">
        <v>26</v>
      </c>
      <c r="T45" s="26" t="s">
        <v>26</v>
      </c>
    </row>
    <row r="46" spans="1:20" hidden="1" x14ac:dyDescent="0.3">
      <c r="A46" s="84">
        <v>45</v>
      </c>
      <c r="B46" s="6">
        <v>44390</v>
      </c>
      <c r="C46" s="85" t="s">
        <v>107</v>
      </c>
      <c r="D46" s="85" t="s">
        <v>108</v>
      </c>
      <c r="E46" s="16">
        <v>44390.460833333331</v>
      </c>
      <c r="F46" s="7">
        <v>44390.503692129627</v>
      </c>
      <c r="G46" s="14">
        <f t="shared" si="0"/>
        <v>4.2858796296059154E-2</v>
      </c>
      <c r="H46" s="86" t="s">
        <v>35</v>
      </c>
      <c r="I46" s="86" t="s">
        <v>109</v>
      </c>
      <c r="J46" s="87" t="str">
        <f>IF(ISBLANK(C46),"",IF(C46=D46, "1 video",CONCATENATE((+COUNTIFS(Video_List!$C:$C,"&lt;=" &amp;Monitoring!F46)-COUNTIFS(Video_List!$C:$C,"&lt;=" &amp;Monitoring!E46))+1," videos")))</f>
        <v>4 videos</v>
      </c>
      <c r="K46" s="27" t="s">
        <v>35</v>
      </c>
      <c r="L46" s="40" t="s">
        <v>28</v>
      </c>
      <c r="M46" s="40" t="s">
        <v>32</v>
      </c>
      <c r="N46" s="40" t="s">
        <v>33</v>
      </c>
      <c r="O46" s="104" t="str">
        <f>+IFERROR(IF(P46="#N/C","#N/C",IF(Q46=0,INDEX(Taxonomy_UniqueValues!D:D,MATCH(Q46,Taxonomy_UniqueValues!F:F,0)),INDEX(Taxonomy_UniqueValues!D:D,MATCH(P46,Taxonomy_UniqueValues!E:E,0)))),"#N/C")</f>
        <v>Aculeata</v>
      </c>
      <c r="P46" s="105" t="str">
        <f>+IFERROR(IF(Q46="#N/C","#N/C",INDEX(Taxonomy_UniqueValues!E:E,MATCH(Q46,Taxonomy_UniqueValues!F:F,0))),"#N/C")</f>
        <v>Formicoidea</v>
      </c>
      <c r="Q46" s="105" t="str">
        <f>+IFERROR(IF(R46="#N/C","#N/C",INDEX(Taxonomy_UniqueValues!F:F,MATCH(R46,Taxonomy_UniqueValues!G:G,0))),"#N/C")</f>
        <v>Formicidae</v>
      </c>
      <c r="R46" s="105" t="s">
        <v>112</v>
      </c>
      <c r="S46" s="40" t="s">
        <v>26</v>
      </c>
      <c r="T46" s="26" t="s">
        <v>26</v>
      </c>
    </row>
    <row r="47" spans="1:20" hidden="1" x14ac:dyDescent="0.3">
      <c r="A47" s="84">
        <v>46</v>
      </c>
      <c r="B47" s="6">
        <v>44390</v>
      </c>
      <c r="C47" s="85" t="s">
        <v>107</v>
      </c>
      <c r="D47" s="85" t="s">
        <v>113</v>
      </c>
      <c r="E47" s="16">
        <v>44390.466192129628</v>
      </c>
      <c r="F47" s="7">
        <v>44390.466666666667</v>
      </c>
      <c r="G47" s="14">
        <f t="shared" si="0"/>
        <v>4.7453703882638365E-4</v>
      </c>
      <c r="H47" s="4" t="s">
        <v>35</v>
      </c>
      <c r="I47" s="4" t="s">
        <v>24</v>
      </c>
      <c r="J47" s="87" t="str">
        <f>IF(ISBLANK(C47),"",IF(C47=D47, "1 video",CONCATENATE((+COUNTIFS(Video_List!$C:$C,"&lt;=" &amp;Monitoring!F47)-COUNTIFS(Video_List!$C:$C,"&lt;=" &amp;Monitoring!E47))+1," videos")))</f>
        <v>2 videos</v>
      </c>
      <c r="K47" s="27" t="s">
        <v>35</v>
      </c>
      <c r="L47" s="40" t="s">
        <v>28</v>
      </c>
      <c r="M47" s="40" t="s">
        <v>114</v>
      </c>
      <c r="N47" s="40" t="s">
        <v>115</v>
      </c>
      <c r="O47" s="88" t="str">
        <f>+IFERROR(IF(P47="#N/C","#N/C",IF(Q47=0,INDEX(Taxonomy_UniqueValues!D:D,MATCH(Q47,Taxonomy_UniqueValues!F:F,0)),INDEX(Taxonomy_UniqueValues!D:D,MATCH(P47,Taxonomy_UniqueValues!E:E,0)))),"#N/C")</f>
        <v>Acrididea</v>
      </c>
      <c r="P47" s="40" t="s">
        <v>116</v>
      </c>
      <c r="Q47" s="40" t="s">
        <v>117</v>
      </c>
      <c r="R47" s="40" t="s">
        <v>26</v>
      </c>
      <c r="S47" s="40" t="s">
        <v>26</v>
      </c>
      <c r="T47" s="26" t="s">
        <v>26</v>
      </c>
    </row>
    <row r="48" spans="1:20" hidden="1" x14ac:dyDescent="0.3">
      <c r="A48" s="84">
        <v>47</v>
      </c>
      <c r="B48" s="6">
        <v>44390</v>
      </c>
      <c r="C48" s="85" t="s">
        <v>113</v>
      </c>
      <c r="D48" s="85" t="s">
        <v>108</v>
      </c>
      <c r="E48" s="16">
        <v>44390.490682870368</v>
      </c>
      <c r="F48" s="7">
        <v>44390.496527777781</v>
      </c>
      <c r="G48" s="14">
        <f t="shared" si="0"/>
        <v>5.8449074131203815E-3</v>
      </c>
      <c r="H48" s="4" t="s">
        <v>35</v>
      </c>
      <c r="I48" s="4" t="s">
        <v>24</v>
      </c>
      <c r="J48" s="87" t="str">
        <f>IF(ISBLANK(C48),"",IF(C48=D48, "1 video",CONCATENATE((+COUNTIFS(Video_List!$C:$C,"&lt;=" &amp;Monitoring!F48)-COUNTIFS(Video_List!$C:$C,"&lt;=" &amp;Monitoring!E48))+1," videos")))</f>
        <v>3 videos</v>
      </c>
      <c r="K48" s="25" t="s">
        <v>23</v>
      </c>
      <c r="L48" s="40" t="s">
        <v>28</v>
      </c>
      <c r="M48" s="40" t="s">
        <v>67</v>
      </c>
      <c r="N48" s="40" t="s">
        <v>68</v>
      </c>
      <c r="O48" s="88" t="str">
        <f>+IFERROR(IF(P48="#N/C","#N/C",IF(Q48=0,INDEX(Taxonomy_UniqueValues!D:D,MATCH(Q48,Taxonomy_UniqueValues!F:F,0)),INDEX(Taxonomy_UniqueValues!D:D,MATCH(P48,Taxonomy_UniqueValues!E:E,0)))),"#N/C")</f>
        <v>Cucujiformia</v>
      </c>
      <c r="P48" s="40" t="s">
        <v>69</v>
      </c>
      <c r="Q48" s="40" t="s">
        <v>70</v>
      </c>
      <c r="R48" s="40" t="s">
        <v>71</v>
      </c>
      <c r="S48" s="40" t="s">
        <v>118</v>
      </c>
      <c r="T48" s="26" t="s">
        <v>119</v>
      </c>
    </row>
    <row r="49" spans="1:20" hidden="1" x14ac:dyDescent="0.3">
      <c r="A49" s="84">
        <v>48</v>
      </c>
      <c r="B49" s="6">
        <v>44390</v>
      </c>
      <c r="C49" s="85" t="s">
        <v>120</v>
      </c>
      <c r="D49" s="85" t="s">
        <v>120</v>
      </c>
      <c r="E49" s="16">
        <v>44390.515324074076</v>
      </c>
      <c r="F49" s="7">
        <v>44390.515405092592</v>
      </c>
      <c r="G49" s="14">
        <f t="shared" si="0"/>
        <v>8.1018515629693866E-5</v>
      </c>
      <c r="H49" s="86" t="s">
        <v>23</v>
      </c>
      <c r="I49" s="86" t="s">
        <v>24</v>
      </c>
      <c r="J49" s="87" t="str">
        <f>IF(ISBLANK(C49),"",IF(C49=D49, "1 video",CONCATENATE((+COUNTIFS(Video_List!$C:$C,"&lt;=" &amp;Monitoring!F49)-COUNTIFS(Video_List!$C:$C,"&lt;=" &amp;Monitoring!E49))+1," videos")))</f>
        <v>1 video</v>
      </c>
      <c r="K49" s="27" t="s">
        <v>35</v>
      </c>
      <c r="L49" s="40" t="s">
        <v>28</v>
      </c>
      <c r="M49" s="40" t="s">
        <v>29</v>
      </c>
      <c r="N49" s="40" t="s">
        <v>30</v>
      </c>
      <c r="O49" s="88" t="str">
        <f>+IFERROR(IF(P49="#N/C","#N/C",IF(Q49=0,INDEX(Taxonomy_UniqueValues!D:D,MATCH(Q49,Taxonomy_UniqueValues!F:F,0)),INDEX(Taxonomy_UniqueValues!D:D,MATCH(P49,Taxonomy_UniqueValues!E:E,0)))),"#N/C")</f>
        <v>#N/C</v>
      </c>
      <c r="P49" s="40" t="s">
        <v>26</v>
      </c>
      <c r="Q49" s="40" t="s">
        <v>26</v>
      </c>
      <c r="R49" s="40" t="s">
        <v>26</v>
      </c>
      <c r="S49" s="40" t="s">
        <v>26</v>
      </c>
      <c r="T49" s="26" t="s">
        <v>26</v>
      </c>
    </row>
    <row r="50" spans="1:20" x14ac:dyDescent="0.3">
      <c r="A50" s="84">
        <v>49</v>
      </c>
      <c r="B50" s="6">
        <v>44390</v>
      </c>
      <c r="C50" s="85" t="s">
        <v>121</v>
      </c>
      <c r="D50" s="85" t="s">
        <v>121</v>
      </c>
      <c r="E50" s="16">
        <v>44390.518541666665</v>
      </c>
      <c r="F50" s="7">
        <v>44390.518587962964</v>
      </c>
      <c r="G50" s="14">
        <f t="shared" si="0"/>
        <v>4.6296299842651933E-5</v>
      </c>
      <c r="H50" s="4" t="s">
        <v>23</v>
      </c>
      <c r="I50" s="4" t="s">
        <v>24</v>
      </c>
      <c r="J50" s="87" t="str">
        <f>IF(ISBLANK(C50),"",IF(C50=D50, "1 video",CONCATENATE((+COUNTIFS(Video_List!$C:$C,"&lt;=" &amp;Monitoring!F50)-COUNTIFS(Video_List!$C:$C,"&lt;=" &amp;Monitoring!E50))+1," videos")))</f>
        <v>1 video</v>
      </c>
      <c r="K50" s="25" t="s">
        <v>23</v>
      </c>
      <c r="L50" s="40" t="s">
        <v>28</v>
      </c>
      <c r="M50" s="40" t="s">
        <v>32</v>
      </c>
      <c r="N50" s="40" t="s">
        <v>33</v>
      </c>
      <c r="O50" s="88" t="str">
        <f>+IFERROR(IF(P50="#N/C","#N/C",IF(Q50=0,INDEX(Taxonomy_UniqueValues!D:D,MATCH(Q50,Taxonomy_UniqueValues!F:F,0)),INDEX(Taxonomy_UniqueValues!D:D,MATCH(P50,Taxonomy_UniqueValues!E:E,0)))),"#N/C")</f>
        <v>Aculeata</v>
      </c>
      <c r="P50" s="40" t="s">
        <v>122</v>
      </c>
      <c r="Q50" s="40" t="s">
        <v>123</v>
      </c>
      <c r="R50" s="40" t="s">
        <v>124</v>
      </c>
      <c r="S50" s="40" t="s">
        <v>125</v>
      </c>
      <c r="T50" s="26" t="s">
        <v>26</v>
      </c>
    </row>
    <row r="51" spans="1:20" hidden="1" x14ac:dyDescent="0.3">
      <c r="A51" s="84">
        <v>50</v>
      </c>
      <c r="B51" s="6">
        <v>44390</v>
      </c>
      <c r="C51" s="85" t="s">
        <v>126</v>
      </c>
      <c r="D51" s="85" t="s">
        <v>126</v>
      </c>
      <c r="E51" s="16">
        <v>44390.52721064815</v>
      </c>
      <c r="F51" s="7">
        <v>44390.527268518519</v>
      </c>
      <c r="G51" s="14">
        <f t="shared" si="0"/>
        <v>5.7870369346346706E-5</v>
      </c>
      <c r="H51" s="4" t="s">
        <v>35</v>
      </c>
      <c r="I51" s="4" t="s">
        <v>24</v>
      </c>
      <c r="J51" s="87" t="str">
        <f>IF(ISBLANK(C51),"",IF(C51=D51, "1 video",CONCATENATE((+COUNTIFS(Video_List!$C:$C,"&lt;=" &amp;Monitoring!F51)-COUNTIFS(Video_List!$C:$C,"&lt;=" &amp;Monitoring!E51))+1," videos")))</f>
        <v>1 video</v>
      </c>
      <c r="K51" s="25" t="s">
        <v>23</v>
      </c>
      <c r="L51" s="40" t="s">
        <v>28</v>
      </c>
      <c r="M51" s="40" t="s">
        <v>32</v>
      </c>
      <c r="N51" s="40" t="s">
        <v>33</v>
      </c>
      <c r="O51" s="88" t="str">
        <f>+IFERROR(IF(P51="#N/C","#N/C",IF(Q51=0,INDEX(Taxonomy_UniqueValues!D:D,MATCH(Q51,Taxonomy_UniqueValues!F:F,0)),INDEX(Taxonomy_UniqueValues!D:D,MATCH(P51,Taxonomy_UniqueValues!E:E,0)))),"#N/C")</f>
        <v>Parasitica</v>
      </c>
      <c r="P51" s="40" t="s">
        <v>62</v>
      </c>
      <c r="Q51" s="40" t="s">
        <v>63</v>
      </c>
      <c r="R51" s="40" t="s">
        <v>127</v>
      </c>
      <c r="S51" s="105" t="s">
        <v>128</v>
      </c>
      <c r="T51" s="105" t="s">
        <v>129</v>
      </c>
    </row>
    <row r="52" spans="1:20" hidden="1" x14ac:dyDescent="0.3">
      <c r="A52" s="84">
        <v>51</v>
      </c>
      <c r="B52" s="6">
        <v>44390</v>
      </c>
      <c r="C52" s="85" t="s">
        <v>130</v>
      </c>
      <c r="D52" s="85" t="s">
        <v>130</v>
      </c>
      <c r="E52" s="16">
        <v>44390.546655092592</v>
      </c>
      <c r="F52" s="7">
        <v>44390.546701388892</v>
      </c>
      <c r="G52" s="14">
        <f t="shared" si="0"/>
        <v>4.6296299842651933E-5</v>
      </c>
      <c r="H52" s="86" t="s">
        <v>46</v>
      </c>
      <c r="I52" s="86" t="s">
        <v>46</v>
      </c>
      <c r="J52" s="87" t="str">
        <f>IF(ISBLANK(C52),"",IF(C52=D52, "1 video",CONCATENATE((+COUNTIFS(Video_List!$C:$C,"&lt;=" &amp;Monitoring!F52)-COUNTIFS(Video_List!$C:$C,"&lt;=" &amp;Monitoring!E52))+1," videos")))</f>
        <v>1 video</v>
      </c>
      <c r="K52" s="27" t="s">
        <v>35</v>
      </c>
      <c r="L52" s="40" t="s">
        <v>28</v>
      </c>
      <c r="M52" s="40" t="s">
        <v>29</v>
      </c>
      <c r="N52" s="40" t="s">
        <v>30</v>
      </c>
      <c r="O52" s="88" t="str">
        <f>+IFERROR(IF(P52="#N/C","#N/C",IF(Q52=0,INDEX(Taxonomy_UniqueValues!D:D,MATCH(Q52,Taxonomy_UniqueValues!F:F,0)),INDEX(Taxonomy_UniqueValues!D:D,MATCH(P52,Taxonomy_UniqueValues!E:E,0)))),"#N/C")</f>
        <v>#N/C</v>
      </c>
      <c r="P52" s="40" t="s">
        <v>26</v>
      </c>
      <c r="Q52" s="40" t="s">
        <v>26</v>
      </c>
      <c r="R52" s="40" t="s">
        <v>26</v>
      </c>
      <c r="S52" s="40" t="s">
        <v>26</v>
      </c>
      <c r="T52" s="26" t="s">
        <v>26</v>
      </c>
    </row>
    <row r="53" spans="1:20" hidden="1" x14ac:dyDescent="0.3">
      <c r="A53" s="84">
        <v>52</v>
      </c>
      <c r="B53" s="6">
        <v>44390</v>
      </c>
      <c r="C53" s="85" t="s">
        <v>131</v>
      </c>
      <c r="D53" s="85" t="s">
        <v>131</v>
      </c>
      <c r="E53" s="16">
        <v>44390.556006944447</v>
      </c>
      <c r="F53" s="7">
        <v>44390.556122685186</v>
      </c>
      <c r="G53" s="14">
        <f t="shared" si="0"/>
        <v>1.1574073869269341E-4</v>
      </c>
      <c r="H53" s="86" t="s">
        <v>23</v>
      </c>
      <c r="I53" s="86" t="s">
        <v>24</v>
      </c>
      <c r="J53" s="87" t="str">
        <f>IF(ISBLANK(C53),"",IF(C53=D53, "1 video",CONCATENATE((+COUNTIFS(Video_List!$C:$C,"&lt;=" &amp;Monitoring!F53)-COUNTIFS(Video_List!$C:$C,"&lt;=" &amp;Monitoring!E53))+1," videos")))</f>
        <v>1 video</v>
      </c>
      <c r="K53" s="27" t="s">
        <v>35</v>
      </c>
      <c r="L53" s="40" t="s">
        <v>28</v>
      </c>
      <c r="M53" s="40" t="s">
        <v>29</v>
      </c>
      <c r="N53" s="40" t="s">
        <v>30</v>
      </c>
      <c r="O53" s="88" t="str">
        <f>+IFERROR(IF(P53="#N/C","#N/C",IF(Q53=0,INDEX(Taxonomy_UniqueValues!D:D,MATCH(Q53,Taxonomy_UniqueValues!F:F,0)),INDEX(Taxonomy_UniqueValues!D:D,MATCH(P53,Taxonomy_UniqueValues!E:E,0)))),"#N/C")</f>
        <v>#N/C</v>
      </c>
      <c r="P53" s="40" t="s">
        <v>26</v>
      </c>
      <c r="Q53" s="40" t="s">
        <v>26</v>
      </c>
      <c r="R53" s="40" t="s">
        <v>26</v>
      </c>
      <c r="S53" s="40" t="s">
        <v>26</v>
      </c>
      <c r="T53" s="26" t="s">
        <v>26</v>
      </c>
    </row>
    <row r="54" spans="1:20" hidden="1" x14ac:dyDescent="0.3">
      <c r="A54" s="84">
        <v>53</v>
      </c>
      <c r="B54" s="6">
        <v>44390</v>
      </c>
      <c r="C54" s="85" t="s">
        <v>132</v>
      </c>
      <c r="D54" s="85" t="s">
        <v>133</v>
      </c>
      <c r="E54" s="16">
        <v>44390.56077546296</v>
      </c>
      <c r="F54" s="7">
        <v>44390.601481481484</v>
      </c>
      <c r="G54" s="14">
        <f t="shared" si="0"/>
        <v>4.0706018524360843E-2</v>
      </c>
      <c r="H54" s="86" t="s">
        <v>46</v>
      </c>
      <c r="I54" s="86" t="s">
        <v>46</v>
      </c>
      <c r="J54" s="87" t="str">
        <f>IF(ISBLANK(C54),"",IF(C54=D54, "1 video",CONCATENATE((+COUNTIFS(Video_List!$C:$C,"&lt;=" &amp;Monitoring!F54)-COUNTIFS(Video_List!$C:$C,"&lt;=" &amp;Monitoring!E54))+1," videos")))</f>
        <v>5 videos</v>
      </c>
      <c r="K54" s="25" t="s">
        <v>23</v>
      </c>
      <c r="L54" s="40" t="s">
        <v>28</v>
      </c>
      <c r="M54" s="40" t="s">
        <v>67</v>
      </c>
      <c r="N54" s="40" t="s">
        <v>68</v>
      </c>
      <c r="O54" s="88" t="str">
        <f>+IFERROR(IF(P54="#N/C","#N/C",IF(Q54=0,INDEX(Taxonomy_UniqueValues!D:D,MATCH(Q54,Taxonomy_UniqueValues!F:F,0)),INDEX(Taxonomy_UniqueValues!D:D,MATCH(P54,Taxonomy_UniqueValues!E:E,0)))),"#N/C")</f>
        <v>Cucujiformia</v>
      </c>
      <c r="P54" s="40" t="s">
        <v>134</v>
      </c>
      <c r="Q54" s="40" t="s">
        <v>135</v>
      </c>
      <c r="R54" s="40" t="s">
        <v>136</v>
      </c>
      <c r="S54" s="105" t="s">
        <v>137</v>
      </c>
      <c r="T54" s="26" t="s">
        <v>138</v>
      </c>
    </row>
    <row r="55" spans="1:20" s="4" customFormat="1" hidden="1" x14ac:dyDescent="0.3">
      <c r="A55" s="84">
        <v>54</v>
      </c>
      <c r="B55" s="6">
        <v>44390</v>
      </c>
      <c r="C55" s="85" t="s">
        <v>139</v>
      </c>
      <c r="D55" s="85" t="s">
        <v>139</v>
      </c>
      <c r="E55" s="16">
        <v>44390.596354166664</v>
      </c>
      <c r="F55" s="7">
        <v>44390.596365740741</v>
      </c>
      <c r="G55" s="14">
        <f t="shared" si="0"/>
        <v>1.1574076779652387E-5</v>
      </c>
      <c r="H55" s="86" t="s">
        <v>23</v>
      </c>
      <c r="I55" s="86" t="s">
        <v>24</v>
      </c>
      <c r="J55" s="87" t="str">
        <f>IF(ISBLANK(C55),"",IF(C55=D55, "1 video",CONCATENATE((+COUNTIFS(Video_List!$C:$C,"&lt;=" &amp;Monitoring!F55)-COUNTIFS(Video_List!$C:$C,"&lt;=" &amp;Monitoring!E55))+1," videos")))</f>
        <v>1 video</v>
      </c>
      <c r="K55" s="27" t="s">
        <v>35</v>
      </c>
      <c r="L55" s="40" t="s">
        <v>28</v>
      </c>
      <c r="M55" s="40" t="s">
        <v>29</v>
      </c>
      <c r="N55" s="40" t="s">
        <v>30</v>
      </c>
      <c r="O55" s="88" t="str">
        <f>+IFERROR(IF(P55="#N/C","#N/C",IF(Q55=0,INDEX(Taxonomy_UniqueValues!D:D,MATCH(Q55,Taxonomy_UniqueValues!F:F,0)),INDEX(Taxonomy_UniqueValues!D:D,MATCH(P55,Taxonomy_UniqueValues!E:E,0)))),"#N/C")</f>
        <v>Asilomorpha</v>
      </c>
      <c r="P55" s="40" t="s">
        <v>140</v>
      </c>
      <c r="Q55" s="40" t="s">
        <v>141</v>
      </c>
      <c r="R55" s="40" t="s">
        <v>142</v>
      </c>
      <c r="S55" s="40" t="s">
        <v>25</v>
      </c>
      <c r="T55" s="26" t="s">
        <v>26</v>
      </c>
    </row>
    <row r="56" spans="1:20" s="4" customFormat="1" hidden="1" x14ac:dyDescent="0.3">
      <c r="A56" s="84">
        <v>55</v>
      </c>
      <c r="B56" s="6">
        <v>44390</v>
      </c>
      <c r="C56" s="85" t="s">
        <v>143</v>
      </c>
      <c r="D56" s="85" t="s">
        <v>133</v>
      </c>
      <c r="E56" s="16">
        <v>44390.600243055553</v>
      </c>
      <c r="F56" s="7">
        <v>44390.601469907408</v>
      </c>
      <c r="G56" s="14">
        <f t="shared" si="0"/>
        <v>1.2268518548808061E-3</v>
      </c>
      <c r="H56" s="86" t="s">
        <v>23</v>
      </c>
      <c r="I56" s="86" t="s">
        <v>24</v>
      </c>
      <c r="J56" s="87" t="str">
        <f>IF(ISBLANK(C56),"",IF(C56=D56, "1 video",CONCATENATE((+COUNTIFS(Video_List!$C:$C,"&lt;=" &amp;Monitoring!F56)-COUNTIFS(Video_List!$C:$C,"&lt;=" &amp;Monitoring!E56))+1," videos")))</f>
        <v>2 videos</v>
      </c>
      <c r="K56" s="27" t="s">
        <v>35</v>
      </c>
      <c r="L56" s="40" t="s">
        <v>28</v>
      </c>
      <c r="M56" s="40" t="s">
        <v>29</v>
      </c>
      <c r="N56" s="40" t="s">
        <v>30</v>
      </c>
      <c r="O56" s="88" t="str">
        <f>+IFERROR(IF(P56="#N/C","#N/C",IF(Q56=0,INDEX(Taxonomy_UniqueValues!D:D,MATCH(Q56,Taxonomy_UniqueValues!F:F,0)),INDEX(Taxonomy_UniqueValues!D:D,MATCH(P56,Taxonomy_UniqueValues!E:E,0)))),"#N/C")</f>
        <v>Asilomorpha</v>
      </c>
      <c r="P56" s="40" t="s">
        <v>140</v>
      </c>
      <c r="Q56" s="40" t="s">
        <v>141</v>
      </c>
      <c r="R56" s="40" t="s">
        <v>142</v>
      </c>
      <c r="S56" s="40" t="s">
        <v>26</v>
      </c>
      <c r="T56" s="26" t="s">
        <v>26</v>
      </c>
    </row>
    <row r="57" spans="1:20" s="4" customFormat="1" hidden="1" x14ac:dyDescent="0.3">
      <c r="A57" s="84">
        <v>56</v>
      </c>
      <c r="B57" s="6">
        <v>44390</v>
      </c>
      <c r="C57" s="85" t="s">
        <v>144</v>
      </c>
      <c r="D57" s="85" t="s">
        <v>144</v>
      </c>
      <c r="E57" s="16">
        <v>44390.604456018518</v>
      </c>
      <c r="F57" s="7">
        <v>44390.604618055557</v>
      </c>
      <c r="G57" s="14">
        <f t="shared" si="0"/>
        <v>1.6203703853534535E-4</v>
      </c>
      <c r="H57" s="86" t="s">
        <v>46</v>
      </c>
      <c r="I57" s="86" t="s">
        <v>24</v>
      </c>
      <c r="J57" s="87" t="str">
        <f>IF(ISBLANK(C57),"",IF(C57=D57, "1 video",CONCATENATE((+COUNTIFS(Video_List!$C:$C,"&lt;=" &amp;Monitoring!F57)-COUNTIFS(Video_List!$C:$C,"&lt;=" &amp;Monitoring!E57))+1," videos")))</f>
        <v>1 video</v>
      </c>
      <c r="K57" s="27" t="s">
        <v>35</v>
      </c>
      <c r="L57" s="40" t="s">
        <v>28</v>
      </c>
      <c r="M57" s="40" t="s">
        <v>29</v>
      </c>
      <c r="N57" s="40" t="s">
        <v>30</v>
      </c>
      <c r="O57" s="88" t="str">
        <f>+IFERROR(IF(P57="#N/C","#N/C",IF(Q57=0,INDEX(Taxonomy_UniqueValues!D:D,MATCH(Q57,Taxonomy_UniqueValues!F:F,0)),INDEX(Taxonomy_UniqueValues!D:D,MATCH(P57,Taxonomy_UniqueValues!E:E,0)))),"#N/C")</f>
        <v>Asilomorpha</v>
      </c>
      <c r="P57" s="40" t="s">
        <v>140</v>
      </c>
      <c r="Q57" s="40" t="s">
        <v>141</v>
      </c>
      <c r="R57" s="40" t="s">
        <v>142</v>
      </c>
      <c r="S57" s="40" t="s">
        <v>26</v>
      </c>
      <c r="T57" s="26" t="s">
        <v>26</v>
      </c>
    </row>
    <row r="58" spans="1:20" s="4" customFormat="1" hidden="1" x14ac:dyDescent="0.3">
      <c r="A58" s="84">
        <v>57</v>
      </c>
      <c r="B58" s="6">
        <v>44390</v>
      </c>
      <c r="C58" s="85" t="s">
        <v>145</v>
      </c>
      <c r="D58" s="85" t="s">
        <v>146</v>
      </c>
      <c r="E58" s="16">
        <v>44390.610208333332</v>
      </c>
      <c r="F58" s="7">
        <v>44390.615567129629</v>
      </c>
      <c r="G58" s="14">
        <f t="shared" si="0"/>
        <v>5.3587962975143455E-3</v>
      </c>
      <c r="H58" s="86" t="s">
        <v>23</v>
      </c>
      <c r="I58" s="86" t="s">
        <v>24</v>
      </c>
      <c r="J58" s="87" t="str">
        <f>IF(ISBLANK(C58),"",IF(C58=D58, "1 video",CONCATENATE((+COUNTIFS(Video_List!$C:$C,"&lt;=" &amp;Monitoring!F58)-COUNTIFS(Video_List!$C:$C,"&lt;=" &amp;Monitoring!E58))+1," videos")))</f>
        <v>5 videos</v>
      </c>
      <c r="K58" s="27" t="s">
        <v>35</v>
      </c>
      <c r="L58" s="40" t="s">
        <v>28</v>
      </c>
      <c r="M58" s="40" t="s">
        <v>29</v>
      </c>
      <c r="N58" s="40" t="s">
        <v>30</v>
      </c>
      <c r="O58" s="88" t="str">
        <f>+IFERROR(IF(P58="#N/C","#N/C",IF(Q58=0,INDEX(Taxonomy_UniqueValues!D:D,MATCH(Q58,Taxonomy_UniqueValues!F:F,0)),INDEX(Taxonomy_UniqueValues!D:D,MATCH(P58,Taxonomy_UniqueValues!E:E,0)))),"#N/C")</f>
        <v>#N/C</v>
      </c>
      <c r="P58" s="40" t="s">
        <v>26</v>
      </c>
      <c r="Q58" s="40" t="s">
        <v>26</v>
      </c>
      <c r="R58" s="40" t="s">
        <v>26</v>
      </c>
      <c r="S58" s="40" t="s">
        <v>26</v>
      </c>
      <c r="T58" s="26" t="s">
        <v>26</v>
      </c>
    </row>
    <row r="59" spans="1:20" s="4" customFormat="1" hidden="1" x14ac:dyDescent="0.3">
      <c r="A59" s="84">
        <v>58</v>
      </c>
      <c r="B59" s="6">
        <v>44390</v>
      </c>
      <c r="C59" s="85" t="s">
        <v>147</v>
      </c>
      <c r="D59" s="85" t="s">
        <v>147</v>
      </c>
      <c r="E59" s="16">
        <v>44390.615925925929</v>
      </c>
      <c r="F59" s="7">
        <v>44390.616006944445</v>
      </c>
      <c r="G59" s="14">
        <f t="shared" si="0"/>
        <v>8.1018515629693866E-5</v>
      </c>
      <c r="H59" s="86" t="s">
        <v>23</v>
      </c>
      <c r="I59" s="86" t="s">
        <v>24</v>
      </c>
      <c r="J59" s="87" t="str">
        <f>IF(ISBLANK(C59),"",IF(C59=D59, "1 video",CONCATENATE((+COUNTIFS(Video_List!$C:$C,"&lt;=" &amp;Monitoring!F59)-COUNTIFS(Video_List!$C:$C,"&lt;=" &amp;Monitoring!E59))+1," videos")))</f>
        <v>1 video</v>
      </c>
      <c r="K59" s="27" t="s">
        <v>35</v>
      </c>
      <c r="L59" s="40" t="s">
        <v>28</v>
      </c>
      <c r="M59" s="40" t="s">
        <v>29</v>
      </c>
      <c r="N59" s="40" t="s">
        <v>30</v>
      </c>
      <c r="O59" s="88" t="str">
        <f>+IFERROR(IF(P59="#N/C","#N/C",IF(Q59=0,INDEX(Taxonomy_UniqueValues!D:D,MATCH(Q59,Taxonomy_UniqueValues!F:F,0)),INDEX(Taxonomy_UniqueValues!D:D,MATCH(P59,Taxonomy_UniqueValues!E:E,0)))),"#N/C")</f>
        <v>#N/C</v>
      </c>
      <c r="P59" s="40" t="s">
        <v>26</v>
      </c>
      <c r="Q59" s="40" t="s">
        <v>26</v>
      </c>
      <c r="R59" s="40" t="s">
        <v>26</v>
      </c>
      <c r="S59" s="40" t="s">
        <v>26</v>
      </c>
      <c r="T59" s="26" t="s">
        <v>26</v>
      </c>
    </row>
    <row r="60" spans="1:20" s="4" customFormat="1" hidden="1" x14ac:dyDescent="0.3">
      <c r="A60" s="84">
        <v>59</v>
      </c>
      <c r="B60" s="6">
        <v>44390</v>
      </c>
      <c r="C60" s="85" t="s">
        <v>148</v>
      </c>
      <c r="D60" s="85" t="s">
        <v>148</v>
      </c>
      <c r="E60" s="16">
        <v>44390.621030092596</v>
      </c>
      <c r="F60" s="7">
        <v>44390.621099537035</v>
      </c>
      <c r="G60" s="14">
        <f t="shared" si="0"/>
        <v>6.9444438850041479E-5</v>
      </c>
      <c r="H60" s="86" t="s">
        <v>23</v>
      </c>
      <c r="I60" s="86" t="s">
        <v>24</v>
      </c>
      <c r="J60" s="87" t="str">
        <f>IF(ISBLANK(C60),"",IF(C60=D60, "1 video",CONCATENATE((+COUNTIFS(Video_List!$C:$C,"&lt;=" &amp;Monitoring!F60)-COUNTIFS(Video_List!$C:$C,"&lt;=" &amp;Monitoring!E60))+1," videos")))</f>
        <v>1 video</v>
      </c>
      <c r="K60" s="27" t="s">
        <v>35</v>
      </c>
      <c r="L60" s="40" t="s">
        <v>28</v>
      </c>
      <c r="M60" s="40" t="s">
        <v>29</v>
      </c>
      <c r="N60" s="40" t="s">
        <v>30</v>
      </c>
      <c r="O60" s="88" t="str">
        <f>+IFERROR(IF(P60="#N/C","#N/C",IF(Q60=0,INDEX(Taxonomy_UniqueValues!D:D,MATCH(Q60,Taxonomy_UniqueValues!F:F,0)),INDEX(Taxonomy_UniqueValues!D:D,MATCH(P60,Taxonomy_UniqueValues!E:E,0)))),"#N/C")</f>
        <v>#N/C</v>
      </c>
      <c r="P60" s="40" t="s">
        <v>26</v>
      </c>
      <c r="Q60" s="40" t="s">
        <v>26</v>
      </c>
      <c r="R60" s="40" t="s">
        <v>26</v>
      </c>
      <c r="S60" s="40" t="s">
        <v>26</v>
      </c>
      <c r="T60" s="26" t="s">
        <v>26</v>
      </c>
    </row>
    <row r="61" spans="1:20" x14ac:dyDescent="0.3">
      <c r="A61" s="84">
        <v>60</v>
      </c>
      <c r="B61" s="6">
        <v>44390</v>
      </c>
      <c r="C61" s="85" t="s">
        <v>149</v>
      </c>
      <c r="D61" s="85" t="s">
        <v>149</v>
      </c>
      <c r="E61" s="16">
        <v>44390.642222222225</v>
      </c>
      <c r="F61" s="7">
        <v>44390.642245370371</v>
      </c>
      <c r="G61" s="14">
        <f t="shared" si="0"/>
        <v>2.314814628334716E-5</v>
      </c>
      <c r="H61" s="86" t="s">
        <v>23</v>
      </c>
      <c r="I61" s="86" t="s">
        <v>24</v>
      </c>
      <c r="J61" s="87" t="str">
        <f>IF(ISBLANK(C61),"",IF(C61=D61, "1 video",CONCATENATE((+COUNTIFS(Video_List!$C:$C,"&lt;=" &amp;Monitoring!F61)-COUNTIFS(Video_List!$C:$C,"&lt;=" &amp;Monitoring!E61))+1," videos")))</f>
        <v>1 video</v>
      </c>
      <c r="K61" s="25" t="s">
        <v>23</v>
      </c>
      <c r="L61" s="40" t="s">
        <v>28</v>
      </c>
      <c r="M61" s="40" t="s">
        <v>32</v>
      </c>
      <c r="N61" s="40" t="s">
        <v>33</v>
      </c>
      <c r="O61" s="88" t="str">
        <f>+IFERROR(IF(P61="#N/C","#N/C",IF(Q61=0,INDEX(Taxonomy_UniqueValues!D:D,MATCH(Q61,Taxonomy_UniqueValues!F:F,0)),INDEX(Taxonomy_UniqueValues!D:D,MATCH(P61,Taxonomy_UniqueValues!E:E,0)))),"#N/C")</f>
        <v>Aculeata</v>
      </c>
      <c r="P61" s="40" t="s">
        <v>122</v>
      </c>
      <c r="Q61" s="40" t="s">
        <v>123</v>
      </c>
      <c r="R61" s="40" t="s">
        <v>124</v>
      </c>
      <c r="S61" s="40" t="s">
        <v>125</v>
      </c>
      <c r="T61" s="26" t="s">
        <v>26</v>
      </c>
    </row>
    <row r="62" spans="1:20" hidden="1" x14ac:dyDescent="0.3">
      <c r="A62" s="84">
        <v>61</v>
      </c>
      <c r="B62" s="6">
        <v>44390</v>
      </c>
      <c r="C62" s="85" t="s">
        <v>150</v>
      </c>
      <c r="D62" s="85" t="s">
        <v>150</v>
      </c>
      <c r="E62" s="16">
        <v>44390.652685185189</v>
      </c>
      <c r="F62" s="7">
        <v>44390.652731481481</v>
      </c>
      <c r="G62" s="14">
        <f t="shared" si="0"/>
        <v>4.6296292566694319E-5</v>
      </c>
      <c r="H62" s="86" t="s">
        <v>23</v>
      </c>
      <c r="I62" s="86" t="s">
        <v>24</v>
      </c>
      <c r="J62" s="87" t="str">
        <f>IF(ISBLANK(C62),"",IF(C62=D62, "1 video",CONCATENATE((+COUNTIFS(Video_List!$C:$C,"&lt;=" &amp;Monitoring!F62)-COUNTIFS(Video_List!$C:$C,"&lt;=" &amp;Monitoring!E62))+1," videos")))</f>
        <v>1 video</v>
      </c>
      <c r="K62" s="27" t="s">
        <v>35</v>
      </c>
      <c r="L62" s="40" t="s">
        <v>28</v>
      </c>
      <c r="M62" s="40" t="s">
        <v>29</v>
      </c>
      <c r="N62" s="40" t="s">
        <v>30</v>
      </c>
      <c r="O62" s="88" t="str">
        <f>+IFERROR(IF(P62="#N/C","#N/C",IF(Q62=0,INDEX(Taxonomy_UniqueValues!D:D,MATCH(Q62,Taxonomy_UniqueValues!F:F,0)),INDEX(Taxonomy_UniqueValues!D:D,MATCH(P62,Taxonomy_UniqueValues!E:E,0)))),"#N/C")</f>
        <v>#N/C</v>
      </c>
      <c r="P62" s="40" t="s">
        <v>26</v>
      </c>
      <c r="Q62" s="40" t="s">
        <v>26</v>
      </c>
      <c r="R62" s="40" t="s">
        <v>26</v>
      </c>
      <c r="S62" s="40" t="s">
        <v>26</v>
      </c>
      <c r="T62" s="26" t="s">
        <v>26</v>
      </c>
    </row>
    <row r="63" spans="1:20" hidden="1" x14ac:dyDescent="0.3">
      <c r="A63" s="84">
        <v>62</v>
      </c>
      <c r="B63" s="6">
        <v>44390</v>
      </c>
      <c r="C63" s="85" t="s">
        <v>151</v>
      </c>
      <c r="D63" s="85" t="s">
        <v>151</v>
      </c>
      <c r="E63" s="16">
        <v>44390.662824074076</v>
      </c>
      <c r="F63" s="7">
        <v>44390.662951388891</v>
      </c>
      <c r="G63" s="14">
        <f t="shared" si="0"/>
        <v>1.273148154723458E-4</v>
      </c>
      <c r="H63" s="86" t="s">
        <v>23</v>
      </c>
      <c r="I63" s="86" t="s">
        <v>24</v>
      </c>
      <c r="J63" s="87" t="str">
        <f>IF(ISBLANK(C63),"",IF(C63=D63, "1 video",CONCATENATE((+COUNTIFS(Video_List!$C:$C,"&lt;=" &amp;Monitoring!F63)-COUNTIFS(Video_List!$C:$C,"&lt;=" &amp;Monitoring!E63))+1," videos")))</f>
        <v>1 video</v>
      </c>
      <c r="K63" s="27" t="s">
        <v>35</v>
      </c>
      <c r="L63" s="40" t="s">
        <v>28</v>
      </c>
      <c r="M63" s="40" t="s">
        <v>29</v>
      </c>
      <c r="N63" s="40" t="s">
        <v>30</v>
      </c>
      <c r="O63" s="88" t="str">
        <f>+IFERROR(IF(P63="#N/C","#N/C",IF(Q63=0,INDEX(Taxonomy_UniqueValues!D:D,MATCH(Q63,Taxonomy_UniqueValues!F:F,0)),INDEX(Taxonomy_UniqueValues!D:D,MATCH(P63,Taxonomy_UniqueValues!E:E,0)))),"#N/C")</f>
        <v>#N/C</v>
      </c>
      <c r="P63" s="40" t="s">
        <v>26</v>
      </c>
      <c r="Q63" s="40" t="s">
        <v>26</v>
      </c>
      <c r="R63" s="40" t="s">
        <v>26</v>
      </c>
      <c r="S63" s="40" t="s">
        <v>26</v>
      </c>
      <c r="T63" s="26" t="s">
        <v>26</v>
      </c>
    </row>
    <row r="64" spans="1:20" hidden="1" x14ac:dyDescent="0.3">
      <c r="A64" s="84">
        <v>63</v>
      </c>
      <c r="B64" s="6">
        <v>44390</v>
      </c>
      <c r="C64" s="85" t="s">
        <v>151</v>
      </c>
      <c r="D64" s="85" t="s">
        <v>151</v>
      </c>
      <c r="E64" s="16">
        <v>44390.663113425922</v>
      </c>
      <c r="F64" s="7">
        <v>44390.667129629626</v>
      </c>
      <c r="G64" s="14">
        <f t="shared" si="0"/>
        <v>4.016203703940846E-3</v>
      </c>
      <c r="H64" s="4" t="s">
        <v>23</v>
      </c>
      <c r="I64" s="4" t="s">
        <v>24</v>
      </c>
      <c r="J64" s="87" t="str">
        <f>IF(ISBLANK(C64),"",IF(C64=D64, "1 video",CONCATENATE((+COUNTIFS(Video_List!$C:$C,"&lt;=" &amp;Monitoring!F64)-COUNTIFS(Video_List!$C:$C,"&lt;=" &amp;Monitoring!E64))+1," videos")))</f>
        <v>1 video</v>
      </c>
      <c r="K64" s="25" t="s">
        <v>23</v>
      </c>
      <c r="L64" s="40" t="s">
        <v>28</v>
      </c>
      <c r="M64" s="40" t="s">
        <v>29</v>
      </c>
      <c r="N64" s="40" t="s">
        <v>30</v>
      </c>
      <c r="O64" s="88" t="str">
        <f>+IFERROR(IF(P64="#N/C","#N/C",IF(Q64=0,INDEX(Taxonomy_UniqueValues!D:D,MATCH(Q64,Taxonomy_UniqueValues!F:F,0)),INDEX(Taxonomy_UniqueValues!D:D,MATCH(P64,Taxonomy_UniqueValues!E:E,0)))),"#N/C")</f>
        <v>Muscomorpha</v>
      </c>
      <c r="P64" s="105" t="s">
        <v>152</v>
      </c>
      <c r="Q64" s="40" t="s">
        <v>153</v>
      </c>
      <c r="R64" s="40" t="s">
        <v>154</v>
      </c>
      <c r="S64" s="40" t="s">
        <v>155</v>
      </c>
      <c r="T64" s="26" t="s">
        <v>26</v>
      </c>
    </row>
    <row r="65" spans="1:20" hidden="1" x14ac:dyDescent="0.3">
      <c r="A65" s="84">
        <v>64</v>
      </c>
      <c r="B65" s="6">
        <v>44390</v>
      </c>
      <c r="C65" s="85" t="s">
        <v>156</v>
      </c>
      <c r="D65" s="85" t="s">
        <v>156</v>
      </c>
      <c r="E65" s="16">
        <v>44390.669652777775</v>
      </c>
      <c r="F65" s="7">
        <v>44390.669791666667</v>
      </c>
      <c r="G65" s="14">
        <f t="shared" si="0"/>
        <v>1.3888889225199819E-4</v>
      </c>
      <c r="H65" s="86" t="s">
        <v>23</v>
      </c>
      <c r="I65" s="86" t="s">
        <v>24</v>
      </c>
      <c r="J65" s="87" t="str">
        <f>IF(ISBLANK(C65),"",IF(C65=D65, "1 video",CONCATENATE((+COUNTIFS(Video_List!$C:$C,"&lt;=" &amp;Monitoring!F65)-COUNTIFS(Video_List!$C:$C,"&lt;=" &amp;Monitoring!E65))+1," videos")))</f>
        <v>1 video</v>
      </c>
      <c r="K65" s="27" t="s">
        <v>35</v>
      </c>
      <c r="L65" s="40" t="s">
        <v>28</v>
      </c>
      <c r="M65" s="40" t="s">
        <v>29</v>
      </c>
      <c r="N65" s="40" t="s">
        <v>30</v>
      </c>
      <c r="O65" s="88" t="str">
        <f>+IFERROR(IF(P65="#N/C","#N/C",IF(Q65=0,INDEX(Taxonomy_UniqueValues!D:D,MATCH(Q65,Taxonomy_UniqueValues!F:F,0)),INDEX(Taxonomy_UniqueValues!D:D,MATCH(P65,Taxonomy_UniqueValues!E:E,0)))),"#N/C")</f>
        <v>#N/C</v>
      </c>
      <c r="P65" s="40" t="s">
        <v>26</v>
      </c>
      <c r="Q65" s="40" t="s">
        <v>26</v>
      </c>
      <c r="R65" s="40" t="s">
        <v>26</v>
      </c>
      <c r="S65" s="40" t="s">
        <v>26</v>
      </c>
      <c r="T65" s="26" t="s">
        <v>26</v>
      </c>
    </row>
    <row r="66" spans="1:20" hidden="1" x14ac:dyDescent="0.3">
      <c r="A66" s="84">
        <v>65</v>
      </c>
      <c r="B66" s="6">
        <v>44390</v>
      </c>
      <c r="C66" s="85" t="s">
        <v>157</v>
      </c>
      <c r="D66" s="85" t="s">
        <v>157</v>
      </c>
      <c r="E66" s="16">
        <v>44390.690555555557</v>
      </c>
      <c r="F66" s="7">
        <v>44390.690613425926</v>
      </c>
      <c r="G66" s="14">
        <f t="shared" ref="G66:G129" si="1">F66-E66</f>
        <v>5.7870369346346706E-5</v>
      </c>
      <c r="H66" s="86" t="s">
        <v>23</v>
      </c>
      <c r="I66" s="86" t="s">
        <v>24</v>
      </c>
      <c r="J66" s="87" t="str">
        <f>IF(ISBLANK(C66),"",IF(C66=D66, "1 video",CONCATENATE((+COUNTIFS(Video_List!$C:$C,"&lt;=" &amp;Monitoring!F66)-COUNTIFS(Video_List!$C:$C,"&lt;=" &amp;Monitoring!E66))+1," videos")))</f>
        <v>1 video</v>
      </c>
      <c r="K66" s="27" t="s">
        <v>35</v>
      </c>
      <c r="L66" s="40" t="s">
        <v>28</v>
      </c>
      <c r="M66" s="40" t="s">
        <v>29</v>
      </c>
      <c r="N66" s="40" t="s">
        <v>30</v>
      </c>
      <c r="O66" s="88" t="str">
        <f>+IFERROR(IF(P66="#N/C","#N/C",IF(Q66=0,INDEX(Taxonomy_UniqueValues!D:D,MATCH(Q66,Taxonomy_UniqueValues!F:F,0)),INDEX(Taxonomy_UniqueValues!D:D,MATCH(P66,Taxonomy_UniqueValues!E:E,0)))),"#N/C")</f>
        <v>#N/C</v>
      </c>
      <c r="P66" s="40" t="s">
        <v>26</v>
      </c>
      <c r="Q66" s="40" t="s">
        <v>26</v>
      </c>
      <c r="R66" s="40" t="s">
        <v>26</v>
      </c>
      <c r="S66" s="40" t="s">
        <v>26</v>
      </c>
      <c r="T66" s="26" t="s">
        <v>26</v>
      </c>
    </row>
    <row r="67" spans="1:20" hidden="1" x14ac:dyDescent="0.3">
      <c r="A67" s="84">
        <v>66</v>
      </c>
      <c r="B67" s="6">
        <v>44390</v>
      </c>
      <c r="C67" s="85" t="s">
        <v>158</v>
      </c>
      <c r="D67" s="85" t="s">
        <v>158</v>
      </c>
      <c r="E67" s="16">
        <v>44390.695104166669</v>
      </c>
      <c r="F67" s="7">
        <v>44390.695162037038</v>
      </c>
      <c r="G67" s="14">
        <f t="shared" si="1"/>
        <v>5.7870369346346706E-5</v>
      </c>
      <c r="H67" s="86" t="s">
        <v>23</v>
      </c>
      <c r="I67" s="86" t="s">
        <v>24</v>
      </c>
      <c r="J67" s="87" t="str">
        <f>IF(ISBLANK(C67),"",IF(C67=D67, "1 video",CONCATENATE((+COUNTIFS(Video_List!$C:$C,"&lt;=" &amp;Monitoring!F67)-COUNTIFS(Video_List!$C:$C,"&lt;=" &amp;Monitoring!E67))+1," videos")))</f>
        <v>1 video</v>
      </c>
      <c r="K67" s="27" t="s">
        <v>35</v>
      </c>
      <c r="L67" s="40" t="s">
        <v>28</v>
      </c>
      <c r="M67" s="40" t="s">
        <v>29</v>
      </c>
      <c r="N67" s="40" t="s">
        <v>30</v>
      </c>
      <c r="O67" s="88" t="str">
        <f>+IFERROR(IF(P67="#N/C","#N/C",IF(Q67=0,INDEX(Taxonomy_UniqueValues!D:D,MATCH(Q67,Taxonomy_UniqueValues!F:F,0)),INDEX(Taxonomy_UniqueValues!D:D,MATCH(P67,Taxonomy_UniqueValues!E:E,0)))),"#N/C")</f>
        <v>#N/C</v>
      </c>
      <c r="P67" s="40" t="s">
        <v>26</v>
      </c>
      <c r="Q67" s="40" t="s">
        <v>26</v>
      </c>
      <c r="R67" s="40" t="s">
        <v>26</v>
      </c>
      <c r="S67" s="40" t="s">
        <v>26</v>
      </c>
      <c r="T67" s="26" t="s">
        <v>26</v>
      </c>
    </row>
    <row r="68" spans="1:20" hidden="1" x14ac:dyDescent="0.3">
      <c r="A68" s="84">
        <v>67</v>
      </c>
      <c r="B68" s="6">
        <v>44390</v>
      </c>
      <c r="C68" s="85" t="s">
        <v>159</v>
      </c>
      <c r="D68" s="85" t="s">
        <v>159</v>
      </c>
      <c r="E68" s="16">
        <v>44390.698530092595</v>
      </c>
      <c r="F68" s="7">
        <v>44390.698599537034</v>
      </c>
      <c r="G68" s="14">
        <f t="shared" si="1"/>
        <v>6.9444438850041479E-5</v>
      </c>
      <c r="H68" s="86" t="s">
        <v>23</v>
      </c>
      <c r="I68" s="86" t="s">
        <v>24</v>
      </c>
      <c r="J68" s="87" t="str">
        <f>IF(ISBLANK(C68),"",IF(C68=D68, "1 video",CONCATENATE((+COUNTIFS(Video_List!$C:$C,"&lt;=" &amp;Monitoring!F68)-COUNTIFS(Video_List!$C:$C,"&lt;=" &amp;Monitoring!E68))+1," videos")))</f>
        <v>1 video</v>
      </c>
      <c r="K68" s="27" t="s">
        <v>35</v>
      </c>
      <c r="L68" s="40" t="s">
        <v>28</v>
      </c>
      <c r="M68" s="40" t="s">
        <v>29</v>
      </c>
      <c r="N68" s="40" t="s">
        <v>30</v>
      </c>
      <c r="O68" s="88" t="str">
        <f>+IFERROR(IF(P68="#N/C","#N/C",IF(Q68=0,INDEX(Taxonomy_UniqueValues!D:D,MATCH(Q68,Taxonomy_UniqueValues!F:F,0)),INDEX(Taxonomy_UniqueValues!D:D,MATCH(P68,Taxonomy_UniqueValues!E:E,0)))),"#N/C")</f>
        <v>#N/C</v>
      </c>
      <c r="P68" s="40" t="s">
        <v>26</v>
      </c>
      <c r="Q68" s="40" t="s">
        <v>26</v>
      </c>
      <c r="R68" s="40" t="s">
        <v>26</v>
      </c>
      <c r="S68" s="40" t="s">
        <v>26</v>
      </c>
      <c r="T68" s="26" t="s">
        <v>26</v>
      </c>
    </row>
    <row r="69" spans="1:20" hidden="1" x14ac:dyDescent="0.3">
      <c r="A69" s="84">
        <v>68</v>
      </c>
      <c r="B69" s="6">
        <v>44390</v>
      </c>
      <c r="C69" s="85" t="s">
        <v>160</v>
      </c>
      <c r="D69" s="85" t="s">
        <v>160</v>
      </c>
      <c r="E69" s="16">
        <v>44390.702256944445</v>
      </c>
      <c r="F69" s="7">
        <v>44390.702592592592</v>
      </c>
      <c r="G69" s="14">
        <f t="shared" si="1"/>
        <v>3.3564814657438546E-4</v>
      </c>
      <c r="H69" s="86" t="s">
        <v>46</v>
      </c>
      <c r="I69" s="86" t="s">
        <v>46</v>
      </c>
      <c r="J69" s="87" t="str">
        <f>IF(ISBLANK(C69),"",IF(C69=D69, "1 video",CONCATENATE((+COUNTIFS(Video_List!$C:$C,"&lt;=" &amp;Monitoring!F69)-COUNTIFS(Video_List!$C:$C,"&lt;=" &amp;Monitoring!E69))+1," videos")))</f>
        <v>1 video</v>
      </c>
      <c r="K69" s="27" t="s">
        <v>35</v>
      </c>
      <c r="L69" s="40" t="s">
        <v>28</v>
      </c>
      <c r="M69" s="40" t="s">
        <v>29</v>
      </c>
      <c r="N69" s="40" t="s">
        <v>30</v>
      </c>
      <c r="O69" s="88" t="str">
        <f>+IFERROR(IF(P69="#N/C","#N/C",IF(Q69=0,INDEX(Taxonomy_UniqueValues!D:D,MATCH(Q69,Taxonomy_UniqueValues!F:F,0)),INDEX(Taxonomy_UniqueValues!D:D,MATCH(P69,Taxonomy_UniqueValues!E:E,0)))),"#N/C")</f>
        <v>#N/C</v>
      </c>
      <c r="P69" s="40" t="s">
        <v>26</v>
      </c>
      <c r="Q69" s="40" t="s">
        <v>26</v>
      </c>
      <c r="R69" s="40" t="s">
        <v>26</v>
      </c>
      <c r="S69" s="40" t="s">
        <v>26</v>
      </c>
      <c r="T69" s="26" t="s">
        <v>26</v>
      </c>
    </row>
    <row r="70" spans="1:20" hidden="1" x14ac:dyDescent="0.3">
      <c r="A70" s="84">
        <v>69</v>
      </c>
      <c r="B70" s="6">
        <v>44390</v>
      </c>
      <c r="C70" s="85" t="s">
        <v>160</v>
      </c>
      <c r="D70" s="85" t="s">
        <v>160</v>
      </c>
      <c r="E70" s="16">
        <v>44390.702256944445</v>
      </c>
      <c r="F70" s="7">
        <v>44390.702592592592</v>
      </c>
      <c r="G70" s="14">
        <f t="shared" si="1"/>
        <v>3.3564814657438546E-4</v>
      </c>
      <c r="H70" s="86" t="s">
        <v>46</v>
      </c>
      <c r="I70" s="86" t="s">
        <v>46</v>
      </c>
      <c r="J70" s="87" t="str">
        <f>IF(ISBLANK(C70),"",IF(C70=D70, "1 video",CONCATENATE((+COUNTIFS(Video_List!$C:$C,"&lt;=" &amp;Monitoring!F70)-COUNTIFS(Video_List!$C:$C,"&lt;=" &amp;Monitoring!E70))+1," videos")))</f>
        <v>1 video</v>
      </c>
      <c r="K70" s="27" t="s">
        <v>35</v>
      </c>
      <c r="L70" s="40" t="s">
        <v>28</v>
      </c>
      <c r="M70" s="40" t="s">
        <v>29</v>
      </c>
      <c r="N70" s="40" t="s">
        <v>30</v>
      </c>
      <c r="O70" s="88" t="str">
        <f>+IFERROR(IF(P70="#N/C","#N/C",IF(Q70=0,INDEX(Taxonomy_UniqueValues!D:D,MATCH(Q70,Taxonomy_UniqueValues!F:F,0)),INDEX(Taxonomy_UniqueValues!D:D,MATCH(P70,Taxonomy_UniqueValues!E:E,0)))),"#N/C")</f>
        <v>#N/C</v>
      </c>
      <c r="P70" s="40" t="s">
        <v>26</v>
      </c>
      <c r="Q70" s="40" t="s">
        <v>26</v>
      </c>
      <c r="R70" s="40" t="s">
        <v>26</v>
      </c>
      <c r="S70" s="40" t="s">
        <v>26</v>
      </c>
      <c r="T70" s="26" t="s">
        <v>26</v>
      </c>
    </row>
    <row r="71" spans="1:20" hidden="1" x14ac:dyDescent="0.3">
      <c r="A71" s="84">
        <v>70</v>
      </c>
      <c r="B71" s="6">
        <v>44390</v>
      </c>
      <c r="C71" s="85" t="s">
        <v>161</v>
      </c>
      <c r="D71" s="85" t="s">
        <v>161</v>
      </c>
      <c r="E71" s="16">
        <v>44390.703842592593</v>
      </c>
      <c r="F71" s="7">
        <v>44390.703877314816</v>
      </c>
      <c r="G71" s="14">
        <f t="shared" si="1"/>
        <v>3.4722223062999547E-5</v>
      </c>
      <c r="H71" s="86" t="s">
        <v>23</v>
      </c>
      <c r="I71" s="86" t="s">
        <v>24</v>
      </c>
      <c r="J71" s="87" t="str">
        <f>IF(ISBLANK(C71),"",IF(C71=D71, "1 video",CONCATENATE((+COUNTIFS(Video_List!$C:$C,"&lt;=" &amp;Monitoring!F71)-COUNTIFS(Video_List!$C:$C,"&lt;=" &amp;Monitoring!E71))+1," videos")))</f>
        <v>1 video</v>
      </c>
      <c r="K71" s="27" t="s">
        <v>35</v>
      </c>
      <c r="L71" s="40" t="s">
        <v>28</v>
      </c>
      <c r="M71" s="40" t="s">
        <v>29</v>
      </c>
      <c r="N71" s="40" t="s">
        <v>30</v>
      </c>
      <c r="O71" s="88" t="str">
        <f>+IFERROR(IF(P71="#N/C","#N/C",IF(Q71=0,INDEX(Taxonomy_UniqueValues!D:D,MATCH(Q71,Taxonomy_UniqueValues!F:F,0)),INDEX(Taxonomy_UniqueValues!D:D,MATCH(P71,Taxonomy_UniqueValues!E:E,0)))),"#N/C")</f>
        <v>#N/C</v>
      </c>
      <c r="P71" s="40" t="s">
        <v>26</v>
      </c>
      <c r="Q71" s="40" t="s">
        <v>26</v>
      </c>
      <c r="R71" s="40" t="s">
        <v>26</v>
      </c>
      <c r="S71" s="40" t="s">
        <v>26</v>
      </c>
      <c r="T71" s="26" t="s">
        <v>26</v>
      </c>
    </row>
    <row r="72" spans="1:20" hidden="1" x14ac:dyDescent="0.3">
      <c r="A72" s="84">
        <v>71</v>
      </c>
      <c r="B72" s="6">
        <v>44390</v>
      </c>
      <c r="C72" s="85" t="s">
        <v>162</v>
      </c>
      <c r="D72" s="85" t="s">
        <v>162</v>
      </c>
      <c r="E72" s="16">
        <v>44390.704895833333</v>
      </c>
      <c r="F72" s="7">
        <v>44390.704942129632</v>
      </c>
      <c r="G72" s="14">
        <f t="shared" si="1"/>
        <v>4.6296299842651933E-5</v>
      </c>
      <c r="H72" s="86" t="s">
        <v>23</v>
      </c>
      <c r="I72" s="86" t="s">
        <v>24</v>
      </c>
      <c r="J72" s="87" t="str">
        <f>IF(ISBLANK(C72),"",IF(C72=D72, "1 video",CONCATENATE((+COUNTIFS(Video_List!$C:$C,"&lt;=" &amp;Monitoring!F72)-COUNTIFS(Video_List!$C:$C,"&lt;=" &amp;Monitoring!E72))+1," videos")))</f>
        <v>1 video</v>
      </c>
      <c r="K72" s="27" t="s">
        <v>35</v>
      </c>
      <c r="L72" s="40" t="s">
        <v>28</v>
      </c>
      <c r="M72" s="40" t="s">
        <v>29</v>
      </c>
      <c r="N72" s="40" t="s">
        <v>30</v>
      </c>
      <c r="O72" s="88" t="str">
        <f>+IFERROR(IF(P72="#N/C","#N/C",IF(Q72=0,INDEX(Taxonomy_UniqueValues!D:D,MATCH(Q72,Taxonomy_UniqueValues!F:F,0)),INDEX(Taxonomy_UniqueValues!D:D,MATCH(P72,Taxonomy_UniqueValues!E:E,0)))),"#N/C")</f>
        <v>#N/C</v>
      </c>
      <c r="P72" s="40" t="s">
        <v>26</v>
      </c>
      <c r="Q72" s="40" t="s">
        <v>26</v>
      </c>
      <c r="R72" s="40" t="s">
        <v>26</v>
      </c>
      <c r="S72" s="40" t="s">
        <v>26</v>
      </c>
      <c r="T72" s="26" t="s">
        <v>26</v>
      </c>
    </row>
    <row r="73" spans="1:20" hidden="1" x14ac:dyDescent="0.3">
      <c r="A73" s="84">
        <v>72</v>
      </c>
      <c r="B73" s="6">
        <v>44390</v>
      </c>
      <c r="C73" s="85" t="s">
        <v>163</v>
      </c>
      <c r="D73" s="85" t="s">
        <v>163</v>
      </c>
      <c r="E73" s="16">
        <v>44390.706562500003</v>
      </c>
      <c r="F73" s="7">
        <v>44390.706736111111</v>
      </c>
      <c r="G73" s="14">
        <f t="shared" si="1"/>
        <v>1.7361110803904012E-4</v>
      </c>
      <c r="H73" s="86" t="s">
        <v>46</v>
      </c>
      <c r="I73" s="86" t="s">
        <v>46</v>
      </c>
      <c r="J73" s="87" t="str">
        <f>IF(ISBLANK(C73),"",IF(C73=D73, "1 video",CONCATENATE((+COUNTIFS(Video_List!$C:$C,"&lt;=" &amp;Monitoring!F73)-COUNTIFS(Video_List!$C:$C,"&lt;=" &amp;Monitoring!E73))+1," videos")))</f>
        <v>1 video</v>
      </c>
      <c r="K73" s="27" t="s">
        <v>35</v>
      </c>
      <c r="L73" s="40" t="s">
        <v>28</v>
      </c>
      <c r="M73" s="40" t="s">
        <v>114</v>
      </c>
      <c r="N73" s="40" t="s">
        <v>115</v>
      </c>
      <c r="O73" s="88" t="str">
        <f>+IFERROR(IF(P73="#N/C","#N/C",IF(Q73=0,INDEX(Taxonomy_UniqueValues!D:D,MATCH(Q73,Taxonomy_UniqueValues!F:F,0)),INDEX(Taxonomy_UniqueValues!D:D,MATCH(P73,Taxonomy_UniqueValues!E:E,0)))),"#N/C")</f>
        <v>Acrididea</v>
      </c>
      <c r="P73" s="40" t="s">
        <v>116</v>
      </c>
      <c r="Q73" s="40" t="s">
        <v>117</v>
      </c>
      <c r="R73" s="40" t="s">
        <v>164</v>
      </c>
      <c r="S73" s="40" t="s">
        <v>165</v>
      </c>
      <c r="T73" s="26" t="s">
        <v>26</v>
      </c>
    </row>
    <row r="74" spans="1:20" hidden="1" x14ac:dyDescent="0.3">
      <c r="A74" s="84">
        <v>73</v>
      </c>
      <c r="B74" s="6">
        <v>44390</v>
      </c>
      <c r="C74" s="85" t="s">
        <v>163</v>
      </c>
      <c r="D74" s="85" t="s">
        <v>163</v>
      </c>
      <c r="E74" s="16">
        <v>44390.706886574073</v>
      </c>
      <c r="F74" s="7">
        <v>44390.70689814815</v>
      </c>
      <c r="G74" s="14">
        <f t="shared" si="1"/>
        <v>1.1574076779652387E-5</v>
      </c>
      <c r="H74" s="4" t="s">
        <v>23</v>
      </c>
      <c r="I74" s="4" t="s">
        <v>24</v>
      </c>
      <c r="J74" s="87" t="str">
        <f>IF(ISBLANK(C74),"",IF(C74=D74, "1 video",CONCATENATE((+COUNTIFS(Video_List!$C:$C,"&lt;=" &amp;Monitoring!F74)-COUNTIFS(Video_List!$C:$C,"&lt;=" &amp;Monitoring!E74))+1," videos")))</f>
        <v>1 video</v>
      </c>
      <c r="K74" s="25" t="s">
        <v>23</v>
      </c>
      <c r="L74" s="40" t="s">
        <v>28</v>
      </c>
      <c r="M74" s="40" t="s">
        <v>29</v>
      </c>
      <c r="N74" s="40" t="s">
        <v>30</v>
      </c>
      <c r="O74" s="88" t="str">
        <f>+IFERROR(IF(P74="#N/C","#N/C",IF(Q74=0,INDEX(Taxonomy_UniqueValues!D:D,MATCH(Q74,Taxonomy_UniqueValues!F:F,0)),INDEX(Taxonomy_UniqueValues!D:D,MATCH(P74,Taxonomy_UniqueValues!E:E,0)))),"#N/C")</f>
        <v>Muscomorpha</v>
      </c>
      <c r="P74" s="40" t="s">
        <v>166</v>
      </c>
      <c r="Q74" s="40" t="s">
        <v>167</v>
      </c>
      <c r="R74" s="40">
        <v>0</v>
      </c>
      <c r="S74" s="40" t="s">
        <v>168</v>
      </c>
      <c r="T74" s="26" t="s">
        <v>26</v>
      </c>
    </row>
    <row r="75" spans="1:20" hidden="1" x14ac:dyDescent="0.3">
      <c r="A75" s="84">
        <v>74</v>
      </c>
      <c r="B75" s="6">
        <v>44390</v>
      </c>
      <c r="C75" s="85" t="s">
        <v>169</v>
      </c>
      <c r="D75" s="85" t="s">
        <v>169</v>
      </c>
      <c r="E75" s="16">
        <v>44390.715763888889</v>
      </c>
      <c r="F75" s="7">
        <v>44390.715821759259</v>
      </c>
      <c r="G75" s="14">
        <f t="shared" si="1"/>
        <v>5.7870369346346706E-5</v>
      </c>
      <c r="H75" s="4" t="s">
        <v>46</v>
      </c>
      <c r="I75" s="4" t="s">
        <v>46</v>
      </c>
      <c r="J75" s="87" t="str">
        <f>IF(ISBLANK(C75),"",IF(C75=D75, "1 video",CONCATENATE((+COUNTIFS(Video_List!$C:$C,"&lt;=" &amp;Monitoring!F75)-COUNTIFS(Video_List!$C:$C,"&lt;=" &amp;Monitoring!E75))+1," videos")))</f>
        <v>1 video</v>
      </c>
      <c r="K75" s="25" t="s">
        <v>23</v>
      </c>
      <c r="L75" s="105" t="str">
        <f>+IFERROR(IF(M75="#N/C","#N/C",INDEX(Taxonomy_UniqueValues!A:A,MATCH(M75,Taxonomy_UniqueValues!B:B,0))),"#N/C")</f>
        <v>Insecta</v>
      </c>
      <c r="M75" s="105" t="str">
        <f>+IFERROR(IF(N75="#N/C","#N/C",INDEX(Taxonomy_UniqueValues!B:B,MATCH(N75,Taxonomy_UniqueValues!C:C,0))),"#N/C")</f>
        <v>Hymenoptera</v>
      </c>
      <c r="N75" s="105" t="str">
        <f>+IFERROR(IF(O75="#N/C","#N/C",INDEX(Taxonomy_UniqueValues!C:C,MATCH(O75,Taxonomy_UniqueValues!D:D,0))),"#N/C")</f>
        <v>Apocrita</v>
      </c>
      <c r="O75" s="105" t="str">
        <f>+IFERROR(IF(P75="#N/C","#N/C",INDEX(Taxonomy_UniqueValues!D:D,MATCH(P75,Taxonomy_UniqueValues!E:E,0))),"#N/C")</f>
        <v>Aculeata</v>
      </c>
      <c r="P75" s="105" t="str">
        <f>+IFERROR(IF(Q75="#N/C","#N/C",INDEX(Taxonomy_UniqueValues!E:E,MATCH(Q75,Taxonomy_UniqueValues!F:F,0))),"#N/C")</f>
        <v>Formicoidea</v>
      </c>
      <c r="Q75" s="105" t="str">
        <f>+IFERROR(IF(R75="#N/C","#N/C",INDEX(Taxonomy_UniqueValues!F:F,MATCH(R75,Taxonomy_UniqueValues!G:G,0))),"#N/C")</f>
        <v>Formicidae</v>
      </c>
      <c r="R75" s="105" t="str">
        <f>+IFERROR(IF(S75="#N/C","#N/C",INDEX(Taxonomy_UniqueValues!G:G,MATCH(S75,Taxonomy_UniqueValues!H:H,0))),"#N/C")</f>
        <v>Formicinae</v>
      </c>
      <c r="S75" s="40" t="s">
        <v>170</v>
      </c>
      <c r="T75" s="26" t="s">
        <v>171</v>
      </c>
    </row>
    <row r="76" spans="1:20" hidden="1" x14ac:dyDescent="0.3">
      <c r="A76" s="84">
        <v>75</v>
      </c>
      <c r="B76" s="6">
        <v>44390</v>
      </c>
      <c r="C76" s="85" t="s">
        <v>172</v>
      </c>
      <c r="D76" s="85" t="s">
        <v>172</v>
      </c>
      <c r="E76" s="16">
        <v>44390.717997685184</v>
      </c>
      <c r="F76" s="7">
        <v>44390.718043981484</v>
      </c>
      <c r="G76" s="14">
        <f t="shared" si="1"/>
        <v>4.6296299842651933E-5</v>
      </c>
      <c r="H76" s="4" t="s">
        <v>46</v>
      </c>
      <c r="I76" s="4" t="s">
        <v>46</v>
      </c>
      <c r="J76" s="87" t="str">
        <f>IF(ISBLANK(C76),"",IF(C76=D76, "1 video",CONCATENATE((+COUNTIFS(Video_List!$C:$C,"&lt;=" &amp;Monitoring!F76)-COUNTIFS(Video_List!$C:$C,"&lt;=" &amp;Monitoring!E76))+1," videos")))</f>
        <v>1 video</v>
      </c>
      <c r="K76" s="27" t="s">
        <v>35</v>
      </c>
      <c r="L76" s="40" t="s">
        <v>28</v>
      </c>
      <c r="M76" s="40" t="s">
        <v>29</v>
      </c>
      <c r="N76" s="40" t="s">
        <v>30</v>
      </c>
      <c r="O76" s="88" t="str">
        <f>+IFERROR(IF(P76="#N/C","#N/C",IF(Q76=0,INDEX(Taxonomy_UniqueValues!D:D,MATCH(Q76,Taxonomy_UniqueValues!F:F,0)),INDEX(Taxonomy_UniqueValues!D:D,MATCH(P76,Taxonomy_UniqueValues!E:E,0)))),"#N/C")</f>
        <v>Muscomorpha</v>
      </c>
      <c r="P76" s="40" t="s">
        <v>37</v>
      </c>
      <c r="Q76" s="40" t="s">
        <v>38</v>
      </c>
      <c r="R76" s="40" t="s">
        <v>39</v>
      </c>
      <c r="S76" s="40" t="s">
        <v>173</v>
      </c>
      <c r="T76" s="26" t="s">
        <v>26</v>
      </c>
    </row>
    <row r="77" spans="1:20" hidden="1" x14ac:dyDescent="0.3">
      <c r="A77" s="84">
        <v>76</v>
      </c>
      <c r="B77" s="6">
        <v>44390</v>
      </c>
      <c r="C77" s="85" t="s">
        <v>174</v>
      </c>
      <c r="D77" s="85" t="s">
        <v>174</v>
      </c>
      <c r="E77" s="16">
        <v>44390.730613425927</v>
      </c>
      <c r="F77" s="7">
        <v>44390.730706018519</v>
      </c>
      <c r="G77" s="14">
        <f t="shared" si="1"/>
        <v>9.2592592409346253E-5</v>
      </c>
      <c r="H77" s="86" t="s">
        <v>23</v>
      </c>
      <c r="I77" s="86" t="s">
        <v>24</v>
      </c>
      <c r="J77" s="87" t="str">
        <f>IF(ISBLANK(C77),"",IF(C77=D77, "1 video",CONCATENATE((+COUNTIFS(Video_List!$C:$C,"&lt;=" &amp;Monitoring!F77)-COUNTIFS(Video_List!$C:$C,"&lt;=" &amp;Monitoring!E77))+1," videos")))</f>
        <v>1 video</v>
      </c>
      <c r="K77" s="27" t="s">
        <v>35</v>
      </c>
      <c r="L77" s="40" t="s">
        <v>28</v>
      </c>
      <c r="M77" s="40" t="s">
        <v>29</v>
      </c>
      <c r="N77" s="40" t="s">
        <v>30</v>
      </c>
      <c r="O77" s="88" t="str">
        <f>+IFERROR(IF(P77="#N/C","#N/C",IF(Q77=0,INDEX(Taxonomy_UniqueValues!D:D,MATCH(Q77,Taxonomy_UniqueValues!F:F,0)),INDEX(Taxonomy_UniqueValues!D:D,MATCH(P77,Taxonomy_UniqueValues!E:E,0)))),"#N/C")</f>
        <v>#N/C</v>
      </c>
      <c r="P77" s="40" t="s">
        <v>26</v>
      </c>
      <c r="Q77" s="40" t="s">
        <v>26</v>
      </c>
      <c r="R77" s="40" t="s">
        <v>26</v>
      </c>
      <c r="S77" s="40" t="s">
        <v>26</v>
      </c>
      <c r="T77" s="26" t="s">
        <v>26</v>
      </c>
    </row>
    <row r="78" spans="1:20" hidden="1" x14ac:dyDescent="0.3">
      <c r="A78" s="84">
        <v>77</v>
      </c>
      <c r="B78" s="6">
        <v>44390</v>
      </c>
      <c r="C78" s="85" t="s">
        <v>175</v>
      </c>
      <c r="D78" s="85" t="s">
        <v>175</v>
      </c>
      <c r="E78" s="16">
        <v>44390.739953703705</v>
      </c>
      <c r="F78" s="7">
        <v>44390.74</v>
      </c>
      <c r="G78" s="14">
        <f t="shared" si="1"/>
        <v>4.6296292566694319E-5</v>
      </c>
      <c r="H78" s="86" t="s">
        <v>23</v>
      </c>
      <c r="I78" s="86" t="s">
        <v>24</v>
      </c>
      <c r="J78" s="87" t="str">
        <f>IF(ISBLANK(C78),"",IF(C78=D78, "1 video",CONCATENATE((+COUNTIFS(Video_List!$C:$C,"&lt;=" &amp;Monitoring!F78)-COUNTIFS(Video_List!$C:$C,"&lt;=" &amp;Monitoring!E78))+1," videos")))</f>
        <v>1 video</v>
      </c>
      <c r="K78" s="27" t="s">
        <v>35</v>
      </c>
      <c r="L78" s="40" t="s">
        <v>28</v>
      </c>
      <c r="M78" s="40" t="s">
        <v>29</v>
      </c>
      <c r="N78" s="40" t="s">
        <v>176</v>
      </c>
      <c r="O78" s="88" t="str">
        <f>+IFERROR(IF(P78="#N/C","#N/C",IF(Q78=0,INDEX(Taxonomy_UniqueValues!D:D,MATCH(Q78,Taxonomy_UniqueValues!F:F,0)),INDEX(Taxonomy_UniqueValues!D:D,MATCH(P78,Taxonomy_UniqueValues!E:E,0)))),"#N/C")</f>
        <v>Bibionomorpha</v>
      </c>
      <c r="P78" s="40" t="s">
        <v>177</v>
      </c>
      <c r="Q78" s="40" t="s">
        <v>178</v>
      </c>
      <c r="R78" s="40" t="s">
        <v>179</v>
      </c>
      <c r="S78" s="40" t="s">
        <v>180</v>
      </c>
      <c r="T78" s="26" t="s">
        <v>26</v>
      </c>
    </row>
    <row r="79" spans="1:20" hidden="1" x14ac:dyDescent="0.3">
      <c r="A79" s="84">
        <v>78</v>
      </c>
      <c r="B79" s="6">
        <v>44390</v>
      </c>
      <c r="C79" s="85" t="s">
        <v>181</v>
      </c>
      <c r="D79" s="85" t="s">
        <v>181</v>
      </c>
      <c r="E79" s="16">
        <v>44390.747824074075</v>
      </c>
      <c r="F79" s="7">
        <v>44390.747916666667</v>
      </c>
      <c r="G79" s="14">
        <f t="shared" si="1"/>
        <v>9.2592592409346253E-5</v>
      </c>
      <c r="H79" s="86" t="s">
        <v>23</v>
      </c>
      <c r="I79" s="86" t="s">
        <v>24</v>
      </c>
      <c r="J79" s="87" t="str">
        <f>IF(ISBLANK(C79),"",IF(C79=D79, "1 video",CONCATENATE((+COUNTIFS(Video_List!$C:$C,"&lt;=" &amp;Monitoring!F79)-COUNTIFS(Video_List!$C:$C,"&lt;=" &amp;Monitoring!E79))+1," videos")))</f>
        <v>1 video</v>
      </c>
      <c r="K79" s="27" t="s">
        <v>35</v>
      </c>
      <c r="L79" s="40" t="s">
        <v>28</v>
      </c>
      <c r="M79" s="40" t="s">
        <v>29</v>
      </c>
      <c r="N79" s="40" t="s">
        <v>30</v>
      </c>
      <c r="O79" s="88" t="str">
        <f>+IFERROR(IF(P79="#N/C","#N/C",IF(Q79=0,INDEX(Taxonomy_UniqueValues!D:D,MATCH(Q79,Taxonomy_UniqueValues!F:F,0)),INDEX(Taxonomy_UniqueValues!D:D,MATCH(P79,Taxonomy_UniqueValues!E:E,0)))),"#N/C")</f>
        <v>#N/C</v>
      </c>
      <c r="P79" s="40" t="s">
        <v>26</v>
      </c>
      <c r="Q79" s="40" t="s">
        <v>26</v>
      </c>
      <c r="R79" s="40" t="s">
        <v>26</v>
      </c>
      <c r="S79" s="40" t="s">
        <v>26</v>
      </c>
      <c r="T79" s="26" t="s">
        <v>26</v>
      </c>
    </row>
    <row r="80" spans="1:20" hidden="1" x14ac:dyDescent="0.3">
      <c r="A80" s="84">
        <v>79</v>
      </c>
      <c r="B80" s="6">
        <v>44390</v>
      </c>
      <c r="C80" s="85" t="s">
        <v>182</v>
      </c>
      <c r="D80" s="85" t="s">
        <v>182</v>
      </c>
      <c r="E80" s="16">
        <v>44390.749537037038</v>
      </c>
      <c r="F80" s="7">
        <v>44390.749606481484</v>
      </c>
      <c r="G80" s="14">
        <f t="shared" si="1"/>
        <v>6.9444446125999093E-5</v>
      </c>
      <c r="H80" s="86" t="s">
        <v>23</v>
      </c>
      <c r="I80" s="86" t="s">
        <v>24</v>
      </c>
      <c r="J80" s="87" t="str">
        <f>IF(ISBLANK(C80),"",IF(C80=D80, "1 video",CONCATENATE((+COUNTIFS(Video_List!$C:$C,"&lt;=" &amp;Monitoring!F80)-COUNTIFS(Video_List!$C:$C,"&lt;=" &amp;Monitoring!E80))+1," videos")))</f>
        <v>1 video</v>
      </c>
      <c r="K80" s="27" t="s">
        <v>35</v>
      </c>
      <c r="L80" s="40" t="s">
        <v>28</v>
      </c>
      <c r="M80" s="40" t="s">
        <v>29</v>
      </c>
      <c r="N80" s="40" t="s">
        <v>30</v>
      </c>
      <c r="O80" s="88" t="str">
        <f>+IFERROR(IF(P80="#N/C","#N/C",IF(Q80=0,INDEX(Taxonomy_UniqueValues!D:D,MATCH(Q80,Taxonomy_UniqueValues!F:F,0)),INDEX(Taxonomy_UniqueValues!D:D,MATCH(P80,Taxonomy_UniqueValues!E:E,0)))),"#N/C")</f>
        <v>#N/C</v>
      </c>
      <c r="P80" s="40" t="s">
        <v>26</v>
      </c>
      <c r="Q80" s="40" t="s">
        <v>26</v>
      </c>
      <c r="R80" s="40" t="s">
        <v>26</v>
      </c>
      <c r="S80" s="40" t="s">
        <v>26</v>
      </c>
      <c r="T80" s="26" t="s">
        <v>26</v>
      </c>
    </row>
    <row r="81" spans="1:20" hidden="1" x14ac:dyDescent="0.3">
      <c r="A81" s="84">
        <v>80</v>
      </c>
      <c r="B81" s="6">
        <v>44390</v>
      </c>
      <c r="C81" s="85" t="s">
        <v>183</v>
      </c>
      <c r="D81" s="85" t="s">
        <v>183</v>
      </c>
      <c r="E81" s="16">
        <v>44390.752175925925</v>
      </c>
      <c r="F81" s="7">
        <v>44390.752280092594</v>
      </c>
      <c r="G81" s="14">
        <f t="shared" si="1"/>
        <v>1.0416666918899864E-4</v>
      </c>
      <c r="H81" s="86" t="s">
        <v>23</v>
      </c>
      <c r="I81" s="86" t="s">
        <v>24</v>
      </c>
      <c r="J81" s="87" t="str">
        <f>IF(ISBLANK(C81),"",IF(C81=D81, "1 video",CONCATENATE((+COUNTIFS(Video_List!$C:$C,"&lt;=" &amp;Monitoring!F81)-COUNTIFS(Video_List!$C:$C,"&lt;=" &amp;Monitoring!E81))+1," videos")))</f>
        <v>1 video</v>
      </c>
      <c r="K81" s="27" t="s">
        <v>35</v>
      </c>
      <c r="L81" s="40" t="s">
        <v>28</v>
      </c>
      <c r="M81" s="40" t="s">
        <v>29</v>
      </c>
      <c r="N81" s="40" t="s">
        <v>30</v>
      </c>
      <c r="O81" s="88" t="str">
        <f>+IFERROR(IF(P81="#N/C","#N/C",IF(Q81=0,INDEX(Taxonomy_UniqueValues!D:D,MATCH(Q81,Taxonomy_UniqueValues!F:F,0)),INDEX(Taxonomy_UniqueValues!D:D,MATCH(P81,Taxonomy_UniqueValues!E:E,0)))),"#N/C")</f>
        <v>#N/C</v>
      </c>
      <c r="P81" s="40" t="s">
        <v>26</v>
      </c>
      <c r="Q81" s="40" t="s">
        <v>26</v>
      </c>
      <c r="R81" s="40" t="s">
        <v>26</v>
      </c>
      <c r="S81" s="40" t="s">
        <v>26</v>
      </c>
      <c r="T81" s="26" t="s">
        <v>26</v>
      </c>
    </row>
    <row r="82" spans="1:20" hidden="1" x14ac:dyDescent="0.3">
      <c r="A82" s="84">
        <v>81</v>
      </c>
      <c r="B82" s="6">
        <v>44390</v>
      </c>
      <c r="C82" s="85" t="s">
        <v>184</v>
      </c>
      <c r="D82" s="85" t="s">
        <v>184</v>
      </c>
      <c r="E82" s="16">
        <v>44390.779814814814</v>
      </c>
      <c r="F82" s="7">
        <v>44390.779895833337</v>
      </c>
      <c r="G82" s="14">
        <f t="shared" si="1"/>
        <v>8.101852290565148E-5</v>
      </c>
      <c r="H82" s="86" t="s">
        <v>23</v>
      </c>
      <c r="I82" s="86" t="s">
        <v>24</v>
      </c>
      <c r="J82" s="87" t="str">
        <f>IF(ISBLANK(C82),"",IF(C82=D82, "1 video",CONCATENATE((+COUNTIFS(Video_List!$C:$C,"&lt;=" &amp;Monitoring!F82)-COUNTIFS(Video_List!$C:$C,"&lt;=" &amp;Monitoring!E82))+1," videos")))</f>
        <v>1 video</v>
      </c>
      <c r="K82" s="27" t="s">
        <v>35</v>
      </c>
      <c r="L82" s="40" t="s">
        <v>28</v>
      </c>
      <c r="M82" s="40" t="s">
        <v>29</v>
      </c>
      <c r="N82" s="40" t="s">
        <v>30</v>
      </c>
      <c r="O82" s="88" t="str">
        <f>+IFERROR(IF(P82="#N/C","#N/C",IF(Q82=0,INDEX(Taxonomy_UniqueValues!D:D,MATCH(Q82,Taxonomy_UniqueValues!F:F,0)),INDEX(Taxonomy_UniqueValues!D:D,MATCH(P82,Taxonomy_UniqueValues!E:E,0)))),"#N/C")</f>
        <v>#N/C</v>
      </c>
      <c r="P82" s="40" t="s">
        <v>26</v>
      </c>
      <c r="Q82" s="40" t="s">
        <v>26</v>
      </c>
      <c r="R82" s="40" t="s">
        <v>26</v>
      </c>
      <c r="S82" s="40" t="s">
        <v>26</v>
      </c>
      <c r="T82" s="26" t="s">
        <v>26</v>
      </c>
    </row>
    <row r="83" spans="1:20" hidden="1" x14ac:dyDescent="0.3">
      <c r="A83" s="84">
        <v>82</v>
      </c>
      <c r="B83" s="6">
        <v>44390</v>
      </c>
      <c r="C83" s="85" t="s">
        <v>185</v>
      </c>
      <c r="D83" s="85" t="s">
        <v>185</v>
      </c>
      <c r="E83" s="16">
        <v>44390.782280092593</v>
      </c>
      <c r="F83" s="7">
        <v>44390.782326388886</v>
      </c>
      <c r="G83" s="14">
        <f t="shared" si="1"/>
        <v>4.6296292566694319E-5</v>
      </c>
      <c r="H83" s="86" t="s">
        <v>23</v>
      </c>
      <c r="I83" s="86" t="s">
        <v>24</v>
      </c>
      <c r="J83" s="87" t="str">
        <f>IF(ISBLANK(C83),"",IF(C83=D83, "1 video",CONCATENATE((+COUNTIFS(Video_List!$C:$C,"&lt;=" &amp;Monitoring!F83)-COUNTIFS(Video_List!$C:$C,"&lt;=" &amp;Monitoring!E83))+1," videos")))</f>
        <v>1 video</v>
      </c>
      <c r="K83" s="27" t="s">
        <v>35</v>
      </c>
      <c r="L83" s="40" t="s">
        <v>28</v>
      </c>
      <c r="M83" s="40" t="s">
        <v>29</v>
      </c>
      <c r="N83" s="40" t="s">
        <v>30</v>
      </c>
      <c r="O83" s="88" t="str">
        <f>+IFERROR(IF(P83="#N/C","#N/C",IF(Q83=0,INDEX(Taxonomy_UniqueValues!D:D,MATCH(Q83,Taxonomy_UniqueValues!F:F,0)),INDEX(Taxonomy_UniqueValues!D:D,MATCH(P83,Taxonomy_UniqueValues!E:E,0)))),"#N/C")</f>
        <v>#N/C</v>
      </c>
      <c r="P83" s="40" t="s">
        <v>26</v>
      </c>
      <c r="Q83" s="40" t="s">
        <v>26</v>
      </c>
      <c r="R83" s="40" t="s">
        <v>26</v>
      </c>
      <c r="S83" s="40" t="s">
        <v>26</v>
      </c>
      <c r="T83" s="26" t="s">
        <v>26</v>
      </c>
    </row>
    <row r="84" spans="1:20" hidden="1" x14ac:dyDescent="0.3">
      <c r="A84" s="84">
        <v>83</v>
      </c>
      <c r="B84" s="6">
        <v>44390</v>
      </c>
      <c r="C84" s="85" t="s">
        <v>186</v>
      </c>
      <c r="D84" s="85" t="s">
        <v>186</v>
      </c>
      <c r="E84" s="16">
        <v>44390.783229166664</v>
      </c>
      <c r="F84" s="7">
        <v>44390.78329861111</v>
      </c>
      <c r="G84" s="14">
        <f t="shared" si="1"/>
        <v>6.9444446125999093E-5</v>
      </c>
      <c r="H84" s="86" t="s">
        <v>23</v>
      </c>
      <c r="I84" s="86" t="s">
        <v>24</v>
      </c>
      <c r="J84" s="87" t="str">
        <f>IF(ISBLANK(C84),"",IF(C84=D84, "1 video",CONCATENATE((+COUNTIFS(Video_List!$C:$C,"&lt;=" &amp;Monitoring!F84)-COUNTIFS(Video_List!$C:$C,"&lt;=" &amp;Monitoring!E84))+1," videos")))</f>
        <v>1 video</v>
      </c>
      <c r="K84" s="27" t="s">
        <v>35</v>
      </c>
      <c r="L84" s="40" t="s">
        <v>28</v>
      </c>
      <c r="M84" s="40" t="s">
        <v>29</v>
      </c>
      <c r="N84" s="40" t="s">
        <v>30</v>
      </c>
      <c r="O84" s="88" t="str">
        <f>+IFERROR(IF(P84="#N/C","#N/C",IF(Q84=0,INDEX(Taxonomy_UniqueValues!D:D,MATCH(Q84,Taxonomy_UniqueValues!F:F,0)),INDEX(Taxonomy_UniqueValues!D:D,MATCH(P84,Taxonomy_UniqueValues!E:E,0)))),"#N/C")</f>
        <v>#N/C</v>
      </c>
      <c r="P84" s="40" t="s">
        <v>26</v>
      </c>
      <c r="Q84" s="40" t="s">
        <v>26</v>
      </c>
      <c r="R84" s="40" t="s">
        <v>26</v>
      </c>
      <c r="S84" s="40" t="s">
        <v>26</v>
      </c>
      <c r="T84" s="26" t="s">
        <v>26</v>
      </c>
    </row>
    <row r="85" spans="1:20" hidden="1" x14ac:dyDescent="0.3">
      <c r="A85" s="84">
        <v>84</v>
      </c>
      <c r="B85" s="6">
        <v>44390</v>
      </c>
      <c r="C85" s="85" t="s">
        <v>187</v>
      </c>
      <c r="D85" s="85" t="s">
        <v>187</v>
      </c>
      <c r="E85" s="16">
        <v>44390.794849537036</v>
      </c>
      <c r="F85" s="7">
        <v>44390.794930555552</v>
      </c>
      <c r="G85" s="14">
        <f t="shared" si="1"/>
        <v>8.1018515629693866E-5</v>
      </c>
      <c r="H85" s="86" t="s">
        <v>23</v>
      </c>
      <c r="I85" s="86" t="s">
        <v>24</v>
      </c>
      <c r="J85" s="87" t="str">
        <f>IF(ISBLANK(C85),"",IF(C85=D85, "1 video",CONCATENATE((+COUNTIFS(Video_List!$C:$C,"&lt;=" &amp;Monitoring!F85)-COUNTIFS(Video_List!$C:$C,"&lt;=" &amp;Monitoring!E85))+1," videos")))</f>
        <v>1 video</v>
      </c>
      <c r="K85" s="27" t="s">
        <v>35</v>
      </c>
      <c r="L85" s="40" t="s">
        <v>28</v>
      </c>
      <c r="M85" s="40" t="s">
        <v>29</v>
      </c>
      <c r="N85" s="40" t="s">
        <v>30</v>
      </c>
      <c r="O85" s="88" t="str">
        <f>+IFERROR(IF(P85="#N/C","#N/C",IF(Q85=0,INDEX(Taxonomy_UniqueValues!D:D,MATCH(Q85,Taxonomy_UniqueValues!F:F,0)),INDEX(Taxonomy_UniqueValues!D:D,MATCH(P85,Taxonomy_UniqueValues!E:E,0)))),"#N/C")</f>
        <v>#N/C</v>
      </c>
      <c r="P85" s="40" t="s">
        <v>26</v>
      </c>
      <c r="Q85" s="40" t="s">
        <v>26</v>
      </c>
      <c r="R85" s="40" t="s">
        <v>26</v>
      </c>
      <c r="S85" s="40" t="s">
        <v>26</v>
      </c>
      <c r="T85" s="26" t="s">
        <v>26</v>
      </c>
    </row>
    <row r="86" spans="1:20" hidden="1" x14ac:dyDescent="0.3">
      <c r="A86" s="84">
        <v>85</v>
      </c>
      <c r="B86" s="6">
        <v>44390</v>
      </c>
      <c r="C86" s="85" t="s">
        <v>188</v>
      </c>
      <c r="D86" s="85" t="s">
        <v>188</v>
      </c>
      <c r="E86" s="16">
        <v>44390.796724537038</v>
      </c>
      <c r="F86" s="7">
        <v>44390.796770833331</v>
      </c>
      <c r="G86" s="14">
        <f t="shared" si="1"/>
        <v>4.6296292566694319E-5</v>
      </c>
      <c r="H86" s="86" t="s">
        <v>23</v>
      </c>
      <c r="I86" s="86" t="s">
        <v>24</v>
      </c>
      <c r="J86" s="87" t="str">
        <f>IF(ISBLANK(C86),"",IF(C86=D86, "1 video",CONCATENATE((+COUNTIFS(Video_List!$C:$C,"&lt;=" &amp;Monitoring!F86)-COUNTIFS(Video_List!$C:$C,"&lt;=" &amp;Monitoring!E86))+1," videos")))</f>
        <v>1 video</v>
      </c>
      <c r="K86" s="27" t="s">
        <v>35</v>
      </c>
      <c r="L86" s="40" t="s">
        <v>28</v>
      </c>
      <c r="M86" s="40" t="s">
        <v>29</v>
      </c>
      <c r="N86" s="40" t="s">
        <v>30</v>
      </c>
      <c r="O86" s="88" t="str">
        <f>+IFERROR(IF(P86="#N/C","#N/C",IF(Q86=0,INDEX(Taxonomy_UniqueValues!D:D,MATCH(Q86,Taxonomy_UniqueValues!F:F,0)),INDEX(Taxonomy_UniqueValues!D:D,MATCH(P86,Taxonomy_UniqueValues!E:E,0)))),"#N/C")</f>
        <v>#N/C</v>
      </c>
      <c r="P86" s="40" t="s">
        <v>26</v>
      </c>
      <c r="Q86" s="40" t="s">
        <v>26</v>
      </c>
      <c r="R86" s="40" t="s">
        <v>26</v>
      </c>
      <c r="S86" s="40" t="s">
        <v>26</v>
      </c>
      <c r="T86" s="26" t="s">
        <v>26</v>
      </c>
    </row>
    <row r="87" spans="1:20" hidden="1" x14ac:dyDescent="0.3">
      <c r="A87" s="84">
        <v>86</v>
      </c>
      <c r="B87" s="6">
        <v>44390</v>
      </c>
      <c r="C87" s="85" t="s">
        <v>189</v>
      </c>
      <c r="D87" s="85" t="s">
        <v>189</v>
      </c>
      <c r="E87" s="16">
        <v>44390.804756944446</v>
      </c>
      <c r="F87" s="7">
        <v>44390.804803240739</v>
      </c>
      <c r="G87" s="14">
        <f t="shared" si="1"/>
        <v>4.6296292566694319E-5</v>
      </c>
      <c r="H87" s="86" t="s">
        <v>23</v>
      </c>
      <c r="I87" s="86" t="s">
        <v>24</v>
      </c>
      <c r="J87" s="87" t="str">
        <f>IF(ISBLANK(C87),"",IF(C87=D87, "1 video",CONCATENATE((+COUNTIFS(Video_List!$C:$C,"&lt;=" &amp;Monitoring!F87)-COUNTIFS(Video_List!$C:$C,"&lt;=" &amp;Monitoring!E87))+1," videos")))</f>
        <v>1 video</v>
      </c>
      <c r="K87" s="27" t="s">
        <v>35</v>
      </c>
      <c r="L87" s="40" t="s">
        <v>28</v>
      </c>
      <c r="M87" s="40" t="s">
        <v>29</v>
      </c>
      <c r="N87" s="40" t="s">
        <v>30</v>
      </c>
      <c r="O87" s="88" t="str">
        <f>+IFERROR(IF(P87="#N/C","#N/C",IF(Q87=0,INDEX(Taxonomy_UniqueValues!D:D,MATCH(Q87,Taxonomy_UniqueValues!F:F,0)),INDEX(Taxonomy_UniqueValues!D:D,MATCH(P87,Taxonomy_UniqueValues!E:E,0)))),"#N/C")</f>
        <v>#N/C</v>
      </c>
      <c r="P87" s="40" t="s">
        <v>26</v>
      </c>
      <c r="Q87" s="40" t="s">
        <v>26</v>
      </c>
      <c r="R87" s="40" t="s">
        <v>26</v>
      </c>
      <c r="S87" s="40" t="s">
        <v>26</v>
      </c>
      <c r="T87" s="26" t="s">
        <v>26</v>
      </c>
    </row>
    <row r="88" spans="1:20" hidden="1" x14ac:dyDescent="0.3">
      <c r="A88" s="84">
        <v>87</v>
      </c>
      <c r="B88" s="6">
        <v>44390</v>
      </c>
      <c r="C88" s="85" t="s">
        <v>190</v>
      </c>
      <c r="D88" s="85" t="s">
        <v>190</v>
      </c>
      <c r="E88" s="16">
        <v>44390.824363425927</v>
      </c>
      <c r="F88" s="7">
        <v>44390.82440972222</v>
      </c>
      <c r="G88" s="14">
        <f t="shared" si="1"/>
        <v>4.6296292566694319E-5</v>
      </c>
      <c r="H88" s="86" t="s">
        <v>23</v>
      </c>
      <c r="I88" s="86" t="s">
        <v>24</v>
      </c>
      <c r="J88" s="87" t="str">
        <f>IF(ISBLANK(C88),"",IF(C88=D88, "1 video",CONCATENATE((+COUNTIFS(Video_List!$C:$C,"&lt;=" &amp;Monitoring!F88)-COUNTIFS(Video_List!$C:$C,"&lt;=" &amp;Monitoring!E88))+1," videos")))</f>
        <v>1 video</v>
      </c>
      <c r="K88" s="27" t="s">
        <v>35</v>
      </c>
      <c r="L88" s="40" t="s">
        <v>28</v>
      </c>
      <c r="M88" s="40" t="s">
        <v>47</v>
      </c>
      <c r="N88" s="40" t="s">
        <v>48</v>
      </c>
      <c r="O88" s="88" t="str">
        <f>+IFERROR(IF(P88="#N/C","#N/C",IF(Q88=0,INDEX(Taxonomy_UniqueValues!D:D,MATCH(Q88,Taxonomy_UniqueValues!F:F,0)),INDEX(Taxonomy_UniqueValues!D:D,MATCH(P88,Taxonomy_UniqueValues!E:E,0)))),"#N/C")</f>
        <v>Rhopalocera</v>
      </c>
      <c r="P88" s="40" t="s">
        <v>49</v>
      </c>
      <c r="Q88" s="40" t="s">
        <v>26</v>
      </c>
      <c r="R88" s="40" t="s">
        <v>26</v>
      </c>
      <c r="S88" s="40" t="s">
        <v>26</v>
      </c>
      <c r="T88" s="26" t="s">
        <v>26</v>
      </c>
    </row>
    <row r="89" spans="1:20" hidden="1" x14ac:dyDescent="0.3">
      <c r="A89" s="84">
        <v>88</v>
      </c>
      <c r="B89" s="6">
        <v>44390</v>
      </c>
      <c r="C89" s="85" t="s">
        <v>191</v>
      </c>
      <c r="D89" s="85" t="s">
        <v>191</v>
      </c>
      <c r="E89" s="16">
        <v>44390.841805555552</v>
      </c>
      <c r="F89" s="7">
        <v>44390.841944444444</v>
      </c>
      <c r="G89" s="14">
        <f t="shared" si="1"/>
        <v>1.3888889225199819E-4</v>
      </c>
      <c r="H89" s="86" t="s">
        <v>23</v>
      </c>
      <c r="I89" s="86" t="s">
        <v>24</v>
      </c>
      <c r="J89" s="87" t="str">
        <f>IF(ISBLANK(C89),"",IF(C89=D89, "1 video",CONCATENATE((+COUNTIFS(Video_List!$C:$C,"&lt;=" &amp;Monitoring!F89)-COUNTIFS(Video_List!$C:$C,"&lt;=" &amp;Monitoring!E89))+1," videos")))</f>
        <v>1 video</v>
      </c>
      <c r="K89" s="27" t="s">
        <v>35</v>
      </c>
      <c r="L89" s="40" t="s">
        <v>28</v>
      </c>
      <c r="M89" s="40" t="s">
        <v>29</v>
      </c>
      <c r="N89" s="40" t="s">
        <v>30</v>
      </c>
      <c r="O89" s="88" t="str">
        <f>+IFERROR(IF(P89="#N/C","#N/C",IF(Q89=0,INDEX(Taxonomy_UniqueValues!D:D,MATCH(Q89,Taxonomy_UniqueValues!F:F,0)),INDEX(Taxonomy_UniqueValues!D:D,MATCH(P89,Taxonomy_UniqueValues!E:E,0)))),"#N/C")</f>
        <v>#N/C</v>
      </c>
      <c r="P89" s="40" t="s">
        <v>26</v>
      </c>
      <c r="Q89" s="40" t="s">
        <v>26</v>
      </c>
      <c r="R89" s="40" t="s">
        <v>26</v>
      </c>
      <c r="S89" s="40" t="s">
        <v>26</v>
      </c>
      <c r="T89" s="26" t="s">
        <v>26</v>
      </c>
    </row>
    <row r="90" spans="1:20" hidden="1" x14ac:dyDescent="0.3">
      <c r="A90" s="84">
        <v>89</v>
      </c>
      <c r="B90" s="6">
        <v>44390</v>
      </c>
      <c r="C90" s="85" t="s">
        <v>192</v>
      </c>
      <c r="D90" s="85" t="s">
        <v>192</v>
      </c>
      <c r="E90" s="16">
        <v>44390.854166666664</v>
      </c>
      <c r="F90" s="7">
        <v>44390.854201388887</v>
      </c>
      <c r="G90" s="14">
        <f t="shared" si="1"/>
        <v>3.4722223062999547E-5</v>
      </c>
      <c r="H90" s="86" t="s">
        <v>23</v>
      </c>
      <c r="I90" s="86" t="s">
        <v>24</v>
      </c>
      <c r="J90" s="87" t="str">
        <f>IF(ISBLANK(C90),"",IF(C90=D90, "1 video",CONCATENATE((+COUNTIFS(Video_List!$C:$C,"&lt;=" &amp;Monitoring!F90)-COUNTIFS(Video_List!$C:$C,"&lt;=" &amp;Monitoring!E90))+1," videos")))</f>
        <v>1 video</v>
      </c>
      <c r="K90" s="27" t="s">
        <v>35</v>
      </c>
      <c r="L90" s="40" t="s">
        <v>28</v>
      </c>
      <c r="M90" s="40" t="s">
        <v>29</v>
      </c>
      <c r="N90" s="40" t="s">
        <v>30</v>
      </c>
      <c r="O90" s="88" t="str">
        <f>+IFERROR(IF(P90="#N/C","#N/C",IF(Q90=0,INDEX(Taxonomy_UniqueValues!D:D,MATCH(Q90,Taxonomy_UniqueValues!F:F,0)),INDEX(Taxonomy_UniqueValues!D:D,MATCH(P90,Taxonomy_UniqueValues!E:E,0)))),"#N/C")</f>
        <v>#N/C</v>
      </c>
      <c r="P90" s="40" t="s">
        <v>26</v>
      </c>
      <c r="Q90" s="40" t="s">
        <v>26</v>
      </c>
      <c r="R90" s="40" t="s">
        <v>26</v>
      </c>
      <c r="S90" s="40" t="s">
        <v>26</v>
      </c>
      <c r="T90" s="26" t="s">
        <v>26</v>
      </c>
    </row>
    <row r="91" spans="1:20" hidden="1" x14ac:dyDescent="0.3">
      <c r="A91" s="84">
        <v>90</v>
      </c>
      <c r="B91" s="6">
        <v>44390</v>
      </c>
      <c r="C91" s="85" t="s">
        <v>193</v>
      </c>
      <c r="D91" s="85" t="s">
        <v>193</v>
      </c>
      <c r="E91" s="16">
        <v>44390.859664351854</v>
      </c>
      <c r="F91" s="7">
        <v>44390.860347222224</v>
      </c>
      <c r="G91" s="14">
        <f t="shared" si="1"/>
        <v>6.8287036992842332E-4</v>
      </c>
      <c r="H91" s="86" t="s">
        <v>23</v>
      </c>
      <c r="I91" s="86" t="s">
        <v>24</v>
      </c>
      <c r="J91" s="87" t="str">
        <f>IF(ISBLANK(C91),"",IF(C91=D91, "1 video",CONCATENATE((+COUNTIFS(Video_List!$C:$C,"&lt;=" &amp;Monitoring!F91)-COUNTIFS(Video_List!$C:$C,"&lt;=" &amp;Monitoring!E91))+1," videos")))</f>
        <v>1 video</v>
      </c>
      <c r="K91" s="27" t="s">
        <v>35</v>
      </c>
      <c r="L91" s="40" t="s">
        <v>28</v>
      </c>
      <c r="M91" s="40" t="s">
        <v>29</v>
      </c>
      <c r="N91" s="40" t="s">
        <v>30</v>
      </c>
      <c r="O91" s="88" t="str">
        <f>+IFERROR(IF(P91="#N/C","#N/C",IF(Q91=0,INDEX(Taxonomy_UniqueValues!D:D,MATCH(Q91,Taxonomy_UniqueValues!F:F,0)),INDEX(Taxonomy_UniqueValues!D:D,MATCH(P91,Taxonomy_UniqueValues!E:E,0)))),"#N/C")</f>
        <v>#N/C</v>
      </c>
      <c r="P91" s="40" t="s">
        <v>26</v>
      </c>
      <c r="Q91" s="40" t="s">
        <v>26</v>
      </c>
      <c r="R91" s="40" t="s">
        <v>26</v>
      </c>
      <c r="S91" s="40" t="s">
        <v>26</v>
      </c>
      <c r="T91" s="26" t="s">
        <v>26</v>
      </c>
    </row>
    <row r="92" spans="1:20" hidden="1" x14ac:dyDescent="0.3">
      <c r="A92" s="84">
        <v>91</v>
      </c>
      <c r="B92" s="6">
        <v>44390</v>
      </c>
      <c r="C92" s="85" t="s">
        <v>194</v>
      </c>
      <c r="D92" s="85" t="s">
        <v>194</v>
      </c>
      <c r="E92" s="16">
        <v>44390.867650462962</v>
      </c>
      <c r="F92" s="7">
        <v>44390.867754629631</v>
      </c>
      <c r="G92" s="14">
        <f t="shared" si="1"/>
        <v>1.0416666918899864E-4</v>
      </c>
      <c r="H92" s="86" t="s">
        <v>23</v>
      </c>
      <c r="I92" s="86" t="s">
        <v>24</v>
      </c>
      <c r="J92" s="87" t="str">
        <f>IF(ISBLANK(C92),"",IF(C92=D92, "1 video",CONCATENATE((+COUNTIFS(Video_List!$C:$C,"&lt;=" &amp;Monitoring!F92)-COUNTIFS(Video_List!$C:$C,"&lt;=" &amp;Monitoring!E92))+1," videos")))</f>
        <v>1 video</v>
      </c>
      <c r="K92" s="27" t="s">
        <v>35</v>
      </c>
      <c r="L92" s="40" t="s">
        <v>28</v>
      </c>
      <c r="M92" s="40" t="s">
        <v>29</v>
      </c>
      <c r="N92" s="40" t="s">
        <v>30</v>
      </c>
      <c r="O92" s="88" t="str">
        <f>+IFERROR(IF(P92="#N/C","#N/C",IF(Q92=0,INDEX(Taxonomy_UniqueValues!D:D,MATCH(Q92,Taxonomy_UniqueValues!F:F,0)),INDEX(Taxonomy_UniqueValues!D:D,MATCH(P92,Taxonomy_UniqueValues!E:E,0)))),"#N/C")</f>
        <v>#N/C</v>
      </c>
      <c r="P92" s="40" t="s">
        <v>26</v>
      </c>
      <c r="Q92" s="40" t="s">
        <v>26</v>
      </c>
      <c r="R92" s="40" t="s">
        <v>26</v>
      </c>
      <c r="S92" s="40" t="s">
        <v>26</v>
      </c>
      <c r="T92" s="26" t="s">
        <v>26</v>
      </c>
    </row>
    <row r="93" spans="1:20" hidden="1" x14ac:dyDescent="0.3">
      <c r="A93" s="84">
        <v>192</v>
      </c>
      <c r="B93" s="6">
        <v>44398</v>
      </c>
      <c r="C93" s="85" t="s">
        <v>195</v>
      </c>
      <c r="D93" s="85" t="s">
        <v>195</v>
      </c>
      <c r="E93" s="16">
        <v>44398.937303240738</v>
      </c>
      <c r="F93" s="7">
        <v>44398.992465277777</v>
      </c>
      <c r="G93" s="14">
        <f t="shared" si="1"/>
        <v>5.5162037038826384E-2</v>
      </c>
      <c r="H93" s="4" t="s">
        <v>35</v>
      </c>
      <c r="I93" s="4" t="s">
        <v>46</v>
      </c>
      <c r="J93" s="87" t="str">
        <f>IF(ISBLANK(C93),"",IF(C93=D93, "1 video",CONCATENATE((+COUNTIFS(Video_List!$C:$C,"&lt;=" &amp;Monitoring!F93)-COUNTIFS(Video_List!$C:$C,"&lt;=" &amp;Monitoring!E93))+1," videos")))</f>
        <v>1 video</v>
      </c>
      <c r="K93" s="27" t="s">
        <v>35</v>
      </c>
      <c r="L93" s="40" t="s">
        <v>28</v>
      </c>
      <c r="M93" s="40" t="s">
        <v>196</v>
      </c>
      <c r="N93" s="40" t="s">
        <v>197</v>
      </c>
      <c r="O93" s="88">
        <f>+IFERROR(IF(P93="#N/C","#N/C",IF(Q93=0,INDEX(Taxonomy_UniqueValues!D:D,MATCH(Q93,Taxonomy_UniqueValues!F:F,0)),INDEX(Taxonomy_UniqueValues!D:D,MATCH(P93,Taxonomy_UniqueValues!E:E,0)))),"#N/C")</f>
        <v>0</v>
      </c>
      <c r="P93" s="40" t="s">
        <v>198</v>
      </c>
      <c r="Q93" s="40" t="s">
        <v>199</v>
      </c>
      <c r="R93" s="40" t="s">
        <v>200</v>
      </c>
      <c r="S93" s="40" t="s">
        <v>26</v>
      </c>
      <c r="T93" s="26" t="s">
        <v>26</v>
      </c>
    </row>
    <row r="94" spans="1:20" hidden="1" x14ac:dyDescent="0.3">
      <c r="A94" s="84">
        <v>93</v>
      </c>
      <c r="B94" s="6">
        <v>44391</v>
      </c>
      <c r="C94" s="85" t="s">
        <v>201</v>
      </c>
      <c r="D94" s="85" t="s">
        <v>201</v>
      </c>
      <c r="E94" s="16">
        <v>44391.358900462961</v>
      </c>
      <c r="F94" s="7">
        <v>44391.358969907407</v>
      </c>
      <c r="G94" s="14">
        <f t="shared" si="1"/>
        <v>6.9444446125999093E-5</v>
      </c>
      <c r="H94" s="4" t="s">
        <v>46</v>
      </c>
      <c r="I94" s="4" t="s">
        <v>46</v>
      </c>
      <c r="J94" s="87" t="str">
        <f>IF(ISBLANK(C94),"",IF(C94=D94, "1 video",CONCATENATE((+COUNTIFS(Video_List!$C:$C,"&lt;=" &amp;Monitoring!F94)-COUNTIFS(Video_List!$C:$C,"&lt;=" &amp;Monitoring!E94))+1," videos")))</f>
        <v>1 video</v>
      </c>
      <c r="K94" s="25" t="s">
        <v>23</v>
      </c>
      <c r="L94" s="40" t="s">
        <v>28</v>
      </c>
      <c r="M94" s="40" t="s">
        <v>32</v>
      </c>
      <c r="N94" s="40" t="s">
        <v>33</v>
      </c>
      <c r="O94" s="88" t="str">
        <f>+IFERROR(IF(P94="#N/C","#N/C",IF(Q94=0,INDEX(Taxonomy_UniqueValues!D:D,MATCH(Q94,Taxonomy_UniqueValues!F:F,0)),INDEX(Taxonomy_UniqueValues!D:D,MATCH(P94,Taxonomy_UniqueValues!E:E,0)))),"#N/C")</f>
        <v>Parasitica</v>
      </c>
      <c r="P94" s="40" t="s">
        <v>62</v>
      </c>
      <c r="Q94" s="40" t="s">
        <v>63</v>
      </c>
      <c r="R94" s="40" t="s">
        <v>202</v>
      </c>
      <c r="S94" s="40" t="s">
        <v>203</v>
      </c>
      <c r="T94" s="26" t="s">
        <v>26</v>
      </c>
    </row>
    <row r="95" spans="1:20" hidden="1" x14ac:dyDescent="0.3">
      <c r="A95" s="84">
        <v>94</v>
      </c>
      <c r="B95" s="6">
        <v>44391</v>
      </c>
      <c r="C95" s="85" t="s">
        <v>204</v>
      </c>
      <c r="D95" s="85" t="s">
        <v>204</v>
      </c>
      <c r="E95" s="16">
        <v>44391.38616898148</v>
      </c>
      <c r="F95" s="7">
        <v>44391.38621527778</v>
      </c>
      <c r="G95" s="14">
        <f t="shared" si="1"/>
        <v>4.6296299842651933E-5</v>
      </c>
      <c r="H95" s="86" t="s">
        <v>23</v>
      </c>
      <c r="I95" s="86" t="s">
        <v>24</v>
      </c>
      <c r="J95" s="87" t="str">
        <f>IF(ISBLANK(C95),"",IF(C95=D95, "1 video",CONCATENATE((+COUNTIFS(Video_List!$C:$C,"&lt;=" &amp;Monitoring!F95)-COUNTIFS(Video_List!$C:$C,"&lt;=" &amp;Monitoring!E95))+1," videos")))</f>
        <v>1 video</v>
      </c>
      <c r="K95" s="27" t="s">
        <v>35</v>
      </c>
      <c r="L95" s="40" t="s">
        <v>28</v>
      </c>
      <c r="M95" s="40" t="s">
        <v>29</v>
      </c>
      <c r="N95" s="40" t="s">
        <v>30</v>
      </c>
      <c r="O95" s="88" t="str">
        <f>+IFERROR(IF(P95="#N/C","#N/C",IF(Q95=0,INDEX(Taxonomy_UniqueValues!D:D,MATCH(Q95,Taxonomy_UniqueValues!F:F,0)),INDEX(Taxonomy_UniqueValues!D:D,MATCH(P95,Taxonomy_UniqueValues!E:E,0)))),"#N/C")</f>
        <v>#N/C</v>
      </c>
      <c r="P95" s="40" t="s">
        <v>26</v>
      </c>
      <c r="Q95" s="40" t="s">
        <v>26</v>
      </c>
      <c r="R95" s="40" t="s">
        <v>26</v>
      </c>
      <c r="S95" s="40" t="s">
        <v>26</v>
      </c>
      <c r="T95" s="26" t="s">
        <v>26</v>
      </c>
    </row>
    <row r="96" spans="1:20" hidden="1" x14ac:dyDescent="0.3">
      <c r="A96" s="84">
        <v>95</v>
      </c>
      <c r="B96" s="6">
        <v>44392</v>
      </c>
      <c r="C96" s="85" t="s">
        <v>205</v>
      </c>
      <c r="D96" s="85" t="s">
        <v>206</v>
      </c>
      <c r="E96" s="16">
        <v>44392.769606481481</v>
      </c>
      <c r="F96" s="7">
        <v>44392.772037037037</v>
      </c>
      <c r="G96" s="14">
        <f t="shared" si="1"/>
        <v>2.4305555562023073E-3</v>
      </c>
      <c r="H96" s="4" t="s">
        <v>35</v>
      </c>
      <c r="I96" s="4" t="s">
        <v>109</v>
      </c>
      <c r="J96" s="87" t="str">
        <f>IF(ISBLANK(C96),"",IF(C96=D96, "1 video",CONCATENATE((+COUNTIFS(Video_List!$C:$C,"&lt;=" &amp;Monitoring!F96)-COUNTIFS(Video_List!$C:$C,"&lt;=" &amp;Monitoring!E96))+1," videos")))</f>
        <v>2 videos</v>
      </c>
      <c r="K96" s="25" t="s">
        <v>23</v>
      </c>
      <c r="L96" s="40" t="s">
        <v>28</v>
      </c>
      <c r="M96" s="40" t="s">
        <v>47</v>
      </c>
      <c r="N96" s="40" t="s">
        <v>48</v>
      </c>
      <c r="O96" s="88" t="str">
        <f>+IFERROR(IF(P96="#N/C","#N/C",IF(Q96=0,INDEX(Taxonomy_UniqueValues!D:D,MATCH(Q96,Taxonomy_UniqueValues!F:F,0)),INDEX(Taxonomy_UniqueValues!D:D,MATCH(P96,Taxonomy_UniqueValues!E:E,0)))),"#N/C")</f>
        <v>Rhopalocera</v>
      </c>
      <c r="P96" s="40" t="s">
        <v>207</v>
      </c>
      <c r="Q96" s="40" t="s">
        <v>208</v>
      </c>
      <c r="R96" s="40" t="s">
        <v>209</v>
      </c>
      <c r="S96" s="40" t="s">
        <v>26</v>
      </c>
      <c r="T96" s="26" t="s">
        <v>26</v>
      </c>
    </row>
    <row r="97" spans="1:20" hidden="1" x14ac:dyDescent="0.3">
      <c r="A97" s="84">
        <v>96</v>
      </c>
      <c r="B97" s="6">
        <v>44392</v>
      </c>
      <c r="C97" s="85" t="s">
        <v>210</v>
      </c>
      <c r="D97" s="85" t="s">
        <v>210</v>
      </c>
      <c r="E97" s="16">
        <v>44392.78696759259</v>
      </c>
      <c r="F97" s="7">
        <v>44392.787199074075</v>
      </c>
      <c r="G97" s="14">
        <f t="shared" si="1"/>
        <v>2.3148148466134444E-4</v>
      </c>
      <c r="H97" s="86" t="s">
        <v>23</v>
      </c>
      <c r="I97" s="86" t="s">
        <v>24</v>
      </c>
      <c r="J97" s="87" t="str">
        <f>IF(ISBLANK(C97),"",IF(C97=D97, "1 video",CONCATENATE((+COUNTIFS(Video_List!$C:$C,"&lt;=" &amp;Monitoring!F97)-COUNTIFS(Video_List!$C:$C,"&lt;=" &amp;Monitoring!E97))+1," videos")))</f>
        <v>1 video</v>
      </c>
      <c r="K97" s="25" t="s">
        <v>23</v>
      </c>
      <c r="L97" s="40" t="s">
        <v>28</v>
      </c>
      <c r="M97" s="40" t="s">
        <v>29</v>
      </c>
      <c r="N97" s="40" t="s">
        <v>30</v>
      </c>
      <c r="O97" s="88" t="str">
        <f>+IFERROR(IF(P97="#N/C","#N/C",IF(Q97=0,INDEX(Taxonomy_UniqueValues!D:D,MATCH(Q97,Taxonomy_UniqueValues!F:F,0)),INDEX(Taxonomy_UniqueValues!D:D,MATCH(P97,Taxonomy_UniqueValues!E:E,0)))),"#N/C")</f>
        <v>#N/C</v>
      </c>
      <c r="P97" s="40" t="s">
        <v>26</v>
      </c>
      <c r="Q97" s="40" t="s">
        <v>26</v>
      </c>
      <c r="R97" s="40" t="s">
        <v>26</v>
      </c>
      <c r="S97" s="40" t="s">
        <v>26</v>
      </c>
      <c r="T97" s="26" t="s">
        <v>26</v>
      </c>
    </row>
    <row r="98" spans="1:20" hidden="1" x14ac:dyDescent="0.3">
      <c r="A98" s="84">
        <v>97</v>
      </c>
      <c r="B98" s="6">
        <v>44392</v>
      </c>
      <c r="C98" s="85" t="s">
        <v>211</v>
      </c>
      <c r="D98" s="85" t="s">
        <v>211</v>
      </c>
      <c r="E98" s="16">
        <v>44392.79892361111</v>
      </c>
      <c r="F98" s="7">
        <v>44392.799004629633</v>
      </c>
      <c r="G98" s="14">
        <f t="shared" si="1"/>
        <v>8.101852290565148E-5</v>
      </c>
      <c r="H98" s="86" t="s">
        <v>23</v>
      </c>
      <c r="I98" s="86" t="s">
        <v>24</v>
      </c>
      <c r="J98" s="87" t="str">
        <f>IF(ISBLANK(C98),"",IF(C98=D98, "1 video",CONCATENATE((+COUNTIFS(Video_List!$C:$C,"&lt;=" &amp;Monitoring!F98)-COUNTIFS(Video_List!$C:$C,"&lt;=" &amp;Monitoring!E98))+1," videos")))</f>
        <v>1 video</v>
      </c>
      <c r="K98" s="27" t="s">
        <v>35</v>
      </c>
      <c r="L98" s="40" t="s">
        <v>28</v>
      </c>
      <c r="M98" s="40" t="s">
        <v>29</v>
      </c>
      <c r="N98" s="40" t="s">
        <v>30</v>
      </c>
      <c r="O98" s="88" t="str">
        <f>+IFERROR(IF(P98="#N/C","#N/C",IF(Q98=0,INDEX(Taxonomy_UniqueValues!D:D,MATCH(Q98,Taxonomy_UniqueValues!F:F,0)),INDEX(Taxonomy_UniqueValues!D:D,MATCH(P98,Taxonomy_UniqueValues!E:E,0)))),"#N/C")</f>
        <v>#N/C</v>
      </c>
      <c r="P98" s="40" t="s">
        <v>26</v>
      </c>
      <c r="Q98" s="40" t="s">
        <v>26</v>
      </c>
      <c r="R98" s="40" t="s">
        <v>26</v>
      </c>
      <c r="S98" s="40" t="s">
        <v>26</v>
      </c>
      <c r="T98" s="26" t="s">
        <v>26</v>
      </c>
    </row>
    <row r="99" spans="1:20" hidden="1" x14ac:dyDescent="0.3">
      <c r="A99" s="84">
        <v>98</v>
      </c>
      <c r="B99" s="6">
        <v>44392</v>
      </c>
      <c r="C99" s="85" t="s">
        <v>212</v>
      </c>
      <c r="D99" s="85" t="s">
        <v>212</v>
      </c>
      <c r="E99" s="16">
        <v>44392.802106481482</v>
      </c>
      <c r="F99" s="7">
        <v>44392.802152777775</v>
      </c>
      <c r="G99" s="14">
        <f t="shared" si="1"/>
        <v>4.6296292566694319E-5</v>
      </c>
      <c r="H99" s="86" t="s">
        <v>23</v>
      </c>
      <c r="I99" s="86" t="s">
        <v>24</v>
      </c>
      <c r="J99" s="87" t="str">
        <f>IF(ISBLANK(C99),"",IF(C99=D99, "1 video",CONCATENATE((+COUNTIFS(Video_List!$C:$C,"&lt;=" &amp;Monitoring!F99)-COUNTIFS(Video_List!$C:$C,"&lt;=" &amp;Monitoring!E99))+1," videos")))</f>
        <v>1 video</v>
      </c>
      <c r="K99" s="27" t="s">
        <v>35</v>
      </c>
      <c r="L99" s="40" t="s">
        <v>28</v>
      </c>
      <c r="M99" s="40" t="s">
        <v>29</v>
      </c>
      <c r="N99" s="40" t="s">
        <v>30</v>
      </c>
      <c r="O99" s="88" t="str">
        <f>+IFERROR(IF(P99="#N/C","#N/C",IF(Q99=0,INDEX(Taxonomy_UniqueValues!D:D,MATCH(Q99,Taxonomy_UniqueValues!F:F,0)),INDEX(Taxonomy_UniqueValues!D:D,MATCH(P99,Taxonomy_UniqueValues!E:E,0)))),"#N/C")</f>
        <v>#N/C</v>
      </c>
      <c r="P99" s="40" t="s">
        <v>26</v>
      </c>
      <c r="Q99" s="40" t="s">
        <v>26</v>
      </c>
      <c r="R99" s="40" t="s">
        <v>26</v>
      </c>
      <c r="S99" s="40" t="s">
        <v>26</v>
      </c>
      <c r="T99" s="26" t="s">
        <v>26</v>
      </c>
    </row>
    <row r="100" spans="1:20" hidden="1" x14ac:dyDescent="0.3">
      <c r="A100" s="84">
        <v>99</v>
      </c>
      <c r="B100" s="6">
        <v>44392</v>
      </c>
      <c r="C100" s="85" t="s">
        <v>212</v>
      </c>
      <c r="D100" s="85" t="s">
        <v>212</v>
      </c>
      <c r="E100" s="16">
        <v>44392.802499999998</v>
      </c>
      <c r="F100" s="7">
        <v>44392.802673611113</v>
      </c>
      <c r="G100" s="14">
        <f t="shared" si="1"/>
        <v>1.7361111531499773E-4</v>
      </c>
      <c r="H100" s="86" t="s">
        <v>23</v>
      </c>
      <c r="I100" s="86" t="s">
        <v>24</v>
      </c>
      <c r="J100" s="87" t="str">
        <f>IF(ISBLANK(C100),"",IF(C100=D100, "1 video",CONCATENATE((+COUNTIFS(Video_List!$C:$C,"&lt;=" &amp;Monitoring!F100)-COUNTIFS(Video_List!$C:$C,"&lt;=" &amp;Monitoring!E100))+1," videos")))</f>
        <v>1 video</v>
      </c>
      <c r="K100" s="27" t="s">
        <v>35</v>
      </c>
      <c r="L100" s="40" t="s">
        <v>28</v>
      </c>
      <c r="M100" s="40" t="s">
        <v>29</v>
      </c>
      <c r="N100" s="40" t="s">
        <v>30</v>
      </c>
      <c r="O100" s="88" t="str">
        <f>+IFERROR(IF(P100="#N/C","#N/C",IF(Q100=0,INDEX(Taxonomy_UniqueValues!D:D,MATCH(Q100,Taxonomy_UniqueValues!F:F,0)),INDEX(Taxonomy_UniqueValues!D:D,MATCH(P100,Taxonomy_UniqueValues!E:E,0)))),"#N/C")</f>
        <v>Muscomorpha</v>
      </c>
      <c r="P100" s="40" t="s">
        <v>37</v>
      </c>
      <c r="Q100" s="40" t="s">
        <v>38</v>
      </c>
      <c r="R100" s="40" t="s">
        <v>39</v>
      </c>
      <c r="S100" s="40" t="s">
        <v>40</v>
      </c>
      <c r="T100" s="26" t="s">
        <v>26</v>
      </c>
    </row>
    <row r="101" spans="1:20" hidden="1" x14ac:dyDescent="0.3">
      <c r="A101" s="84">
        <v>100</v>
      </c>
      <c r="B101" s="6">
        <v>44392</v>
      </c>
      <c r="C101" s="85" t="s">
        <v>213</v>
      </c>
      <c r="D101" s="85" t="s">
        <v>213</v>
      </c>
      <c r="E101" s="16">
        <v>44392.805891203701</v>
      </c>
      <c r="F101" s="7">
        <v>44392.805949074071</v>
      </c>
      <c r="G101" s="14">
        <f t="shared" si="1"/>
        <v>5.7870369346346706E-5</v>
      </c>
      <c r="H101" s="86" t="s">
        <v>23</v>
      </c>
      <c r="I101" s="86" t="s">
        <v>24</v>
      </c>
      <c r="J101" s="87" t="str">
        <f>IF(ISBLANK(C101),"",IF(C101=D101, "1 video",CONCATENATE((+COUNTIFS(Video_List!$C:$C,"&lt;=" &amp;Monitoring!F101)-COUNTIFS(Video_List!$C:$C,"&lt;=" &amp;Monitoring!E101))+1," videos")))</f>
        <v>1 video</v>
      </c>
      <c r="K101" s="27" t="s">
        <v>35</v>
      </c>
      <c r="L101" s="40" t="s">
        <v>28</v>
      </c>
      <c r="M101" s="40" t="s">
        <v>29</v>
      </c>
      <c r="N101" s="40" t="s">
        <v>30</v>
      </c>
      <c r="O101" s="88" t="str">
        <f>+IFERROR(IF(P101="#N/C","#N/C",IF(Q101=0,INDEX(Taxonomy_UniqueValues!D:D,MATCH(Q101,Taxonomy_UniqueValues!F:F,0)),INDEX(Taxonomy_UniqueValues!D:D,MATCH(P101,Taxonomy_UniqueValues!E:E,0)))),"#N/C")</f>
        <v>#N/C</v>
      </c>
      <c r="P101" s="40" t="s">
        <v>26</v>
      </c>
      <c r="Q101" s="40" t="s">
        <v>26</v>
      </c>
      <c r="R101" s="40" t="s">
        <v>26</v>
      </c>
      <c r="S101" s="40" t="s">
        <v>26</v>
      </c>
      <c r="T101" s="26" t="s">
        <v>26</v>
      </c>
    </row>
    <row r="102" spans="1:20" hidden="1" x14ac:dyDescent="0.3">
      <c r="A102" s="84">
        <v>101</v>
      </c>
      <c r="B102" s="6">
        <v>44392</v>
      </c>
      <c r="C102" s="85" t="s">
        <v>214</v>
      </c>
      <c r="D102" s="85" t="s">
        <v>214</v>
      </c>
      <c r="E102" s="16">
        <v>44392.811712962961</v>
      </c>
      <c r="F102" s="7">
        <v>44392.812094907407</v>
      </c>
      <c r="G102" s="14">
        <f t="shared" si="1"/>
        <v>3.819444464170374E-4</v>
      </c>
      <c r="H102" s="86" t="s">
        <v>23</v>
      </c>
      <c r="I102" s="86" t="s">
        <v>24</v>
      </c>
      <c r="J102" s="87" t="str">
        <f>IF(ISBLANK(C102),"",IF(C102=D102, "1 video",CONCATENATE((+COUNTIFS(Video_List!$C:$C,"&lt;=" &amp;Monitoring!F102)-COUNTIFS(Video_List!$C:$C,"&lt;=" &amp;Monitoring!E102))+1," videos")))</f>
        <v>1 video</v>
      </c>
      <c r="K102" s="27" t="s">
        <v>35</v>
      </c>
      <c r="L102" s="40" t="s">
        <v>28</v>
      </c>
      <c r="M102" s="40" t="s">
        <v>29</v>
      </c>
      <c r="N102" s="40" t="s">
        <v>30</v>
      </c>
      <c r="O102" s="88" t="str">
        <f>+IFERROR(IF(P102="#N/C","#N/C",IF(Q102=0,INDEX(Taxonomy_UniqueValues!D:D,MATCH(Q102,Taxonomy_UniqueValues!F:F,0)),INDEX(Taxonomy_UniqueValues!D:D,MATCH(P102,Taxonomy_UniqueValues!E:E,0)))),"#N/C")</f>
        <v>Asilomorpha</v>
      </c>
      <c r="P102" s="40" t="s">
        <v>140</v>
      </c>
      <c r="Q102" s="40" t="s">
        <v>141</v>
      </c>
      <c r="R102" s="40" t="s">
        <v>142</v>
      </c>
      <c r="S102" s="40" t="s">
        <v>26</v>
      </c>
      <c r="T102" s="26" t="s">
        <v>26</v>
      </c>
    </row>
    <row r="103" spans="1:20" hidden="1" x14ac:dyDescent="0.3">
      <c r="A103" s="84">
        <v>102</v>
      </c>
      <c r="B103" s="6">
        <v>44392</v>
      </c>
      <c r="C103" s="85" t="s">
        <v>215</v>
      </c>
      <c r="D103" s="85" t="s">
        <v>215</v>
      </c>
      <c r="E103" s="16">
        <v>44392.81318287037</v>
      </c>
      <c r="F103" s="7">
        <v>44392.813240740739</v>
      </c>
      <c r="G103" s="14">
        <f t="shared" si="1"/>
        <v>5.7870369346346706E-5</v>
      </c>
      <c r="H103" s="86" t="s">
        <v>23</v>
      </c>
      <c r="I103" s="86" t="s">
        <v>24</v>
      </c>
      <c r="J103" s="87" t="str">
        <f>IF(ISBLANK(C103),"",IF(C103=D103, "1 video",CONCATENATE((+COUNTIFS(Video_List!$C:$C,"&lt;=" &amp;Monitoring!F103)-COUNTIFS(Video_List!$C:$C,"&lt;=" &amp;Monitoring!E103))+1," videos")))</f>
        <v>1 video</v>
      </c>
      <c r="K103" s="27" t="s">
        <v>35</v>
      </c>
      <c r="L103" s="40" t="s">
        <v>28</v>
      </c>
      <c r="M103" s="40" t="s">
        <v>29</v>
      </c>
      <c r="N103" s="40" t="s">
        <v>30</v>
      </c>
      <c r="O103" s="88" t="str">
        <f>+IFERROR(IF(P103="#N/C","#N/C",IF(Q103=0,INDEX(Taxonomy_UniqueValues!D:D,MATCH(Q103,Taxonomy_UniqueValues!F:F,0)),INDEX(Taxonomy_UniqueValues!D:D,MATCH(P103,Taxonomy_UniqueValues!E:E,0)))),"#N/C")</f>
        <v>#N/C</v>
      </c>
      <c r="P103" s="40" t="s">
        <v>26</v>
      </c>
      <c r="Q103" s="40" t="s">
        <v>26</v>
      </c>
      <c r="R103" s="40" t="s">
        <v>26</v>
      </c>
      <c r="S103" s="40" t="s">
        <v>26</v>
      </c>
      <c r="T103" s="26" t="s">
        <v>26</v>
      </c>
    </row>
    <row r="104" spans="1:20" hidden="1" x14ac:dyDescent="0.3">
      <c r="A104" s="84">
        <v>103</v>
      </c>
      <c r="B104" s="6">
        <v>44392</v>
      </c>
      <c r="C104" s="85" t="s">
        <v>216</v>
      </c>
      <c r="D104" s="85" t="s">
        <v>216</v>
      </c>
      <c r="E104" s="16">
        <v>44392.828946759262</v>
      </c>
      <c r="F104" s="7">
        <v>44392.829050925924</v>
      </c>
      <c r="G104" s="14">
        <f t="shared" si="1"/>
        <v>1.0416666191304103E-4</v>
      </c>
      <c r="H104" s="86" t="s">
        <v>23</v>
      </c>
      <c r="I104" s="86" t="s">
        <v>24</v>
      </c>
      <c r="J104" s="87" t="str">
        <f>IF(ISBLANK(C104),"",IF(C104=D104, "1 video",CONCATENATE((+COUNTIFS(Video_List!$C:$C,"&lt;=" &amp;Monitoring!F104)-COUNTIFS(Video_List!$C:$C,"&lt;=" &amp;Monitoring!E104))+1," videos")))</f>
        <v>1 video</v>
      </c>
      <c r="K104" s="27" t="s">
        <v>35</v>
      </c>
      <c r="L104" s="40" t="s">
        <v>28</v>
      </c>
      <c r="M104" s="40" t="s">
        <v>29</v>
      </c>
      <c r="N104" s="40" t="s">
        <v>30</v>
      </c>
      <c r="O104" s="88" t="str">
        <f>+IFERROR(IF(P104="#N/C","#N/C",IF(Q104=0,INDEX(Taxonomy_UniqueValues!D:D,MATCH(Q104,Taxonomy_UniqueValues!F:F,0)),INDEX(Taxonomy_UniqueValues!D:D,MATCH(P104,Taxonomy_UniqueValues!E:E,0)))),"#N/C")</f>
        <v>#N/C</v>
      </c>
      <c r="P104" s="40" t="s">
        <v>26</v>
      </c>
      <c r="Q104" s="40" t="s">
        <v>26</v>
      </c>
      <c r="R104" s="40" t="s">
        <v>26</v>
      </c>
      <c r="S104" s="40" t="s">
        <v>26</v>
      </c>
      <c r="T104" s="26" t="s">
        <v>26</v>
      </c>
    </row>
    <row r="105" spans="1:20" hidden="1" x14ac:dyDescent="0.3">
      <c r="A105" s="84">
        <v>104</v>
      </c>
      <c r="B105" s="6">
        <v>44392</v>
      </c>
      <c r="C105" s="85" t="s">
        <v>216</v>
      </c>
      <c r="D105" s="85" t="s">
        <v>216</v>
      </c>
      <c r="E105" s="16">
        <v>44392.829212962963</v>
      </c>
      <c r="F105" s="7">
        <v>44392.82949074074</v>
      </c>
      <c r="G105" s="14">
        <f t="shared" si="1"/>
        <v>2.7777777722803876E-4</v>
      </c>
      <c r="H105" s="86" t="s">
        <v>23</v>
      </c>
      <c r="I105" s="86" t="s">
        <v>24</v>
      </c>
      <c r="J105" s="87" t="str">
        <f>IF(ISBLANK(C105),"",IF(C105=D105, "1 video",CONCATENATE((+COUNTIFS(Video_List!$C:$C,"&lt;=" &amp;Monitoring!F105)-COUNTIFS(Video_List!$C:$C,"&lt;=" &amp;Monitoring!E105))+1," videos")))</f>
        <v>1 video</v>
      </c>
      <c r="K105" s="27" t="s">
        <v>35</v>
      </c>
      <c r="L105" s="40" t="s">
        <v>28</v>
      </c>
      <c r="M105" s="40" t="s">
        <v>29</v>
      </c>
      <c r="N105" s="40" t="s">
        <v>30</v>
      </c>
      <c r="O105" s="88" t="str">
        <f>+IFERROR(IF(P105="#N/C","#N/C",IF(Q105=0,INDEX(Taxonomy_UniqueValues!D:D,MATCH(Q105,Taxonomy_UniqueValues!F:F,0)),INDEX(Taxonomy_UniqueValues!D:D,MATCH(P105,Taxonomy_UniqueValues!E:E,0)))),"#N/C")</f>
        <v>Muscomorpha</v>
      </c>
      <c r="P105" s="40" t="s">
        <v>37</v>
      </c>
      <c r="Q105" s="40" t="s">
        <v>38</v>
      </c>
      <c r="R105" s="40" t="s">
        <v>39</v>
      </c>
      <c r="S105" s="40" t="s">
        <v>173</v>
      </c>
      <c r="T105" s="26" t="s">
        <v>26</v>
      </c>
    </row>
    <row r="106" spans="1:20" hidden="1" x14ac:dyDescent="0.3">
      <c r="A106" s="84">
        <v>105</v>
      </c>
      <c r="B106" s="6">
        <v>44392</v>
      </c>
      <c r="C106" s="85" t="s">
        <v>217</v>
      </c>
      <c r="D106" s="85" t="s">
        <v>217</v>
      </c>
      <c r="E106" s="16">
        <v>44392.834745370368</v>
      </c>
      <c r="F106" s="7">
        <v>44392.834791666668</v>
      </c>
      <c r="G106" s="14">
        <f t="shared" si="1"/>
        <v>4.6296299842651933E-5</v>
      </c>
      <c r="H106" s="86" t="s">
        <v>23</v>
      </c>
      <c r="I106" s="86" t="s">
        <v>24</v>
      </c>
      <c r="J106" s="87" t="str">
        <f>IF(ISBLANK(C106),"",IF(C106=D106, "1 video",CONCATENATE((+COUNTIFS(Video_List!$C:$C,"&lt;=" &amp;Monitoring!F106)-COUNTIFS(Video_List!$C:$C,"&lt;=" &amp;Monitoring!E106))+1," videos")))</f>
        <v>1 video</v>
      </c>
      <c r="K106" s="27" t="s">
        <v>35</v>
      </c>
      <c r="L106" s="40" t="s">
        <v>28</v>
      </c>
      <c r="M106" s="40" t="s">
        <v>29</v>
      </c>
      <c r="N106" s="40" t="s">
        <v>30</v>
      </c>
      <c r="O106" s="88" t="str">
        <f>+IFERROR(IF(P106="#N/C","#N/C",IF(Q106=0,INDEX(Taxonomy_UniqueValues!D:D,MATCH(Q106,Taxonomy_UniqueValues!F:F,0)),INDEX(Taxonomy_UniqueValues!D:D,MATCH(P106,Taxonomy_UniqueValues!E:E,0)))),"#N/C")</f>
        <v>#N/C</v>
      </c>
      <c r="P106" s="40" t="s">
        <v>26</v>
      </c>
      <c r="Q106" s="40" t="s">
        <v>26</v>
      </c>
      <c r="R106" s="40" t="s">
        <v>26</v>
      </c>
      <c r="S106" s="40" t="s">
        <v>26</v>
      </c>
      <c r="T106" s="26" t="s">
        <v>26</v>
      </c>
    </row>
    <row r="107" spans="1:20" hidden="1" x14ac:dyDescent="0.3">
      <c r="A107" s="84">
        <v>106</v>
      </c>
      <c r="B107" s="6">
        <v>44392</v>
      </c>
      <c r="C107" s="85" t="s">
        <v>218</v>
      </c>
      <c r="D107" s="85" t="s">
        <v>218</v>
      </c>
      <c r="E107" s="16">
        <v>44392.852881944447</v>
      </c>
      <c r="F107" s="7">
        <v>44392.852951388886</v>
      </c>
      <c r="G107" s="14">
        <f t="shared" si="1"/>
        <v>6.9444438850041479E-5</v>
      </c>
      <c r="H107" s="86" t="s">
        <v>23</v>
      </c>
      <c r="I107" s="86" t="s">
        <v>24</v>
      </c>
      <c r="J107" s="87" t="str">
        <f>IF(ISBLANK(C107),"",IF(C107=D107, "1 video",CONCATENATE((+COUNTIFS(Video_List!$C:$C,"&lt;=" &amp;Monitoring!F107)-COUNTIFS(Video_List!$C:$C,"&lt;=" &amp;Monitoring!E107))+1," videos")))</f>
        <v>1 video</v>
      </c>
      <c r="K107" s="27" t="s">
        <v>35</v>
      </c>
      <c r="L107" s="40" t="s">
        <v>28</v>
      </c>
      <c r="M107" s="40" t="s">
        <v>29</v>
      </c>
      <c r="N107" s="40" t="s">
        <v>30</v>
      </c>
      <c r="O107" s="88" t="str">
        <f>+IFERROR(IF(P107="#N/C","#N/C",IF(Q107=0,INDEX(Taxonomy_UniqueValues!D:D,MATCH(Q107,Taxonomy_UniqueValues!F:F,0)),INDEX(Taxonomy_UniqueValues!D:D,MATCH(P107,Taxonomy_UniqueValues!E:E,0)))),"#N/C")</f>
        <v>#N/C</v>
      </c>
      <c r="P107" s="40" t="s">
        <v>26</v>
      </c>
      <c r="Q107" s="40" t="s">
        <v>26</v>
      </c>
      <c r="R107" s="40" t="s">
        <v>26</v>
      </c>
      <c r="S107" s="40" t="s">
        <v>26</v>
      </c>
      <c r="T107" s="26" t="s">
        <v>26</v>
      </c>
    </row>
    <row r="108" spans="1:20" hidden="1" x14ac:dyDescent="0.3">
      <c r="A108" s="84">
        <v>107</v>
      </c>
      <c r="B108" s="6">
        <v>44392</v>
      </c>
      <c r="C108" s="85" t="s">
        <v>219</v>
      </c>
      <c r="D108" s="85" t="s">
        <v>219</v>
      </c>
      <c r="E108" s="16">
        <v>44392.865370370368</v>
      </c>
      <c r="F108" s="7">
        <v>44392.865451388891</v>
      </c>
      <c r="G108" s="14">
        <f t="shared" si="1"/>
        <v>8.101852290565148E-5</v>
      </c>
      <c r="H108" s="86" t="s">
        <v>23</v>
      </c>
      <c r="I108" s="86" t="s">
        <v>24</v>
      </c>
      <c r="J108" s="87" t="str">
        <f>IF(ISBLANK(C108),"",IF(C108=D108, "1 video",CONCATENATE((+COUNTIFS(Video_List!$C:$C,"&lt;=" &amp;Monitoring!F108)-COUNTIFS(Video_List!$C:$C,"&lt;=" &amp;Monitoring!E108))+1," videos")))</f>
        <v>1 video</v>
      </c>
      <c r="K108" s="27" t="s">
        <v>35</v>
      </c>
      <c r="L108" s="40" t="s">
        <v>28</v>
      </c>
      <c r="M108" s="40" t="s">
        <v>29</v>
      </c>
      <c r="N108" s="40" t="s">
        <v>30</v>
      </c>
      <c r="O108" s="88" t="str">
        <f>+IFERROR(IF(P108="#N/C","#N/C",IF(Q108=0,INDEX(Taxonomy_UniqueValues!D:D,MATCH(Q108,Taxonomy_UniqueValues!F:F,0)),INDEX(Taxonomy_UniqueValues!D:D,MATCH(P108,Taxonomy_UniqueValues!E:E,0)))),"#N/C")</f>
        <v>#N/C</v>
      </c>
      <c r="P108" s="40" t="s">
        <v>26</v>
      </c>
      <c r="Q108" s="40" t="s">
        <v>26</v>
      </c>
      <c r="R108" s="40" t="s">
        <v>26</v>
      </c>
      <c r="S108" s="40" t="s">
        <v>26</v>
      </c>
      <c r="T108" s="26" t="s">
        <v>26</v>
      </c>
    </row>
    <row r="109" spans="1:20" hidden="1" x14ac:dyDescent="0.3">
      <c r="A109" s="84">
        <v>108</v>
      </c>
      <c r="B109" s="6">
        <v>44392</v>
      </c>
      <c r="C109" s="85" t="s">
        <v>220</v>
      </c>
      <c r="D109" s="85" t="s">
        <v>221</v>
      </c>
      <c r="E109" s="16">
        <v>44392.878738425927</v>
      </c>
      <c r="F109" s="7">
        <v>44392.879432870373</v>
      </c>
      <c r="G109" s="14">
        <f t="shared" si="1"/>
        <v>6.944444467080757E-4</v>
      </c>
      <c r="H109" s="86" t="s">
        <v>23</v>
      </c>
      <c r="I109" s="86" t="s">
        <v>24</v>
      </c>
      <c r="J109" s="87" t="str">
        <f>IF(ISBLANK(C109),"",IF(C109=D109, "1 video",CONCATENATE((+COUNTIFS(Video_List!$C:$C,"&lt;=" &amp;Monitoring!F109)-COUNTIFS(Video_List!$C:$C,"&lt;=" &amp;Monitoring!E109))+1," videos")))</f>
        <v>2 videos</v>
      </c>
      <c r="K109" s="25" t="s">
        <v>23</v>
      </c>
      <c r="L109" s="40" t="s">
        <v>28</v>
      </c>
      <c r="M109" s="40" t="s">
        <v>29</v>
      </c>
      <c r="N109" s="40" t="s">
        <v>30</v>
      </c>
      <c r="O109" s="88" t="str">
        <f>+IFERROR(IF(P109="#N/C","#N/C",IF(Q109=0,INDEX(Taxonomy_UniqueValues!D:D,MATCH(Q109,Taxonomy_UniqueValues!F:F,0)),INDEX(Taxonomy_UniqueValues!D:D,MATCH(P109,Taxonomy_UniqueValues!E:E,0)))),"#N/C")</f>
        <v>Muscomorpha</v>
      </c>
      <c r="P109" s="40" t="s">
        <v>166</v>
      </c>
      <c r="Q109" s="40" t="s">
        <v>26</v>
      </c>
      <c r="R109" s="40" t="s">
        <v>26</v>
      </c>
      <c r="S109" s="40" t="s">
        <v>26</v>
      </c>
      <c r="T109" s="26" t="s">
        <v>26</v>
      </c>
    </row>
    <row r="110" spans="1:20" hidden="1" x14ac:dyDescent="0.3">
      <c r="A110" s="84">
        <v>109</v>
      </c>
      <c r="B110" s="6">
        <v>44392</v>
      </c>
      <c r="C110" s="85" t="s">
        <v>222</v>
      </c>
      <c r="D110" s="85" t="s">
        <v>222</v>
      </c>
      <c r="E110" s="16">
        <v>44392.881307870368</v>
      </c>
      <c r="F110" s="7">
        <v>44392.881354166668</v>
      </c>
      <c r="G110" s="14">
        <f t="shared" si="1"/>
        <v>4.6296299842651933E-5</v>
      </c>
      <c r="H110" s="86" t="s">
        <v>23</v>
      </c>
      <c r="I110" s="86" t="s">
        <v>24</v>
      </c>
      <c r="J110" s="87" t="str">
        <f>IF(ISBLANK(C110),"",IF(C110=D110, "1 video",CONCATENATE((+COUNTIFS(Video_List!$C:$C,"&lt;=" &amp;Monitoring!F110)-COUNTIFS(Video_List!$C:$C,"&lt;=" &amp;Monitoring!E110))+1," videos")))</f>
        <v>1 video</v>
      </c>
      <c r="K110" s="27" t="s">
        <v>35</v>
      </c>
      <c r="L110" s="40" t="s">
        <v>28</v>
      </c>
      <c r="M110" s="40" t="s">
        <v>29</v>
      </c>
      <c r="N110" s="40" t="s">
        <v>30</v>
      </c>
      <c r="O110" s="88" t="str">
        <f>+IFERROR(IF(P110="#N/C","#N/C",IF(Q110=0,INDEX(Taxonomy_UniqueValues!D:D,MATCH(Q110,Taxonomy_UniqueValues!F:F,0)),INDEX(Taxonomy_UniqueValues!D:D,MATCH(P110,Taxonomy_UniqueValues!E:E,0)))),"#N/C")</f>
        <v>#N/C</v>
      </c>
      <c r="P110" s="40" t="s">
        <v>26</v>
      </c>
      <c r="Q110" s="40" t="s">
        <v>26</v>
      </c>
      <c r="R110" s="40" t="s">
        <v>26</v>
      </c>
      <c r="S110" s="40" t="s">
        <v>26</v>
      </c>
      <c r="T110" s="26" t="s">
        <v>26</v>
      </c>
    </row>
    <row r="111" spans="1:20" hidden="1" x14ac:dyDescent="0.3">
      <c r="A111" s="84">
        <v>110</v>
      </c>
      <c r="B111" s="6">
        <v>44392</v>
      </c>
      <c r="C111" s="85" t="s">
        <v>223</v>
      </c>
      <c r="D111" s="85" t="s">
        <v>223</v>
      </c>
      <c r="E111" s="16">
        <v>44392.888032407405</v>
      </c>
      <c r="F111" s="7">
        <v>44392.888333333336</v>
      </c>
      <c r="G111" s="14">
        <f t="shared" si="1"/>
        <v>3.0092593078734353E-4</v>
      </c>
      <c r="H111" s="86" t="s">
        <v>23</v>
      </c>
      <c r="I111" s="86" t="s">
        <v>24</v>
      </c>
      <c r="J111" s="87" t="str">
        <f>IF(ISBLANK(C111),"",IF(C111=D111, "1 video",CONCATENATE((+COUNTIFS(Video_List!$C:$C,"&lt;=" &amp;Monitoring!F111)-COUNTIFS(Video_List!$C:$C,"&lt;=" &amp;Monitoring!E111))+1," videos")))</f>
        <v>1 video</v>
      </c>
      <c r="K111" s="25" t="s">
        <v>23</v>
      </c>
      <c r="L111" s="40" t="s">
        <v>28</v>
      </c>
      <c r="M111" s="40" t="s">
        <v>29</v>
      </c>
      <c r="N111" s="40" t="s">
        <v>30</v>
      </c>
      <c r="O111" s="88" t="str">
        <f>+IFERROR(IF(P111="#N/C","#N/C",IF(Q111=0,INDEX(Taxonomy_UniqueValues!D:D,MATCH(Q111,Taxonomy_UniqueValues!F:F,0)),INDEX(Taxonomy_UniqueValues!D:D,MATCH(P111,Taxonomy_UniqueValues!E:E,0)))),"#N/C")</f>
        <v>Muscomorpha</v>
      </c>
      <c r="P111" s="40" t="s">
        <v>224</v>
      </c>
      <c r="Q111" s="40" t="s">
        <v>225</v>
      </c>
      <c r="R111" s="40" t="s">
        <v>26</v>
      </c>
      <c r="S111" s="40" t="s">
        <v>26</v>
      </c>
      <c r="T111" s="26" t="s">
        <v>26</v>
      </c>
    </row>
    <row r="112" spans="1:20" hidden="1" x14ac:dyDescent="0.3">
      <c r="A112" s="84">
        <v>111</v>
      </c>
      <c r="B112" s="6">
        <v>44392</v>
      </c>
      <c r="C112" s="85" t="s">
        <v>226</v>
      </c>
      <c r="D112" s="85" t="s">
        <v>226</v>
      </c>
      <c r="E112" s="16">
        <v>44392.895162037035</v>
      </c>
      <c r="F112" s="7">
        <v>44392.895196759258</v>
      </c>
      <c r="G112" s="14">
        <f t="shared" si="1"/>
        <v>3.4722223062999547E-5</v>
      </c>
      <c r="H112" s="86" t="s">
        <v>23</v>
      </c>
      <c r="I112" s="86" t="s">
        <v>24</v>
      </c>
      <c r="J112" s="87" t="str">
        <f>IF(ISBLANK(C112),"",IF(C112=D112, "1 video",CONCATENATE((+COUNTIFS(Video_List!$C:$C,"&lt;=" &amp;Monitoring!F112)-COUNTIFS(Video_List!$C:$C,"&lt;=" &amp;Monitoring!E112))+1," videos")))</f>
        <v>1 video</v>
      </c>
      <c r="K112" s="27" t="s">
        <v>35</v>
      </c>
      <c r="L112" s="40" t="s">
        <v>28</v>
      </c>
      <c r="M112" s="40" t="s">
        <v>29</v>
      </c>
      <c r="N112" s="40" t="s">
        <v>176</v>
      </c>
      <c r="O112" s="88" t="str">
        <f>+IFERROR(IF(P112="#N/C","#N/C",IF(Q112=0,INDEX(Taxonomy_UniqueValues!D:D,MATCH(Q112,Taxonomy_UniqueValues!F:F,0)),INDEX(Taxonomy_UniqueValues!D:D,MATCH(P112,Taxonomy_UniqueValues!E:E,0)))),"#N/C")</f>
        <v>Tipulomorpha</v>
      </c>
      <c r="P112" s="40" t="s">
        <v>227</v>
      </c>
      <c r="Q112" s="40" t="s">
        <v>228</v>
      </c>
      <c r="R112" s="40" t="s">
        <v>229</v>
      </c>
      <c r="S112" s="40" t="s">
        <v>230</v>
      </c>
      <c r="T112" s="26" t="s">
        <v>26</v>
      </c>
    </row>
    <row r="113" spans="1:20" hidden="1" x14ac:dyDescent="0.3">
      <c r="A113" s="84">
        <v>112</v>
      </c>
      <c r="B113" s="6">
        <v>44392</v>
      </c>
      <c r="C113" s="85" t="s">
        <v>231</v>
      </c>
      <c r="D113" s="85" t="s">
        <v>231</v>
      </c>
      <c r="E113" s="16">
        <v>44392.89565972222</v>
      </c>
      <c r="F113" s="7">
        <v>44392.895740740743</v>
      </c>
      <c r="G113" s="14">
        <f t="shared" si="1"/>
        <v>8.101852290565148E-5</v>
      </c>
      <c r="H113" s="86" t="s">
        <v>23</v>
      </c>
      <c r="I113" s="86" t="s">
        <v>24</v>
      </c>
      <c r="J113" s="87" t="str">
        <f>IF(ISBLANK(C113),"",IF(C113=D113, "1 video",CONCATENATE((+COUNTIFS(Video_List!$C:$C,"&lt;=" &amp;Monitoring!F113)-COUNTIFS(Video_List!$C:$C,"&lt;=" &amp;Monitoring!E113))+1," videos")))</f>
        <v>1 video</v>
      </c>
      <c r="K113" s="25" t="s">
        <v>23</v>
      </c>
      <c r="L113" s="40" t="s">
        <v>28</v>
      </c>
      <c r="M113" s="40" t="s">
        <v>29</v>
      </c>
      <c r="N113" s="40" t="s">
        <v>30</v>
      </c>
      <c r="O113" s="88" t="str">
        <f>+IFERROR(IF(P113="#N/C","#N/C",IF(Q113=0,INDEX(Taxonomy_UniqueValues!D:D,MATCH(Q113,Taxonomy_UniqueValues!F:F,0)),INDEX(Taxonomy_UniqueValues!D:D,MATCH(P113,Taxonomy_UniqueValues!E:E,0)))),"#N/C")</f>
        <v>Muscomorpha</v>
      </c>
      <c r="P113" s="40" t="s">
        <v>166</v>
      </c>
      <c r="Q113" s="40" t="s">
        <v>167</v>
      </c>
      <c r="R113" s="40">
        <v>0</v>
      </c>
      <c r="S113" s="40" t="s">
        <v>168</v>
      </c>
      <c r="T113" s="26" t="s">
        <v>26</v>
      </c>
    </row>
    <row r="114" spans="1:20" hidden="1" x14ac:dyDescent="0.3">
      <c r="A114" s="84">
        <v>113</v>
      </c>
      <c r="B114" s="6">
        <v>44392</v>
      </c>
      <c r="C114" s="85" t="s">
        <v>232</v>
      </c>
      <c r="D114" s="85" t="s">
        <v>232</v>
      </c>
      <c r="E114" s="16">
        <v>44392.898055555554</v>
      </c>
      <c r="F114" s="7">
        <v>44392.898113425923</v>
      </c>
      <c r="G114" s="14">
        <f t="shared" si="1"/>
        <v>5.7870369346346706E-5</v>
      </c>
      <c r="H114" s="86" t="s">
        <v>23</v>
      </c>
      <c r="I114" s="86" t="s">
        <v>24</v>
      </c>
      <c r="J114" s="87" t="str">
        <f>IF(ISBLANK(C114),"",IF(C114=D114, "1 video",CONCATENATE((+COUNTIFS(Video_List!$C:$C,"&lt;=" &amp;Monitoring!F114)-COUNTIFS(Video_List!$C:$C,"&lt;=" &amp;Monitoring!E114))+1," videos")))</f>
        <v>1 video</v>
      </c>
      <c r="K114" s="25" t="s">
        <v>23</v>
      </c>
      <c r="L114" s="40" t="s">
        <v>28</v>
      </c>
      <c r="M114" s="40" t="s">
        <v>29</v>
      </c>
      <c r="N114" s="40" t="s">
        <v>26</v>
      </c>
      <c r="O114" s="88" t="str">
        <f>+IFERROR(IF(P114="#N/C","#N/C",IF(Q114=0,INDEX(Taxonomy_UniqueValues!D:D,MATCH(Q114,Taxonomy_UniqueValues!F:F,0)),INDEX(Taxonomy_UniqueValues!D:D,MATCH(P114,Taxonomy_UniqueValues!E:E,0)))),"#N/C")</f>
        <v>#N/C</v>
      </c>
      <c r="P114" s="40" t="s">
        <v>26</v>
      </c>
      <c r="Q114" s="40" t="s">
        <v>26</v>
      </c>
      <c r="R114" s="40" t="s">
        <v>26</v>
      </c>
      <c r="S114" s="40" t="s">
        <v>26</v>
      </c>
      <c r="T114" s="26" t="s">
        <v>26</v>
      </c>
    </row>
    <row r="115" spans="1:20" hidden="1" x14ac:dyDescent="0.3">
      <c r="A115" s="84">
        <v>114</v>
      </c>
      <c r="B115" s="6">
        <v>44392</v>
      </c>
      <c r="C115" s="85" t="s">
        <v>233</v>
      </c>
      <c r="D115" s="85" t="s">
        <v>233</v>
      </c>
      <c r="E115" s="16">
        <v>44392.900543981479</v>
      </c>
      <c r="F115" s="7">
        <v>44392.900810185187</v>
      </c>
      <c r="G115" s="14">
        <f t="shared" si="1"/>
        <v>2.6620370772434399E-4</v>
      </c>
      <c r="H115" s="4" t="s">
        <v>35</v>
      </c>
      <c r="I115" s="4" t="s">
        <v>109</v>
      </c>
      <c r="J115" s="87" t="str">
        <f>IF(ISBLANK(C115),"",IF(C115=D115, "1 video",CONCATENATE((+COUNTIFS(Video_List!$C:$C,"&lt;=" &amp;Monitoring!F115)-COUNTIFS(Video_List!$C:$C,"&lt;=" &amp;Monitoring!E115))+1," videos")))</f>
        <v>1 video</v>
      </c>
      <c r="K115" s="25" t="s">
        <v>23</v>
      </c>
      <c r="L115" s="40" t="s">
        <v>28</v>
      </c>
      <c r="M115" s="40" t="s">
        <v>47</v>
      </c>
      <c r="N115" s="40" t="s">
        <v>48</v>
      </c>
      <c r="O115" s="88" t="str">
        <f>+IFERROR(IF(P115="#N/C","#N/C",IF(Q115=0,INDEX(Taxonomy_UniqueValues!D:D,MATCH(Q115,Taxonomy_UniqueValues!F:F,0)),INDEX(Taxonomy_UniqueValues!D:D,MATCH(P115,Taxonomy_UniqueValues!E:E,0)))),"#N/C")</f>
        <v>Heterocera</v>
      </c>
      <c r="P115" s="40" t="s">
        <v>234</v>
      </c>
      <c r="Q115" s="40" t="s">
        <v>235</v>
      </c>
      <c r="R115" s="40" t="s">
        <v>236</v>
      </c>
      <c r="S115" s="40" t="s">
        <v>237</v>
      </c>
      <c r="T115" s="26" t="s">
        <v>26</v>
      </c>
    </row>
    <row r="116" spans="1:20" hidden="1" x14ac:dyDescent="0.3">
      <c r="A116" s="84">
        <v>115</v>
      </c>
      <c r="B116" s="6">
        <v>44392</v>
      </c>
      <c r="C116" s="85" t="s">
        <v>238</v>
      </c>
      <c r="D116" s="85" t="s">
        <v>238</v>
      </c>
      <c r="E116" s="16">
        <v>44392.904756944445</v>
      </c>
      <c r="F116" s="7">
        <v>44392.904988425929</v>
      </c>
      <c r="G116" s="14">
        <f t="shared" si="1"/>
        <v>2.3148148466134444E-4</v>
      </c>
      <c r="H116" s="86" t="s">
        <v>23</v>
      </c>
      <c r="I116" s="86" t="s">
        <v>24</v>
      </c>
      <c r="J116" s="87" t="str">
        <f>IF(ISBLANK(C116),"",IF(C116=D116, "1 video",CONCATENATE((+COUNTIFS(Video_List!$C:$C,"&lt;=" &amp;Monitoring!F116)-COUNTIFS(Video_List!$C:$C,"&lt;=" &amp;Monitoring!E116))+1," videos")))</f>
        <v>1 video</v>
      </c>
      <c r="K116" s="27" t="s">
        <v>35</v>
      </c>
      <c r="L116" s="40" t="s">
        <v>28</v>
      </c>
      <c r="M116" s="40" t="s">
        <v>29</v>
      </c>
      <c r="N116" s="40" t="s">
        <v>30</v>
      </c>
      <c r="O116" s="88" t="str">
        <f>+IFERROR(IF(P116="#N/C","#N/C",IF(Q116=0,INDEX(Taxonomy_UniqueValues!D:D,MATCH(Q116,Taxonomy_UniqueValues!F:F,0)),INDEX(Taxonomy_UniqueValues!D:D,MATCH(P116,Taxonomy_UniqueValues!E:E,0)))),"#N/C")</f>
        <v>#N/C</v>
      </c>
      <c r="P116" s="40" t="s">
        <v>26</v>
      </c>
      <c r="Q116" s="40" t="s">
        <v>26</v>
      </c>
      <c r="R116" s="40" t="s">
        <v>26</v>
      </c>
      <c r="S116" s="40" t="s">
        <v>26</v>
      </c>
      <c r="T116" s="26" t="s">
        <v>26</v>
      </c>
    </row>
    <row r="117" spans="1:20" hidden="1" x14ac:dyDescent="0.3">
      <c r="A117" s="84">
        <v>116</v>
      </c>
      <c r="B117" s="6">
        <v>44392</v>
      </c>
      <c r="C117" s="85" t="s">
        <v>239</v>
      </c>
      <c r="D117" s="85" t="s">
        <v>239</v>
      </c>
      <c r="E117" s="16">
        <v>44392.907268518517</v>
      </c>
      <c r="F117" s="7">
        <v>44392.907372685186</v>
      </c>
      <c r="G117" s="14">
        <f t="shared" si="1"/>
        <v>1.0416666918899864E-4</v>
      </c>
      <c r="H117" s="86" t="s">
        <v>23</v>
      </c>
      <c r="I117" s="86" t="s">
        <v>24</v>
      </c>
      <c r="J117" s="87" t="str">
        <f>IF(ISBLANK(C117),"",IF(C117=D117, "1 video",CONCATENATE((+COUNTIFS(Video_List!$C:$C,"&lt;=" &amp;Monitoring!F117)-COUNTIFS(Video_List!$C:$C,"&lt;=" &amp;Monitoring!E117))+1," videos")))</f>
        <v>1 video</v>
      </c>
      <c r="K117" s="27" t="s">
        <v>35</v>
      </c>
      <c r="L117" s="40" t="s">
        <v>28</v>
      </c>
      <c r="M117" s="40" t="s">
        <v>29</v>
      </c>
      <c r="N117" s="40" t="s">
        <v>30</v>
      </c>
      <c r="O117" s="88" t="str">
        <f>+IFERROR(IF(P117="#N/C","#N/C",IF(Q117=0,INDEX(Taxonomy_UniqueValues!D:D,MATCH(Q117,Taxonomy_UniqueValues!F:F,0)),INDEX(Taxonomy_UniqueValues!D:D,MATCH(P117,Taxonomy_UniqueValues!E:E,0)))),"#N/C")</f>
        <v>#N/C</v>
      </c>
      <c r="P117" s="40" t="s">
        <v>26</v>
      </c>
      <c r="Q117" s="40" t="s">
        <v>26</v>
      </c>
      <c r="R117" s="40" t="s">
        <v>26</v>
      </c>
      <c r="S117" s="40" t="s">
        <v>26</v>
      </c>
      <c r="T117" s="26" t="s">
        <v>26</v>
      </c>
    </row>
    <row r="118" spans="1:20" hidden="1" x14ac:dyDescent="0.3">
      <c r="A118" s="84">
        <v>117</v>
      </c>
      <c r="B118" s="6">
        <v>44392</v>
      </c>
      <c r="C118" s="85" t="s">
        <v>240</v>
      </c>
      <c r="D118" s="85" t="s">
        <v>240</v>
      </c>
      <c r="E118" s="16">
        <v>44392.909247685187</v>
      </c>
      <c r="F118" s="7">
        <v>44392.909988425927</v>
      </c>
      <c r="G118" s="14">
        <f t="shared" si="1"/>
        <v>7.4074073927477002E-4</v>
      </c>
      <c r="H118" s="86" t="s">
        <v>35</v>
      </c>
      <c r="I118" s="86" t="s">
        <v>24</v>
      </c>
      <c r="J118" s="87" t="str">
        <f>IF(ISBLANK(C118),"",IF(C118=D118, "1 video",CONCATENATE((+COUNTIFS(Video_List!$C:$C,"&lt;=" &amp;Monitoring!F118)-COUNTIFS(Video_List!$C:$C,"&lt;=" &amp;Monitoring!E118))+1," videos")))</f>
        <v>1 video</v>
      </c>
      <c r="K118" s="27" t="s">
        <v>35</v>
      </c>
      <c r="L118" s="40" t="s">
        <v>28</v>
      </c>
      <c r="M118" s="40" t="s">
        <v>67</v>
      </c>
      <c r="N118" s="40" t="s">
        <v>68</v>
      </c>
      <c r="O118" s="88" t="str">
        <f>+IFERROR(IF(P118="#N/C","#N/C",IF(Q118=0,INDEX(Taxonomy_UniqueValues!D:D,MATCH(Q118,Taxonomy_UniqueValues!F:F,0)),INDEX(Taxonomy_UniqueValues!D:D,MATCH(P118,Taxonomy_UniqueValues!E:E,0)))),"#N/C")</f>
        <v>Cucujiformia</v>
      </c>
      <c r="P118" s="40" t="s">
        <v>134</v>
      </c>
      <c r="Q118" s="40" t="s">
        <v>241</v>
      </c>
      <c r="R118" s="40" t="s">
        <v>242</v>
      </c>
      <c r="S118" s="40" t="s">
        <v>243</v>
      </c>
      <c r="T118" s="26" t="s">
        <v>244</v>
      </c>
    </row>
    <row r="119" spans="1:20" hidden="1" x14ac:dyDescent="0.3">
      <c r="A119" s="84">
        <v>118</v>
      </c>
      <c r="B119" s="6">
        <v>44392</v>
      </c>
      <c r="C119" s="85" t="s">
        <v>245</v>
      </c>
      <c r="D119" s="85" t="s">
        <v>245</v>
      </c>
      <c r="E119" s="16">
        <v>44392.912604166668</v>
      </c>
      <c r="F119" s="7">
        <v>44392.912893518522</v>
      </c>
      <c r="G119" s="14">
        <f t="shared" si="1"/>
        <v>2.8935185400769114E-4</v>
      </c>
      <c r="H119" s="86" t="s">
        <v>35</v>
      </c>
      <c r="I119" s="86" t="s">
        <v>109</v>
      </c>
      <c r="J119" s="87" t="str">
        <f>IF(ISBLANK(C119),"",IF(C119=D119, "1 video",CONCATENATE((+COUNTIFS(Video_List!$C:$C,"&lt;=" &amp;Monitoring!F119)-COUNTIFS(Video_List!$C:$C,"&lt;=" &amp;Monitoring!E119))+1," videos")))</f>
        <v>1 video</v>
      </c>
      <c r="K119" s="27" t="s">
        <v>35</v>
      </c>
      <c r="L119" s="40" t="s">
        <v>28</v>
      </c>
      <c r="M119" s="40" t="s">
        <v>47</v>
      </c>
      <c r="N119" s="40" t="s">
        <v>48</v>
      </c>
      <c r="O119" s="88" t="str">
        <f>+IFERROR(IF(P119="#N/C","#N/C",IF(Q119=0,INDEX(Taxonomy_UniqueValues!D:D,MATCH(Q119,Taxonomy_UniqueValues!F:F,0)),INDEX(Taxonomy_UniqueValues!D:D,MATCH(P119,Taxonomy_UniqueValues!E:E,0)))),"#N/C")</f>
        <v>Heterocera</v>
      </c>
      <c r="P119" s="40" t="s">
        <v>234</v>
      </c>
      <c r="Q119" s="40" t="s">
        <v>235</v>
      </c>
      <c r="R119" s="40" t="s">
        <v>236</v>
      </c>
      <c r="S119" s="40" t="s">
        <v>237</v>
      </c>
      <c r="T119" s="26" t="s">
        <v>26</v>
      </c>
    </row>
    <row r="120" spans="1:20" hidden="1" x14ac:dyDescent="0.3">
      <c r="A120" s="84">
        <v>119</v>
      </c>
      <c r="B120" s="6">
        <v>44392</v>
      </c>
      <c r="C120" s="85" t="s">
        <v>246</v>
      </c>
      <c r="D120" s="85" t="s">
        <v>246</v>
      </c>
      <c r="E120" s="16">
        <v>44392.914664351854</v>
      </c>
      <c r="F120" s="7">
        <v>44392.915277777778</v>
      </c>
      <c r="G120" s="14">
        <f t="shared" si="1"/>
        <v>6.1342592380242422E-4</v>
      </c>
      <c r="H120" s="4" t="s">
        <v>23</v>
      </c>
      <c r="I120" s="4" t="s">
        <v>24</v>
      </c>
      <c r="J120" s="87" t="str">
        <f>IF(ISBLANK(C120),"",IF(C120=D120, "1 video",CONCATENATE((+COUNTIFS(Video_List!$C:$C,"&lt;=" &amp;Monitoring!F120)-COUNTIFS(Video_List!$C:$C,"&lt;=" &amp;Monitoring!E120))+1," videos")))</f>
        <v>1 video</v>
      </c>
      <c r="K120" s="25" t="s">
        <v>23</v>
      </c>
      <c r="L120" s="40" t="s">
        <v>28</v>
      </c>
      <c r="M120" s="40" t="s">
        <v>26</v>
      </c>
      <c r="N120" s="40" t="s">
        <v>26</v>
      </c>
      <c r="O120" s="88" t="str">
        <f>+IFERROR(IF(P120="#N/C","#N/C",IF(Q120=0,INDEX(Taxonomy_UniqueValues!D:D,MATCH(Q120,Taxonomy_UniqueValues!F:F,0)),INDEX(Taxonomy_UniqueValues!D:D,MATCH(P120,Taxonomy_UniqueValues!E:E,0)))),"#N/C")</f>
        <v>#N/C</v>
      </c>
      <c r="P120" s="40" t="s">
        <v>26</v>
      </c>
      <c r="Q120" s="40" t="s">
        <v>26</v>
      </c>
      <c r="R120" s="40" t="s">
        <v>26</v>
      </c>
      <c r="S120" s="40" t="s">
        <v>26</v>
      </c>
      <c r="T120" s="26" t="s">
        <v>26</v>
      </c>
    </row>
    <row r="121" spans="1:20" hidden="1" x14ac:dyDescent="0.3">
      <c r="A121" s="84">
        <v>120</v>
      </c>
      <c r="B121" s="6">
        <v>44392</v>
      </c>
      <c r="C121" s="85" t="s">
        <v>247</v>
      </c>
      <c r="D121" s="85" t="s">
        <v>247</v>
      </c>
      <c r="E121" s="16">
        <v>44392.916273148148</v>
      </c>
      <c r="F121" s="7">
        <v>44392.916909722226</v>
      </c>
      <c r="G121" s="14">
        <f t="shared" si="1"/>
        <v>6.36574077361729E-4</v>
      </c>
      <c r="H121" s="4" t="s">
        <v>23</v>
      </c>
      <c r="I121" s="4" t="s">
        <v>24</v>
      </c>
      <c r="J121" s="87" t="str">
        <f>IF(ISBLANK(C121),"",IF(C121=D121, "1 video",CONCATENATE((+COUNTIFS(Video_List!$C:$C,"&lt;=" &amp;Monitoring!F121)-COUNTIFS(Video_List!$C:$C,"&lt;=" &amp;Monitoring!E121))+1," videos")))</f>
        <v>1 video</v>
      </c>
      <c r="K121" s="27" t="s">
        <v>35</v>
      </c>
      <c r="L121" s="40" t="s">
        <v>28</v>
      </c>
      <c r="M121" s="40" t="s">
        <v>26</v>
      </c>
      <c r="N121" s="40" t="s">
        <v>26</v>
      </c>
      <c r="O121" s="88" t="str">
        <f>+IFERROR(IF(P121="#N/C","#N/C",IF(Q121=0,INDEX(Taxonomy_UniqueValues!D:D,MATCH(Q121,Taxonomy_UniqueValues!F:F,0)),INDEX(Taxonomy_UniqueValues!D:D,MATCH(P121,Taxonomy_UniqueValues!E:E,0)))),"#N/C")</f>
        <v>#N/C</v>
      </c>
      <c r="P121" s="40" t="s">
        <v>26</v>
      </c>
      <c r="Q121" s="40" t="s">
        <v>26</v>
      </c>
      <c r="R121" s="40" t="s">
        <v>26</v>
      </c>
      <c r="S121" s="40" t="s">
        <v>26</v>
      </c>
      <c r="T121" s="26" t="s">
        <v>26</v>
      </c>
    </row>
    <row r="122" spans="1:20" hidden="1" x14ac:dyDescent="0.3">
      <c r="A122" s="84">
        <v>121</v>
      </c>
      <c r="B122" s="6">
        <v>44392</v>
      </c>
      <c r="C122" s="85" t="s">
        <v>247</v>
      </c>
      <c r="D122" s="85" t="s">
        <v>247</v>
      </c>
      <c r="E122" s="16">
        <v>44392.916388888887</v>
      </c>
      <c r="F122" s="7">
        <v>44392.916909722226</v>
      </c>
      <c r="G122" s="14">
        <f t="shared" si="1"/>
        <v>5.2083333866903558E-4</v>
      </c>
      <c r="H122" s="4" t="s">
        <v>23</v>
      </c>
      <c r="I122" s="4" t="s">
        <v>46</v>
      </c>
      <c r="J122" s="87" t="str">
        <f>IF(ISBLANK(C122),"",IF(C122=D122, "1 video",CONCATENATE((+COUNTIFS(Video_List!$C:$C,"&lt;=" &amp;Monitoring!F122)-COUNTIFS(Video_List!$C:$C,"&lt;=" &amp;Monitoring!E122))+1," videos")))</f>
        <v>1 video</v>
      </c>
      <c r="K122" s="27" t="s">
        <v>35</v>
      </c>
      <c r="L122" s="40" t="s">
        <v>28</v>
      </c>
      <c r="M122" s="40" t="s">
        <v>47</v>
      </c>
      <c r="N122" s="40" t="s">
        <v>48</v>
      </c>
      <c r="O122" s="88" t="str">
        <f>+IFERROR(IF(P122="#N/C","#N/C",IF(Q122=0,INDEX(Taxonomy_UniqueValues!D:D,MATCH(Q122,Taxonomy_UniqueValues!F:F,0)),INDEX(Taxonomy_UniqueValues!D:D,MATCH(P122,Taxonomy_UniqueValues!E:E,0)))),"#N/C")</f>
        <v>Heterocera</v>
      </c>
      <c r="P122" s="40" t="s">
        <v>248</v>
      </c>
      <c r="Q122" s="40" t="s">
        <v>26</v>
      </c>
      <c r="R122" s="40" t="s">
        <v>26</v>
      </c>
      <c r="S122" s="40" t="s">
        <v>26</v>
      </c>
      <c r="T122" s="26" t="s">
        <v>26</v>
      </c>
    </row>
    <row r="123" spans="1:20" hidden="1" x14ac:dyDescent="0.3">
      <c r="A123" s="84">
        <v>122</v>
      </c>
      <c r="B123" s="6">
        <v>44392</v>
      </c>
      <c r="C123" s="85" t="s">
        <v>249</v>
      </c>
      <c r="D123" s="85" t="s">
        <v>249</v>
      </c>
      <c r="E123" s="16">
        <v>44392.917395833334</v>
      </c>
      <c r="F123" s="7">
        <v>44392.919398148151</v>
      </c>
      <c r="G123" s="14">
        <f t="shared" si="1"/>
        <v>2.0023148172185756E-3</v>
      </c>
      <c r="H123" s="86" t="s">
        <v>35</v>
      </c>
      <c r="I123" s="86" t="s">
        <v>109</v>
      </c>
      <c r="J123" s="87" t="str">
        <f>IF(ISBLANK(C123),"",IF(C123=D123, "1 video",CONCATENATE((+COUNTIFS(Video_List!$C:$C,"&lt;=" &amp;Monitoring!F123)-COUNTIFS(Video_List!$C:$C,"&lt;=" &amp;Monitoring!E123))+1," videos")))</f>
        <v>1 video</v>
      </c>
      <c r="K123" s="27" t="s">
        <v>35</v>
      </c>
      <c r="L123" s="40" t="s">
        <v>28</v>
      </c>
      <c r="M123" s="40" t="s">
        <v>47</v>
      </c>
      <c r="N123" s="40" t="s">
        <v>48</v>
      </c>
      <c r="O123" s="88" t="str">
        <f>+IFERROR(IF(P123="#N/C","#N/C",IF(Q123=0,INDEX(Taxonomy_UniqueValues!D:D,MATCH(Q123,Taxonomy_UniqueValues!F:F,0)),INDEX(Taxonomy_UniqueValues!D:D,MATCH(P123,Taxonomy_UniqueValues!E:E,0)))),"#N/C")</f>
        <v>Heterocera</v>
      </c>
      <c r="P123" s="40" t="s">
        <v>234</v>
      </c>
      <c r="Q123" s="40" t="s">
        <v>235</v>
      </c>
      <c r="R123" s="40" t="s">
        <v>236</v>
      </c>
      <c r="S123" s="40" t="s">
        <v>237</v>
      </c>
      <c r="T123" s="26" t="s">
        <v>26</v>
      </c>
    </row>
    <row r="124" spans="1:20" hidden="1" x14ac:dyDescent="0.3">
      <c r="A124" s="84">
        <v>123</v>
      </c>
      <c r="B124" s="6">
        <v>44392</v>
      </c>
      <c r="C124" s="85" t="s">
        <v>250</v>
      </c>
      <c r="D124" s="85" t="s">
        <v>250</v>
      </c>
      <c r="E124" s="16">
        <v>44392.921111111114</v>
      </c>
      <c r="F124" s="7">
        <v>44392.92260416667</v>
      </c>
      <c r="G124" s="14">
        <f t="shared" si="1"/>
        <v>1.4930555553291924E-3</v>
      </c>
      <c r="H124" s="86" t="s">
        <v>35</v>
      </c>
      <c r="I124" s="86" t="s">
        <v>109</v>
      </c>
      <c r="J124" s="87" t="str">
        <f>IF(ISBLANK(C124),"",IF(C124=D124, "1 video",CONCATENATE((+COUNTIFS(Video_List!$C:$C,"&lt;=" &amp;Monitoring!F124)-COUNTIFS(Video_List!$C:$C,"&lt;=" &amp;Monitoring!E124))+1," videos")))</f>
        <v>1 video</v>
      </c>
      <c r="K124" s="27" t="s">
        <v>35</v>
      </c>
      <c r="L124" s="40" t="s">
        <v>28</v>
      </c>
      <c r="M124" s="40" t="s">
        <v>47</v>
      </c>
      <c r="N124" s="40" t="s">
        <v>48</v>
      </c>
      <c r="O124" s="88" t="str">
        <f>+IFERROR(IF(P124="#N/C","#N/C",IF(Q124=0,INDEX(Taxonomy_UniqueValues!D:D,MATCH(Q124,Taxonomy_UniqueValues!F:F,0)),INDEX(Taxonomy_UniqueValues!D:D,MATCH(P124,Taxonomy_UniqueValues!E:E,0)))),"#N/C")</f>
        <v>Heterocera</v>
      </c>
      <c r="P124" s="40" t="s">
        <v>234</v>
      </c>
      <c r="Q124" s="40" t="s">
        <v>235</v>
      </c>
      <c r="R124" s="40" t="s">
        <v>236</v>
      </c>
      <c r="S124" s="40" t="s">
        <v>237</v>
      </c>
      <c r="T124" s="26" t="s">
        <v>26</v>
      </c>
    </row>
    <row r="125" spans="1:20" hidden="1" x14ac:dyDescent="0.3">
      <c r="A125" s="84">
        <v>124</v>
      </c>
      <c r="B125" s="6">
        <v>44392</v>
      </c>
      <c r="C125" s="85" t="s">
        <v>250</v>
      </c>
      <c r="D125" s="85" t="s">
        <v>250</v>
      </c>
      <c r="E125" s="16">
        <v>44392.921111111114</v>
      </c>
      <c r="F125" s="7">
        <v>44392.92260416667</v>
      </c>
      <c r="G125" s="14">
        <f t="shared" si="1"/>
        <v>1.4930555553291924E-3</v>
      </c>
      <c r="H125" s="86" t="s">
        <v>35</v>
      </c>
      <c r="I125" s="86" t="s">
        <v>109</v>
      </c>
      <c r="J125" s="87" t="str">
        <f>IF(ISBLANK(C125),"",IF(C125=D125, "1 video",CONCATENATE((+COUNTIFS(Video_List!$C:$C,"&lt;=" &amp;Monitoring!F125)-COUNTIFS(Video_List!$C:$C,"&lt;=" &amp;Monitoring!E125))+1," videos")))</f>
        <v>1 video</v>
      </c>
      <c r="K125" s="27" t="s">
        <v>35</v>
      </c>
      <c r="L125" s="40" t="s">
        <v>28</v>
      </c>
      <c r="M125" s="40" t="s">
        <v>47</v>
      </c>
      <c r="N125" s="40" t="s">
        <v>48</v>
      </c>
      <c r="O125" s="88" t="str">
        <f>+IFERROR(IF(P125="#N/C","#N/C",IF(Q125=0,INDEX(Taxonomy_UniqueValues!D:D,MATCH(Q125,Taxonomy_UniqueValues!F:F,0)),INDEX(Taxonomy_UniqueValues!D:D,MATCH(P125,Taxonomy_UniqueValues!E:E,0)))),"#N/C")</f>
        <v>Heterocera</v>
      </c>
      <c r="P125" s="40" t="s">
        <v>234</v>
      </c>
      <c r="Q125" s="40" t="s">
        <v>235</v>
      </c>
      <c r="R125" s="40" t="s">
        <v>236</v>
      </c>
      <c r="S125" s="40" t="s">
        <v>237</v>
      </c>
      <c r="T125" s="26" t="s">
        <v>26</v>
      </c>
    </row>
    <row r="126" spans="1:20" hidden="1" x14ac:dyDescent="0.3">
      <c r="A126" s="84">
        <v>125</v>
      </c>
      <c r="B126" s="6">
        <v>44392</v>
      </c>
      <c r="C126" s="85" t="s">
        <v>250</v>
      </c>
      <c r="D126" s="85" t="s">
        <v>250</v>
      </c>
      <c r="E126" s="16">
        <v>44392.922997685186</v>
      </c>
      <c r="F126" s="7">
        <v>44392.923020833332</v>
      </c>
      <c r="G126" s="14">
        <f t="shared" si="1"/>
        <v>2.314814628334716E-5</v>
      </c>
      <c r="H126" s="86" t="s">
        <v>23</v>
      </c>
      <c r="I126" s="86" t="s">
        <v>24</v>
      </c>
      <c r="J126" s="87" t="str">
        <f>IF(ISBLANK(C126),"",IF(C126=D126, "1 video",CONCATENATE((+COUNTIFS(Video_List!$C:$C,"&lt;=" &amp;Monitoring!F126)-COUNTIFS(Video_List!$C:$C,"&lt;=" &amp;Monitoring!E126))+1," videos")))</f>
        <v>1 video</v>
      </c>
      <c r="K126" s="25" t="s">
        <v>23</v>
      </c>
      <c r="L126" s="40" t="s">
        <v>28</v>
      </c>
      <c r="M126" s="40" t="s">
        <v>47</v>
      </c>
      <c r="N126" s="40" t="s">
        <v>48</v>
      </c>
      <c r="O126" s="88" t="str">
        <f>+IFERROR(IF(P126="#N/C","#N/C",IF(Q126=0,INDEX(Taxonomy_UniqueValues!D:D,MATCH(Q126,Taxonomy_UniqueValues!F:F,0)),INDEX(Taxonomy_UniqueValues!D:D,MATCH(P126,Taxonomy_UniqueValues!E:E,0)))),"#N/C")</f>
        <v>Heterocera</v>
      </c>
      <c r="P126" s="40" t="s">
        <v>234</v>
      </c>
      <c r="Q126" s="40" t="s">
        <v>235</v>
      </c>
      <c r="R126" s="40" t="s">
        <v>251</v>
      </c>
      <c r="S126" s="40" t="s">
        <v>252</v>
      </c>
      <c r="T126" s="26" t="s">
        <v>253</v>
      </c>
    </row>
    <row r="127" spans="1:20" hidden="1" x14ac:dyDescent="0.3">
      <c r="A127" s="84">
        <v>126</v>
      </c>
      <c r="B127" s="6">
        <v>44392</v>
      </c>
      <c r="C127" s="85" t="s">
        <v>232</v>
      </c>
      <c r="D127" s="85" t="s">
        <v>232</v>
      </c>
      <c r="E127" s="16">
        <v>44392.925011574072</v>
      </c>
      <c r="F127" s="7">
        <v>44392.926053240742</v>
      </c>
      <c r="G127" s="14">
        <f t="shared" si="1"/>
        <v>1.0416666700621136E-3</v>
      </c>
      <c r="H127" s="86" t="s">
        <v>23</v>
      </c>
      <c r="I127" s="86" t="s">
        <v>24</v>
      </c>
      <c r="J127" s="87" t="str">
        <f>IF(ISBLANK(C127),"",IF(C127=D127, "1 video",CONCATENATE((+COUNTIFS(Video_List!$C:$C,"&lt;=" &amp;Monitoring!F127)-COUNTIFS(Video_List!$C:$C,"&lt;=" &amp;Monitoring!E127))+1," videos")))</f>
        <v>1 video</v>
      </c>
      <c r="K127" s="25" t="s">
        <v>23</v>
      </c>
      <c r="L127" s="40" t="s">
        <v>28</v>
      </c>
      <c r="M127" s="40" t="s">
        <v>29</v>
      </c>
      <c r="N127" s="40" t="s">
        <v>30</v>
      </c>
      <c r="O127" s="88" t="str">
        <f>+IFERROR(IF(P127="#N/C","#N/C",IF(Q127=0,INDEX(Taxonomy_UniqueValues!D:D,MATCH(Q127,Taxonomy_UniqueValues!F:F,0)),INDEX(Taxonomy_UniqueValues!D:D,MATCH(P127,Taxonomy_UniqueValues!E:E,0)))),"#N/C")</f>
        <v>Muscomorpha</v>
      </c>
      <c r="P127" s="40" t="s">
        <v>54</v>
      </c>
      <c r="Q127" s="40" t="s">
        <v>55</v>
      </c>
      <c r="R127" s="40" t="s">
        <v>56</v>
      </c>
      <c r="S127" s="40" t="s">
        <v>254</v>
      </c>
      <c r="T127" s="26" t="s">
        <v>26</v>
      </c>
    </row>
    <row r="128" spans="1:20" hidden="1" x14ac:dyDescent="0.3">
      <c r="A128" s="84">
        <v>127</v>
      </c>
      <c r="B128" s="6">
        <v>44392</v>
      </c>
      <c r="C128" s="85" t="s">
        <v>232</v>
      </c>
      <c r="D128" s="85" t="s">
        <v>232</v>
      </c>
      <c r="E128" s="16">
        <v>44392.925787037035</v>
      </c>
      <c r="F128" s="7">
        <v>44392.926041666666</v>
      </c>
      <c r="G128" s="14">
        <f t="shared" si="1"/>
        <v>2.546296309446916E-4</v>
      </c>
      <c r="H128" s="4" t="s">
        <v>23</v>
      </c>
      <c r="I128" s="4" t="s">
        <v>24</v>
      </c>
      <c r="J128" s="87" t="str">
        <f>IF(ISBLANK(C128),"",IF(C128=D128, "1 video",CONCATENATE((+COUNTIFS(Video_List!$C:$C,"&lt;=" &amp;Monitoring!F128)-COUNTIFS(Video_List!$C:$C,"&lt;=" &amp;Monitoring!E128))+1," videos")))</f>
        <v>1 video</v>
      </c>
      <c r="K128" s="25" t="s">
        <v>23</v>
      </c>
      <c r="L128" s="40" t="s">
        <v>28</v>
      </c>
      <c r="M128" s="40" t="s">
        <v>47</v>
      </c>
      <c r="N128" s="40" t="s">
        <v>48</v>
      </c>
      <c r="O128" s="88" t="str">
        <f>+IFERROR(IF(P128="#N/C","#N/C",IF(Q128=0,INDEX(Taxonomy_UniqueValues!D:D,MATCH(Q128,Taxonomy_UniqueValues!F:F,0)),INDEX(Taxonomy_UniqueValues!D:D,MATCH(P128,Taxonomy_UniqueValues!E:E,0)))),"#N/C")</f>
        <v>Heterocera</v>
      </c>
      <c r="P128" s="40" t="s">
        <v>248</v>
      </c>
      <c r="Q128" s="40" t="s">
        <v>26</v>
      </c>
      <c r="R128" s="40" t="s">
        <v>26</v>
      </c>
      <c r="S128" s="40" t="s">
        <v>26</v>
      </c>
      <c r="T128" s="26" t="s">
        <v>26</v>
      </c>
    </row>
    <row r="129" spans="1:20" hidden="1" x14ac:dyDescent="0.3">
      <c r="A129" s="84">
        <v>128</v>
      </c>
      <c r="B129" s="6">
        <v>44392</v>
      </c>
      <c r="C129" s="85" t="s">
        <v>232</v>
      </c>
      <c r="D129" s="85" t="s">
        <v>232</v>
      </c>
      <c r="E129" s="16">
        <v>44392.925983796296</v>
      </c>
      <c r="F129" s="7">
        <v>44392.926493055558</v>
      </c>
      <c r="G129" s="14">
        <f t="shared" si="1"/>
        <v>5.092592618893832E-4</v>
      </c>
      <c r="H129" s="86" t="s">
        <v>35</v>
      </c>
      <c r="I129" s="86" t="s">
        <v>109</v>
      </c>
      <c r="J129" s="87" t="str">
        <f>IF(ISBLANK(C129),"",IF(C129=D129, "1 video",CONCATENATE((+COUNTIFS(Video_List!$C:$C,"&lt;=" &amp;Monitoring!F129)-COUNTIFS(Video_List!$C:$C,"&lt;=" &amp;Monitoring!E129))+1," videos")))</f>
        <v>1 video</v>
      </c>
      <c r="K129" s="27" t="s">
        <v>35</v>
      </c>
      <c r="L129" s="40" t="s">
        <v>28</v>
      </c>
      <c r="M129" s="40" t="s">
        <v>47</v>
      </c>
      <c r="N129" s="40" t="s">
        <v>48</v>
      </c>
      <c r="O129" s="88" t="str">
        <f>+IFERROR(IF(P129="#N/C","#N/C",IF(Q129=0,INDEX(Taxonomy_UniqueValues!D:D,MATCH(Q129,Taxonomy_UniqueValues!F:F,0)),INDEX(Taxonomy_UniqueValues!D:D,MATCH(P129,Taxonomy_UniqueValues!E:E,0)))),"#N/C")</f>
        <v>Heterocera</v>
      </c>
      <c r="P129" s="40" t="s">
        <v>234</v>
      </c>
      <c r="Q129" s="40" t="s">
        <v>235</v>
      </c>
      <c r="R129" s="40" t="s">
        <v>236</v>
      </c>
      <c r="S129" s="40" t="s">
        <v>237</v>
      </c>
      <c r="T129" s="26" t="s">
        <v>26</v>
      </c>
    </row>
    <row r="130" spans="1:20" hidden="1" x14ac:dyDescent="0.3">
      <c r="A130" s="84">
        <v>129</v>
      </c>
      <c r="B130" s="6">
        <v>44392</v>
      </c>
      <c r="C130" s="85" t="s">
        <v>255</v>
      </c>
      <c r="D130" s="85" t="s">
        <v>255</v>
      </c>
      <c r="E130" s="16">
        <v>44392.927025462966</v>
      </c>
      <c r="F130" s="7">
        <v>44392.927083333336</v>
      </c>
      <c r="G130" s="14">
        <f t="shared" ref="G130:G193" si="2">F130-E130</f>
        <v>5.7870369346346706E-5</v>
      </c>
      <c r="H130" s="4" t="s">
        <v>23</v>
      </c>
      <c r="I130" s="4" t="s">
        <v>24</v>
      </c>
      <c r="J130" s="87" t="str">
        <f>IF(ISBLANK(C130),"",IF(C130=D130, "1 video",CONCATENATE((+COUNTIFS(Video_List!$C:$C,"&lt;=" &amp;Monitoring!F130)-COUNTIFS(Video_List!$C:$C,"&lt;=" &amp;Monitoring!E130))+1," videos")))</f>
        <v>1 video</v>
      </c>
      <c r="K130" s="25" t="s">
        <v>23</v>
      </c>
      <c r="L130" s="40" t="s">
        <v>28</v>
      </c>
      <c r="M130" s="40" t="s">
        <v>47</v>
      </c>
      <c r="N130" s="40" t="s">
        <v>48</v>
      </c>
      <c r="O130" s="88" t="str">
        <f>+IFERROR(IF(P130="#N/C","#N/C",IF(Q130=0,INDEX(Taxonomy_UniqueValues!D:D,MATCH(Q130,Taxonomy_UniqueValues!F:F,0)),INDEX(Taxonomy_UniqueValues!D:D,MATCH(P130,Taxonomy_UniqueValues!E:E,0)))),"#N/C")</f>
        <v>Heterocera</v>
      </c>
      <c r="P130" s="40" t="s">
        <v>234</v>
      </c>
      <c r="Q130" s="40" t="s">
        <v>256</v>
      </c>
      <c r="R130" s="40" t="s">
        <v>257</v>
      </c>
      <c r="S130" s="40" t="s">
        <v>258</v>
      </c>
      <c r="T130" s="26" t="s">
        <v>259</v>
      </c>
    </row>
    <row r="131" spans="1:20" hidden="1" x14ac:dyDescent="0.3">
      <c r="A131" s="84">
        <v>130</v>
      </c>
      <c r="B131" s="6">
        <v>44392</v>
      </c>
      <c r="C131" s="85" t="s">
        <v>260</v>
      </c>
      <c r="D131" s="85" t="s">
        <v>260</v>
      </c>
      <c r="E131" s="16">
        <v>44392.932430555556</v>
      </c>
      <c r="F131" s="7">
        <v>44392.932476851849</v>
      </c>
      <c r="G131" s="14">
        <f t="shared" si="2"/>
        <v>4.6296292566694319E-5</v>
      </c>
      <c r="H131" s="4" t="s">
        <v>23</v>
      </c>
      <c r="I131" s="4" t="s">
        <v>24</v>
      </c>
      <c r="J131" s="87" t="str">
        <f>IF(ISBLANK(C131),"",IF(C131=D131, "1 video",CONCATENATE((+COUNTIFS(Video_List!$C:$C,"&lt;=" &amp;Monitoring!F131)-COUNTIFS(Video_List!$C:$C,"&lt;=" &amp;Monitoring!E131))+1," videos")))</f>
        <v>1 video</v>
      </c>
      <c r="K131" s="27" t="s">
        <v>35</v>
      </c>
      <c r="L131" s="40" t="s">
        <v>28</v>
      </c>
      <c r="M131" s="40" t="s">
        <v>29</v>
      </c>
      <c r="N131" s="40" t="s">
        <v>176</v>
      </c>
      <c r="O131" s="88" t="str">
        <f>+IFERROR(IF(P131="#N/C","#N/C",IF(Q131=0,INDEX(Taxonomy_UniqueValues!D:D,MATCH(Q131,Taxonomy_UniqueValues!F:F,0)),INDEX(Taxonomy_UniqueValues!D:D,MATCH(P131,Taxonomy_UniqueValues!E:E,0)))),"#N/C")</f>
        <v>Tipulomorpha</v>
      </c>
      <c r="P131" s="40" t="s">
        <v>227</v>
      </c>
      <c r="Q131" s="40" t="s">
        <v>228</v>
      </c>
      <c r="R131" s="40" t="s">
        <v>229</v>
      </c>
      <c r="S131" s="40" t="s">
        <v>230</v>
      </c>
      <c r="T131" s="26" t="s">
        <v>26</v>
      </c>
    </row>
    <row r="132" spans="1:20" hidden="1" x14ac:dyDescent="0.3">
      <c r="A132" s="84">
        <v>131</v>
      </c>
      <c r="B132" s="6">
        <v>44392</v>
      </c>
      <c r="C132" s="85" t="s">
        <v>261</v>
      </c>
      <c r="D132" s="85" t="s">
        <v>261</v>
      </c>
      <c r="E132" s="16">
        <v>44392.934155092589</v>
      </c>
      <c r="F132" s="7">
        <v>44392.934872685182</v>
      </c>
      <c r="G132" s="14">
        <f t="shared" si="2"/>
        <v>7.1759259299142286E-4</v>
      </c>
      <c r="H132" s="4" t="s">
        <v>35</v>
      </c>
      <c r="I132" s="4" t="s">
        <v>24</v>
      </c>
      <c r="J132" s="87" t="str">
        <f>IF(ISBLANK(C132),"",IF(C132=D132, "1 video",CONCATENATE((+COUNTIFS(Video_List!$C:$C,"&lt;=" &amp;Monitoring!F132)-COUNTIFS(Video_List!$C:$C,"&lt;=" &amp;Monitoring!E132))+1," videos")))</f>
        <v>1 video</v>
      </c>
      <c r="K132" s="25" t="s">
        <v>23</v>
      </c>
      <c r="L132" s="40" t="s">
        <v>28</v>
      </c>
      <c r="M132" s="40" t="s">
        <v>114</v>
      </c>
      <c r="N132" s="40" t="s">
        <v>115</v>
      </c>
      <c r="O132" s="88" t="str">
        <f>+IFERROR(IF(P132="#N/C","#N/C",IF(Q132=0,INDEX(Taxonomy_UniqueValues!D:D,MATCH(Q132,Taxonomy_UniqueValues!F:F,0)),INDEX(Taxonomy_UniqueValues!D:D,MATCH(P132,Taxonomy_UniqueValues!E:E,0)))),"#N/C")</f>
        <v>Acrididea</v>
      </c>
      <c r="P132" s="40" t="s">
        <v>116</v>
      </c>
      <c r="Q132" s="40" t="s">
        <v>117</v>
      </c>
      <c r="R132" s="40" t="s">
        <v>164</v>
      </c>
      <c r="S132" s="40" t="s">
        <v>262</v>
      </c>
      <c r="T132" s="26" t="s">
        <v>263</v>
      </c>
    </row>
    <row r="133" spans="1:20" hidden="1" x14ac:dyDescent="0.3">
      <c r="A133" s="84">
        <v>92</v>
      </c>
      <c r="B133" s="6">
        <v>44391</v>
      </c>
      <c r="C133" s="85" t="s">
        <v>264</v>
      </c>
      <c r="D133" s="85" t="s">
        <v>264</v>
      </c>
      <c r="E133" s="16">
        <v>44391.316782407404</v>
      </c>
      <c r="F133" s="7">
        <v>44391.316817129627</v>
      </c>
      <c r="G133" s="14">
        <f t="shared" si="2"/>
        <v>3.4722223062999547E-5</v>
      </c>
      <c r="H133" s="86" t="s">
        <v>23</v>
      </c>
      <c r="I133" s="86" t="s">
        <v>24</v>
      </c>
      <c r="J133" s="87" t="str">
        <f>IF(ISBLANK(C133),"",IF(C133=D133, "1 video",CONCATENATE((+COUNTIFS(Video_List!$C:$C,"&lt;=" &amp;Monitoring!F133)-COUNTIFS(Video_List!$C:$C,"&lt;=" &amp;Monitoring!E133))+1," videos")))</f>
        <v>1 video</v>
      </c>
      <c r="K133" s="25" t="s">
        <v>23</v>
      </c>
      <c r="L133" s="40" t="s">
        <v>28</v>
      </c>
      <c r="M133" s="40" t="s">
        <v>265</v>
      </c>
      <c r="N133" s="40" t="s">
        <v>266</v>
      </c>
      <c r="O133" s="88" t="str">
        <f>+IFERROR(IF(P133="#N/C","#N/C",IF(Q133=0,INDEX(Taxonomy_UniqueValues!D:D,MATCH(Q133,Taxonomy_UniqueValues!F:F,0)),INDEX(Taxonomy_UniqueValues!D:D,MATCH(P133,Taxonomy_UniqueValues!E:E,0)))),"#N/C")</f>
        <v>Pentatomomorpha</v>
      </c>
      <c r="P133" s="40" t="s">
        <v>267</v>
      </c>
      <c r="Q133" s="40" t="s">
        <v>268</v>
      </c>
      <c r="R133" s="40" t="s">
        <v>269</v>
      </c>
      <c r="S133" s="40" t="s">
        <v>270</v>
      </c>
      <c r="T133" s="26" t="s">
        <v>26</v>
      </c>
    </row>
    <row r="134" spans="1:20" hidden="1" x14ac:dyDescent="0.3">
      <c r="A134" s="84">
        <v>133</v>
      </c>
      <c r="B134" s="6">
        <v>44392</v>
      </c>
      <c r="C134" s="85" t="s">
        <v>271</v>
      </c>
      <c r="D134" s="85" t="s">
        <v>271</v>
      </c>
      <c r="E134" s="16">
        <v>44392.945555555554</v>
      </c>
      <c r="F134" s="7">
        <v>44392.945601851854</v>
      </c>
      <c r="G134" s="14">
        <f t="shared" si="2"/>
        <v>4.6296299842651933E-5</v>
      </c>
      <c r="H134" s="4" t="s">
        <v>23</v>
      </c>
      <c r="I134" s="4" t="s">
        <v>24</v>
      </c>
      <c r="J134" s="87" t="str">
        <f>IF(ISBLANK(C134),"",IF(C134=D134, "1 video",CONCATENATE((+COUNTIFS(Video_List!$C:$C,"&lt;=" &amp;Monitoring!F134)-COUNTIFS(Video_List!$C:$C,"&lt;=" &amp;Monitoring!E134))+1," videos")))</f>
        <v>1 video</v>
      </c>
      <c r="K134" s="27" t="s">
        <v>35</v>
      </c>
      <c r="L134" s="40" t="s">
        <v>28</v>
      </c>
      <c r="M134" s="40" t="s">
        <v>29</v>
      </c>
      <c r="N134" s="40" t="s">
        <v>176</v>
      </c>
      <c r="O134" s="88" t="str">
        <f>+IFERROR(IF(P134="#N/C","#N/C",IF(Q134=0,INDEX(Taxonomy_UniqueValues!D:D,MATCH(Q134,Taxonomy_UniqueValues!F:F,0)),INDEX(Taxonomy_UniqueValues!D:D,MATCH(P134,Taxonomy_UniqueValues!E:E,0)))),"#N/C")</f>
        <v>Tipulomorpha</v>
      </c>
      <c r="P134" s="40" t="s">
        <v>227</v>
      </c>
      <c r="Q134" s="40" t="s">
        <v>228</v>
      </c>
      <c r="R134" s="40" t="s">
        <v>229</v>
      </c>
      <c r="S134" s="40" t="s">
        <v>26</v>
      </c>
      <c r="T134" s="26" t="s">
        <v>26</v>
      </c>
    </row>
    <row r="135" spans="1:20" hidden="1" x14ac:dyDescent="0.3">
      <c r="A135" s="84">
        <v>134</v>
      </c>
      <c r="B135" s="6">
        <v>44392</v>
      </c>
      <c r="C135" s="85" t="s">
        <v>272</v>
      </c>
      <c r="D135" s="85" t="s">
        <v>273</v>
      </c>
      <c r="E135" s="16">
        <v>44392.950960648152</v>
      </c>
      <c r="F135" s="7">
        <v>44392.959618055553</v>
      </c>
      <c r="G135" s="14">
        <f t="shared" si="2"/>
        <v>8.657407401187811E-3</v>
      </c>
      <c r="H135" s="4" t="s">
        <v>23</v>
      </c>
      <c r="I135" s="4" t="s">
        <v>24</v>
      </c>
      <c r="J135" s="87" t="str">
        <f>IF(ISBLANK(C135),"",IF(C135=D135, "1 video",CONCATENATE((+COUNTIFS(Video_List!$C:$C,"&lt;=" &amp;Monitoring!F135)-COUNTIFS(Video_List!$C:$C,"&lt;=" &amp;Monitoring!E135))+1," videos")))</f>
        <v>3 videos</v>
      </c>
      <c r="K135" s="27" t="s">
        <v>35</v>
      </c>
      <c r="L135" s="40" t="s">
        <v>28</v>
      </c>
      <c r="M135" s="40" t="s">
        <v>47</v>
      </c>
      <c r="N135" s="40" t="s">
        <v>48</v>
      </c>
      <c r="O135" s="88" t="str">
        <f>+IFERROR(IF(P135="#N/C","#N/C",IF(Q135=0,INDEX(Taxonomy_UniqueValues!D:D,MATCH(Q135,Taxonomy_UniqueValues!F:F,0)),INDEX(Taxonomy_UniqueValues!D:D,MATCH(P135,Taxonomy_UniqueValues!E:E,0)))),"#N/C")</f>
        <v>Heterocera</v>
      </c>
      <c r="P135" s="40" t="s">
        <v>248</v>
      </c>
      <c r="Q135" s="40" t="s">
        <v>26</v>
      </c>
      <c r="R135" s="40" t="s">
        <v>26</v>
      </c>
      <c r="S135" s="40" t="s">
        <v>26</v>
      </c>
      <c r="T135" s="26" t="s">
        <v>26</v>
      </c>
    </row>
    <row r="136" spans="1:20" hidden="1" x14ac:dyDescent="0.3">
      <c r="A136" s="84">
        <v>135</v>
      </c>
      <c r="B136" s="6">
        <v>44392</v>
      </c>
      <c r="C136" s="85" t="s">
        <v>274</v>
      </c>
      <c r="D136" s="85" t="s">
        <v>274</v>
      </c>
      <c r="E136" s="16">
        <v>44392.953298611108</v>
      </c>
      <c r="F136" s="89">
        <v>44392.953356481485</v>
      </c>
      <c r="G136" s="90">
        <f t="shared" si="2"/>
        <v>5.787037662230432E-5</v>
      </c>
      <c r="H136" s="91" t="s">
        <v>23</v>
      </c>
      <c r="I136" s="91" t="s">
        <v>24</v>
      </c>
      <c r="J136" s="87" t="str">
        <f>IF(ISBLANK(C136),"",IF(C136=D136, "1 video",CONCATENATE((+COUNTIFS(Video_List!$C:$C,"&lt;=" &amp;Monitoring!F136)-COUNTIFS(Video_List!$C:$C,"&lt;=" &amp;Monitoring!E136))+1," videos")))</f>
        <v>1 video</v>
      </c>
      <c r="K136" s="25" t="s">
        <v>23</v>
      </c>
      <c r="L136" s="40" t="s">
        <v>28</v>
      </c>
      <c r="M136" s="40" t="s">
        <v>47</v>
      </c>
      <c r="N136" s="40" t="s">
        <v>26</v>
      </c>
      <c r="O136" s="88" t="str">
        <f>+IFERROR(IF(P136="#N/C","#N/C",IF(Q136=0,INDEX(Taxonomy_UniqueValues!D:D,MATCH(Q136,Taxonomy_UniqueValues!F:F,0)),INDEX(Taxonomy_UniqueValues!D:D,MATCH(P136,Taxonomy_UniqueValues!E:E,0)))),"#N/C")</f>
        <v>#N/C</v>
      </c>
      <c r="P136" s="40" t="s">
        <v>26</v>
      </c>
      <c r="Q136" s="40" t="s">
        <v>26</v>
      </c>
      <c r="R136" s="40" t="s">
        <v>26</v>
      </c>
      <c r="S136" s="40" t="s">
        <v>26</v>
      </c>
      <c r="T136" s="26" t="s">
        <v>26</v>
      </c>
    </row>
    <row r="137" spans="1:20" hidden="1" x14ac:dyDescent="0.3">
      <c r="A137" s="84">
        <v>136</v>
      </c>
      <c r="B137" s="6">
        <v>44392</v>
      </c>
      <c r="C137" s="85" t="s">
        <v>273</v>
      </c>
      <c r="D137" s="85" t="s">
        <v>273</v>
      </c>
      <c r="E137" s="16">
        <v>44392.959224537037</v>
      </c>
      <c r="F137" s="7">
        <v>44392.959618055553</v>
      </c>
      <c r="G137" s="14">
        <f t="shared" si="2"/>
        <v>3.9351851592073217E-4</v>
      </c>
      <c r="H137" s="4" t="s">
        <v>23</v>
      </c>
      <c r="I137" s="4" t="s">
        <v>24</v>
      </c>
      <c r="J137" s="87" t="str">
        <f>IF(ISBLANK(C137),"",IF(C137=D137, "1 video",CONCATENATE((+COUNTIFS(Video_List!$C:$C,"&lt;=" &amp;Monitoring!F137)-COUNTIFS(Video_List!$C:$C,"&lt;=" &amp;Monitoring!E137))+1," videos")))</f>
        <v>1 video</v>
      </c>
      <c r="K137" s="27" t="s">
        <v>35</v>
      </c>
      <c r="L137" s="40" t="s">
        <v>28</v>
      </c>
      <c r="M137" s="40" t="s">
        <v>47</v>
      </c>
      <c r="N137" s="40" t="s">
        <v>48</v>
      </c>
      <c r="O137" s="88" t="str">
        <f>+IFERROR(IF(P137="#N/C","#N/C",IF(Q137=0,INDEX(Taxonomy_UniqueValues!D:D,MATCH(Q137,Taxonomy_UniqueValues!F:F,0)),INDEX(Taxonomy_UniqueValues!D:D,MATCH(P137,Taxonomy_UniqueValues!E:E,0)))),"#N/C")</f>
        <v>Heterocera</v>
      </c>
      <c r="P137" s="40" t="s">
        <v>248</v>
      </c>
      <c r="Q137" s="40" t="s">
        <v>26</v>
      </c>
      <c r="R137" s="40" t="s">
        <v>26</v>
      </c>
      <c r="S137" s="40" t="s">
        <v>26</v>
      </c>
      <c r="T137" s="26" t="s">
        <v>26</v>
      </c>
    </row>
    <row r="138" spans="1:20" hidden="1" x14ac:dyDescent="0.3">
      <c r="A138" s="84">
        <v>137</v>
      </c>
      <c r="B138" s="6">
        <v>44392</v>
      </c>
      <c r="C138" s="85" t="s">
        <v>275</v>
      </c>
      <c r="D138" s="85" t="s">
        <v>276</v>
      </c>
      <c r="E138" s="16">
        <v>44392.960451388892</v>
      </c>
      <c r="F138" s="7">
        <v>44393.003888888888</v>
      </c>
      <c r="G138" s="14">
        <f t="shared" si="2"/>
        <v>4.3437499996798579E-2</v>
      </c>
      <c r="H138" s="4" t="s">
        <v>46</v>
      </c>
      <c r="I138" s="4" t="s">
        <v>46</v>
      </c>
      <c r="J138" s="87" t="str">
        <f>IF(ISBLANK(C138),"",IF(C138=D138, "1 video",CONCATENATE((+COUNTIFS(Video_List!$C:$C,"&lt;=" &amp;Monitoring!F138)-COUNTIFS(Video_List!$C:$C,"&lt;=" &amp;Monitoring!E138))+1," videos")))</f>
        <v>5 videos</v>
      </c>
      <c r="K138" s="25" t="s">
        <v>23</v>
      </c>
      <c r="L138" s="40" t="s">
        <v>28</v>
      </c>
      <c r="M138" s="40" t="s">
        <v>47</v>
      </c>
      <c r="N138" s="40" t="s">
        <v>48</v>
      </c>
      <c r="O138" s="88" t="str">
        <f>+IFERROR(IF(P138="#N/C","#N/C",IF(Q138=0,INDEX(Taxonomy_UniqueValues!D:D,MATCH(Q138,Taxonomy_UniqueValues!F:F,0)),INDEX(Taxonomy_UniqueValues!D:D,MATCH(P138,Taxonomy_UniqueValues!E:E,0)))),"#N/C")</f>
        <v>Heterocera</v>
      </c>
      <c r="P138" s="40" t="s">
        <v>248</v>
      </c>
      <c r="Q138" s="40" t="s">
        <v>26</v>
      </c>
      <c r="R138" s="40" t="s">
        <v>26</v>
      </c>
      <c r="S138" s="40" t="s">
        <v>26</v>
      </c>
      <c r="T138" s="26" t="s">
        <v>26</v>
      </c>
    </row>
    <row r="139" spans="1:20" hidden="1" x14ac:dyDescent="0.3">
      <c r="A139" s="84">
        <v>138</v>
      </c>
      <c r="B139" s="6">
        <v>44393</v>
      </c>
      <c r="C139" s="85" t="s">
        <v>277</v>
      </c>
      <c r="D139" s="85" t="s">
        <v>277</v>
      </c>
      <c r="E139" s="16">
        <v>44393.003819444442</v>
      </c>
      <c r="F139" s="7">
        <v>44393.004143518519</v>
      </c>
      <c r="G139" s="14">
        <f t="shared" si="2"/>
        <v>3.2407407707069069E-4</v>
      </c>
      <c r="H139" s="4" t="s">
        <v>35</v>
      </c>
      <c r="I139" s="4" t="s">
        <v>24</v>
      </c>
      <c r="J139" s="87" t="str">
        <f>IF(ISBLANK(C139),"",IF(C139=D139, "1 video",CONCATENATE((+COUNTIFS(Video_List!$C:$C,"&lt;=" &amp;Monitoring!F139)-COUNTIFS(Video_List!$C:$C,"&lt;=" &amp;Monitoring!E139))+1," videos")))</f>
        <v>1 video</v>
      </c>
      <c r="K139" s="25" t="s">
        <v>23</v>
      </c>
      <c r="L139" s="40" t="s">
        <v>28</v>
      </c>
      <c r="M139" s="40" t="s">
        <v>114</v>
      </c>
      <c r="N139" s="40" t="s">
        <v>278</v>
      </c>
      <c r="O139" s="88" t="str">
        <f>+IFERROR(IF(P139="#N/C","#N/C",IF(Q139=0,INDEX(Taxonomy_UniqueValues!D:D,MATCH(Q139,Taxonomy_UniqueValues!F:F,0)),INDEX(Taxonomy_UniqueValues!D:D,MATCH(P139,Taxonomy_UniqueValues!E:E,0)))),"#N/C")</f>
        <v>Tettigoniidea</v>
      </c>
      <c r="P139" s="40" t="s">
        <v>279</v>
      </c>
      <c r="Q139" s="40" t="s">
        <v>280</v>
      </c>
      <c r="R139" s="40" t="s">
        <v>281</v>
      </c>
      <c r="S139" s="40" t="s">
        <v>282</v>
      </c>
      <c r="T139" s="26" t="s">
        <v>283</v>
      </c>
    </row>
    <row r="140" spans="1:20" hidden="1" x14ac:dyDescent="0.3">
      <c r="A140" s="84">
        <v>139</v>
      </c>
      <c r="B140" s="6">
        <v>44393</v>
      </c>
      <c r="C140" s="85" t="s">
        <v>284</v>
      </c>
      <c r="D140" s="85" t="s">
        <v>284</v>
      </c>
      <c r="E140" s="16">
        <v>44393.0078125</v>
      </c>
      <c r="F140" s="7">
        <v>44393.007870370369</v>
      </c>
      <c r="G140" s="14">
        <f t="shared" si="2"/>
        <v>5.7870369346346706E-5</v>
      </c>
      <c r="H140" s="4" t="s">
        <v>23</v>
      </c>
      <c r="I140" s="4" t="s">
        <v>24</v>
      </c>
      <c r="J140" s="87" t="str">
        <f>IF(ISBLANK(C140),"",IF(C140=D140, "1 video",CONCATENATE((+COUNTIFS(Video_List!$C:$C,"&lt;=" &amp;Monitoring!F140)-COUNTIFS(Video_List!$C:$C,"&lt;=" &amp;Monitoring!E140))+1," videos")))</f>
        <v>1 video</v>
      </c>
      <c r="K140" s="27" t="s">
        <v>35</v>
      </c>
      <c r="L140" s="40" t="s">
        <v>28</v>
      </c>
      <c r="M140" s="40" t="s">
        <v>47</v>
      </c>
      <c r="N140" s="40" t="s">
        <v>48</v>
      </c>
      <c r="O140" s="88" t="str">
        <f>+IFERROR(IF(P140="#N/C","#N/C",IF(Q140=0,INDEX(Taxonomy_UniqueValues!D:D,MATCH(Q140,Taxonomy_UniqueValues!F:F,0)),INDEX(Taxonomy_UniqueValues!D:D,MATCH(P140,Taxonomy_UniqueValues!E:E,0)))),"#N/C")</f>
        <v>Heterocera</v>
      </c>
      <c r="P140" s="40" t="s">
        <v>248</v>
      </c>
      <c r="Q140" s="40" t="s">
        <v>26</v>
      </c>
      <c r="R140" s="40" t="s">
        <v>26</v>
      </c>
      <c r="S140" s="40" t="s">
        <v>26</v>
      </c>
      <c r="T140" s="26" t="s">
        <v>26</v>
      </c>
    </row>
    <row r="141" spans="1:20" hidden="1" x14ac:dyDescent="0.3">
      <c r="A141" s="84">
        <v>140</v>
      </c>
      <c r="B141" s="6">
        <v>44393</v>
      </c>
      <c r="C141" s="85" t="s">
        <v>285</v>
      </c>
      <c r="D141" s="85" t="s">
        <v>285</v>
      </c>
      <c r="E141" s="16">
        <v>44393.012245370373</v>
      </c>
      <c r="F141" s="7">
        <v>44393.012337962966</v>
      </c>
      <c r="G141" s="14">
        <f t="shared" si="2"/>
        <v>9.2592592409346253E-5</v>
      </c>
      <c r="H141" s="4" t="s">
        <v>23</v>
      </c>
      <c r="I141" s="4" t="s">
        <v>24</v>
      </c>
      <c r="J141" s="87" t="str">
        <f>IF(ISBLANK(C141),"",IF(C141=D141, "1 video",CONCATENATE((+COUNTIFS(Video_List!$C:$C,"&lt;=" &amp;Monitoring!F141)-COUNTIFS(Video_List!$C:$C,"&lt;=" &amp;Monitoring!E141))+1," videos")))</f>
        <v>1 video</v>
      </c>
      <c r="K141" s="25" t="s">
        <v>23</v>
      </c>
      <c r="L141" s="40" t="s">
        <v>28</v>
      </c>
      <c r="M141" s="40" t="s">
        <v>29</v>
      </c>
      <c r="N141" s="40" t="s">
        <v>30</v>
      </c>
      <c r="O141" s="88" t="str">
        <f>+IFERROR(IF(P141="#N/C","#N/C",IF(Q141=0,INDEX(Taxonomy_UniqueValues!D:D,MATCH(Q141,Taxonomy_UniqueValues!F:F,0)),INDEX(Taxonomy_UniqueValues!D:D,MATCH(P141,Taxonomy_UniqueValues!E:E,0)))),"#N/C")</f>
        <v>Muscomorpha</v>
      </c>
      <c r="P141" s="3" t="s">
        <v>152</v>
      </c>
      <c r="Q141" s="40" t="s">
        <v>153</v>
      </c>
      <c r="R141" s="40" t="s">
        <v>154</v>
      </c>
      <c r="S141" s="40" t="s">
        <v>155</v>
      </c>
      <c r="T141" s="26" t="s">
        <v>26</v>
      </c>
    </row>
    <row r="142" spans="1:20" hidden="1" x14ac:dyDescent="0.3">
      <c r="A142" s="84">
        <v>141</v>
      </c>
      <c r="B142" s="6">
        <v>44393</v>
      </c>
      <c r="C142" s="85" t="s">
        <v>286</v>
      </c>
      <c r="D142" s="85" t="s">
        <v>287</v>
      </c>
      <c r="E142" s="16">
        <v>44393.081354166665</v>
      </c>
      <c r="F142" s="7">
        <v>44393.086377314816</v>
      </c>
      <c r="G142" s="14">
        <f t="shared" si="2"/>
        <v>5.02314815093996E-3</v>
      </c>
      <c r="H142" s="4" t="s">
        <v>35</v>
      </c>
      <c r="I142" s="4" t="s">
        <v>109</v>
      </c>
      <c r="J142" s="87" t="str">
        <f>IF(ISBLANK(C142),"",IF(C142=D142, "1 video",CONCATENATE((+COUNTIFS(Video_List!$C:$C,"&lt;=" &amp;Monitoring!F142)-COUNTIFS(Video_List!$C:$C,"&lt;=" &amp;Monitoring!E142))+1," videos")))</f>
        <v>3 videos</v>
      </c>
      <c r="K142" s="25" t="s">
        <v>23</v>
      </c>
      <c r="L142" s="105" t="str">
        <f>+IFERROR(IF(M142="#N/C","#N/C",INDEX(Taxonomy_UniqueValues!A:A,MATCH(M142,Taxonomy_UniqueValues!B:B,0))),"#N/C")</f>
        <v>Insecta</v>
      </c>
      <c r="M142" s="105" t="str">
        <f>+IFERROR(IF(N142="#N/C","#N/C",INDEX(Taxonomy_UniqueValues!B:B,MATCH(N142,Taxonomy_UniqueValues!C:C,0))),"#N/C")</f>
        <v>Hymenoptera</v>
      </c>
      <c r="N142" s="105" t="str">
        <f>+IFERROR(IF(O142="#N/C","#N/C",INDEX(Taxonomy_UniqueValues!C:C,MATCH(O142,Taxonomy_UniqueValues!D:D,0))),"#N/C")</f>
        <v>Apocrita</v>
      </c>
      <c r="O142" s="105" t="str">
        <f>+IFERROR(IF(P142="#N/C","#N/C",INDEX(Taxonomy_UniqueValues!D:D,MATCH(P142,Taxonomy_UniqueValues!E:E,0))),"#N/C")</f>
        <v>Aculeata</v>
      </c>
      <c r="P142" s="105" t="str">
        <f>+IFERROR(IF(Q142="#N/C","#N/C",INDEX(Taxonomy_UniqueValues!E:E,MATCH(Q142,Taxonomy_UniqueValues!F:F,0))),"#N/C")</f>
        <v>Formicoidea</v>
      </c>
      <c r="Q142" s="105" t="str">
        <f>+IFERROR(IF(R142="#N/C","#N/C",INDEX(Taxonomy_UniqueValues!F:F,MATCH(R142,Taxonomy_UniqueValues!G:G,0))),"#N/C")</f>
        <v>Formicidae</v>
      </c>
      <c r="R142" s="105" t="str">
        <f>+IFERROR(IF(S142="#N/C","#N/C",INDEX(Taxonomy_UniqueValues!G:G,MATCH(S142,Taxonomy_UniqueValues!H:H,0))),"#N/C")</f>
        <v>Formicinae</v>
      </c>
      <c r="S142" s="40" t="s">
        <v>170</v>
      </c>
      <c r="T142" s="26" t="s">
        <v>26</v>
      </c>
    </row>
    <row r="143" spans="1:20" hidden="1" x14ac:dyDescent="0.3">
      <c r="A143" s="84">
        <v>142</v>
      </c>
      <c r="B143" s="6">
        <v>44393</v>
      </c>
      <c r="C143" s="85" t="s">
        <v>286</v>
      </c>
      <c r="D143" s="85" t="s">
        <v>287</v>
      </c>
      <c r="E143" s="16">
        <v>44393.082314814812</v>
      </c>
      <c r="F143" s="7">
        <v>44393.086331018516</v>
      </c>
      <c r="G143" s="14">
        <f t="shared" si="2"/>
        <v>4.016203703940846E-3</v>
      </c>
      <c r="H143" s="4" t="s">
        <v>23</v>
      </c>
      <c r="I143" s="4" t="s">
        <v>24</v>
      </c>
      <c r="J143" s="87" t="str">
        <f>IF(ISBLANK(C143),"",IF(C143=D143, "1 video",CONCATENATE((+COUNTIFS(Video_List!$C:$C,"&lt;=" &amp;Monitoring!F143)-COUNTIFS(Video_List!$C:$C,"&lt;=" &amp;Monitoring!E143))+1," videos")))</f>
        <v>3 videos</v>
      </c>
      <c r="K143" s="25" t="s">
        <v>23</v>
      </c>
      <c r="L143" s="40" t="s">
        <v>28</v>
      </c>
      <c r="M143" s="40" t="s">
        <v>47</v>
      </c>
      <c r="N143" s="40" t="s">
        <v>26</v>
      </c>
      <c r="O143" s="88" t="str">
        <f>+IFERROR(IF(P143="#N/C","#N/C",IF(Q143=0,INDEX(Taxonomy_UniqueValues!D:D,MATCH(Q143,Taxonomy_UniqueValues!F:F,0)),INDEX(Taxonomy_UniqueValues!D:D,MATCH(P143,Taxonomy_UniqueValues!E:E,0)))),"#N/C")</f>
        <v>#N/C</v>
      </c>
      <c r="P143" s="40" t="s">
        <v>26</v>
      </c>
      <c r="Q143" s="40" t="s">
        <v>26</v>
      </c>
      <c r="R143" s="40" t="s">
        <v>26</v>
      </c>
      <c r="S143" s="40" t="s">
        <v>26</v>
      </c>
      <c r="T143" s="26" t="s">
        <v>26</v>
      </c>
    </row>
    <row r="144" spans="1:20" hidden="1" x14ac:dyDescent="0.3">
      <c r="A144" s="84">
        <v>143</v>
      </c>
      <c r="B144" s="6">
        <v>44393</v>
      </c>
      <c r="C144" s="85" t="s">
        <v>288</v>
      </c>
      <c r="D144" s="85" t="s">
        <v>288</v>
      </c>
      <c r="E144" s="16">
        <v>44393.109305555554</v>
      </c>
      <c r="F144" s="7">
        <v>44393.109375</v>
      </c>
      <c r="G144" s="14">
        <f t="shared" si="2"/>
        <v>6.9444446125999093E-5</v>
      </c>
      <c r="H144" s="4" t="s">
        <v>23</v>
      </c>
      <c r="I144" s="4" t="s">
        <v>24</v>
      </c>
      <c r="J144" s="87" t="str">
        <f>IF(ISBLANK(C144),"",IF(C144=D144, "1 video",CONCATENATE((+COUNTIFS(Video_List!$C:$C,"&lt;=" &amp;Monitoring!F144)-COUNTIFS(Video_List!$C:$C,"&lt;=" &amp;Monitoring!E144))+1," videos")))</f>
        <v>1 video</v>
      </c>
      <c r="K144" s="25" t="s">
        <v>23</v>
      </c>
      <c r="L144" s="40" t="s">
        <v>28</v>
      </c>
      <c r="M144" s="40" t="s">
        <v>47</v>
      </c>
      <c r="N144" s="40" t="s">
        <v>26</v>
      </c>
      <c r="O144" s="88" t="str">
        <f>+IFERROR(IF(P144="#N/C","#N/C",IF(Q144=0,INDEX(Taxonomy_UniqueValues!D:D,MATCH(Q144,Taxonomy_UniqueValues!F:F,0)),INDEX(Taxonomy_UniqueValues!D:D,MATCH(P144,Taxonomy_UniqueValues!E:E,0)))),"#N/C")</f>
        <v>#N/C</v>
      </c>
      <c r="P144" s="40" t="s">
        <v>26</v>
      </c>
      <c r="Q144" s="40" t="s">
        <v>26</v>
      </c>
      <c r="R144" s="40" t="s">
        <v>26</v>
      </c>
      <c r="S144" s="40" t="s">
        <v>26</v>
      </c>
      <c r="T144" s="26" t="s">
        <v>26</v>
      </c>
    </row>
    <row r="145" spans="1:20" hidden="1" x14ac:dyDescent="0.3">
      <c r="A145" s="84">
        <v>144</v>
      </c>
      <c r="B145" s="6">
        <v>44393</v>
      </c>
      <c r="C145" s="85" t="s">
        <v>288</v>
      </c>
      <c r="D145" s="85" t="s">
        <v>288</v>
      </c>
      <c r="E145" s="16">
        <v>44393.109525462962</v>
      </c>
      <c r="F145" s="7">
        <v>44393.109548611108</v>
      </c>
      <c r="G145" s="14">
        <f t="shared" si="2"/>
        <v>2.314814628334716E-5</v>
      </c>
      <c r="H145" s="4" t="s">
        <v>23</v>
      </c>
      <c r="I145" s="4" t="s">
        <v>24</v>
      </c>
      <c r="J145" s="87" t="str">
        <f>IF(ISBLANK(C145),"",IF(C145=D145, "1 video",CONCATENATE((+COUNTIFS(Video_List!$C:$C,"&lt;=" &amp;Monitoring!F145)-COUNTIFS(Video_List!$C:$C,"&lt;=" &amp;Monitoring!E145))+1," videos")))</f>
        <v>1 video</v>
      </c>
      <c r="K145" s="27" t="s">
        <v>35</v>
      </c>
      <c r="L145" s="40" t="s">
        <v>28</v>
      </c>
      <c r="M145" s="40" t="s">
        <v>29</v>
      </c>
      <c r="N145" s="40" t="s">
        <v>30</v>
      </c>
      <c r="O145" s="88" t="str">
        <f>+IFERROR(IF(P145="#N/C","#N/C",IF(Q145=0,INDEX(Taxonomy_UniqueValues!D:D,MATCH(Q145,Taxonomy_UniqueValues!F:F,0)),INDEX(Taxonomy_UniqueValues!D:D,MATCH(P145,Taxonomy_UniqueValues!E:E,0)))),"#N/C")</f>
        <v>#N/C</v>
      </c>
      <c r="P145" s="40" t="s">
        <v>26</v>
      </c>
      <c r="Q145" s="40" t="s">
        <v>26</v>
      </c>
      <c r="R145" s="40" t="s">
        <v>26</v>
      </c>
      <c r="S145" s="40" t="s">
        <v>26</v>
      </c>
      <c r="T145" s="26" t="s">
        <v>26</v>
      </c>
    </row>
    <row r="146" spans="1:20" hidden="1" x14ac:dyDescent="0.3">
      <c r="A146" s="84">
        <v>145</v>
      </c>
      <c r="B146" s="6">
        <v>44393</v>
      </c>
      <c r="C146" s="85" t="s">
        <v>289</v>
      </c>
      <c r="D146" s="85" t="s">
        <v>290</v>
      </c>
      <c r="E146" s="16">
        <v>44393.123865740738</v>
      </c>
      <c r="F146" s="7">
        <v>44393.125289351854</v>
      </c>
      <c r="G146" s="14">
        <f t="shared" si="2"/>
        <v>1.423611116479151E-3</v>
      </c>
      <c r="H146" s="4" t="s">
        <v>23</v>
      </c>
      <c r="I146" s="4" t="s">
        <v>24</v>
      </c>
      <c r="J146" s="87" t="str">
        <f>IF(ISBLANK(C146),"",IF(C146=D146, "1 video",CONCATENATE((+COUNTIFS(Video_List!$C:$C,"&lt;=" &amp;Monitoring!F146)-COUNTIFS(Video_List!$C:$C,"&lt;=" &amp;Monitoring!E146))+1," videos")))</f>
        <v>2 videos</v>
      </c>
      <c r="K146" s="27" t="s">
        <v>35</v>
      </c>
      <c r="L146" s="40" t="s">
        <v>28</v>
      </c>
      <c r="M146" s="40" t="s">
        <v>47</v>
      </c>
      <c r="N146" s="40" t="s">
        <v>48</v>
      </c>
      <c r="O146" s="88" t="str">
        <f>+IFERROR(IF(P146="#N/C","#N/C",IF(Q146=0,INDEX(Taxonomy_UniqueValues!D:D,MATCH(Q146,Taxonomy_UniqueValues!F:F,0)),INDEX(Taxonomy_UniqueValues!D:D,MATCH(P146,Taxonomy_UniqueValues!E:E,0)))),"#N/C")</f>
        <v>Heterocera</v>
      </c>
      <c r="P146" s="40" t="s">
        <v>248</v>
      </c>
      <c r="Q146" s="40" t="s">
        <v>291</v>
      </c>
      <c r="R146" s="40" t="s">
        <v>26</v>
      </c>
      <c r="S146" s="40" t="s">
        <v>26</v>
      </c>
      <c r="T146" s="26" t="s">
        <v>26</v>
      </c>
    </row>
    <row r="147" spans="1:20" hidden="1" x14ac:dyDescent="0.3">
      <c r="A147" s="84">
        <v>146</v>
      </c>
      <c r="B147" s="6">
        <v>44393</v>
      </c>
      <c r="C147" s="85" t="s">
        <v>290</v>
      </c>
      <c r="D147" s="85" t="s">
        <v>290</v>
      </c>
      <c r="E147" s="16">
        <v>44393.124872685185</v>
      </c>
      <c r="F147" s="7">
        <v>44393.124918981484</v>
      </c>
      <c r="G147" s="14">
        <f t="shared" si="2"/>
        <v>4.6296299842651933E-5</v>
      </c>
      <c r="H147" s="4" t="s">
        <v>23</v>
      </c>
      <c r="I147" s="4" t="s">
        <v>24</v>
      </c>
      <c r="J147" s="87" t="str">
        <f>IF(ISBLANK(C147),"",IF(C147=D147, "1 video",CONCATENATE((+COUNTIFS(Video_List!$C:$C,"&lt;=" &amp;Monitoring!F147)-COUNTIFS(Video_List!$C:$C,"&lt;=" &amp;Monitoring!E147))+1," videos")))</f>
        <v>1 video</v>
      </c>
      <c r="K147" s="27" t="s">
        <v>35</v>
      </c>
      <c r="L147" s="40" t="s">
        <v>28</v>
      </c>
      <c r="M147" s="40" t="s">
        <v>47</v>
      </c>
      <c r="N147" s="40" t="s">
        <v>48</v>
      </c>
      <c r="O147" s="88" t="str">
        <f>+IFERROR(IF(P147="#N/C","#N/C",IF(Q147=0,INDEX(Taxonomy_UniqueValues!D:D,MATCH(Q147,Taxonomy_UniqueValues!F:F,0)),INDEX(Taxonomy_UniqueValues!D:D,MATCH(P147,Taxonomy_UniqueValues!E:E,0)))),"#N/C")</f>
        <v>Heterocera</v>
      </c>
      <c r="P147" s="40" t="s">
        <v>248</v>
      </c>
      <c r="Q147" s="40" t="s">
        <v>26</v>
      </c>
      <c r="R147" s="40" t="s">
        <v>26</v>
      </c>
      <c r="S147" s="40" t="s">
        <v>26</v>
      </c>
      <c r="T147" s="26" t="s">
        <v>26</v>
      </c>
    </row>
    <row r="148" spans="1:20" hidden="1" x14ac:dyDescent="0.3">
      <c r="A148" s="84">
        <v>147</v>
      </c>
      <c r="B148" s="6">
        <v>44393</v>
      </c>
      <c r="C148" s="85" t="s">
        <v>292</v>
      </c>
      <c r="D148" s="85" t="s">
        <v>292</v>
      </c>
      <c r="E148" s="16">
        <v>44393.127488425926</v>
      </c>
      <c r="F148" s="7">
        <v>44393.127581018518</v>
      </c>
      <c r="G148" s="14">
        <f t="shared" si="2"/>
        <v>9.2592592409346253E-5</v>
      </c>
      <c r="H148" s="4" t="s">
        <v>23</v>
      </c>
      <c r="I148" s="4" t="s">
        <v>24</v>
      </c>
      <c r="J148" s="87" t="str">
        <f>IF(ISBLANK(C148),"",IF(C148=D148, "1 video",CONCATENATE((+COUNTIFS(Video_List!$C:$C,"&lt;=" &amp;Monitoring!F148)-COUNTIFS(Video_List!$C:$C,"&lt;=" &amp;Monitoring!E148))+1," videos")))</f>
        <v>1 video</v>
      </c>
      <c r="K148" s="25" t="s">
        <v>23</v>
      </c>
      <c r="L148" s="40" t="s">
        <v>28</v>
      </c>
      <c r="M148" s="40" t="s">
        <v>47</v>
      </c>
      <c r="N148" s="40" t="s">
        <v>48</v>
      </c>
      <c r="O148" s="88" t="str">
        <f>+IFERROR(IF(P148="#N/C","#N/C",IF(Q148=0,INDEX(Taxonomy_UniqueValues!D:D,MATCH(Q148,Taxonomy_UniqueValues!F:F,0)),INDEX(Taxonomy_UniqueValues!D:D,MATCH(P148,Taxonomy_UniqueValues!E:E,0)))),"#N/C")</f>
        <v>Heterocera</v>
      </c>
      <c r="P148" s="40" t="s">
        <v>248</v>
      </c>
      <c r="Q148" s="40" t="s">
        <v>291</v>
      </c>
      <c r="R148" s="40" t="s">
        <v>26</v>
      </c>
      <c r="S148" s="40" t="s">
        <v>26</v>
      </c>
      <c r="T148" s="26" t="s">
        <v>26</v>
      </c>
    </row>
    <row r="149" spans="1:20" hidden="1" x14ac:dyDescent="0.3">
      <c r="A149" s="84">
        <v>148</v>
      </c>
      <c r="B149" s="6">
        <v>44393</v>
      </c>
      <c r="C149" s="85" t="s">
        <v>293</v>
      </c>
      <c r="D149" s="85" t="s">
        <v>293</v>
      </c>
      <c r="E149" s="16">
        <v>44393.1330787037</v>
      </c>
      <c r="F149" s="7">
        <v>44393.133125</v>
      </c>
      <c r="G149" s="14">
        <f t="shared" si="2"/>
        <v>4.6296299842651933E-5</v>
      </c>
      <c r="H149" s="4" t="s">
        <v>23</v>
      </c>
      <c r="I149" s="4" t="s">
        <v>24</v>
      </c>
      <c r="J149" s="87" t="str">
        <f>IF(ISBLANK(C149),"",IF(C149=D149, "1 video",CONCATENATE((+COUNTIFS(Video_List!$C:$C,"&lt;=" &amp;Monitoring!F149)-COUNTIFS(Video_List!$C:$C,"&lt;=" &amp;Monitoring!E149))+1," videos")))</f>
        <v>1 video</v>
      </c>
      <c r="K149" s="27" t="s">
        <v>35</v>
      </c>
      <c r="L149" s="40" t="s">
        <v>28</v>
      </c>
      <c r="M149" s="40" t="s">
        <v>47</v>
      </c>
      <c r="N149" s="40" t="s">
        <v>48</v>
      </c>
      <c r="O149" s="88" t="str">
        <f>+IFERROR(IF(P149="#N/C","#N/C",IF(Q149=0,INDEX(Taxonomy_UniqueValues!D:D,MATCH(Q149,Taxonomy_UniqueValues!F:F,0)),INDEX(Taxonomy_UniqueValues!D:D,MATCH(P149,Taxonomy_UniqueValues!E:E,0)))),"#N/C")</f>
        <v>Heterocera</v>
      </c>
      <c r="P149" s="40" t="s">
        <v>248</v>
      </c>
      <c r="Q149" s="40" t="s">
        <v>26</v>
      </c>
      <c r="R149" s="40" t="s">
        <v>26</v>
      </c>
      <c r="S149" s="40" t="s">
        <v>26</v>
      </c>
      <c r="T149" s="26" t="s">
        <v>26</v>
      </c>
    </row>
    <row r="150" spans="1:20" hidden="1" x14ac:dyDescent="0.3">
      <c r="A150" s="84">
        <v>149</v>
      </c>
      <c r="B150" s="6">
        <v>44393</v>
      </c>
      <c r="C150" s="85" t="s">
        <v>294</v>
      </c>
      <c r="D150" s="85" t="s">
        <v>294</v>
      </c>
      <c r="E150" s="16">
        <v>44393.136747685188</v>
      </c>
      <c r="F150" s="7">
        <v>44393.136805555558</v>
      </c>
      <c r="G150" s="14">
        <f t="shared" si="2"/>
        <v>5.7870369346346706E-5</v>
      </c>
      <c r="H150" s="4" t="s">
        <v>23</v>
      </c>
      <c r="I150" s="4" t="s">
        <v>24</v>
      </c>
      <c r="J150" s="87" t="str">
        <f>IF(ISBLANK(C150),"",IF(C150=D150, "1 video",CONCATENATE((+COUNTIFS(Video_List!$C:$C,"&lt;=" &amp;Monitoring!F150)-COUNTIFS(Video_List!$C:$C,"&lt;=" &amp;Monitoring!E150))+1," videos")))</f>
        <v>1 video</v>
      </c>
      <c r="K150" s="27" t="s">
        <v>35</v>
      </c>
      <c r="L150" s="40" t="s">
        <v>28</v>
      </c>
      <c r="M150" s="40" t="s">
        <v>47</v>
      </c>
      <c r="N150" s="40" t="s">
        <v>48</v>
      </c>
      <c r="O150" s="88" t="str">
        <f>+IFERROR(IF(P150="#N/C","#N/C",IF(Q150=0,INDEX(Taxonomy_UniqueValues!D:D,MATCH(Q150,Taxonomy_UniqueValues!F:F,0)),INDEX(Taxonomy_UniqueValues!D:D,MATCH(P150,Taxonomy_UniqueValues!E:E,0)))),"#N/C")</f>
        <v>Heterocera</v>
      </c>
      <c r="P150" s="40" t="s">
        <v>248</v>
      </c>
      <c r="Q150" s="40" t="s">
        <v>26</v>
      </c>
      <c r="R150" s="40" t="s">
        <v>26</v>
      </c>
      <c r="S150" s="40" t="s">
        <v>26</v>
      </c>
      <c r="T150" s="26" t="s">
        <v>26</v>
      </c>
    </row>
    <row r="151" spans="1:20" hidden="1" x14ac:dyDescent="0.3">
      <c r="A151" s="84">
        <v>150</v>
      </c>
      <c r="B151" s="6">
        <v>44393</v>
      </c>
      <c r="C151" s="85" t="s">
        <v>295</v>
      </c>
      <c r="D151" s="85" t="s">
        <v>295</v>
      </c>
      <c r="E151" s="16">
        <v>44393.137326388889</v>
      </c>
      <c r="F151" s="7">
        <v>44393.137384259258</v>
      </c>
      <c r="G151" s="14">
        <f t="shared" si="2"/>
        <v>5.7870369346346706E-5</v>
      </c>
      <c r="H151" s="4" t="s">
        <v>23</v>
      </c>
      <c r="I151" s="4" t="s">
        <v>24</v>
      </c>
      <c r="J151" s="87" t="str">
        <f>IF(ISBLANK(C151),"",IF(C151=D151, "1 video",CONCATENATE((+COUNTIFS(Video_List!$C:$C,"&lt;=" &amp;Monitoring!F151)-COUNTIFS(Video_List!$C:$C,"&lt;=" &amp;Monitoring!E151))+1," videos")))</f>
        <v>1 video</v>
      </c>
      <c r="K151" s="27" t="s">
        <v>35</v>
      </c>
      <c r="L151" s="40" t="s">
        <v>28</v>
      </c>
      <c r="M151" s="40" t="s">
        <v>47</v>
      </c>
      <c r="N151" s="40" t="s">
        <v>48</v>
      </c>
      <c r="O151" s="88" t="str">
        <f>+IFERROR(IF(P151="#N/C","#N/C",IF(Q151=0,INDEX(Taxonomy_UniqueValues!D:D,MATCH(Q151,Taxonomy_UniqueValues!F:F,0)),INDEX(Taxonomy_UniqueValues!D:D,MATCH(P151,Taxonomy_UniqueValues!E:E,0)))),"#N/C")</f>
        <v>Heterocera</v>
      </c>
      <c r="P151" s="40" t="s">
        <v>248</v>
      </c>
      <c r="Q151" s="40" t="s">
        <v>291</v>
      </c>
      <c r="R151" s="40" t="s">
        <v>26</v>
      </c>
      <c r="S151" s="40" t="s">
        <v>26</v>
      </c>
      <c r="T151" s="26" t="s">
        <v>26</v>
      </c>
    </row>
    <row r="152" spans="1:20" hidden="1" x14ac:dyDescent="0.3">
      <c r="A152" s="84">
        <v>151</v>
      </c>
      <c r="B152" s="6">
        <v>44393</v>
      </c>
      <c r="C152" s="85" t="s">
        <v>296</v>
      </c>
      <c r="D152" s="85" t="s">
        <v>296</v>
      </c>
      <c r="E152" s="16">
        <v>44393.13789351852</v>
      </c>
      <c r="F152" s="7">
        <v>44393.13795138889</v>
      </c>
      <c r="G152" s="14">
        <f t="shared" si="2"/>
        <v>5.7870369346346706E-5</v>
      </c>
      <c r="H152" s="4" t="s">
        <v>23</v>
      </c>
      <c r="I152" s="4" t="s">
        <v>24</v>
      </c>
      <c r="J152" s="87" t="str">
        <f>IF(ISBLANK(C152),"",IF(C152=D152, "1 video",CONCATENATE((+COUNTIFS(Video_List!$C:$C,"&lt;=" &amp;Monitoring!F152)-COUNTIFS(Video_List!$C:$C,"&lt;=" &amp;Monitoring!E152))+1," videos")))</f>
        <v>1 video</v>
      </c>
      <c r="K152" s="27" t="s">
        <v>35</v>
      </c>
      <c r="L152" s="40" t="s">
        <v>28</v>
      </c>
      <c r="M152" s="40" t="s">
        <v>47</v>
      </c>
      <c r="N152" s="40" t="s">
        <v>48</v>
      </c>
      <c r="O152" s="88" t="str">
        <f>+IFERROR(IF(P152="#N/C","#N/C",IF(Q152=0,INDEX(Taxonomy_UniqueValues!D:D,MATCH(Q152,Taxonomy_UniqueValues!F:F,0)),INDEX(Taxonomy_UniqueValues!D:D,MATCH(P152,Taxonomy_UniqueValues!E:E,0)))),"#N/C")</f>
        <v>Heterocera</v>
      </c>
      <c r="P152" s="40" t="s">
        <v>248</v>
      </c>
      <c r="Q152" s="40" t="s">
        <v>291</v>
      </c>
      <c r="R152" s="40" t="s">
        <v>26</v>
      </c>
      <c r="S152" s="40" t="s">
        <v>26</v>
      </c>
      <c r="T152" s="26" t="s">
        <v>26</v>
      </c>
    </row>
    <row r="153" spans="1:20" hidden="1" x14ac:dyDescent="0.3">
      <c r="A153" s="84">
        <v>152</v>
      </c>
      <c r="B153" s="6">
        <v>44393</v>
      </c>
      <c r="C153" s="85" t="s">
        <v>296</v>
      </c>
      <c r="D153" s="85" t="s">
        <v>296</v>
      </c>
      <c r="E153" s="16">
        <v>44393.138113425928</v>
      </c>
      <c r="F153" s="7">
        <v>44393.138182870367</v>
      </c>
      <c r="G153" s="14">
        <f t="shared" si="2"/>
        <v>6.9444438850041479E-5</v>
      </c>
      <c r="H153" s="4" t="s">
        <v>23</v>
      </c>
      <c r="I153" s="4" t="s">
        <v>24</v>
      </c>
      <c r="J153" s="87" t="str">
        <f>IF(ISBLANK(C153),"",IF(C153=D153, "1 video",CONCATENATE((+COUNTIFS(Video_List!$C:$C,"&lt;=" &amp;Monitoring!F153)-COUNTIFS(Video_List!$C:$C,"&lt;=" &amp;Monitoring!E153))+1," videos")))</f>
        <v>1 video</v>
      </c>
      <c r="K153" s="27" t="s">
        <v>35</v>
      </c>
      <c r="L153" s="40" t="s">
        <v>28</v>
      </c>
      <c r="M153" s="40" t="s">
        <v>47</v>
      </c>
      <c r="N153" s="40" t="s">
        <v>48</v>
      </c>
      <c r="O153" s="88" t="str">
        <f>+IFERROR(IF(P153="#N/C","#N/C",IF(Q153=0,INDEX(Taxonomy_UniqueValues!D:D,MATCH(Q153,Taxonomy_UniqueValues!F:F,0)),INDEX(Taxonomy_UniqueValues!D:D,MATCH(P153,Taxonomy_UniqueValues!E:E,0)))),"#N/C")</f>
        <v>Heterocera</v>
      </c>
      <c r="P153" s="40" t="s">
        <v>248</v>
      </c>
      <c r="Q153" s="40" t="s">
        <v>291</v>
      </c>
      <c r="R153" s="40" t="s">
        <v>26</v>
      </c>
      <c r="S153" s="40" t="s">
        <v>26</v>
      </c>
      <c r="T153" s="26" t="s">
        <v>26</v>
      </c>
    </row>
    <row r="154" spans="1:20" hidden="1" x14ac:dyDescent="0.3">
      <c r="A154" s="84">
        <v>153</v>
      </c>
      <c r="B154" s="6">
        <v>44393</v>
      </c>
      <c r="C154" s="85" t="s">
        <v>296</v>
      </c>
      <c r="D154" s="85" t="s">
        <v>296</v>
      </c>
      <c r="E154" s="16">
        <v>44393.138171296298</v>
      </c>
      <c r="F154" s="7">
        <v>44393.138229166667</v>
      </c>
      <c r="G154" s="14">
        <f t="shared" si="2"/>
        <v>5.7870369346346706E-5</v>
      </c>
      <c r="H154" s="4" t="s">
        <v>23</v>
      </c>
      <c r="I154" s="4" t="s">
        <v>24</v>
      </c>
      <c r="J154" s="87" t="str">
        <f>IF(ISBLANK(C154),"",IF(C154=D154, "1 video",CONCATENATE((+COUNTIFS(Video_List!$C:$C,"&lt;=" &amp;Monitoring!F154)-COUNTIFS(Video_List!$C:$C,"&lt;=" &amp;Monitoring!E154))+1," videos")))</f>
        <v>1 video</v>
      </c>
      <c r="K154" s="27" t="s">
        <v>35</v>
      </c>
      <c r="L154" s="40" t="s">
        <v>28</v>
      </c>
      <c r="M154" s="40" t="s">
        <v>47</v>
      </c>
      <c r="N154" s="40" t="s">
        <v>48</v>
      </c>
      <c r="O154" s="88" t="str">
        <f>+IFERROR(IF(P154="#N/C","#N/C",IF(Q154=0,INDEX(Taxonomy_UniqueValues!D:D,MATCH(Q154,Taxonomy_UniqueValues!F:F,0)),INDEX(Taxonomy_UniqueValues!D:D,MATCH(P154,Taxonomy_UniqueValues!E:E,0)))),"#N/C")</f>
        <v>Heterocera</v>
      </c>
      <c r="P154" s="40" t="s">
        <v>248</v>
      </c>
      <c r="Q154" s="40" t="s">
        <v>291</v>
      </c>
      <c r="R154" s="40" t="s">
        <v>26</v>
      </c>
      <c r="S154" s="40" t="s">
        <v>26</v>
      </c>
      <c r="T154" s="26" t="s">
        <v>26</v>
      </c>
    </row>
    <row r="155" spans="1:20" hidden="1" x14ac:dyDescent="0.3">
      <c r="A155" s="84">
        <v>154</v>
      </c>
      <c r="B155" s="6">
        <v>44393</v>
      </c>
      <c r="C155" s="85" t="s">
        <v>297</v>
      </c>
      <c r="D155" s="85" t="s">
        <v>297</v>
      </c>
      <c r="E155" s="16">
        <v>44393.140555555554</v>
      </c>
      <c r="F155" s="7">
        <v>44393.140601851854</v>
      </c>
      <c r="G155" s="14">
        <f t="shared" si="2"/>
        <v>4.6296299842651933E-5</v>
      </c>
      <c r="H155" s="4" t="s">
        <v>23</v>
      </c>
      <c r="I155" s="4" t="s">
        <v>24</v>
      </c>
      <c r="J155" s="87" t="str">
        <f>IF(ISBLANK(C155),"",IF(C155=D155, "1 video",CONCATENATE((+COUNTIFS(Video_List!$C:$C,"&lt;=" &amp;Monitoring!F155)-COUNTIFS(Video_List!$C:$C,"&lt;=" &amp;Monitoring!E155))+1," videos")))</f>
        <v>1 video</v>
      </c>
      <c r="K155" s="27" t="s">
        <v>35</v>
      </c>
      <c r="L155" s="40" t="s">
        <v>28</v>
      </c>
      <c r="M155" s="40" t="s">
        <v>47</v>
      </c>
      <c r="N155" s="40" t="s">
        <v>48</v>
      </c>
      <c r="O155" s="88" t="str">
        <f>+IFERROR(IF(P155="#N/C","#N/C",IF(Q155=0,INDEX(Taxonomy_UniqueValues!D:D,MATCH(Q155,Taxonomy_UniqueValues!F:F,0)),INDEX(Taxonomy_UniqueValues!D:D,MATCH(P155,Taxonomy_UniqueValues!E:E,0)))),"#N/C")</f>
        <v>Heterocera</v>
      </c>
      <c r="P155" s="40" t="s">
        <v>248</v>
      </c>
      <c r="Q155" s="40" t="s">
        <v>291</v>
      </c>
      <c r="R155" s="40" t="s">
        <v>26</v>
      </c>
      <c r="S155" s="40" t="s">
        <v>26</v>
      </c>
      <c r="T155" s="26" t="s">
        <v>26</v>
      </c>
    </row>
    <row r="156" spans="1:20" hidden="1" x14ac:dyDescent="0.3">
      <c r="A156" s="84">
        <v>155</v>
      </c>
      <c r="B156" s="6">
        <v>44393</v>
      </c>
      <c r="C156" s="85" t="s">
        <v>298</v>
      </c>
      <c r="D156" s="85" t="s">
        <v>298</v>
      </c>
      <c r="E156" s="16">
        <v>44393.141655092593</v>
      </c>
      <c r="F156" s="7">
        <v>44393.141701388886</v>
      </c>
      <c r="G156" s="14">
        <f t="shared" si="2"/>
        <v>4.6296292566694319E-5</v>
      </c>
      <c r="H156" s="4" t="s">
        <v>23</v>
      </c>
      <c r="I156" s="4" t="s">
        <v>24</v>
      </c>
      <c r="J156" s="87" t="str">
        <f>IF(ISBLANK(C156),"",IF(C156=D156, "1 video",CONCATENATE((+COUNTIFS(Video_List!$C:$C,"&lt;=" &amp;Monitoring!F156)-COUNTIFS(Video_List!$C:$C,"&lt;=" &amp;Monitoring!E156))+1," videos")))</f>
        <v>1 video</v>
      </c>
      <c r="K156" s="27" t="s">
        <v>35</v>
      </c>
      <c r="L156" s="40" t="s">
        <v>28</v>
      </c>
      <c r="M156" s="40" t="s">
        <v>47</v>
      </c>
      <c r="N156" s="40" t="s">
        <v>48</v>
      </c>
      <c r="O156" s="88" t="str">
        <f>+IFERROR(IF(P156="#N/C","#N/C",IF(Q156=0,INDEX(Taxonomy_UniqueValues!D:D,MATCH(Q156,Taxonomy_UniqueValues!F:F,0)),INDEX(Taxonomy_UniqueValues!D:D,MATCH(P156,Taxonomy_UniqueValues!E:E,0)))),"#N/C")</f>
        <v>Heterocera</v>
      </c>
      <c r="P156" s="40" t="s">
        <v>248</v>
      </c>
      <c r="Q156" s="40" t="s">
        <v>26</v>
      </c>
      <c r="R156" s="40" t="s">
        <v>26</v>
      </c>
      <c r="S156" s="40" t="s">
        <v>26</v>
      </c>
      <c r="T156" s="26" t="s">
        <v>26</v>
      </c>
    </row>
    <row r="157" spans="1:20" hidden="1" x14ac:dyDescent="0.3">
      <c r="A157" s="84">
        <v>156</v>
      </c>
      <c r="B157" s="6">
        <v>44393</v>
      </c>
      <c r="C157" s="85" t="s">
        <v>298</v>
      </c>
      <c r="D157" s="85" t="s">
        <v>298</v>
      </c>
      <c r="E157" s="16">
        <v>44393.142187500001</v>
      </c>
      <c r="F157" s="7">
        <v>44393.142222222225</v>
      </c>
      <c r="G157" s="14">
        <f t="shared" si="2"/>
        <v>3.4722223062999547E-5</v>
      </c>
      <c r="H157" s="4" t="s">
        <v>23</v>
      </c>
      <c r="I157" s="4" t="s">
        <v>24</v>
      </c>
      <c r="J157" s="87" t="str">
        <f>IF(ISBLANK(C157),"",IF(C157=D157, "1 video",CONCATENATE((+COUNTIFS(Video_List!$C:$C,"&lt;=" &amp;Monitoring!F157)-COUNTIFS(Video_List!$C:$C,"&lt;=" &amp;Monitoring!E157))+1," videos")))</f>
        <v>1 video</v>
      </c>
      <c r="K157" s="27" t="s">
        <v>35</v>
      </c>
      <c r="L157" s="40" t="s">
        <v>28</v>
      </c>
      <c r="M157" s="40" t="s">
        <v>47</v>
      </c>
      <c r="N157" s="40" t="s">
        <v>48</v>
      </c>
      <c r="O157" s="88" t="str">
        <f>+IFERROR(IF(P157="#N/C","#N/C",IF(Q157=0,INDEX(Taxonomy_UniqueValues!D:D,MATCH(Q157,Taxonomy_UniqueValues!F:F,0)),INDEX(Taxonomy_UniqueValues!D:D,MATCH(P157,Taxonomy_UniqueValues!E:E,0)))),"#N/C")</f>
        <v>Heterocera</v>
      </c>
      <c r="P157" s="40" t="s">
        <v>248</v>
      </c>
      <c r="Q157" s="40" t="s">
        <v>26</v>
      </c>
      <c r="R157" s="40" t="s">
        <v>26</v>
      </c>
      <c r="S157" s="40" t="s">
        <v>26</v>
      </c>
      <c r="T157" s="26" t="s">
        <v>26</v>
      </c>
    </row>
    <row r="158" spans="1:20" hidden="1" x14ac:dyDescent="0.3">
      <c r="A158" s="84">
        <v>157</v>
      </c>
      <c r="B158" s="6">
        <v>44393</v>
      </c>
      <c r="C158" s="85" t="s">
        <v>299</v>
      </c>
      <c r="D158" s="85" t="s">
        <v>299</v>
      </c>
      <c r="E158" s="16">
        <v>44393.144212962965</v>
      </c>
      <c r="F158" s="7">
        <v>44393.144270833334</v>
      </c>
      <c r="G158" s="14">
        <f t="shared" si="2"/>
        <v>5.7870369346346706E-5</v>
      </c>
      <c r="H158" s="4" t="s">
        <v>23</v>
      </c>
      <c r="I158" s="4" t="s">
        <v>24</v>
      </c>
      <c r="J158" s="87" t="str">
        <f>IF(ISBLANK(C158),"",IF(C158=D158, "1 video",CONCATENATE((+COUNTIFS(Video_List!$C:$C,"&lt;=" &amp;Monitoring!F158)-COUNTIFS(Video_List!$C:$C,"&lt;=" &amp;Monitoring!E158))+1," videos")))</f>
        <v>1 video</v>
      </c>
      <c r="K158" s="27" t="s">
        <v>35</v>
      </c>
      <c r="L158" s="40" t="s">
        <v>28</v>
      </c>
      <c r="M158" s="40" t="s">
        <v>47</v>
      </c>
      <c r="N158" s="40" t="s">
        <v>48</v>
      </c>
      <c r="O158" s="88" t="str">
        <f>+IFERROR(IF(P158="#N/C","#N/C",IF(Q158=0,INDEX(Taxonomy_UniqueValues!D:D,MATCH(Q158,Taxonomy_UniqueValues!F:F,0)),INDEX(Taxonomy_UniqueValues!D:D,MATCH(P158,Taxonomy_UniqueValues!E:E,0)))),"#N/C")</f>
        <v>Heterocera</v>
      </c>
      <c r="P158" s="40" t="s">
        <v>248</v>
      </c>
      <c r="Q158" s="40" t="s">
        <v>26</v>
      </c>
      <c r="R158" s="40" t="s">
        <v>26</v>
      </c>
      <c r="S158" s="40" t="s">
        <v>26</v>
      </c>
      <c r="T158" s="26" t="s">
        <v>26</v>
      </c>
    </row>
    <row r="159" spans="1:20" hidden="1" x14ac:dyDescent="0.3">
      <c r="A159" s="84">
        <v>158</v>
      </c>
      <c r="B159" s="6">
        <v>44393</v>
      </c>
      <c r="C159" s="85" t="s">
        <v>300</v>
      </c>
      <c r="D159" s="85" t="s">
        <v>300</v>
      </c>
      <c r="E159" s="16">
        <v>44393.146168981482</v>
      </c>
      <c r="F159" s="7">
        <v>44393.146226851852</v>
      </c>
      <c r="G159" s="14">
        <f t="shared" si="2"/>
        <v>5.7870369346346706E-5</v>
      </c>
      <c r="H159" s="4" t="s">
        <v>23</v>
      </c>
      <c r="I159" s="4" t="s">
        <v>24</v>
      </c>
      <c r="J159" s="87" t="str">
        <f>IF(ISBLANK(C159),"",IF(C159=D159, "1 video",CONCATENATE((+COUNTIFS(Video_List!$C:$C,"&lt;=" &amp;Monitoring!F159)-COUNTIFS(Video_List!$C:$C,"&lt;=" &amp;Monitoring!E159))+1," videos")))</f>
        <v>1 video</v>
      </c>
      <c r="K159" s="27" t="s">
        <v>35</v>
      </c>
      <c r="L159" s="40" t="s">
        <v>28</v>
      </c>
      <c r="M159" s="40" t="s">
        <v>47</v>
      </c>
      <c r="N159" s="40" t="s">
        <v>48</v>
      </c>
      <c r="O159" s="88" t="str">
        <f>+IFERROR(IF(P159="#N/C","#N/C",IF(Q159=0,INDEX(Taxonomy_UniqueValues!D:D,MATCH(Q159,Taxonomy_UniqueValues!F:F,0)),INDEX(Taxonomy_UniqueValues!D:D,MATCH(P159,Taxonomy_UniqueValues!E:E,0)))),"#N/C")</f>
        <v>Heterocera</v>
      </c>
      <c r="P159" s="40" t="s">
        <v>248</v>
      </c>
      <c r="Q159" s="40" t="s">
        <v>291</v>
      </c>
      <c r="R159" s="40" t="s">
        <v>26</v>
      </c>
      <c r="S159" s="40" t="s">
        <v>26</v>
      </c>
      <c r="T159" s="26" t="s">
        <v>26</v>
      </c>
    </row>
    <row r="160" spans="1:20" hidden="1" x14ac:dyDescent="0.3">
      <c r="A160" s="84">
        <v>159</v>
      </c>
      <c r="B160" s="6">
        <v>44393</v>
      </c>
      <c r="C160" s="85" t="s">
        <v>301</v>
      </c>
      <c r="D160" s="85" t="s">
        <v>301</v>
      </c>
      <c r="E160" s="16">
        <v>44393.158263888887</v>
      </c>
      <c r="F160" s="7">
        <v>44393.158333333333</v>
      </c>
      <c r="G160" s="14">
        <f t="shared" si="2"/>
        <v>6.9444446125999093E-5</v>
      </c>
      <c r="H160" s="4" t="s">
        <v>23</v>
      </c>
      <c r="I160" s="4" t="s">
        <v>24</v>
      </c>
      <c r="J160" s="87" t="str">
        <f>IF(ISBLANK(C160),"",IF(C160=D160, "1 video",CONCATENATE((+COUNTIFS(Video_List!$C:$C,"&lt;=" &amp;Monitoring!F160)-COUNTIFS(Video_List!$C:$C,"&lt;=" &amp;Monitoring!E160))+1," videos")))</f>
        <v>1 video</v>
      </c>
      <c r="K160" s="27" t="s">
        <v>35</v>
      </c>
      <c r="L160" s="40" t="s">
        <v>28</v>
      </c>
      <c r="M160" s="40" t="s">
        <v>29</v>
      </c>
      <c r="N160" s="40" t="s">
        <v>176</v>
      </c>
      <c r="O160" s="88" t="str">
        <f>+IFERROR(IF(P160="#N/C","#N/C",IF(Q160=0,INDEX(Taxonomy_UniqueValues!D:D,MATCH(Q160,Taxonomy_UniqueValues!F:F,0)),INDEX(Taxonomy_UniqueValues!D:D,MATCH(P160,Taxonomy_UniqueValues!E:E,0)))),"#N/C")</f>
        <v>Culicomorpha</v>
      </c>
      <c r="P160" s="40" t="s">
        <v>302</v>
      </c>
      <c r="Q160" s="40" t="s">
        <v>303</v>
      </c>
      <c r="R160" s="40" t="s">
        <v>26</v>
      </c>
      <c r="S160" s="40" t="s">
        <v>26</v>
      </c>
      <c r="T160" s="26" t="s">
        <v>26</v>
      </c>
    </row>
    <row r="161" spans="1:20" hidden="1" x14ac:dyDescent="0.3">
      <c r="A161" s="84">
        <v>160</v>
      </c>
      <c r="B161" s="6">
        <v>44393</v>
      </c>
      <c r="C161" s="85" t="s">
        <v>304</v>
      </c>
      <c r="D161" s="85" t="s">
        <v>304</v>
      </c>
      <c r="E161" s="16">
        <v>44393.173344907409</v>
      </c>
      <c r="F161" s="7">
        <v>44393.173391203702</v>
      </c>
      <c r="G161" s="14">
        <f t="shared" si="2"/>
        <v>4.6296292566694319E-5</v>
      </c>
      <c r="H161" s="4" t="s">
        <v>23</v>
      </c>
      <c r="I161" s="4" t="s">
        <v>24</v>
      </c>
      <c r="J161" s="87" t="str">
        <f>IF(ISBLANK(C161),"",IF(C161=D161, "1 video",CONCATENATE((+COUNTIFS(Video_List!$C:$C,"&lt;=" &amp;Monitoring!F161)-COUNTIFS(Video_List!$C:$C,"&lt;=" &amp;Monitoring!E161))+1," videos")))</f>
        <v>1 video</v>
      </c>
      <c r="K161" s="27" t="s">
        <v>35</v>
      </c>
      <c r="L161" s="40" t="s">
        <v>28</v>
      </c>
      <c r="M161" s="40" t="s">
        <v>47</v>
      </c>
      <c r="N161" s="40" t="s">
        <v>26</v>
      </c>
      <c r="O161" s="88" t="str">
        <f>+IFERROR(IF(P161="#N/C","#N/C",IF(Q161=0,INDEX(Taxonomy_UniqueValues!D:D,MATCH(Q161,Taxonomy_UniqueValues!F:F,0)),INDEX(Taxonomy_UniqueValues!D:D,MATCH(P161,Taxonomy_UniqueValues!E:E,0)))),"#N/C")</f>
        <v>#N/C</v>
      </c>
      <c r="P161" s="40" t="s">
        <v>26</v>
      </c>
      <c r="Q161" s="40" t="s">
        <v>26</v>
      </c>
      <c r="R161" s="40" t="s">
        <v>26</v>
      </c>
      <c r="S161" s="40" t="s">
        <v>26</v>
      </c>
      <c r="T161" s="26" t="s">
        <v>26</v>
      </c>
    </row>
    <row r="162" spans="1:20" hidden="1" x14ac:dyDescent="0.3">
      <c r="A162" s="84">
        <v>161</v>
      </c>
      <c r="B162" s="6">
        <v>44393</v>
      </c>
      <c r="C162" s="85" t="s">
        <v>305</v>
      </c>
      <c r="D162" s="85" t="s">
        <v>305</v>
      </c>
      <c r="E162" s="16">
        <v>44393.177395833336</v>
      </c>
      <c r="F162" s="7">
        <v>44393.177511574075</v>
      </c>
      <c r="G162" s="14">
        <f t="shared" si="2"/>
        <v>1.1574073869269341E-4</v>
      </c>
      <c r="H162" s="4" t="s">
        <v>35</v>
      </c>
      <c r="I162" s="4" t="s">
        <v>24</v>
      </c>
      <c r="J162" s="87" t="str">
        <f>IF(ISBLANK(C162),"",IF(C162=D162, "1 video",CONCATENATE((+COUNTIFS(Video_List!$C:$C,"&lt;=" &amp;Monitoring!F162)-COUNTIFS(Video_List!$C:$C,"&lt;=" &amp;Monitoring!E162))+1," videos")))</f>
        <v>1 video</v>
      </c>
      <c r="K162" s="27" t="s">
        <v>35</v>
      </c>
      <c r="L162" s="40" t="s">
        <v>28</v>
      </c>
      <c r="M162" s="40" t="s">
        <v>114</v>
      </c>
      <c r="N162" s="40" t="s">
        <v>278</v>
      </c>
      <c r="O162" s="88" t="str">
        <f>+IFERROR(IF(P162="#N/C","#N/C",IF(Q162=0,INDEX(Taxonomy_UniqueValues!D:D,MATCH(Q162,Taxonomy_UniqueValues!F:F,0)),INDEX(Taxonomy_UniqueValues!D:D,MATCH(P162,Taxonomy_UniqueValues!E:E,0)))),"#N/C")</f>
        <v>Tettigoniidea</v>
      </c>
      <c r="P162" s="40" t="s">
        <v>279</v>
      </c>
      <c r="Q162" s="40" t="s">
        <v>280</v>
      </c>
      <c r="R162" s="40" t="s">
        <v>281</v>
      </c>
      <c r="S162" s="40" t="s">
        <v>282</v>
      </c>
      <c r="T162" s="26" t="s">
        <v>283</v>
      </c>
    </row>
    <row r="163" spans="1:20" hidden="1" x14ac:dyDescent="0.3">
      <c r="A163" s="84">
        <v>162</v>
      </c>
      <c r="B163" s="6">
        <v>44393</v>
      </c>
      <c r="C163" s="85" t="s">
        <v>306</v>
      </c>
      <c r="D163" s="85" t="s">
        <v>306</v>
      </c>
      <c r="E163" s="16">
        <v>44393.210057870368</v>
      </c>
      <c r="F163" s="7">
        <v>44393.210173611114</v>
      </c>
      <c r="G163" s="14">
        <f t="shared" si="2"/>
        <v>1.1574074596865103E-4</v>
      </c>
      <c r="H163" s="86" t="s">
        <v>23</v>
      </c>
      <c r="I163" s="86" t="s">
        <v>24</v>
      </c>
      <c r="J163" s="87" t="str">
        <f>IF(ISBLANK(C163),"",IF(C163=D163, "1 video",CONCATENATE((+COUNTIFS(Video_List!$C:$C,"&lt;=" &amp;Monitoring!F163)-COUNTIFS(Video_List!$C:$C,"&lt;=" &amp;Monitoring!E163))+1," videos")))</f>
        <v>1 video</v>
      </c>
      <c r="K163" s="27" t="s">
        <v>35</v>
      </c>
      <c r="L163" s="40" t="s">
        <v>28</v>
      </c>
      <c r="M163" s="40" t="s">
        <v>29</v>
      </c>
      <c r="N163" s="40" t="s">
        <v>30</v>
      </c>
      <c r="O163" s="88" t="str">
        <f>+IFERROR(IF(P163="#N/C","#N/C",IF(Q163=0,INDEX(Taxonomy_UniqueValues!D:D,MATCH(Q163,Taxonomy_UniqueValues!F:F,0)),INDEX(Taxonomy_UniqueValues!D:D,MATCH(P163,Taxonomy_UniqueValues!E:E,0)))),"#N/C")</f>
        <v>#N/C</v>
      </c>
      <c r="P163" s="40" t="s">
        <v>26</v>
      </c>
      <c r="Q163" s="40" t="s">
        <v>26</v>
      </c>
      <c r="R163" s="40" t="s">
        <v>26</v>
      </c>
      <c r="S163" s="40" t="s">
        <v>26</v>
      </c>
      <c r="T163" s="26" t="s">
        <v>26</v>
      </c>
    </row>
    <row r="164" spans="1:20" hidden="1" x14ac:dyDescent="0.3">
      <c r="A164" s="84">
        <v>163</v>
      </c>
      <c r="B164" s="6">
        <v>44393</v>
      </c>
      <c r="C164" s="85" t="s">
        <v>307</v>
      </c>
      <c r="D164" s="85" t="s">
        <v>307</v>
      </c>
      <c r="E164" s="16">
        <v>44393.25953703704</v>
      </c>
      <c r="F164" s="7">
        <v>44393.259768518517</v>
      </c>
      <c r="G164" s="14">
        <f t="shared" si="2"/>
        <v>2.3148147738538682E-4</v>
      </c>
      <c r="H164" s="4" t="s">
        <v>46</v>
      </c>
      <c r="I164" s="4" t="s">
        <v>46</v>
      </c>
      <c r="J164" s="87" t="str">
        <f>IF(ISBLANK(C164),"",IF(C164=D164, "1 video",CONCATENATE((+COUNTIFS(Video_List!$C:$C,"&lt;=" &amp;Monitoring!F164)-COUNTIFS(Video_List!$C:$C,"&lt;=" &amp;Monitoring!E164))+1," videos")))</f>
        <v>1 video</v>
      </c>
      <c r="K164" s="25" t="s">
        <v>23</v>
      </c>
      <c r="L164" s="40" t="s">
        <v>28</v>
      </c>
      <c r="M164" s="40" t="s">
        <v>47</v>
      </c>
      <c r="N164" s="40" t="s">
        <v>26</v>
      </c>
      <c r="O164" s="88" t="str">
        <f>+IFERROR(IF(P164="#N/C","#N/C",IF(Q164=0,INDEX(Taxonomy_UniqueValues!D:D,MATCH(Q164,Taxonomy_UniqueValues!F:F,0)),INDEX(Taxonomy_UniqueValues!D:D,MATCH(P164,Taxonomy_UniqueValues!E:E,0)))),"#N/C")</f>
        <v>#N/C</v>
      </c>
      <c r="P164" s="40" t="s">
        <v>26</v>
      </c>
      <c r="Q164" s="40" t="s">
        <v>26</v>
      </c>
      <c r="R164" s="40" t="s">
        <v>26</v>
      </c>
      <c r="S164" s="40" t="s">
        <v>26</v>
      </c>
      <c r="T164" s="26" t="s">
        <v>26</v>
      </c>
    </row>
    <row r="165" spans="1:20" hidden="1" x14ac:dyDescent="0.3">
      <c r="A165" s="84">
        <v>164</v>
      </c>
      <c r="B165" s="6">
        <v>44393</v>
      </c>
      <c r="C165" s="85" t="s">
        <v>308</v>
      </c>
      <c r="D165" s="85" t="s">
        <v>308</v>
      </c>
      <c r="E165" s="16">
        <v>44393.353460648148</v>
      </c>
      <c r="F165" s="7">
        <v>44393.353506944448</v>
      </c>
      <c r="G165" s="14">
        <f t="shared" si="2"/>
        <v>4.6296299842651933E-5</v>
      </c>
      <c r="H165" s="86" t="s">
        <v>23</v>
      </c>
      <c r="I165" s="86" t="s">
        <v>24</v>
      </c>
      <c r="J165" s="87" t="str">
        <f>IF(ISBLANK(C165),"",IF(C165=D165, "1 video",CONCATENATE((+COUNTIFS(Video_List!$C:$C,"&lt;=" &amp;Monitoring!F165)-COUNTIFS(Video_List!$C:$C,"&lt;=" &amp;Monitoring!E165))+1," videos")))</f>
        <v>1 video</v>
      </c>
      <c r="K165" s="27" t="s">
        <v>35</v>
      </c>
      <c r="L165" s="40" t="s">
        <v>28</v>
      </c>
      <c r="M165" s="40" t="s">
        <v>29</v>
      </c>
      <c r="N165" s="40" t="s">
        <v>30</v>
      </c>
      <c r="O165" s="88" t="str">
        <f>+IFERROR(IF(P165="#N/C","#N/C",IF(Q165=0,INDEX(Taxonomy_UniqueValues!D:D,MATCH(Q165,Taxonomy_UniqueValues!F:F,0)),INDEX(Taxonomy_UniqueValues!D:D,MATCH(P165,Taxonomy_UniqueValues!E:E,0)))),"#N/C")</f>
        <v>Muscomorpha</v>
      </c>
      <c r="P165" s="40" t="s">
        <v>37</v>
      </c>
      <c r="Q165" s="40" t="s">
        <v>38</v>
      </c>
      <c r="R165" s="40" t="s">
        <v>39</v>
      </c>
      <c r="S165" s="40" t="s">
        <v>26</v>
      </c>
      <c r="T165" s="26" t="s">
        <v>26</v>
      </c>
    </row>
    <row r="166" spans="1:20" hidden="1" x14ac:dyDescent="0.3">
      <c r="A166" s="84">
        <v>165</v>
      </c>
      <c r="B166" s="6">
        <v>44393</v>
      </c>
      <c r="C166" s="85" t="s">
        <v>309</v>
      </c>
      <c r="D166" s="85" t="s">
        <v>309</v>
      </c>
      <c r="E166" s="16">
        <v>44393.505104166667</v>
      </c>
      <c r="F166" s="7">
        <v>44393.505798611113</v>
      </c>
      <c r="G166" s="14">
        <f t="shared" si="2"/>
        <v>6.944444467080757E-4</v>
      </c>
      <c r="H166" s="86" t="s">
        <v>23</v>
      </c>
      <c r="I166" s="86" t="s">
        <v>24</v>
      </c>
      <c r="J166" s="87" t="str">
        <f>IF(ISBLANK(C166),"",IF(C166=D166, "1 video",CONCATENATE((+COUNTIFS(Video_List!$C:$C,"&lt;=" &amp;Monitoring!F166)-COUNTIFS(Video_List!$C:$C,"&lt;=" &amp;Monitoring!E166))+1," videos")))</f>
        <v>1 video</v>
      </c>
      <c r="K166" s="27" t="s">
        <v>35</v>
      </c>
      <c r="L166" s="40" t="s">
        <v>28</v>
      </c>
      <c r="M166" s="40" t="s">
        <v>29</v>
      </c>
      <c r="N166" s="40" t="s">
        <v>30</v>
      </c>
      <c r="O166" s="88" t="str">
        <f>+IFERROR(IF(P166="#N/C","#N/C",IF(Q166=0,INDEX(Taxonomy_UniqueValues!D:D,MATCH(Q166,Taxonomy_UniqueValues!F:F,0)),INDEX(Taxonomy_UniqueValues!D:D,MATCH(P166,Taxonomy_UniqueValues!E:E,0)))),"#N/C")</f>
        <v>Muscomorpha</v>
      </c>
      <c r="P166" s="40" t="s">
        <v>37</v>
      </c>
      <c r="Q166" s="40" t="s">
        <v>38</v>
      </c>
      <c r="R166" s="40" t="s">
        <v>39</v>
      </c>
      <c r="S166" s="40" t="s">
        <v>40</v>
      </c>
      <c r="T166" s="26" t="s">
        <v>26</v>
      </c>
    </row>
    <row r="167" spans="1:20" hidden="1" x14ac:dyDescent="0.3">
      <c r="A167" s="84">
        <v>166</v>
      </c>
      <c r="B167" s="6">
        <v>44393</v>
      </c>
      <c r="C167" s="85" t="s">
        <v>310</v>
      </c>
      <c r="D167" s="85" t="s">
        <v>311</v>
      </c>
      <c r="E167" s="16">
        <v>44393.53533564815</v>
      </c>
      <c r="F167" s="7">
        <v>44393.566643518519</v>
      </c>
      <c r="G167" s="14">
        <f t="shared" si="2"/>
        <v>3.1307870369346347E-2</v>
      </c>
      <c r="H167" s="86" t="s">
        <v>35</v>
      </c>
      <c r="I167" s="86" t="s">
        <v>24</v>
      </c>
      <c r="J167" s="87" t="str">
        <f>IF(ISBLANK(C167),"",IF(C167=D167, "1 video",CONCATENATE((+COUNTIFS(Video_List!$C:$C,"&lt;=" &amp;Monitoring!F167)-COUNTIFS(Video_List!$C:$C,"&lt;=" &amp;Monitoring!E167))+1," videos")))</f>
        <v>2 videos</v>
      </c>
      <c r="K167" s="25" t="s">
        <v>23</v>
      </c>
      <c r="L167" s="105" t="str">
        <f>+IFERROR(IF(M167="#N/C","#N/C",INDEX(Taxonomy_UniqueValues!A:A,MATCH(M167,Taxonomy_UniqueValues!B:B,0))),"#N/C")</f>
        <v>Insecta</v>
      </c>
      <c r="M167" s="105" t="str">
        <f>+IFERROR(IF(N167="#N/C","#N/C",INDEX(Taxonomy_UniqueValues!B:B,MATCH(N167,Taxonomy_UniqueValues!C:C,0))),"#N/C")</f>
        <v>Hymenoptera</v>
      </c>
      <c r="N167" s="105" t="str">
        <f>+IFERROR(IF(O167="#N/C","#N/C",INDEX(Taxonomy_UniqueValues!C:C,MATCH(O167,Taxonomy_UniqueValues!D:D,0))),"#N/C")</f>
        <v>Apocrita</v>
      </c>
      <c r="O167" s="105" t="str">
        <f>+IFERROR(IF(P167="#N/C","#N/C",INDEX(Taxonomy_UniqueValues!D:D,MATCH(P167,Taxonomy_UniqueValues!E:E,0))),"#N/C")</f>
        <v>Aculeata</v>
      </c>
      <c r="P167" s="105" t="str">
        <f>+IFERROR(IF(Q167="#N/C","#N/C",INDEX(Taxonomy_UniqueValues!E:E,MATCH(Q167,Taxonomy_UniqueValues!F:F,0))),"#N/C")</f>
        <v>Formicoidea</v>
      </c>
      <c r="Q167" s="105" t="str">
        <f>+IFERROR(IF(R167="#N/C","#N/C",INDEX(Taxonomy_UniqueValues!F:F,MATCH(R167,Taxonomy_UniqueValues!G:G,0))),"#N/C")</f>
        <v>Formicidae</v>
      </c>
      <c r="R167" s="105" t="str">
        <f>+IFERROR(IF(S167="#N/C","#N/C",INDEX(Taxonomy_UniqueValues!G:G,MATCH(S167,Taxonomy_UniqueValues!H:H,0))),"#N/C")</f>
        <v>Formicinae</v>
      </c>
      <c r="S167" s="40" t="s">
        <v>312</v>
      </c>
      <c r="T167" s="26" t="s">
        <v>26</v>
      </c>
    </row>
    <row r="168" spans="1:20" hidden="1" x14ac:dyDescent="0.3">
      <c r="A168" s="84">
        <v>167</v>
      </c>
      <c r="B168" s="6">
        <v>44393</v>
      </c>
      <c r="C168" s="85" t="s">
        <v>313</v>
      </c>
      <c r="D168" s="85" t="s">
        <v>313</v>
      </c>
      <c r="E168" s="16">
        <v>44393.650555555556</v>
      </c>
      <c r="F168" s="7">
        <v>44393.650717592594</v>
      </c>
      <c r="G168" s="14">
        <f t="shared" si="2"/>
        <v>1.6203703853534535E-4</v>
      </c>
      <c r="H168" s="4" t="s">
        <v>23</v>
      </c>
      <c r="I168" s="4" t="s">
        <v>24</v>
      </c>
      <c r="J168" s="87" t="str">
        <f>IF(ISBLANK(C168),"",IF(C168=D168, "1 video",CONCATENATE((+COUNTIFS(Video_List!$C:$C,"&lt;=" &amp;Monitoring!F168)-COUNTIFS(Video_List!$C:$C,"&lt;=" &amp;Monitoring!E168))+1," videos")))</f>
        <v>1 video</v>
      </c>
      <c r="K168" s="25" t="s">
        <v>23</v>
      </c>
      <c r="L168" s="40" t="s">
        <v>28</v>
      </c>
      <c r="M168" s="40" t="s">
        <v>29</v>
      </c>
      <c r="N168" s="40" t="s">
        <v>30</v>
      </c>
      <c r="O168" s="88" t="str">
        <f>+IFERROR(IF(P168="#N/C","#N/C",IF(Q168=0,INDEX(Taxonomy_UniqueValues!D:D,MATCH(Q168,Taxonomy_UniqueValues!F:F,0)),INDEX(Taxonomy_UniqueValues!D:D,MATCH(P168,Taxonomy_UniqueValues!E:E,0)))),"#N/C")</f>
        <v>#N/C</v>
      </c>
      <c r="P168" s="40" t="s">
        <v>26</v>
      </c>
      <c r="Q168" s="40" t="s">
        <v>26</v>
      </c>
      <c r="R168" s="40" t="s">
        <v>26</v>
      </c>
      <c r="S168" s="40" t="s">
        <v>26</v>
      </c>
      <c r="T168" s="26" t="s">
        <v>26</v>
      </c>
    </row>
    <row r="169" spans="1:20" hidden="1" x14ac:dyDescent="0.3">
      <c r="A169" s="84">
        <v>168</v>
      </c>
      <c r="B169" s="6">
        <v>44393</v>
      </c>
      <c r="C169" s="85" t="s">
        <v>314</v>
      </c>
      <c r="D169" s="85" t="s">
        <v>314</v>
      </c>
      <c r="E169" s="16">
        <v>44393.663912037038</v>
      </c>
      <c r="F169" s="7">
        <v>44393.663969907408</v>
      </c>
      <c r="G169" s="14">
        <f t="shared" si="2"/>
        <v>5.7870369346346706E-5</v>
      </c>
      <c r="H169" s="4" t="s">
        <v>23</v>
      </c>
      <c r="I169" s="4" t="s">
        <v>24</v>
      </c>
      <c r="J169" s="87" t="str">
        <f>IF(ISBLANK(C169),"",IF(C169=D169, "1 video",CONCATENATE((+COUNTIFS(Video_List!$C:$C,"&lt;=" &amp;Monitoring!F169)-COUNTIFS(Video_List!$C:$C,"&lt;=" &amp;Monitoring!E169))+1," videos")))</f>
        <v>1 video</v>
      </c>
      <c r="K169" s="27" t="s">
        <v>35</v>
      </c>
      <c r="L169" s="40" t="s">
        <v>28</v>
      </c>
      <c r="M169" s="40" t="s">
        <v>29</v>
      </c>
      <c r="N169" s="40" t="s">
        <v>30</v>
      </c>
      <c r="O169" s="88" t="str">
        <f>+IFERROR(IF(P169="#N/C","#N/C",IF(Q169=0,INDEX(Taxonomy_UniqueValues!D:D,MATCH(Q169,Taxonomy_UniqueValues!F:F,0)),INDEX(Taxonomy_UniqueValues!D:D,MATCH(P169,Taxonomy_UniqueValues!E:E,0)))),"#N/C")</f>
        <v>#N/C</v>
      </c>
      <c r="P169" s="40" t="s">
        <v>26</v>
      </c>
      <c r="Q169" s="40" t="s">
        <v>26</v>
      </c>
      <c r="R169" s="40" t="s">
        <v>26</v>
      </c>
      <c r="S169" s="40" t="s">
        <v>26</v>
      </c>
      <c r="T169" s="26" t="s">
        <v>26</v>
      </c>
    </row>
    <row r="170" spans="1:20" hidden="1" x14ac:dyDescent="0.3">
      <c r="A170" s="84">
        <v>169</v>
      </c>
      <c r="B170" s="6">
        <v>44393</v>
      </c>
      <c r="C170" s="85" t="s">
        <v>315</v>
      </c>
      <c r="D170" s="85" t="s">
        <v>315</v>
      </c>
      <c r="E170" s="16">
        <v>44393.72084490741</v>
      </c>
      <c r="F170" s="7">
        <v>44393.720972222225</v>
      </c>
      <c r="G170" s="14">
        <f t="shared" si="2"/>
        <v>1.273148154723458E-4</v>
      </c>
      <c r="H170" s="4" t="s">
        <v>46</v>
      </c>
      <c r="I170" s="4" t="s">
        <v>46</v>
      </c>
      <c r="J170" s="87" t="str">
        <f>IF(ISBLANK(C170),"",IF(C170=D170, "1 video",CONCATENATE((+COUNTIFS(Video_List!$C:$C,"&lt;=" &amp;Monitoring!F170)-COUNTIFS(Video_List!$C:$C,"&lt;=" &amp;Monitoring!E170))+1," videos")))</f>
        <v>1 video</v>
      </c>
      <c r="K170" s="25" t="s">
        <v>23</v>
      </c>
      <c r="L170" s="40" t="s">
        <v>28</v>
      </c>
      <c r="M170" s="40" t="s">
        <v>32</v>
      </c>
      <c r="N170" s="40" t="s">
        <v>33</v>
      </c>
      <c r="O170" s="88" t="str">
        <f>+IFERROR(IF(P170="#N/C","#N/C",IF(Q170=0,INDEX(Taxonomy_UniqueValues!D:D,MATCH(Q170,Taxonomy_UniqueValues!F:F,0)),INDEX(Taxonomy_UniqueValues!D:D,MATCH(P170,Taxonomy_UniqueValues!E:E,0)))),"#N/C")</f>
        <v>Parasitica</v>
      </c>
      <c r="P170" s="40" t="s">
        <v>62</v>
      </c>
      <c r="Q170" s="40" t="s">
        <v>63</v>
      </c>
      <c r="R170" s="40" t="s">
        <v>316</v>
      </c>
      <c r="S170" s="40" t="s">
        <v>317</v>
      </c>
      <c r="T170" s="26" t="s">
        <v>26</v>
      </c>
    </row>
    <row r="171" spans="1:20" hidden="1" x14ac:dyDescent="0.3">
      <c r="A171" s="84">
        <v>170</v>
      </c>
      <c r="B171" s="6">
        <v>44396</v>
      </c>
      <c r="C171" s="85" t="s">
        <v>318</v>
      </c>
      <c r="D171" s="85" t="s">
        <v>318</v>
      </c>
      <c r="E171" s="16">
        <v>44396.865370370368</v>
      </c>
      <c r="F171" s="7">
        <v>44396.865439814814</v>
      </c>
      <c r="G171" s="14">
        <f t="shared" si="2"/>
        <v>6.9444446125999093E-5</v>
      </c>
      <c r="H171" s="86" t="s">
        <v>23</v>
      </c>
      <c r="I171" s="86" t="s">
        <v>24</v>
      </c>
      <c r="J171" s="87" t="str">
        <f>IF(ISBLANK(C171),"",IF(C171=D171, "1 video",CONCATENATE((+COUNTIFS(Video_List!$C:$C,"&lt;=" &amp;Monitoring!F171)-COUNTIFS(Video_List!$C:$C,"&lt;=" &amp;Monitoring!E171))+1," videos")))</f>
        <v>1 video</v>
      </c>
      <c r="K171" s="27" t="s">
        <v>35</v>
      </c>
      <c r="L171" s="40" t="s">
        <v>28</v>
      </c>
      <c r="M171" s="40" t="s">
        <v>29</v>
      </c>
      <c r="N171" s="40" t="s">
        <v>30</v>
      </c>
      <c r="O171" s="88" t="str">
        <f>+IFERROR(IF(P171="#N/C","#N/C",IF(Q171=0,INDEX(Taxonomy_UniqueValues!D:D,MATCH(Q171,Taxonomy_UniqueValues!F:F,0)),INDEX(Taxonomy_UniqueValues!D:D,MATCH(P171,Taxonomy_UniqueValues!E:E,0)))),"#N/C")</f>
        <v>#N/C</v>
      </c>
      <c r="P171" s="40" t="s">
        <v>26</v>
      </c>
      <c r="Q171" s="40" t="s">
        <v>26</v>
      </c>
      <c r="R171" s="40" t="s">
        <v>26</v>
      </c>
      <c r="S171" s="40" t="s">
        <v>26</v>
      </c>
      <c r="T171" s="26" t="s">
        <v>26</v>
      </c>
    </row>
    <row r="172" spans="1:20" hidden="1" x14ac:dyDescent="0.3">
      <c r="A172" s="84">
        <v>171</v>
      </c>
      <c r="B172" s="6">
        <v>44396</v>
      </c>
      <c r="C172" s="85" t="s">
        <v>319</v>
      </c>
      <c r="D172" s="85" t="s">
        <v>320</v>
      </c>
      <c r="E172" s="16">
        <v>44396.8752662037</v>
      </c>
      <c r="F172" s="7">
        <v>44396.879432870373</v>
      </c>
      <c r="G172" s="14">
        <f t="shared" si="2"/>
        <v>4.1666666729724966E-3</v>
      </c>
      <c r="H172" s="4" t="s">
        <v>23</v>
      </c>
      <c r="I172" s="4" t="s">
        <v>24</v>
      </c>
      <c r="J172" s="87" t="str">
        <f>IF(ISBLANK(C172),"",IF(C172=D172, "1 video",CONCATENATE((+COUNTIFS(Video_List!$C:$C,"&lt;=" &amp;Monitoring!F172)-COUNTIFS(Video_List!$C:$C,"&lt;=" &amp;Monitoring!E172))+1," videos")))</f>
        <v>3 videos</v>
      </c>
      <c r="K172" s="27" t="s">
        <v>35</v>
      </c>
      <c r="L172" s="40" t="s">
        <v>28</v>
      </c>
      <c r="M172" s="40" t="s">
        <v>29</v>
      </c>
      <c r="N172" s="40" t="s">
        <v>30</v>
      </c>
      <c r="O172" s="88" t="str">
        <f>+IFERROR(IF(P172="#N/C","#N/C",IF(Q172=0,INDEX(Taxonomy_UniqueValues!D:D,MATCH(Q172,Taxonomy_UniqueValues!F:F,0)),INDEX(Taxonomy_UniqueValues!D:D,MATCH(P172,Taxonomy_UniqueValues!E:E,0)))),"#N/C")</f>
        <v>Muscomorpha</v>
      </c>
      <c r="P172" s="40" t="s">
        <v>321</v>
      </c>
      <c r="Q172" s="40" t="s">
        <v>322</v>
      </c>
      <c r="R172" s="40" t="s">
        <v>323</v>
      </c>
      <c r="S172" s="40" t="s">
        <v>324</v>
      </c>
      <c r="T172" s="26" t="s">
        <v>26</v>
      </c>
    </row>
    <row r="173" spans="1:20" hidden="1" x14ac:dyDescent="0.3">
      <c r="A173" s="84">
        <v>172</v>
      </c>
      <c r="B173" s="6">
        <v>44396</v>
      </c>
      <c r="C173" s="85" t="s">
        <v>325</v>
      </c>
      <c r="D173" s="85" t="s">
        <v>325</v>
      </c>
      <c r="E173" s="16">
        <v>44396.881307870368</v>
      </c>
      <c r="F173" s="7">
        <v>44396.881365740737</v>
      </c>
      <c r="G173" s="14">
        <f t="shared" si="2"/>
        <v>5.7870369346346706E-5</v>
      </c>
      <c r="H173" s="86" t="s">
        <v>23</v>
      </c>
      <c r="I173" s="86" t="s">
        <v>24</v>
      </c>
      <c r="J173" s="87" t="str">
        <f>IF(ISBLANK(C173),"",IF(C173=D173, "1 video",CONCATENATE((+COUNTIFS(Video_List!$C:$C,"&lt;=" &amp;Monitoring!F173)-COUNTIFS(Video_List!$C:$C,"&lt;=" &amp;Monitoring!E173))+1," videos")))</f>
        <v>1 video</v>
      </c>
      <c r="K173" s="27" t="s">
        <v>35</v>
      </c>
      <c r="L173" s="40" t="s">
        <v>28</v>
      </c>
      <c r="M173" s="40" t="s">
        <v>29</v>
      </c>
      <c r="N173" s="40" t="s">
        <v>30</v>
      </c>
      <c r="O173" s="88" t="str">
        <f>+IFERROR(IF(P173="#N/C","#N/C",IF(Q173=0,INDEX(Taxonomy_UniqueValues!D:D,MATCH(Q173,Taxonomy_UniqueValues!F:F,0)),INDEX(Taxonomy_UniqueValues!D:D,MATCH(P173,Taxonomy_UniqueValues!E:E,0)))),"#N/C")</f>
        <v>Muscomorpha</v>
      </c>
      <c r="P173" s="40" t="s">
        <v>326</v>
      </c>
      <c r="Q173" s="40" t="s">
        <v>26</v>
      </c>
      <c r="R173" s="40" t="s">
        <v>26</v>
      </c>
      <c r="S173" s="40" t="s">
        <v>26</v>
      </c>
      <c r="T173" s="26" t="s">
        <v>26</v>
      </c>
    </row>
    <row r="174" spans="1:20" hidden="1" x14ac:dyDescent="0.3">
      <c r="A174" s="84">
        <v>173</v>
      </c>
      <c r="B174" s="6">
        <v>44396</v>
      </c>
      <c r="C174" s="85" t="s">
        <v>327</v>
      </c>
      <c r="D174" s="85" t="s">
        <v>327</v>
      </c>
      <c r="E174" s="16">
        <v>44396.89707175926</v>
      </c>
      <c r="F174" s="7">
        <v>44396.897407407407</v>
      </c>
      <c r="G174" s="14">
        <f t="shared" si="2"/>
        <v>3.3564814657438546E-4</v>
      </c>
      <c r="H174" s="86" t="s">
        <v>23</v>
      </c>
      <c r="I174" s="86" t="s">
        <v>24</v>
      </c>
      <c r="J174" s="87" t="str">
        <f>IF(ISBLANK(C174),"",IF(C174=D174, "1 video",CONCATENATE((+COUNTIFS(Video_List!$C:$C,"&lt;=" &amp;Monitoring!F174)-COUNTIFS(Video_List!$C:$C,"&lt;=" &amp;Monitoring!E174))+1," videos")))</f>
        <v>1 video</v>
      </c>
      <c r="K174" s="27" t="s">
        <v>35</v>
      </c>
      <c r="L174" s="40" t="s">
        <v>28</v>
      </c>
      <c r="M174" s="40" t="s">
        <v>47</v>
      </c>
      <c r="N174" s="40" t="s">
        <v>48</v>
      </c>
      <c r="O174" s="88" t="str">
        <f>+IFERROR(IF(P174="#N/C","#N/C",IF(Q174=0,INDEX(Taxonomy_UniqueValues!D:D,MATCH(Q174,Taxonomy_UniqueValues!F:F,0)),INDEX(Taxonomy_UniqueValues!D:D,MATCH(P174,Taxonomy_UniqueValues!E:E,0)))),"#N/C")</f>
        <v>Heterocera</v>
      </c>
      <c r="P174" s="40" t="s">
        <v>248</v>
      </c>
      <c r="Q174" s="40" t="s">
        <v>26</v>
      </c>
      <c r="R174" s="40" t="s">
        <v>26</v>
      </c>
      <c r="S174" s="40" t="s">
        <v>26</v>
      </c>
      <c r="T174" s="26" t="s">
        <v>26</v>
      </c>
    </row>
    <row r="175" spans="1:20" hidden="1" x14ac:dyDescent="0.3">
      <c r="A175" s="84">
        <v>174</v>
      </c>
      <c r="B175" s="6">
        <v>44396</v>
      </c>
      <c r="C175" s="85" t="s">
        <v>328</v>
      </c>
      <c r="D175" s="85" t="s">
        <v>328</v>
      </c>
      <c r="E175" s="16">
        <v>44396.912847222222</v>
      </c>
      <c r="F175" s="7">
        <v>44396.912916666668</v>
      </c>
      <c r="G175" s="14">
        <f t="shared" si="2"/>
        <v>6.9444446125999093E-5</v>
      </c>
      <c r="H175" s="86" t="s">
        <v>23</v>
      </c>
      <c r="I175" s="86" t="s">
        <v>24</v>
      </c>
      <c r="J175" s="87" t="str">
        <f>IF(ISBLANK(C175),"",IF(C175=D175, "1 video",CONCATENATE((+COUNTIFS(Video_List!$C:$C,"&lt;=" &amp;Monitoring!F175)-COUNTIFS(Video_List!$C:$C,"&lt;=" &amp;Monitoring!E175))+1," videos")))</f>
        <v>1 video</v>
      </c>
      <c r="K175" s="27" t="s">
        <v>35</v>
      </c>
      <c r="L175" s="40" t="s">
        <v>28</v>
      </c>
      <c r="M175" s="40" t="s">
        <v>47</v>
      </c>
      <c r="N175" s="40" t="s">
        <v>48</v>
      </c>
      <c r="O175" s="88" t="str">
        <f>+IFERROR(IF(P175="#N/C","#N/C",IF(Q175=0,INDEX(Taxonomy_UniqueValues!D:D,MATCH(Q175,Taxonomy_UniqueValues!F:F,0)),INDEX(Taxonomy_UniqueValues!D:D,MATCH(P175,Taxonomy_UniqueValues!E:E,0)))),"#N/C")</f>
        <v>Heterocera</v>
      </c>
      <c r="P175" s="40" t="s">
        <v>248</v>
      </c>
      <c r="Q175" s="40" t="s">
        <v>26</v>
      </c>
      <c r="R175" s="40" t="s">
        <v>26</v>
      </c>
      <c r="S175" s="40" t="s">
        <v>26</v>
      </c>
      <c r="T175" s="26" t="s">
        <v>26</v>
      </c>
    </row>
    <row r="176" spans="1:20" hidden="1" x14ac:dyDescent="0.3">
      <c r="A176" s="84">
        <v>175</v>
      </c>
      <c r="B176" s="6">
        <v>44396</v>
      </c>
      <c r="C176" s="85" t="s">
        <v>329</v>
      </c>
      <c r="D176" s="85" t="s">
        <v>330</v>
      </c>
      <c r="E176" s="16">
        <v>44396.925104166665</v>
      </c>
      <c r="F176" s="7">
        <v>44396.936793981484</v>
      </c>
      <c r="G176" s="14">
        <f t="shared" si="2"/>
        <v>1.1689814818964805E-2</v>
      </c>
      <c r="H176" s="86" t="s">
        <v>35</v>
      </c>
      <c r="I176" s="86" t="s">
        <v>24</v>
      </c>
      <c r="J176" s="87" t="str">
        <f>IF(ISBLANK(C176),"",IF(C176=D176, "1 video",CONCATENATE((+COUNTIFS(Video_List!$C:$C,"&lt;=" &amp;Monitoring!F176)-COUNTIFS(Video_List!$C:$C,"&lt;=" &amp;Monitoring!E176))+1," videos")))</f>
        <v>4 videos</v>
      </c>
      <c r="K176" s="25" t="s">
        <v>23</v>
      </c>
      <c r="L176" s="40" t="s">
        <v>28</v>
      </c>
      <c r="M176" s="40" t="s">
        <v>67</v>
      </c>
      <c r="N176" s="40" t="s">
        <v>68</v>
      </c>
      <c r="O176" s="88" t="str">
        <f>+IFERROR(IF(P176="#N/C","#N/C",IF(Q176=0,INDEX(Taxonomy_UniqueValues!D:D,MATCH(Q176,Taxonomy_UniqueValues!F:F,0)),INDEX(Taxonomy_UniqueValues!D:D,MATCH(P176,Taxonomy_UniqueValues!E:E,0)))),"#N/C")</f>
        <v>Cucujiformia</v>
      </c>
      <c r="P176" s="40" t="s">
        <v>134</v>
      </c>
      <c r="Q176" s="40" t="s">
        <v>241</v>
      </c>
      <c r="R176" s="40" t="s">
        <v>331</v>
      </c>
      <c r="S176" s="40" t="s">
        <v>243</v>
      </c>
      <c r="T176" s="26" t="s">
        <v>244</v>
      </c>
    </row>
    <row r="177" spans="1:20" hidden="1" x14ac:dyDescent="0.3">
      <c r="A177" s="84">
        <v>132</v>
      </c>
      <c r="B177" s="6">
        <v>44392</v>
      </c>
      <c r="C177" s="85" t="s">
        <v>261</v>
      </c>
      <c r="D177" s="85" t="s">
        <v>261</v>
      </c>
      <c r="E177" s="16">
        <v>44392.935162037036</v>
      </c>
      <c r="F177" s="7">
        <v>44392.936030092591</v>
      </c>
      <c r="G177" s="14">
        <f t="shared" si="2"/>
        <v>8.6805555474711582E-4</v>
      </c>
      <c r="H177" s="4" t="s">
        <v>23</v>
      </c>
      <c r="I177" s="4" t="s">
        <v>24</v>
      </c>
      <c r="J177" s="87" t="str">
        <f>IF(ISBLANK(C177),"",IF(C177=D177, "1 video",CONCATENATE((+COUNTIFS(Video_List!$C:$C,"&lt;=" &amp;Monitoring!F177)-COUNTIFS(Video_List!$C:$C,"&lt;=" &amp;Monitoring!E177))+1," videos")))</f>
        <v>1 video</v>
      </c>
      <c r="K177" s="27" t="s">
        <v>35</v>
      </c>
      <c r="L177" s="40" t="s">
        <v>28</v>
      </c>
      <c r="M177" s="40" t="s">
        <v>265</v>
      </c>
      <c r="N177" s="40" t="s">
        <v>332</v>
      </c>
      <c r="O177" s="88" t="str">
        <f>+IFERROR(IF(P177="#N/C","#N/C",IF(Q177=0,INDEX(Taxonomy_UniqueValues!D:D,MATCH(Q177,Taxonomy_UniqueValues!F:F,0)),INDEX(Taxonomy_UniqueValues!D:D,MATCH(P177,Taxonomy_UniqueValues!E:E,0)))),"#N/C")</f>
        <v>#N/C</v>
      </c>
      <c r="P177" s="40" t="s">
        <v>26</v>
      </c>
      <c r="Q177" s="40" t="s">
        <v>26</v>
      </c>
      <c r="R177" s="40" t="s">
        <v>26</v>
      </c>
      <c r="S177" s="40" t="s">
        <v>26</v>
      </c>
      <c r="T177" s="26" t="s">
        <v>26</v>
      </c>
    </row>
    <row r="178" spans="1:20" hidden="1" x14ac:dyDescent="0.3">
      <c r="A178" s="84">
        <v>177</v>
      </c>
      <c r="B178" s="6">
        <v>44396</v>
      </c>
      <c r="C178" s="85" t="s">
        <v>333</v>
      </c>
      <c r="D178" s="85" t="s">
        <v>333</v>
      </c>
      <c r="E178" s="16">
        <v>44396.936828703707</v>
      </c>
      <c r="F178" s="7">
        <v>44396.936851851853</v>
      </c>
      <c r="G178" s="14">
        <f t="shared" si="2"/>
        <v>2.314814628334716E-5</v>
      </c>
      <c r="H178" s="86" t="s">
        <v>23</v>
      </c>
      <c r="I178" s="86" t="s">
        <v>24</v>
      </c>
      <c r="J178" s="87" t="str">
        <f>IF(ISBLANK(C178),"",IF(C178=D178, "1 video",CONCATENATE((+COUNTIFS(Video_List!$C:$C,"&lt;=" &amp;Monitoring!F178)-COUNTIFS(Video_List!$C:$C,"&lt;=" &amp;Monitoring!E178))+1," videos")))</f>
        <v>1 video</v>
      </c>
      <c r="K178" s="27" t="s">
        <v>35</v>
      </c>
      <c r="L178" s="40" t="s">
        <v>28</v>
      </c>
      <c r="M178" s="40" t="s">
        <v>47</v>
      </c>
      <c r="N178" s="40" t="s">
        <v>48</v>
      </c>
      <c r="O178" s="88" t="str">
        <f>+IFERROR(IF(P178="#N/C","#N/C",IF(Q178=0,INDEX(Taxonomy_UniqueValues!D:D,MATCH(Q178,Taxonomy_UniqueValues!F:F,0)),INDEX(Taxonomy_UniqueValues!D:D,MATCH(P178,Taxonomy_UniqueValues!E:E,0)))),"#N/C")</f>
        <v>Heterocera</v>
      </c>
      <c r="P178" s="40" t="s">
        <v>248</v>
      </c>
      <c r="Q178" s="40" t="s">
        <v>291</v>
      </c>
      <c r="R178" s="40" t="s">
        <v>26</v>
      </c>
      <c r="S178" s="40" t="s">
        <v>26</v>
      </c>
      <c r="T178" s="26" t="s">
        <v>26</v>
      </c>
    </row>
    <row r="179" spans="1:20" hidden="1" x14ac:dyDescent="0.3">
      <c r="A179" s="84">
        <v>178</v>
      </c>
      <c r="B179" s="6">
        <v>44397</v>
      </c>
      <c r="C179" s="85" t="s">
        <v>334</v>
      </c>
      <c r="D179" s="85" t="s">
        <v>334</v>
      </c>
      <c r="E179" s="16">
        <v>44397.170949074076</v>
      </c>
      <c r="F179" s="7">
        <v>44397.170995370368</v>
      </c>
      <c r="G179" s="14">
        <f t="shared" si="2"/>
        <v>4.6296292566694319E-5</v>
      </c>
      <c r="H179" s="4" t="s">
        <v>23</v>
      </c>
      <c r="I179" s="4" t="s">
        <v>24</v>
      </c>
      <c r="J179" s="87" t="str">
        <f>IF(ISBLANK(C179),"",IF(C179=D179, "1 video",CONCATENATE((+COUNTIFS(Video_List!$C:$C,"&lt;=" &amp;Monitoring!F179)-COUNTIFS(Video_List!$C:$C,"&lt;=" &amp;Monitoring!E179))+1," videos")))</f>
        <v>1 video</v>
      </c>
      <c r="K179" s="25" t="s">
        <v>23</v>
      </c>
      <c r="L179" s="40" t="s">
        <v>28</v>
      </c>
      <c r="M179" s="40" t="s">
        <v>47</v>
      </c>
      <c r="N179" s="40" t="s">
        <v>48</v>
      </c>
      <c r="O179" s="88" t="str">
        <f>+IFERROR(IF(P179="#N/C","#N/C",IF(Q179=0,INDEX(Taxonomy_UniqueValues!D:D,MATCH(Q179,Taxonomy_UniqueValues!F:F,0)),INDEX(Taxonomy_UniqueValues!D:D,MATCH(P179,Taxonomy_UniqueValues!E:E,0)))),"#N/C")</f>
        <v>Heterocera</v>
      </c>
      <c r="P179" s="40" t="s">
        <v>248</v>
      </c>
      <c r="Q179" s="40" t="s">
        <v>26</v>
      </c>
      <c r="R179" s="40" t="s">
        <v>26</v>
      </c>
      <c r="S179" s="40" t="s">
        <v>26</v>
      </c>
      <c r="T179" s="26" t="s">
        <v>26</v>
      </c>
    </row>
    <row r="180" spans="1:20" hidden="1" x14ac:dyDescent="0.3">
      <c r="A180" s="84">
        <v>179</v>
      </c>
      <c r="B180" s="6">
        <v>44397</v>
      </c>
      <c r="C180" s="85" t="s">
        <v>335</v>
      </c>
      <c r="D180" s="85" t="s">
        <v>335</v>
      </c>
      <c r="E180" s="16">
        <v>44397.538611111115</v>
      </c>
      <c r="F180" s="7">
        <v>44397.538784722223</v>
      </c>
      <c r="G180" s="14">
        <f t="shared" si="2"/>
        <v>1.7361110803904012E-4</v>
      </c>
      <c r="H180" s="4" t="s">
        <v>23</v>
      </c>
      <c r="I180" s="4" t="s">
        <v>24</v>
      </c>
      <c r="J180" s="87" t="str">
        <f>IF(ISBLANK(C180),"",IF(C180=D180, "1 video",CONCATENATE((+COUNTIFS(Video_List!$C:$C,"&lt;=" &amp;Monitoring!F180)-COUNTIFS(Video_List!$C:$C,"&lt;=" &amp;Monitoring!E180))+1," videos")))</f>
        <v>1 video</v>
      </c>
      <c r="K180" s="27" t="s">
        <v>35</v>
      </c>
      <c r="L180" s="40" t="s">
        <v>28</v>
      </c>
      <c r="M180" s="40" t="s">
        <v>29</v>
      </c>
      <c r="N180" s="40" t="s">
        <v>30</v>
      </c>
      <c r="O180" s="88" t="str">
        <f>+IFERROR(IF(P180="#N/C","#N/C",IF(Q180=0,INDEX(Taxonomy_UniqueValues!D:D,MATCH(Q180,Taxonomy_UniqueValues!F:F,0)),INDEX(Taxonomy_UniqueValues!D:D,MATCH(P180,Taxonomy_UniqueValues!E:E,0)))),"#N/C")</f>
        <v>Asilomorpha</v>
      </c>
      <c r="P180" s="40" t="s">
        <v>140</v>
      </c>
      <c r="Q180" s="40" t="s">
        <v>141</v>
      </c>
      <c r="R180" s="40" t="s">
        <v>142</v>
      </c>
      <c r="S180" s="40" t="s">
        <v>26</v>
      </c>
      <c r="T180" s="26" t="s">
        <v>26</v>
      </c>
    </row>
    <row r="181" spans="1:20" hidden="1" x14ac:dyDescent="0.3">
      <c r="A181" s="84">
        <v>180</v>
      </c>
      <c r="B181" s="6">
        <v>44397</v>
      </c>
      <c r="C181" s="85" t="s">
        <v>336</v>
      </c>
      <c r="D181" s="85" t="s">
        <v>336</v>
      </c>
      <c r="E181" s="16">
        <v>44397.561319444445</v>
      </c>
      <c r="F181" s="7">
        <v>44397.561377314814</v>
      </c>
      <c r="G181" s="14">
        <f t="shared" si="2"/>
        <v>5.7870369346346706E-5</v>
      </c>
      <c r="H181" s="4" t="s">
        <v>23</v>
      </c>
      <c r="I181" s="4" t="s">
        <v>24</v>
      </c>
      <c r="J181" s="87" t="str">
        <f>IF(ISBLANK(C181),"",IF(C181=D181, "1 video",CONCATENATE((+COUNTIFS(Video_List!$C:$C,"&lt;=" &amp;Monitoring!F181)-COUNTIFS(Video_List!$C:$C,"&lt;=" &amp;Monitoring!E181))+1," videos")))</f>
        <v>1 video</v>
      </c>
      <c r="K181" s="27" t="s">
        <v>35</v>
      </c>
      <c r="L181" s="40" t="s">
        <v>28</v>
      </c>
      <c r="M181" s="40" t="s">
        <v>29</v>
      </c>
      <c r="N181" s="40" t="s">
        <v>30</v>
      </c>
      <c r="O181" s="88" t="str">
        <f>+IFERROR(IF(P181="#N/C","#N/C",IF(Q181=0,INDEX(Taxonomy_UniqueValues!D:D,MATCH(Q181,Taxonomy_UniqueValues!F:F,0)),INDEX(Taxonomy_UniqueValues!D:D,MATCH(P181,Taxonomy_UniqueValues!E:E,0)))),"#N/C")</f>
        <v>Asilomorpha</v>
      </c>
      <c r="P181" s="40" t="s">
        <v>140</v>
      </c>
      <c r="Q181" s="40" t="s">
        <v>141</v>
      </c>
      <c r="R181" s="40" t="s">
        <v>142</v>
      </c>
      <c r="S181" s="40" t="s">
        <v>26</v>
      </c>
      <c r="T181" s="26" t="s">
        <v>26</v>
      </c>
    </row>
    <row r="182" spans="1:20" hidden="1" x14ac:dyDescent="0.3">
      <c r="A182" s="84">
        <v>181</v>
      </c>
      <c r="B182" s="6">
        <v>44397</v>
      </c>
      <c r="C182" s="85" t="s">
        <v>337</v>
      </c>
      <c r="D182" s="85" t="s">
        <v>337</v>
      </c>
      <c r="E182" s="16">
        <v>44397.584027777775</v>
      </c>
      <c r="F182" s="7">
        <v>44397.584085648145</v>
      </c>
      <c r="G182" s="14">
        <f t="shared" si="2"/>
        <v>5.7870369346346706E-5</v>
      </c>
      <c r="H182" s="4" t="s">
        <v>23</v>
      </c>
      <c r="I182" s="4" t="s">
        <v>24</v>
      </c>
      <c r="J182" s="87" t="str">
        <f>IF(ISBLANK(C182),"",IF(C182=D182, "1 video",CONCATENATE((+COUNTIFS(Video_List!$C:$C,"&lt;=" &amp;Monitoring!F182)-COUNTIFS(Video_List!$C:$C,"&lt;=" &amp;Monitoring!E182))+1," videos")))</f>
        <v>1 video</v>
      </c>
      <c r="K182" s="25" t="s">
        <v>23</v>
      </c>
      <c r="L182" s="40" t="s">
        <v>28</v>
      </c>
      <c r="M182" s="40" t="s">
        <v>29</v>
      </c>
      <c r="N182" s="40" t="s">
        <v>30</v>
      </c>
      <c r="O182" s="88" t="str">
        <f>+IFERROR(IF(P182="#N/C","#N/C",IF(Q182=0,INDEX(Taxonomy_UniqueValues!D:D,MATCH(Q182,Taxonomy_UniqueValues!F:F,0)),INDEX(Taxonomy_UniqueValues!D:D,MATCH(P182,Taxonomy_UniqueValues!E:E,0)))),"#N/C")</f>
        <v>Muscomorpha</v>
      </c>
      <c r="P182" s="40" t="s">
        <v>37</v>
      </c>
      <c r="Q182" s="40" t="s">
        <v>38</v>
      </c>
      <c r="R182" s="40" t="s">
        <v>39</v>
      </c>
      <c r="S182" s="40" t="s">
        <v>40</v>
      </c>
      <c r="T182" s="26" t="s">
        <v>26</v>
      </c>
    </row>
    <row r="183" spans="1:20" hidden="1" x14ac:dyDescent="0.3">
      <c r="A183" s="84">
        <v>182</v>
      </c>
      <c r="B183" s="6">
        <v>44397</v>
      </c>
      <c r="C183" s="85" t="s">
        <v>337</v>
      </c>
      <c r="D183" s="85" t="s">
        <v>337</v>
      </c>
      <c r="E183" s="16">
        <v>44397.584062499998</v>
      </c>
      <c r="F183" s="7">
        <v>44397.584108796298</v>
      </c>
      <c r="G183" s="14">
        <f t="shared" si="2"/>
        <v>4.6296299842651933E-5</v>
      </c>
      <c r="H183" s="4" t="s">
        <v>23</v>
      </c>
      <c r="I183" s="4" t="s">
        <v>24</v>
      </c>
      <c r="J183" s="87" t="str">
        <f>IF(ISBLANK(C183),"",IF(C183=D183, "1 video",CONCATENATE((+COUNTIFS(Video_List!$C:$C,"&lt;=" &amp;Monitoring!F183)-COUNTIFS(Video_List!$C:$C,"&lt;=" &amp;Monitoring!E183))+1," videos")))</f>
        <v>1 video</v>
      </c>
      <c r="K183" s="27" t="s">
        <v>35</v>
      </c>
      <c r="L183" s="40" t="s">
        <v>28</v>
      </c>
      <c r="M183" s="40" t="s">
        <v>29</v>
      </c>
      <c r="N183" s="40" t="s">
        <v>30</v>
      </c>
      <c r="O183" s="88" t="str">
        <f>+IFERROR(IF(P183="#N/C","#N/C",IF(Q183=0,INDEX(Taxonomy_UniqueValues!D:D,MATCH(Q183,Taxonomy_UniqueValues!F:F,0)),INDEX(Taxonomy_UniqueValues!D:D,MATCH(P183,Taxonomy_UniqueValues!E:E,0)))),"#N/C")</f>
        <v>#N/C</v>
      </c>
      <c r="P183" s="40" t="s">
        <v>26</v>
      </c>
      <c r="Q183" s="40" t="s">
        <v>26</v>
      </c>
      <c r="R183" s="40" t="s">
        <v>26</v>
      </c>
      <c r="S183" s="40" t="s">
        <v>26</v>
      </c>
      <c r="T183" s="26" t="s">
        <v>26</v>
      </c>
    </row>
    <row r="184" spans="1:20" hidden="1" x14ac:dyDescent="0.3">
      <c r="A184" s="84">
        <v>183</v>
      </c>
      <c r="B184" s="6">
        <v>44397</v>
      </c>
      <c r="C184" s="85" t="s">
        <v>338</v>
      </c>
      <c r="D184" s="85" t="s">
        <v>338</v>
      </c>
      <c r="E184" s="16">
        <v>44397.62641203704</v>
      </c>
      <c r="F184" s="7">
        <v>44397.626481481479</v>
      </c>
      <c r="G184" s="14">
        <f t="shared" si="2"/>
        <v>6.9444438850041479E-5</v>
      </c>
      <c r="H184" s="4" t="s">
        <v>23</v>
      </c>
      <c r="I184" s="4" t="s">
        <v>24</v>
      </c>
      <c r="J184" s="87" t="str">
        <f>IF(ISBLANK(C184),"",IF(C184=D184, "1 video",CONCATENATE((+COUNTIFS(Video_List!$C:$C,"&lt;=" &amp;Monitoring!F184)-COUNTIFS(Video_List!$C:$C,"&lt;=" &amp;Monitoring!E184))+1," videos")))</f>
        <v>1 video</v>
      </c>
      <c r="K184" s="27" t="s">
        <v>35</v>
      </c>
      <c r="L184" s="40" t="s">
        <v>28</v>
      </c>
      <c r="M184" s="40" t="s">
        <v>29</v>
      </c>
      <c r="N184" s="40" t="s">
        <v>30</v>
      </c>
      <c r="O184" s="88" t="str">
        <f>+IFERROR(IF(P184="#N/C","#N/C",IF(Q184=0,INDEX(Taxonomy_UniqueValues!D:D,MATCH(Q184,Taxonomy_UniqueValues!F:F,0)),INDEX(Taxonomy_UniqueValues!D:D,MATCH(P184,Taxonomy_UniqueValues!E:E,0)))),"#N/C")</f>
        <v>Muscomorpha</v>
      </c>
      <c r="P184" s="40" t="s">
        <v>37</v>
      </c>
      <c r="Q184" s="40" t="s">
        <v>38</v>
      </c>
      <c r="R184" s="40" t="s">
        <v>39</v>
      </c>
      <c r="S184" s="40" t="s">
        <v>40</v>
      </c>
      <c r="T184" s="26" t="s">
        <v>26</v>
      </c>
    </row>
    <row r="185" spans="1:20" hidden="1" x14ac:dyDescent="0.3">
      <c r="A185" s="84">
        <v>184</v>
      </c>
      <c r="B185" s="6">
        <v>44397</v>
      </c>
      <c r="C185" s="85" t="s">
        <v>339</v>
      </c>
      <c r="D185" s="85" t="s">
        <v>339</v>
      </c>
      <c r="E185" s="16">
        <v>44397.679988425924</v>
      </c>
      <c r="F185" s="7">
        <v>44397.680046296293</v>
      </c>
      <c r="G185" s="14">
        <f t="shared" si="2"/>
        <v>5.7870369346346706E-5</v>
      </c>
      <c r="H185" s="4" t="s">
        <v>23</v>
      </c>
      <c r="I185" s="4" t="s">
        <v>24</v>
      </c>
      <c r="J185" s="87" t="str">
        <f>IF(ISBLANK(C185),"",IF(C185=D185, "1 video",CONCATENATE((+COUNTIFS(Video_List!$C:$C,"&lt;=" &amp;Monitoring!F185)-COUNTIFS(Video_List!$C:$C,"&lt;=" &amp;Monitoring!E185))+1," videos")))</f>
        <v>1 video</v>
      </c>
      <c r="K185" s="27" t="s">
        <v>35</v>
      </c>
      <c r="L185" s="40" t="s">
        <v>28</v>
      </c>
      <c r="M185" s="40" t="s">
        <v>29</v>
      </c>
      <c r="N185" s="40" t="s">
        <v>30</v>
      </c>
      <c r="O185" s="88" t="str">
        <f>+IFERROR(IF(P185="#N/C","#N/C",IF(Q185=0,INDEX(Taxonomy_UniqueValues!D:D,MATCH(Q185,Taxonomy_UniqueValues!F:F,0)),INDEX(Taxonomy_UniqueValues!D:D,MATCH(P185,Taxonomy_UniqueValues!E:E,0)))),"#N/C")</f>
        <v>Asilomorpha</v>
      </c>
      <c r="P185" s="40" t="s">
        <v>140</v>
      </c>
      <c r="Q185" s="40" t="s">
        <v>141</v>
      </c>
      <c r="R185" s="40" t="s">
        <v>142</v>
      </c>
      <c r="S185" s="40" t="s">
        <v>26</v>
      </c>
      <c r="T185" s="26" t="s">
        <v>26</v>
      </c>
    </row>
    <row r="186" spans="1:20" hidden="1" x14ac:dyDescent="0.3">
      <c r="A186" s="84">
        <v>185</v>
      </c>
      <c r="B186" s="6">
        <v>44397</v>
      </c>
      <c r="C186" s="85" t="s">
        <v>340</v>
      </c>
      <c r="D186" s="85" t="s">
        <v>341</v>
      </c>
      <c r="E186" s="16">
        <v>44397.683645833335</v>
      </c>
      <c r="F186" s="7">
        <v>44397.684386574074</v>
      </c>
      <c r="G186" s="14">
        <f t="shared" si="2"/>
        <v>7.4074073927477002E-4</v>
      </c>
      <c r="H186" s="4" t="s">
        <v>23</v>
      </c>
      <c r="I186" s="4" t="s">
        <v>24</v>
      </c>
      <c r="J186" s="87" t="str">
        <f>IF(ISBLANK(C186),"",IF(C186=D186, "1 video",CONCATENATE((+COUNTIFS(Video_List!$C:$C,"&lt;=" &amp;Monitoring!F186)-COUNTIFS(Video_List!$C:$C,"&lt;=" &amp;Monitoring!E186))+1," videos")))</f>
        <v>2 videos</v>
      </c>
      <c r="K186" s="27" t="s">
        <v>35</v>
      </c>
      <c r="L186" s="40" t="s">
        <v>28</v>
      </c>
      <c r="M186" s="40" t="s">
        <v>29</v>
      </c>
      <c r="N186" s="40" t="s">
        <v>30</v>
      </c>
      <c r="O186" s="88" t="str">
        <f>+IFERROR(IF(P186="#N/C","#N/C",IF(Q186=0,INDEX(Taxonomy_UniqueValues!D:D,MATCH(Q186,Taxonomy_UniqueValues!F:F,0)),INDEX(Taxonomy_UniqueValues!D:D,MATCH(P186,Taxonomy_UniqueValues!E:E,0)))),"#N/C")</f>
        <v>Asilomorpha</v>
      </c>
      <c r="P186" s="40" t="s">
        <v>140</v>
      </c>
      <c r="Q186" s="40" t="s">
        <v>141</v>
      </c>
      <c r="R186" s="40" t="s">
        <v>142</v>
      </c>
      <c r="S186" s="40" t="s">
        <v>26</v>
      </c>
      <c r="T186" s="26" t="s">
        <v>26</v>
      </c>
    </row>
    <row r="187" spans="1:20" hidden="1" x14ac:dyDescent="0.3">
      <c r="A187" s="84">
        <v>186</v>
      </c>
      <c r="B187" s="6">
        <v>44398</v>
      </c>
      <c r="C187" s="85" t="s">
        <v>342</v>
      </c>
      <c r="D187" s="85" t="s">
        <v>342</v>
      </c>
      <c r="E187" s="16">
        <v>44398.81045138889</v>
      </c>
      <c r="F187" s="7">
        <v>44398.81050925926</v>
      </c>
      <c r="G187" s="14">
        <f t="shared" si="2"/>
        <v>5.7870369346346706E-5</v>
      </c>
      <c r="H187" s="4" t="s">
        <v>23</v>
      </c>
      <c r="I187" s="4" t="s">
        <v>24</v>
      </c>
      <c r="J187" s="87" t="str">
        <f>IF(ISBLANK(C187),"",IF(C187=D187, "1 video",CONCATENATE((+COUNTIFS(Video_List!$C:$C,"&lt;=" &amp;Monitoring!F187)-COUNTIFS(Video_List!$C:$C,"&lt;=" &amp;Monitoring!E187))+1," videos")))</f>
        <v>1 video</v>
      </c>
      <c r="K187" s="27" t="s">
        <v>35</v>
      </c>
      <c r="L187" s="40" t="s">
        <v>28</v>
      </c>
      <c r="M187" s="40" t="s">
        <v>29</v>
      </c>
      <c r="N187" s="40" t="s">
        <v>30</v>
      </c>
      <c r="O187" s="88" t="str">
        <f>+IFERROR(IF(P187="#N/C","#N/C",IF(Q187=0,INDEX(Taxonomy_UniqueValues!D:D,MATCH(Q187,Taxonomy_UniqueValues!F:F,0)),INDEX(Taxonomy_UniqueValues!D:D,MATCH(P187,Taxonomy_UniqueValues!E:E,0)))),"#N/C")</f>
        <v>#N/C</v>
      </c>
      <c r="P187" s="40" t="s">
        <v>26</v>
      </c>
      <c r="Q187" s="40" t="s">
        <v>26</v>
      </c>
      <c r="R187" s="40" t="s">
        <v>26</v>
      </c>
      <c r="S187" s="40" t="s">
        <v>26</v>
      </c>
      <c r="T187" s="26" t="s">
        <v>26</v>
      </c>
    </row>
    <row r="188" spans="1:20" hidden="1" x14ac:dyDescent="0.3">
      <c r="A188" s="84">
        <v>187</v>
      </c>
      <c r="B188" s="6">
        <v>44398</v>
      </c>
      <c r="C188" s="85" t="s">
        <v>343</v>
      </c>
      <c r="D188" s="85" t="s">
        <v>343</v>
      </c>
      <c r="E188" s="16">
        <v>44398.820532407408</v>
      </c>
      <c r="F188" s="7">
        <v>44398.821377314816</v>
      </c>
      <c r="G188" s="14">
        <f t="shared" si="2"/>
        <v>8.4490740846376866E-4</v>
      </c>
      <c r="H188" s="86" t="s">
        <v>35</v>
      </c>
      <c r="I188" s="86" t="s">
        <v>24</v>
      </c>
      <c r="J188" s="87" t="str">
        <f>IF(ISBLANK(C188),"",IF(C188=D188, "1 video",CONCATENATE((+COUNTIFS(Video_List!$C:$C,"&lt;=" &amp;Monitoring!F188)-COUNTIFS(Video_List!$C:$C,"&lt;=" &amp;Monitoring!E188))+1," videos")))</f>
        <v>1 video</v>
      </c>
      <c r="K188" s="25" t="s">
        <v>23</v>
      </c>
      <c r="L188" s="40" t="s">
        <v>28</v>
      </c>
      <c r="M188" s="40" t="s">
        <v>101</v>
      </c>
      <c r="N188" s="40">
        <v>0</v>
      </c>
      <c r="O188" s="88">
        <f>+IFERROR(IF(P188="#N/C","#N/C",IF(Q188=0,INDEX(Taxonomy_UniqueValues!D:D,MATCH(Q188,Taxonomy_UniqueValues!F:F,0)),INDEX(Taxonomy_UniqueValues!D:D,MATCH(P188,Taxonomy_UniqueValues!E:E,0)))),"#N/C")</f>
        <v>0</v>
      </c>
      <c r="P188" s="40" t="s">
        <v>102</v>
      </c>
      <c r="Q188" s="40" t="s">
        <v>103</v>
      </c>
      <c r="R188" s="40">
        <v>0</v>
      </c>
      <c r="S188" s="40" t="s">
        <v>104</v>
      </c>
      <c r="T188" s="26" t="s">
        <v>344</v>
      </c>
    </row>
    <row r="189" spans="1:20" hidden="1" x14ac:dyDescent="0.3">
      <c r="A189" s="84">
        <v>188</v>
      </c>
      <c r="B189" s="6">
        <v>44398</v>
      </c>
      <c r="C189" s="85" t="s">
        <v>345</v>
      </c>
      <c r="D189" s="85" t="s">
        <v>345</v>
      </c>
      <c r="E189" s="16">
        <v>44398.827696759261</v>
      </c>
      <c r="F189" s="7">
        <v>44398.829756944448</v>
      </c>
      <c r="G189" s="14">
        <f t="shared" si="2"/>
        <v>2.0601851865649223E-3</v>
      </c>
      <c r="H189" s="86" t="s">
        <v>23</v>
      </c>
      <c r="I189" s="86" t="s">
        <v>24</v>
      </c>
      <c r="J189" s="87" t="str">
        <f>IF(ISBLANK(C189),"",IF(C189=D189, "1 video",CONCATENATE((+COUNTIFS(Video_List!$C:$C,"&lt;=" &amp;Monitoring!F189)-COUNTIFS(Video_List!$C:$C,"&lt;=" &amp;Monitoring!E189))+1," videos")))</f>
        <v>1 video</v>
      </c>
      <c r="K189" s="27" t="s">
        <v>35</v>
      </c>
      <c r="L189" s="40" t="s">
        <v>28</v>
      </c>
      <c r="M189" s="40" t="s">
        <v>29</v>
      </c>
      <c r="N189" s="40" t="s">
        <v>30</v>
      </c>
      <c r="O189" s="88" t="str">
        <f>+IFERROR(IF(P189="#N/C","#N/C",IF(Q189=0,INDEX(Taxonomy_UniqueValues!D:D,MATCH(Q189,Taxonomy_UniqueValues!F:F,0)),INDEX(Taxonomy_UniqueValues!D:D,MATCH(P189,Taxonomy_UniqueValues!E:E,0)))),"#N/C")</f>
        <v>Muscomorpha</v>
      </c>
      <c r="P189" s="40" t="s">
        <v>37</v>
      </c>
      <c r="Q189" s="40" t="s">
        <v>38</v>
      </c>
      <c r="R189" s="40" t="s">
        <v>39</v>
      </c>
      <c r="S189" s="40" t="s">
        <v>173</v>
      </c>
      <c r="T189" s="26" t="s">
        <v>26</v>
      </c>
    </row>
    <row r="190" spans="1:20" hidden="1" x14ac:dyDescent="0.3">
      <c r="A190" s="84">
        <v>189</v>
      </c>
      <c r="B190" s="6">
        <v>44398</v>
      </c>
      <c r="C190" s="85" t="s">
        <v>346</v>
      </c>
      <c r="D190" s="85" t="s">
        <v>346</v>
      </c>
      <c r="E190" s="16">
        <v>44398.87228009259</v>
      </c>
      <c r="F190" s="7">
        <v>44398.872546296298</v>
      </c>
      <c r="G190" s="14">
        <f t="shared" si="2"/>
        <v>2.6620370772434399E-4</v>
      </c>
      <c r="H190" s="86" t="s">
        <v>23</v>
      </c>
      <c r="I190" s="86" t="s">
        <v>24</v>
      </c>
      <c r="J190" s="87" t="str">
        <f>IF(ISBLANK(C190),"",IF(C190=D190, "1 video",CONCATENATE((+COUNTIFS(Video_List!$C:$C,"&lt;=" &amp;Monitoring!F190)-COUNTIFS(Video_List!$C:$C,"&lt;=" &amp;Monitoring!E190))+1," videos")))</f>
        <v>1 video</v>
      </c>
      <c r="K190" s="27" t="s">
        <v>35</v>
      </c>
      <c r="L190" s="40" t="s">
        <v>28</v>
      </c>
      <c r="M190" s="40" t="s">
        <v>29</v>
      </c>
      <c r="N190" s="40" t="s">
        <v>30</v>
      </c>
      <c r="O190" s="88" t="str">
        <f>+IFERROR(IF(P190="#N/C","#N/C",IF(Q190=0,INDEX(Taxonomy_UniqueValues!D:D,MATCH(Q190,Taxonomy_UniqueValues!F:F,0)),INDEX(Taxonomy_UniqueValues!D:D,MATCH(P190,Taxonomy_UniqueValues!E:E,0)))),"#N/C")</f>
        <v>Muscomorpha</v>
      </c>
      <c r="P190" s="40" t="s">
        <v>37</v>
      </c>
      <c r="Q190" s="40" t="s">
        <v>38</v>
      </c>
      <c r="R190" s="40" t="s">
        <v>39</v>
      </c>
      <c r="S190" s="40" t="s">
        <v>173</v>
      </c>
      <c r="T190" s="26" t="s">
        <v>26</v>
      </c>
    </row>
    <row r="191" spans="1:20" hidden="1" x14ac:dyDescent="0.3">
      <c r="A191" s="84">
        <v>190</v>
      </c>
      <c r="B191" s="6">
        <v>44398</v>
      </c>
      <c r="C191" s="85" t="s">
        <v>347</v>
      </c>
      <c r="D191" s="85" t="s">
        <v>347</v>
      </c>
      <c r="E191" s="16">
        <v>44398.896006944444</v>
      </c>
      <c r="F191" s="7">
        <v>44398.89607638889</v>
      </c>
      <c r="G191" s="14">
        <f t="shared" si="2"/>
        <v>6.9444446125999093E-5</v>
      </c>
      <c r="H191" s="4" t="s">
        <v>23</v>
      </c>
      <c r="I191" s="4" t="s">
        <v>24</v>
      </c>
      <c r="J191" s="87" t="str">
        <f>IF(ISBLANK(C191),"",IF(C191=D191, "1 video",CONCATENATE((+COUNTIFS(Video_List!$C:$C,"&lt;=" &amp;Monitoring!F191)-COUNTIFS(Video_List!$C:$C,"&lt;=" &amp;Monitoring!E191))+1," videos")))</f>
        <v>1 video</v>
      </c>
      <c r="K191" s="25" t="s">
        <v>23</v>
      </c>
      <c r="L191" s="40" t="s">
        <v>28</v>
      </c>
      <c r="M191" s="40" t="s">
        <v>29</v>
      </c>
      <c r="N191" s="40" t="s">
        <v>30</v>
      </c>
      <c r="O191" s="88" t="str">
        <f>+IFERROR(IF(P191="#N/C","#N/C",IF(Q191=0,INDEX(Taxonomy_UniqueValues!D:D,MATCH(Q191,Taxonomy_UniqueValues!F:F,0)),INDEX(Taxonomy_UniqueValues!D:D,MATCH(P191,Taxonomy_UniqueValues!E:E,0)))),"#N/C")</f>
        <v>#N/C</v>
      </c>
      <c r="P191" s="40" t="s">
        <v>26</v>
      </c>
      <c r="Q191" s="40" t="s">
        <v>26</v>
      </c>
      <c r="R191" s="40" t="s">
        <v>26</v>
      </c>
      <c r="S191" s="40" t="s">
        <v>26</v>
      </c>
      <c r="T191" s="26" t="s">
        <v>26</v>
      </c>
    </row>
    <row r="192" spans="1:20" hidden="1" x14ac:dyDescent="0.3">
      <c r="A192" s="84">
        <v>191</v>
      </c>
      <c r="B192" s="6">
        <v>44398</v>
      </c>
      <c r="C192" s="85" t="s">
        <v>195</v>
      </c>
      <c r="D192" s="85" t="s">
        <v>195</v>
      </c>
      <c r="E192" s="16">
        <v>44398.898796296293</v>
      </c>
      <c r="F192" s="7">
        <v>44398.909282407411</v>
      </c>
      <c r="G192" s="14">
        <f t="shared" si="2"/>
        <v>1.0486111117643304E-2</v>
      </c>
      <c r="H192" s="4" t="s">
        <v>23</v>
      </c>
      <c r="I192" s="4" t="s">
        <v>24</v>
      </c>
      <c r="J192" s="87" t="str">
        <f>IF(ISBLANK(C192),"",IF(C192=D192, "1 video",CONCATENATE((+COUNTIFS(Video_List!$C:$C,"&lt;=" &amp;Monitoring!F192)-COUNTIFS(Video_List!$C:$C,"&lt;=" &amp;Monitoring!E192))+1," videos")))</f>
        <v>1 video</v>
      </c>
      <c r="K192" s="25" t="s">
        <v>23</v>
      </c>
      <c r="L192" s="40" t="s">
        <v>28</v>
      </c>
      <c r="M192" s="40" t="s">
        <v>29</v>
      </c>
      <c r="N192" s="40" t="s">
        <v>30</v>
      </c>
      <c r="O192" s="88" t="str">
        <f>+IFERROR(IF(P192="#N/C","#N/C",IF(Q192=0,INDEX(Taxonomy_UniqueValues!D:D,MATCH(Q192,Taxonomy_UniqueValues!F:F,0)),INDEX(Taxonomy_UniqueValues!D:D,MATCH(P192,Taxonomy_UniqueValues!E:E,0)))),"#N/C")</f>
        <v>Muscomorpha</v>
      </c>
      <c r="P192" s="40" t="s">
        <v>37</v>
      </c>
      <c r="Q192" s="40" t="s">
        <v>38</v>
      </c>
      <c r="R192" s="40" t="s">
        <v>39</v>
      </c>
      <c r="S192" s="40" t="s">
        <v>40</v>
      </c>
      <c r="T192" s="26" t="s">
        <v>348</v>
      </c>
    </row>
    <row r="193" spans="1:20" hidden="1" x14ac:dyDescent="0.3">
      <c r="A193" s="84">
        <v>176</v>
      </c>
      <c r="B193" s="6">
        <v>44396</v>
      </c>
      <c r="C193" s="85" t="s">
        <v>349</v>
      </c>
      <c r="D193" s="85" t="s">
        <v>350</v>
      </c>
      <c r="E193" s="16">
        <v>44396.934583333335</v>
      </c>
      <c r="F193" s="7">
        <v>44396.95689814815</v>
      </c>
      <c r="G193" s="14">
        <f t="shared" si="2"/>
        <v>2.2314814814308193E-2</v>
      </c>
      <c r="H193" s="86" t="s">
        <v>46</v>
      </c>
      <c r="I193" s="86" t="s">
        <v>46</v>
      </c>
      <c r="J193" s="87" t="str">
        <f>IF(ISBLANK(C193),"",IF(C193=D193, "1 video",CONCATENATE((+COUNTIFS(Video_List!$C:$C,"&lt;=" &amp;Monitoring!F193)-COUNTIFS(Video_List!$C:$C,"&lt;=" &amp;Monitoring!E193))+1," videos")))</f>
        <v>6 videos</v>
      </c>
      <c r="K193" s="25" t="s">
        <v>23</v>
      </c>
      <c r="L193" s="40" t="s">
        <v>28</v>
      </c>
      <c r="M193" s="40" t="s">
        <v>351</v>
      </c>
      <c r="N193" s="40" t="s">
        <v>352</v>
      </c>
      <c r="O193" s="88">
        <f>+IFERROR(IF(P193="#N/C","#N/C",IF(Q193=0,INDEX(Taxonomy_UniqueValues!D:D,MATCH(Q193,Taxonomy_UniqueValues!F:F,0)),INDEX(Taxonomy_UniqueValues!D:D,MATCH(P193,Taxonomy_UniqueValues!E:E,0)))),"#N/C")</f>
        <v>0</v>
      </c>
      <c r="P193" s="40" t="s">
        <v>353</v>
      </c>
      <c r="Q193" s="40" t="s">
        <v>354</v>
      </c>
      <c r="R193" s="40" t="s">
        <v>355</v>
      </c>
      <c r="S193" s="40" t="s">
        <v>356</v>
      </c>
      <c r="T193" s="26" t="s">
        <v>357</v>
      </c>
    </row>
    <row r="194" spans="1:20" hidden="1" x14ac:dyDescent="0.3">
      <c r="A194" s="84">
        <v>193</v>
      </c>
      <c r="B194" s="6">
        <v>44399</v>
      </c>
      <c r="C194" s="85" t="s">
        <v>358</v>
      </c>
      <c r="D194" s="85" t="s">
        <v>358</v>
      </c>
      <c r="E194" s="16">
        <v>44399.113206018519</v>
      </c>
      <c r="F194" s="7">
        <v>44399.113252314812</v>
      </c>
      <c r="G194" s="14">
        <f t="shared" ref="G194:G257" si="3">F194-E194</f>
        <v>4.6296292566694319E-5</v>
      </c>
      <c r="H194" s="86" t="s">
        <v>23</v>
      </c>
      <c r="I194" s="86" t="s">
        <v>24</v>
      </c>
      <c r="J194" s="87" t="str">
        <f>IF(ISBLANK(C194),"",IF(C194=D194, "1 video",CONCATENATE((+COUNTIFS(Video_List!$C:$C,"&lt;=" &amp;Monitoring!F194)-COUNTIFS(Video_List!$C:$C,"&lt;=" &amp;Monitoring!E194))+1," videos")))</f>
        <v>1 video</v>
      </c>
      <c r="K194" s="27" t="s">
        <v>35</v>
      </c>
      <c r="L194" s="40" t="s">
        <v>28</v>
      </c>
      <c r="M194" s="40" t="s">
        <v>47</v>
      </c>
      <c r="N194" s="40" t="s">
        <v>48</v>
      </c>
      <c r="O194" s="88" t="str">
        <f>+IFERROR(IF(P194="#N/C","#N/C",IF(Q194=0,INDEX(Taxonomy_UniqueValues!D:D,MATCH(Q194,Taxonomy_UniqueValues!F:F,0)),INDEX(Taxonomy_UniqueValues!D:D,MATCH(P194,Taxonomy_UniqueValues!E:E,0)))),"#N/C")</f>
        <v>Heterocera</v>
      </c>
      <c r="P194" s="40" t="s">
        <v>248</v>
      </c>
      <c r="Q194" s="40" t="s">
        <v>291</v>
      </c>
      <c r="R194" s="40" t="s">
        <v>26</v>
      </c>
      <c r="S194" s="40" t="s">
        <v>26</v>
      </c>
      <c r="T194" s="26" t="s">
        <v>26</v>
      </c>
    </row>
    <row r="195" spans="1:20" hidden="1" x14ac:dyDescent="0.3">
      <c r="A195" s="84">
        <v>194</v>
      </c>
      <c r="B195" s="6">
        <v>44399</v>
      </c>
      <c r="C195" s="85" t="s">
        <v>359</v>
      </c>
      <c r="D195" s="85" t="s">
        <v>359</v>
      </c>
      <c r="E195" s="16">
        <v>44399.176574074074</v>
      </c>
      <c r="F195" s="7">
        <v>44399.176631944443</v>
      </c>
      <c r="G195" s="14">
        <f t="shared" si="3"/>
        <v>5.7870369346346706E-5</v>
      </c>
      <c r="H195" s="4" t="s">
        <v>23</v>
      </c>
      <c r="I195" s="4" t="s">
        <v>24</v>
      </c>
      <c r="J195" s="87" t="str">
        <f>IF(ISBLANK(C195),"",IF(C195=D195, "1 video",CONCATENATE((+COUNTIFS(Video_List!$C:$C,"&lt;=" &amp;Monitoring!F195)-COUNTIFS(Video_List!$C:$C,"&lt;=" &amp;Monitoring!E195))+1," videos")))</f>
        <v>1 video</v>
      </c>
      <c r="K195" s="25" t="s">
        <v>23</v>
      </c>
      <c r="L195" s="40" t="s">
        <v>28</v>
      </c>
      <c r="M195" s="40" t="s">
        <v>47</v>
      </c>
      <c r="N195" s="40" t="s">
        <v>48</v>
      </c>
      <c r="O195" s="88" t="str">
        <f>+IFERROR(IF(P195="#N/C","#N/C",IF(Q195=0,INDEX(Taxonomy_UniqueValues!D:D,MATCH(Q195,Taxonomy_UniqueValues!F:F,0)),INDEX(Taxonomy_UniqueValues!D:D,MATCH(P195,Taxonomy_UniqueValues!E:E,0)))),"#N/C")</f>
        <v>Heterocera</v>
      </c>
      <c r="P195" s="40" t="s">
        <v>248</v>
      </c>
      <c r="Q195" s="40" t="s">
        <v>26</v>
      </c>
      <c r="R195" s="40" t="s">
        <v>26</v>
      </c>
      <c r="S195" s="40" t="s">
        <v>26</v>
      </c>
      <c r="T195" s="26" t="s">
        <v>26</v>
      </c>
    </row>
    <row r="196" spans="1:20" hidden="1" x14ac:dyDescent="0.3">
      <c r="A196" s="84">
        <v>195</v>
      </c>
      <c r="B196" s="6">
        <v>44399</v>
      </c>
      <c r="C196" s="85" t="s">
        <v>360</v>
      </c>
      <c r="D196" s="85" t="s">
        <v>360</v>
      </c>
      <c r="E196" s="16">
        <v>44399.214398148149</v>
      </c>
      <c r="F196" s="7">
        <v>44399.214537037034</v>
      </c>
      <c r="G196" s="14">
        <f t="shared" si="3"/>
        <v>1.3888888497604057E-4</v>
      </c>
      <c r="H196" s="4" t="s">
        <v>35</v>
      </c>
      <c r="I196" s="4" t="s">
        <v>109</v>
      </c>
      <c r="J196" s="87" t="str">
        <f>IF(ISBLANK(C196),"",IF(C196=D196, "1 video",CONCATENATE((+COUNTIFS(Video_List!$C:$C,"&lt;=" &amp;Monitoring!F196)-COUNTIFS(Video_List!$C:$C,"&lt;=" &amp;Monitoring!E196))+1," videos")))</f>
        <v>1 video</v>
      </c>
      <c r="K196" s="25" t="s">
        <v>23</v>
      </c>
      <c r="L196" s="40" t="s">
        <v>28</v>
      </c>
      <c r="M196" s="40" t="s">
        <v>29</v>
      </c>
      <c r="N196" s="40" t="s">
        <v>30</v>
      </c>
      <c r="O196" s="88" t="str">
        <f>+IFERROR(IF(P196="#N/C","#N/C",IF(Q196=0,INDEX(Taxonomy_UniqueValues!D:D,MATCH(Q196,Taxonomy_UniqueValues!F:F,0)),INDEX(Taxonomy_UniqueValues!D:D,MATCH(P196,Taxonomy_UniqueValues!E:E,0)))),"#N/C")</f>
        <v>Muscomorpha</v>
      </c>
      <c r="P196" s="40" t="s">
        <v>37</v>
      </c>
      <c r="Q196" s="40" t="s">
        <v>38</v>
      </c>
      <c r="R196" s="40" t="s">
        <v>39</v>
      </c>
      <c r="S196" s="40" t="s">
        <v>173</v>
      </c>
      <c r="T196" s="26" t="s">
        <v>26</v>
      </c>
    </row>
    <row r="197" spans="1:20" hidden="1" x14ac:dyDescent="0.3">
      <c r="A197" s="84">
        <v>196</v>
      </c>
      <c r="B197" s="6">
        <v>44399</v>
      </c>
      <c r="C197" s="85" t="s">
        <v>361</v>
      </c>
      <c r="D197" s="85" t="s">
        <v>361</v>
      </c>
      <c r="E197" s="16">
        <v>44399.216157407405</v>
      </c>
      <c r="F197" s="7">
        <v>44399.216296296298</v>
      </c>
      <c r="G197" s="14">
        <f t="shared" si="3"/>
        <v>1.3888889225199819E-4</v>
      </c>
      <c r="H197" s="4" t="s">
        <v>23</v>
      </c>
      <c r="I197" s="4" t="s">
        <v>46</v>
      </c>
      <c r="J197" s="87" t="str">
        <f>IF(ISBLANK(C197),"",IF(C197=D197, "1 video",CONCATENATE((+COUNTIFS(Video_List!$C:$C,"&lt;=" &amp;Monitoring!F197)-COUNTIFS(Video_List!$C:$C,"&lt;=" &amp;Monitoring!E197))+1," videos")))</f>
        <v>1 video</v>
      </c>
      <c r="K197" s="27" t="s">
        <v>35</v>
      </c>
      <c r="L197" s="40" t="s">
        <v>28</v>
      </c>
      <c r="M197" s="40" t="s">
        <v>29</v>
      </c>
      <c r="N197" s="40" t="s">
        <v>30</v>
      </c>
      <c r="O197" s="88" t="str">
        <f>+IFERROR(IF(P197="#N/C","#N/C",IF(Q197=0,INDEX(Taxonomy_UniqueValues!D:D,MATCH(Q197,Taxonomy_UniqueValues!F:F,0)),INDEX(Taxonomy_UniqueValues!D:D,MATCH(P197,Taxonomy_UniqueValues!E:E,0)))),"#N/C")</f>
        <v>Muscomorpha</v>
      </c>
      <c r="P197" s="40" t="s">
        <v>37</v>
      </c>
      <c r="Q197" s="40" t="s">
        <v>38</v>
      </c>
      <c r="R197" s="40" t="s">
        <v>39</v>
      </c>
      <c r="S197" s="40" t="s">
        <v>173</v>
      </c>
      <c r="T197" s="26" t="s">
        <v>26</v>
      </c>
    </row>
    <row r="198" spans="1:20" hidden="1" x14ac:dyDescent="0.3">
      <c r="A198" s="84">
        <v>197</v>
      </c>
      <c r="B198" s="6">
        <v>44399</v>
      </c>
      <c r="C198" s="85" t="s">
        <v>362</v>
      </c>
      <c r="D198" s="85" t="s">
        <v>362</v>
      </c>
      <c r="E198" s="16">
        <v>44399.463703703703</v>
      </c>
      <c r="F198" s="7">
        <v>44399.467083333337</v>
      </c>
      <c r="G198" s="14">
        <f t="shared" si="3"/>
        <v>3.3796296338550746E-3</v>
      </c>
      <c r="H198" s="86" t="s">
        <v>23</v>
      </c>
      <c r="I198" s="86" t="s">
        <v>24</v>
      </c>
      <c r="J198" s="87" t="str">
        <f>IF(ISBLANK(C198),"",IF(C198=D198, "1 video",CONCATENATE((+COUNTIFS(Video_List!$C:$C,"&lt;=" &amp;Monitoring!F198)-COUNTIFS(Video_List!$C:$C,"&lt;=" &amp;Monitoring!E198))+1," videos")))</f>
        <v>1 video</v>
      </c>
      <c r="K198" s="27" t="s">
        <v>35</v>
      </c>
      <c r="L198" s="40" t="s">
        <v>28</v>
      </c>
      <c r="M198" s="40" t="s">
        <v>29</v>
      </c>
      <c r="N198" s="40" t="s">
        <v>30</v>
      </c>
      <c r="O198" s="88" t="str">
        <f>+IFERROR(IF(P198="#N/C","#N/C",IF(Q198=0,INDEX(Taxonomy_UniqueValues!D:D,MATCH(Q198,Taxonomy_UniqueValues!F:F,0)),INDEX(Taxonomy_UniqueValues!D:D,MATCH(P198,Taxonomy_UniqueValues!E:E,0)))),"#N/C")</f>
        <v>Muscomorpha</v>
      </c>
      <c r="P198" s="40" t="s">
        <v>37</v>
      </c>
      <c r="Q198" s="40" t="s">
        <v>38</v>
      </c>
      <c r="R198" s="40" t="s">
        <v>39</v>
      </c>
      <c r="S198" s="40" t="s">
        <v>173</v>
      </c>
      <c r="T198" s="26" t="s">
        <v>26</v>
      </c>
    </row>
    <row r="199" spans="1:20" hidden="1" x14ac:dyDescent="0.3">
      <c r="A199" s="84">
        <v>198</v>
      </c>
      <c r="B199" s="6">
        <v>44399</v>
      </c>
      <c r="C199" s="85" t="s">
        <v>363</v>
      </c>
      <c r="D199" s="85" t="s">
        <v>363</v>
      </c>
      <c r="E199" s="16">
        <v>44399.608796296299</v>
      </c>
      <c r="F199" s="7">
        <v>44399.608888888892</v>
      </c>
      <c r="G199" s="14">
        <f t="shared" si="3"/>
        <v>9.2592592409346253E-5</v>
      </c>
      <c r="H199" s="86" t="s">
        <v>23</v>
      </c>
      <c r="I199" s="86" t="s">
        <v>24</v>
      </c>
      <c r="J199" s="87" t="str">
        <f>IF(ISBLANK(C199),"",IF(C199=D199, "1 video",CONCATENATE((+COUNTIFS(Video_List!$C:$C,"&lt;=" &amp;Monitoring!F199)-COUNTIFS(Video_List!$C:$C,"&lt;=" &amp;Monitoring!E199))+1," videos")))</f>
        <v>1 video</v>
      </c>
      <c r="K199" s="27" t="s">
        <v>35</v>
      </c>
      <c r="L199" s="40" t="s">
        <v>28</v>
      </c>
      <c r="M199" s="40" t="s">
        <v>29</v>
      </c>
      <c r="N199" s="40" t="s">
        <v>30</v>
      </c>
      <c r="O199" s="88" t="str">
        <f>+IFERROR(IF(P199="#N/C","#N/C",IF(Q199=0,INDEX(Taxonomy_UniqueValues!D:D,MATCH(Q199,Taxonomy_UniqueValues!F:F,0)),INDEX(Taxonomy_UniqueValues!D:D,MATCH(P199,Taxonomy_UniqueValues!E:E,0)))),"#N/C")</f>
        <v>Muscomorpha</v>
      </c>
      <c r="P199" s="40" t="s">
        <v>37</v>
      </c>
      <c r="Q199" s="40" t="s">
        <v>38</v>
      </c>
      <c r="R199" s="40" t="s">
        <v>39</v>
      </c>
      <c r="S199" s="40" t="s">
        <v>173</v>
      </c>
      <c r="T199" s="26" t="s">
        <v>26</v>
      </c>
    </row>
    <row r="200" spans="1:20" hidden="1" x14ac:dyDescent="0.3">
      <c r="A200" s="84">
        <v>199</v>
      </c>
      <c r="B200" s="6">
        <v>44399</v>
      </c>
      <c r="C200" s="85" t="s">
        <v>364</v>
      </c>
      <c r="D200" s="85" t="s">
        <v>365</v>
      </c>
      <c r="E200" s="16">
        <v>44399.628298611111</v>
      </c>
      <c r="F200" s="7">
        <v>44399.658576388887</v>
      </c>
      <c r="G200" s="14">
        <f t="shared" si="3"/>
        <v>3.0277777776063886E-2</v>
      </c>
      <c r="H200" s="86" t="s">
        <v>23</v>
      </c>
      <c r="I200" s="86" t="s">
        <v>24</v>
      </c>
      <c r="J200" s="87" t="str">
        <f>IF(ISBLANK(C200),"",IF(C200=D200, "1 video",CONCATENATE((+COUNTIFS(Video_List!$C:$C,"&lt;=" &amp;Monitoring!F200)-COUNTIFS(Video_List!$C:$C,"&lt;=" &amp;Monitoring!E200))+1," videos")))</f>
        <v>2 videos</v>
      </c>
      <c r="K200" s="27" t="s">
        <v>35</v>
      </c>
      <c r="L200" s="40" t="s">
        <v>28</v>
      </c>
      <c r="M200" s="40" t="s">
        <v>29</v>
      </c>
      <c r="N200" s="40" t="s">
        <v>30</v>
      </c>
      <c r="O200" s="88" t="str">
        <f>+IFERROR(IF(P200="#N/C","#N/C",IF(Q200=0,INDEX(Taxonomy_UniqueValues!D:D,MATCH(Q200,Taxonomy_UniqueValues!F:F,0)),INDEX(Taxonomy_UniqueValues!D:D,MATCH(P200,Taxonomy_UniqueValues!E:E,0)))),"#N/C")</f>
        <v>Muscomorpha</v>
      </c>
      <c r="P200" s="40" t="s">
        <v>37</v>
      </c>
      <c r="Q200" s="40" t="s">
        <v>38</v>
      </c>
      <c r="R200" s="40" t="s">
        <v>39</v>
      </c>
      <c r="S200" s="40" t="s">
        <v>40</v>
      </c>
      <c r="T200" s="26" t="s">
        <v>348</v>
      </c>
    </row>
    <row r="201" spans="1:20" hidden="1" x14ac:dyDescent="0.3">
      <c r="A201" s="84">
        <v>200</v>
      </c>
      <c r="B201" s="6">
        <v>44399</v>
      </c>
      <c r="C201" s="85" t="s">
        <v>364</v>
      </c>
      <c r="D201" s="85" t="s">
        <v>364</v>
      </c>
      <c r="E201" s="16">
        <v>44399.628333333334</v>
      </c>
      <c r="F201" s="7">
        <v>44399.628368055557</v>
      </c>
      <c r="G201" s="14">
        <f t="shared" si="3"/>
        <v>3.4722223062999547E-5</v>
      </c>
      <c r="H201" s="86" t="s">
        <v>23</v>
      </c>
      <c r="I201" s="86" t="s">
        <v>24</v>
      </c>
      <c r="J201" s="87" t="str">
        <f>IF(ISBLANK(C201),"",IF(C201=D201, "1 video",CONCATENATE((+COUNTIFS(Video_List!$C:$C,"&lt;=" &amp;Monitoring!F201)-COUNTIFS(Video_List!$C:$C,"&lt;=" &amp;Monitoring!E201))+1," videos")))</f>
        <v>1 video</v>
      </c>
      <c r="K201" s="27" t="s">
        <v>35</v>
      </c>
      <c r="L201" s="40" t="s">
        <v>28</v>
      </c>
      <c r="M201" s="40" t="s">
        <v>29</v>
      </c>
      <c r="N201" s="40" t="s">
        <v>30</v>
      </c>
      <c r="O201" s="88" t="str">
        <f>+IFERROR(IF(P201="#N/C","#N/C",IF(Q201=0,INDEX(Taxonomy_UniqueValues!D:D,MATCH(Q201,Taxonomy_UniqueValues!F:F,0)),INDEX(Taxonomy_UniqueValues!D:D,MATCH(P201,Taxonomy_UniqueValues!E:E,0)))),"#N/C")</f>
        <v>Muscomorpha</v>
      </c>
      <c r="P201" s="40" t="s">
        <v>326</v>
      </c>
      <c r="Q201" s="40" t="s">
        <v>366</v>
      </c>
      <c r="R201" s="40" t="s">
        <v>367</v>
      </c>
      <c r="S201" s="40" t="s">
        <v>368</v>
      </c>
      <c r="T201" s="26" t="s">
        <v>26</v>
      </c>
    </row>
    <row r="202" spans="1:20" hidden="1" x14ac:dyDescent="0.3">
      <c r="A202" s="84">
        <v>201</v>
      </c>
      <c r="B202" s="6">
        <v>44399</v>
      </c>
      <c r="C202" s="85" t="s">
        <v>365</v>
      </c>
      <c r="D202" s="85" t="s">
        <v>365</v>
      </c>
      <c r="E202" s="16">
        <v>44399.658171296294</v>
      </c>
      <c r="F202" s="7">
        <v>44399.658935185187</v>
      </c>
      <c r="G202" s="14">
        <f t="shared" si="3"/>
        <v>7.638888928340748E-4</v>
      </c>
      <c r="H202" s="86" t="s">
        <v>23</v>
      </c>
      <c r="I202" s="86" t="s">
        <v>24</v>
      </c>
      <c r="J202" s="87" t="str">
        <f>IF(ISBLANK(C202),"",IF(C202=D202, "1 video",CONCATENATE((+COUNTIFS(Video_List!$C:$C,"&lt;=" &amp;Monitoring!F202)-COUNTIFS(Video_List!$C:$C,"&lt;=" &amp;Monitoring!E202))+1," videos")))</f>
        <v>1 video</v>
      </c>
      <c r="K202" s="27" t="s">
        <v>35</v>
      </c>
      <c r="L202" s="40" t="s">
        <v>28</v>
      </c>
      <c r="M202" s="40" t="s">
        <v>29</v>
      </c>
      <c r="N202" s="40" t="s">
        <v>30</v>
      </c>
      <c r="O202" s="88" t="str">
        <f>+IFERROR(IF(P202="#N/C","#N/C",IF(Q202=0,INDEX(Taxonomy_UniqueValues!D:D,MATCH(Q202,Taxonomy_UniqueValues!F:F,0)),INDEX(Taxonomy_UniqueValues!D:D,MATCH(P202,Taxonomy_UniqueValues!E:E,0)))),"#N/C")</f>
        <v>Muscomorpha</v>
      </c>
      <c r="P202" s="40" t="s">
        <v>37</v>
      </c>
      <c r="Q202" s="40" t="s">
        <v>38</v>
      </c>
      <c r="R202" s="40" t="s">
        <v>39</v>
      </c>
      <c r="S202" s="40" t="s">
        <v>173</v>
      </c>
      <c r="T202" s="26" t="s">
        <v>26</v>
      </c>
    </row>
    <row r="203" spans="1:20" hidden="1" x14ac:dyDescent="0.3">
      <c r="A203" s="84">
        <v>202</v>
      </c>
      <c r="B203" s="6">
        <v>44399</v>
      </c>
      <c r="C203" s="85" t="s">
        <v>369</v>
      </c>
      <c r="D203" s="85" t="s">
        <v>369</v>
      </c>
      <c r="E203" s="16">
        <v>44399.724641203706</v>
      </c>
      <c r="F203" s="7">
        <v>44399.725023148145</v>
      </c>
      <c r="G203" s="14">
        <f t="shared" si="3"/>
        <v>3.8194443914107978E-4</v>
      </c>
      <c r="H203" s="86" t="s">
        <v>23</v>
      </c>
      <c r="I203" s="86" t="s">
        <v>24</v>
      </c>
      <c r="J203" s="87" t="str">
        <f>IF(ISBLANK(C203),"",IF(C203=D203, "1 video",CONCATENATE((+COUNTIFS(Video_List!$C:$C,"&lt;=" &amp;Monitoring!F203)-COUNTIFS(Video_List!$C:$C,"&lt;=" &amp;Monitoring!E203))+1," videos")))</f>
        <v>1 video</v>
      </c>
      <c r="K203" s="25" t="s">
        <v>23</v>
      </c>
      <c r="L203" s="40" t="s">
        <v>28</v>
      </c>
      <c r="M203" s="40" t="s">
        <v>29</v>
      </c>
      <c r="N203" s="40" t="s">
        <v>30</v>
      </c>
      <c r="O203" s="88" t="str">
        <f>+IFERROR(IF(P203="#N/C","#N/C",IF(Q203=0,INDEX(Taxonomy_UniqueValues!D:D,MATCH(Q203,Taxonomy_UniqueValues!F:F,0)),INDEX(Taxonomy_UniqueValues!D:D,MATCH(P203,Taxonomy_UniqueValues!E:E,0)))),"#N/C")</f>
        <v>Asilomorpha</v>
      </c>
      <c r="P203" s="40" t="s">
        <v>140</v>
      </c>
      <c r="Q203" s="40" t="s">
        <v>141</v>
      </c>
      <c r="R203" s="40" t="s">
        <v>142</v>
      </c>
      <c r="S203" s="40" t="s">
        <v>26</v>
      </c>
      <c r="T203" s="26" t="s">
        <v>26</v>
      </c>
    </row>
    <row r="204" spans="1:20" hidden="1" x14ac:dyDescent="0.3">
      <c r="A204" s="84">
        <v>203</v>
      </c>
      <c r="B204" s="6">
        <v>44399</v>
      </c>
      <c r="C204" s="85" t="s">
        <v>370</v>
      </c>
      <c r="D204" s="85" t="s">
        <v>370</v>
      </c>
      <c r="E204" s="16">
        <v>44399.77070601852</v>
      </c>
      <c r="F204" s="7">
        <v>44399.77076388889</v>
      </c>
      <c r="G204" s="14">
        <f t="shared" si="3"/>
        <v>5.7870369346346706E-5</v>
      </c>
      <c r="H204" s="86" t="s">
        <v>23</v>
      </c>
      <c r="I204" s="86" t="s">
        <v>24</v>
      </c>
      <c r="J204" s="87" t="str">
        <f>IF(ISBLANK(C204),"",IF(C204=D204, "1 video",CONCATENATE((+COUNTIFS(Video_List!$C:$C,"&lt;=" &amp;Monitoring!F204)-COUNTIFS(Video_List!$C:$C,"&lt;=" &amp;Monitoring!E204))+1," videos")))</f>
        <v>1 video</v>
      </c>
      <c r="K204" s="27" t="s">
        <v>35</v>
      </c>
      <c r="L204" s="40" t="s">
        <v>28</v>
      </c>
      <c r="M204" s="40" t="s">
        <v>29</v>
      </c>
      <c r="N204" s="40" t="s">
        <v>30</v>
      </c>
      <c r="O204" s="88" t="str">
        <f>+IFERROR(IF(P204="#N/C","#N/C",IF(Q204=0,INDEX(Taxonomy_UniqueValues!D:D,MATCH(Q204,Taxonomy_UniqueValues!F:F,0)),INDEX(Taxonomy_UniqueValues!D:D,MATCH(P204,Taxonomy_UniqueValues!E:E,0)))),"#N/C")</f>
        <v>Asilomorpha</v>
      </c>
      <c r="P204" s="40" t="s">
        <v>140</v>
      </c>
      <c r="Q204" s="40" t="s">
        <v>141</v>
      </c>
      <c r="R204" s="40" t="s">
        <v>142</v>
      </c>
      <c r="S204" s="40" t="s">
        <v>26</v>
      </c>
      <c r="T204" s="26" t="s">
        <v>26</v>
      </c>
    </row>
    <row r="205" spans="1:20" hidden="1" x14ac:dyDescent="0.3">
      <c r="A205" s="84">
        <v>204</v>
      </c>
      <c r="B205" s="6">
        <v>44400</v>
      </c>
      <c r="C205" s="85" t="s">
        <v>371</v>
      </c>
      <c r="D205" s="85" t="s">
        <v>371</v>
      </c>
      <c r="E205" s="16">
        <v>44399.904131944444</v>
      </c>
      <c r="F205" s="7">
        <v>44400.015740740739</v>
      </c>
      <c r="G205" s="14">
        <f t="shared" si="3"/>
        <v>0.11160879629460396</v>
      </c>
      <c r="H205" s="86" t="s">
        <v>46</v>
      </c>
      <c r="I205" s="86" t="s">
        <v>46</v>
      </c>
      <c r="J205" s="87" t="str">
        <f>IF(ISBLANK(C205),"",IF(C205=D205, "1 video",CONCATENATE((+COUNTIFS(Video_List!$C:$C,"&lt;=" &amp;Monitoring!F205)-COUNTIFS(Video_List!$C:$C,"&lt;=" &amp;Monitoring!E205))+1," videos")))</f>
        <v>1 video</v>
      </c>
      <c r="K205" s="27" t="s">
        <v>35</v>
      </c>
      <c r="L205" s="40" t="s">
        <v>28</v>
      </c>
      <c r="M205" s="40" t="s">
        <v>29</v>
      </c>
      <c r="N205" s="40" t="s">
        <v>30</v>
      </c>
      <c r="O205" s="88" t="str">
        <f>+IFERROR(IF(P205="#N/C","#N/C",IF(Q205=0,INDEX(Taxonomy_UniqueValues!D:D,MATCH(Q205,Taxonomy_UniqueValues!F:F,0)),INDEX(Taxonomy_UniqueValues!D:D,MATCH(P205,Taxonomy_UniqueValues!E:E,0)))),"#N/C")</f>
        <v>Muscomorpha</v>
      </c>
      <c r="P205" s="40" t="s">
        <v>37</v>
      </c>
      <c r="Q205" s="40" t="s">
        <v>38</v>
      </c>
      <c r="R205" s="40" t="s">
        <v>39</v>
      </c>
      <c r="S205" s="40" t="s">
        <v>40</v>
      </c>
      <c r="T205" s="26" t="s">
        <v>26</v>
      </c>
    </row>
    <row r="206" spans="1:20" hidden="1" x14ac:dyDescent="0.3">
      <c r="A206" s="84">
        <v>205</v>
      </c>
      <c r="B206" s="6">
        <v>44400</v>
      </c>
      <c r="C206" s="85" t="s">
        <v>372</v>
      </c>
      <c r="D206" s="85" t="s">
        <v>372</v>
      </c>
      <c r="E206" s="16">
        <v>44400.385671296295</v>
      </c>
      <c r="F206" s="7">
        <v>44400.385752314818</v>
      </c>
      <c r="G206" s="14">
        <f t="shared" si="3"/>
        <v>8.101852290565148E-5</v>
      </c>
      <c r="H206" s="4" t="s">
        <v>23</v>
      </c>
      <c r="I206" s="4" t="s">
        <v>24</v>
      </c>
      <c r="J206" s="87" t="str">
        <f>IF(ISBLANK(C206),"",IF(C206=D206, "1 video",CONCATENATE((+COUNTIFS(Video_List!$C:$C,"&lt;=" &amp;Monitoring!F206)-COUNTIFS(Video_List!$C:$C,"&lt;=" &amp;Monitoring!E206))+1," videos")))</f>
        <v>1 video</v>
      </c>
      <c r="K206" s="27" t="s">
        <v>35</v>
      </c>
      <c r="L206" s="40" t="s">
        <v>28</v>
      </c>
      <c r="M206" s="40" t="s">
        <v>29</v>
      </c>
      <c r="N206" s="40" t="s">
        <v>30</v>
      </c>
      <c r="O206" s="88" t="str">
        <f>+IFERROR(IF(P206="#N/C","#N/C",IF(Q206=0,INDEX(Taxonomy_UniqueValues!D:D,MATCH(Q206,Taxonomy_UniqueValues!F:F,0)),INDEX(Taxonomy_UniqueValues!D:D,MATCH(P206,Taxonomy_UniqueValues!E:E,0)))),"#N/C")</f>
        <v>Muscomorpha</v>
      </c>
      <c r="P206" s="40" t="s">
        <v>326</v>
      </c>
      <c r="Q206" s="40" t="s">
        <v>366</v>
      </c>
      <c r="R206" s="40" t="s">
        <v>367</v>
      </c>
      <c r="S206" s="40" t="s">
        <v>368</v>
      </c>
      <c r="T206" s="26" t="s">
        <v>26</v>
      </c>
    </row>
    <row r="207" spans="1:20" hidden="1" x14ac:dyDescent="0.3">
      <c r="A207" s="84">
        <v>206</v>
      </c>
      <c r="B207" s="6">
        <v>44400</v>
      </c>
      <c r="C207" s="85" t="s">
        <v>373</v>
      </c>
      <c r="D207" s="85" t="s">
        <v>373</v>
      </c>
      <c r="E207" s="16">
        <v>44400.40729166667</v>
      </c>
      <c r="F207" s="7">
        <v>44400.407361111109</v>
      </c>
      <c r="G207" s="14">
        <f t="shared" si="3"/>
        <v>6.9444438850041479E-5</v>
      </c>
      <c r="H207" s="86" t="s">
        <v>35</v>
      </c>
      <c r="I207" s="86" t="s">
        <v>24</v>
      </c>
      <c r="J207" s="87" t="str">
        <f>IF(ISBLANK(C207),"",IF(C207=D207, "1 video",CONCATENATE((+COUNTIFS(Video_List!$C:$C,"&lt;=" &amp;Monitoring!F207)-COUNTIFS(Video_List!$C:$C,"&lt;=" &amp;Monitoring!E207))+1," videos")))</f>
        <v>1 video</v>
      </c>
      <c r="K207" s="27" t="s">
        <v>35</v>
      </c>
      <c r="L207" s="40" t="s">
        <v>28</v>
      </c>
      <c r="M207" s="40" t="s">
        <v>29</v>
      </c>
      <c r="N207" s="40" t="s">
        <v>30</v>
      </c>
      <c r="O207" s="88" t="str">
        <f>+IFERROR(IF(P207="#N/C","#N/C",IF(Q207=0,INDEX(Taxonomy_UniqueValues!D:D,MATCH(Q207,Taxonomy_UniqueValues!F:F,0)),INDEX(Taxonomy_UniqueValues!D:D,MATCH(P207,Taxonomy_UniqueValues!E:E,0)))),"#N/C")</f>
        <v>Asilomorpha</v>
      </c>
      <c r="P207" s="40" t="s">
        <v>140</v>
      </c>
      <c r="Q207" s="40" t="s">
        <v>141</v>
      </c>
      <c r="R207" s="40" t="s">
        <v>142</v>
      </c>
      <c r="S207" s="40" t="s">
        <v>26</v>
      </c>
      <c r="T207" s="26" t="s">
        <v>26</v>
      </c>
    </row>
    <row r="208" spans="1:20" hidden="1" x14ac:dyDescent="0.3">
      <c r="A208" s="84">
        <v>207</v>
      </c>
      <c r="B208" s="6">
        <v>44400</v>
      </c>
      <c r="C208" s="85" t="s">
        <v>374</v>
      </c>
      <c r="D208" s="85" t="s">
        <v>374</v>
      </c>
      <c r="E208" s="16">
        <v>44400.693182870367</v>
      </c>
      <c r="F208" s="7">
        <v>44400.693356481483</v>
      </c>
      <c r="G208" s="14">
        <f t="shared" si="3"/>
        <v>1.7361111531499773E-4</v>
      </c>
      <c r="H208" s="86" t="s">
        <v>35</v>
      </c>
      <c r="I208" s="86" t="s">
        <v>109</v>
      </c>
      <c r="J208" s="87" t="str">
        <f>IF(ISBLANK(C208),"",IF(C208=D208, "1 video",CONCATENATE((+COUNTIFS(Video_List!$C:$C,"&lt;=" &amp;Monitoring!F208)-COUNTIFS(Video_List!$C:$C,"&lt;=" &amp;Monitoring!E208))+1," videos")))</f>
        <v>1 video</v>
      </c>
      <c r="K208" s="27" t="s">
        <v>35</v>
      </c>
      <c r="L208" s="40" t="s">
        <v>28</v>
      </c>
      <c r="M208" s="40" t="s">
        <v>101</v>
      </c>
      <c r="N208" s="40">
        <v>0</v>
      </c>
      <c r="O208" s="88">
        <f>+IFERROR(IF(P208="#N/C","#N/C",IF(Q208=0,INDEX(Taxonomy_UniqueValues!D:D,MATCH(Q208,Taxonomy_UniqueValues!F:F,0)),INDEX(Taxonomy_UniqueValues!D:D,MATCH(P208,Taxonomy_UniqueValues!E:E,0)))),"#N/C")</f>
        <v>0</v>
      </c>
      <c r="P208" s="40" t="s">
        <v>102</v>
      </c>
      <c r="Q208" s="40" t="s">
        <v>103</v>
      </c>
      <c r="R208" s="40">
        <v>0</v>
      </c>
      <c r="S208" s="40" t="s">
        <v>104</v>
      </c>
      <c r="T208" s="26" t="s">
        <v>26</v>
      </c>
    </row>
    <row r="209" spans="1:20" hidden="1" x14ac:dyDescent="0.3">
      <c r="A209" s="84">
        <v>208</v>
      </c>
      <c r="B209" s="6">
        <v>44400</v>
      </c>
      <c r="C209" s="85" t="s">
        <v>375</v>
      </c>
      <c r="D209" s="85" t="s">
        <v>375</v>
      </c>
      <c r="E209" s="16">
        <v>44400.694421296299</v>
      </c>
      <c r="F209" s="7">
        <v>44400.694803240738</v>
      </c>
      <c r="G209" s="14">
        <f t="shared" si="3"/>
        <v>3.8194443914107978E-4</v>
      </c>
      <c r="H209" s="86" t="s">
        <v>23</v>
      </c>
      <c r="I209" s="86" t="s">
        <v>24</v>
      </c>
      <c r="J209" s="87" t="str">
        <f>IF(ISBLANK(C209),"",IF(C209=D209, "1 video",CONCATENATE((+COUNTIFS(Video_List!$C:$C,"&lt;=" &amp;Monitoring!F209)-COUNTIFS(Video_List!$C:$C,"&lt;=" &amp;Monitoring!E209))+1," videos")))</f>
        <v>1 video</v>
      </c>
      <c r="K209" s="27" t="s">
        <v>35</v>
      </c>
      <c r="L209" s="40" t="s">
        <v>28</v>
      </c>
      <c r="M209" s="40" t="s">
        <v>101</v>
      </c>
      <c r="N209" s="40">
        <v>0</v>
      </c>
      <c r="O209" s="88">
        <f>+IFERROR(IF(P209="#N/C","#N/C",IF(Q209=0,INDEX(Taxonomy_UniqueValues!D:D,MATCH(Q209,Taxonomy_UniqueValues!F:F,0)),INDEX(Taxonomy_UniqueValues!D:D,MATCH(P209,Taxonomy_UniqueValues!E:E,0)))),"#N/C")</f>
        <v>0</v>
      </c>
      <c r="P209" s="40" t="s">
        <v>102</v>
      </c>
      <c r="Q209" s="40" t="s">
        <v>103</v>
      </c>
      <c r="R209" s="40">
        <v>0</v>
      </c>
      <c r="S209" s="40" t="s">
        <v>104</v>
      </c>
      <c r="T209" s="26" t="s">
        <v>26</v>
      </c>
    </row>
    <row r="210" spans="1:20" hidden="1" x14ac:dyDescent="0.3">
      <c r="A210" s="84">
        <v>209</v>
      </c>
      <c r="B210" s="6">
        <v>44400</v>
      </c>
      <c r="C210" s="85" t="s">
        <v>376</v>
      </c>
      <c r="D210" s="85" t="s">
        <v>376</v>
      </c>
      <c r="E210" s="16">
        <v>44400.729189814818</v>
      </c>
      <c r="F210" s="7">
        <v>44400.729444444441</v>
      </c>
      <c r="G210" s="14">
        <f t="shared" si="3"/>
        <v>2.5462962366873398E-4</v>
      </c>
      <c r="H210" s="86" t="s">
        <v>23</v>
      </c>
      <c r="I210" s="86" t="s">
        <v>24</v>
      </c>
      <c r="J210" s="87" t="str">
        <f>IF(ISBLANK(C210),"",IF(C210=D210, "1 video",CONCATENATE((+COUNTIFS(Video_List!$C:$C,"&lt;=" &amp;Monitoring!F210)-COUNTIFS(Video_List!$C:$C,"&lt;=" &amp;Monitoring!E210))+1," videos")))</f>
        <v>1 video</v>
      </c>
      <c r="K210" s="27" t="s">
        <v>35</v>
      </c>
      <c r="L210" s="40" t="s">
        <v>28</v>
      </c>
      <c r="M210" s="40" t="s">
        <v>29</v>
      </c>
      <c r="N210" s="40" t="s">
        <v>30</v>
      </c>
      <c r="O210" s="88" t="str">
        <f>+IFERROR(IF(P210="#N/C","#N/C",IF(Q210=0,INDEX(Taxonomy_UniqueValues!D:D,MATCH(Q210,Taxonomy_UniqueValues!F:F,0)),INDEX(Taxonomy_UniqueValues!D:D,MATCH(P210,Taxonomy_UniqueValues!E:E,0)))),"#N/C")</f>
        <v>Asilomorpha</v>
      </c>
      <c r="P210" s="40" t="s">
        <v>140</v>
      </c>
      <c r="Q210" s="40" t="s">
        <v>141</v>
      </c>
      <c r="R210" s="40" t="s">
        <v>142</v>
      </c>
      <c r="S210" s="40" t="s">
        <v>26</v>
      </c>
      <c r="T210" s="26" t="s">
        <v>26</v>
      </c>
    </row>
    <row r="211" spans="1:20" hidden="1" x14ac:dyDescent="0.3">
      <c r="A211" s="84">
        <v>210</v>
      </c>
      <c r="B211" s="6">
        <v>44400</v>
      </c>
      <c r="C211" s="85" t="s">
        <v>377</v>
      </c>
      <c r="D211" s="85" t="s">
        <v>377</v>
      </c>
      <c r="E211" s="16">
        <v>44400.766087962962</v>
      </c>
      <c r="F211" s="7">
        <v>44400.766134259262</v>
      </c>
      <c r="G211" s="14">
        <f t="shared" si="3"/>
        <v>4.6296299842651933E-5</v>
      </c>
      <c r="H211" s="4" t="s">
        <v>23</v>
      </c>
      <c r="I211" s="4" t="s">
        <v>24</v>
      </c>
      <c r="J211" s="87" t="str">
        <f>IF(ISBLANK(C211),"",IF(C211=D211, "1 video",CONCATENATE((+COUNTIFS(Video_List!$C:$C,"&lt;=" &amp;Monitoring!F211)-COUNTIFS(Video_List!$C:$C,"&lt;=" &amp;Monitoring!E211))+1," videos")))</f>
        <v>1 video</v>
      </c>
      <c r="K211" s="25" t="s">
        <v>23</v>
      </c>
      <c r="L211" s="40" t="s">
        <v>28</v>
      </c>
      <c r="M211" s="40" t="s">
        <v>29</v>
      </c>
      <c r="N211" s="40" t="s">
        <v>176</v>
      </c>
      <c r="O211" s="88" t="str">
        <f>+IFERROR(IF(P211="#N/C","#N/C",IF(Q211=0,INDEX(Taxonomy_UniqueValues!D:D,MATCH(Q211,Taxonomy_UniqueValues!F:F,0)),INDEX(Taxonomy_UniqueValues!D:D,MATCH(P211,Taxonomy_UniqueValues!E:E,0)))),"#N/C")</f>
        <v>Bibionomorpha</v>
      </c>
      <c r="P211" s="40" t="s">
        <v>177</v>
      </c>
      <c r="Q211" s="40" t="s">
        <v>178</v>
      </c>
      <c r="R211" s="40" t="s">
        <v>179</v>
      </c>
      <c r="S211" s="40" t="s">
        <v>180</v>
      </c>
      <c r="T211" s="26" t="s">
        <v>26</v>
      </c>
    </row>
    <row r="212" spans="1:20" hidden="1" x14ac:dyDescent="0.3">
      <c r="A212" s="84">
        <v>211</v>
      </c>
      <c r="B212" s="6">
        <v>44401</v>
      </c>
      <c r="C212" s="85" t="s">
        <v>378</v>
      </c>
      <c r="D212" s="85" t="s">
        <v>378</v>
      </c>
      <c r="E212" s="16">
        <v>44401.420046296298</v>
      </c>
      <c r="F212" s="7">
        <v>44401.420127314814</v>
      </c>
      <c r="G212" s="14">
        <f t="shared" si="3"/>
        <v>8.1018515629693866E-5</v>
      </c>
      <c r="H212" s="4" t="s">
        <v>23</v>
      </c>
      <c r="I212" s="4" t="s">
        <v>24</v>
      </c>
      <c r="J212" s="87" t="str">
        <f>IF(ISBLANK(C212),"",IF(C212=D212, "1 video",CONCATENATE((+COUNTIFS(Video_List!$C:$C,"&lt;=" &amp;Monitoring!F212)-COUNTIFS(Video_List!$C:$C,"&lt;=" &amp;Monitoring!E212))+1," videos")))</f>
        <v>1 video</v>
      </c>
      <c r="K212" s="25" t="s">
        <v>23</v>
      </c>
      <c r="L212" s="40" t="s">
        <v>28</v>
      </c>
      <c r="M212" s="40" t="s">
        <v>29</v>
      </c>
      <c r="N212" s="40" t="s">
        <v>30</v>
      </c>
      <c r="O212" s="88" t="str">
        <f>+IFERROR(IF(P212="#N/C","#N/C",IF(Q212=0,INDEX(Taxonomy_UniqueValues!D:D,MATCH(Q212,Taxonomy_UniqueValues!F:F,0)),INDEX(Taxonomy_UniqueValues!D:D,MATCH(P212,Taxonomy_UniqueValues!E:E,0)))),"#N/C")</f>
        <v>Muscomorpha</v>
      </c>
      <c r="P212" s="40" t="s">
        <v>326</v>
      </c>
      <c r="Q212" s="40" t="s">
        <v>26</v>
      </c>
      <c r="R212" s="40" t="s">
        <v>26</v>
      </c>
      <c r="S212" s="40" t="s">
        <v>26</v>
      </c>
      <c r="T212" s="26" t="s">
        <v>26</v>
      </c>
    </row>
    <row r="213" spans="1:20" hidden="1" x14ac:dyDescent="0.3">
      <c r="A213" s="84">
        <v>212</v>
      </c>
      <c r="B213" s="6">
        <v>44401</v>
      </c>
      <c r="C213" s="85" t="s">
        <v>379</v>
      </c>
      <c r="D213" s="85" t="s">
        <v>380</v>
      </c>
      <c r="E213" s="16">
        <v>44401.427986111114</v>
      </c>
      <c r="F213" s="7">
        <v>44401.428842592592</v>
      </c>
      <c r="G213" s="14">
        <f t="shared" si="3"/>
        <v>8.5648147796746343E-4</v>
      </c>
      <c r="H213" s="4" t="s">
        <v>23</v>
      </c>
      <c r="I213" s="4" t="s">
        <v>24</v>
      </c>
      <c r="J213" s="87" t="str">
        <f>IF(ISBLANK(C213),"",IF(C213=D213, "1 video",CONCATENATE((+COUNTIFS(Video_List!$C:$C,"&lt;=" &amp;Monitoring!F213)-COUNTIFS(Video_List!$C:$C,"&lt;=" &amp;Monitoring!E213))+1," videos")))</f>
        <v>2 videos</v>
      </c>
      <c r="K213" s="27" t="s">
        <v>35</v>
      </c>
      <c r="L213" s="40" t="s">
        <v>28</v>
      </c>
      <c r="M213" s="40" t="s">
        <v>29</v>
      </c>
      <c r="N213" s="40" t="s">
        <v>30</v>
      </c>
      <c r="O213" s="88" t="str">
        <f>+IFERROR(IF(P213="#N/C","#N/C",IF(Q213=0,INDEX(Taxonomy_UniqueValues!D:D,MATCH(Q213,Taxonomy_UniqueValues!F:F,0)),INDEX(Taxonomy_UniqueValues!D:D,MATCH(P213,Taxonomy_UniqueValues!E:E,0)))),"#N/C")</f>
        <v>Asilomorpha</v>
      </c>
      <c r="P213" s="40" t="s">
        <v>140</v>
      </c>
      <c r="Q213" s="40" t="s">
        <v>141</v>
      </c>
      <c r="R213" s="40" t="s">
        <v>142</v>
      </c>
      <c r="S213" s="40" t="s">
        <v>26</v>
      </c>
      <c r="T213" s="26" t="s">
        <v>26</v>
      </c>
    </row>
    <row r="214" spans="1:20" hidden="1" x14ac:dyDescent="0.3">
      <c r="A214" s="84">
        <v>213</v>
      </c>
      <c r="B214" s="6">
        <v>44401</v>
      </c>
      <c r="C214" s="85" t="s">
        <v>381</v>
      </c>
      <c r="D214" s="85" t="s">
        <v>381</v>
      </c>
      <c r="E214" s="16">
        <v>44401.439097222225</v>
      </c>
      <c r="F214" s="7">
        <v>44401.439131944448</v>
      </c>
      <c r="G214" s="14">
        <f t="shared" si="3"/>
        <v>3.4722223062999547E-5</v>
      </c>
      <c r="H214" s="4" t="s">
        <v>23</v>
      </c>
      <c r="I214" s="4" t="s">
        <v>24</v>
      </c>
      <c r="J214" s="87" t="str">
        <f>IF(ISBLANK(C214),"",IF(C214=D214, "1 video",CONCATENATE((+COUNTIFS(Video_List!$C:$C,"&lt;=" &amp;Monitoring!F214)-COUNTIFS(Video_List!$C:$C,"&lt;=" &amp;Monitoring!E214))+1," videos")))</f>
        <v>1 video</v>
      </c>
      <c r="K214" s="27" t="s">
        <v>35</v>
      </c>
      <c r="L214" s="40" t="s">
        <v>28</v>
      </c>
      <c r="M214" s="40" t="s">
        <v>29</v>
      </c>
      <c r="N214" s="40" t="s">
        <v>30</v>
      </c>
      <c r="O214" s="88" t="str">
        <f>+IFERROR(IF(P214="#N/C","#N/C",IF(Q214=0,INDEX(Taxonomy_UniqueValues!D:D,MATCH(Q214,Taxonomy_UniqueValues!F:F,0)),INDEX(Taxonomy_UniqueValues!D:D,MATCH(P214,Taxonomy_UniqueValues!E:E,0)))),"#N/C")</f>
        <v>Asilomorpha</v>
      </c>
      <c r="P214" s="40" t="s">
        <v>140</v>
      </c>
      <c r="Q214" s="40" t="s">
        <v>141</v>
      </c>
      <c r="R214" s="40" t="s">
        <v>142</v>
      </c>
      <c r="S214" s="40" t="s">
        <v>26</v>
      </c>
      <c r="T214" s="26" t="s">
        <v>26</v>
      </c>
    </row>
    <row r="215" spans="1:20" hidden="1" x14ac:dyDescent="0.3">
      <c r="A215" s="84">
        <v>214</v>
      </c>
      <c r="B215" s="6">
        <v>44401</v>
      </c>
      <c r="C215" s="85" t="s">
        <v>382</v>
      </c>
      <c r="D215" s="85" t="s">
        <v>382</v>
      </c>
      <c r="E215" s="16">
        <v>44401.451493055552</v>
      </c>
      <c r="F215" s="7">
        <v>44401.451550925929</v>
      </c>
      <c r="G215" s="14">
        <f t="shared" si="3"/>
        <v>5.787037662230432E-5</v>
      </c>
      <c r="H215" s="86" t="s">
        <v>35</v>
      </c>
      <c r="I215" s="86" t="s">
        <v>109</v>
      </c>
      <c r="J215" s="87" t="str">
        <f>IF(ISBLANK(C215),"",IF(C215=D215, "1 video",CONCATENATE((+COUNTIFS(Video_List!$C:$C,"&lt;=" &amp;Monitoring!F215)-COUNTIFS(Video_List!$C:$C,"&lt;=" &amp;Monitoring!E215))+1," videos")))</f>
        <v>1 video</v>
      </c>
      <c r="K215" s="27" t="s">
        <v>35</v>
      </c>
      <c r="L215" s="40" t="s">
        <v>28</v>
      </c>
      <c r="M215" s="40" t="s">
        <v>29</v>
      </c>
      <c r="N215" s="40" t="s">
        <v>30</v>
      </c>
      <c r="O215" s="88" t="str">
        <f>+IFERROR(IF(P215="#N/C","#N/C",IF(Q215=0,INDEX(Taxonomy_UniqueValues!D:D,MATCH(Q215,Taxonomy_UniqueValues!F:F,0)),INDEX(Taxonomy_UniqueValues!D:D,MATCH(P215,Taxonomy_UniqueValues!E:E,0)))),"#N/C")</f>
        <v>Asilomorpha</v>
      </c>
      <c r="P215" s="40" t="s">
        <v>140</v>
      </c>
      <c r="Q215" s="40" t="s">
        <v>141</v>
      </c>
      <c r="R215" s="40" t="s">
        <v>142</v>
      </c>
      <c r="S215" s="40" t="s">
        <v>26</v>
      </c>
      <c r="T215" s="26" t="s">
        <v>26</v>
      </c>
    </row>
    <row r="216" spans="1:20" hidden="1" x14ac:dyDescent="0.3">
      <c r="A216" s="84">
        <v>215</v>
      </c>
      <c r="B216" s="6">
        <v>44401</v>
      </c>
      <c r="C216" s="85" t="s">
        <v>383</v>
      </c>
      <c r="D216" s="85" t="s">
        <v>383</v>
      </c>
      <c r="E216" s="16">
        <v>44401.459131944444</v>
      </c>
      <c r="F216" s="7">
        <v>44401.459849537037</v>
      </c>
      <c r="G216" s="14">
        <f t="shared" si="3"/>
        <v>7.1759259299142286E-4</v>
      </c>
      <c r="H216" s="86" t="s">
        <v>23</v>
      </c>
      <c r="I216" s="86" t="s">
        <v>24</v>
      </c>
      <c r="J216" s="87" t="str">
        <f>IF(ISBLANK(C216),"",IF(C216=D216, "1 video",CONCATENATE((+COUNTIFS(Video_List!$C:$C,"&lt;=" &amp;Monitoring!F216)-COUNTIFS(Video_List!$C:$C,"&lt;=" &amp;Monitoring!E216))+1," videos")))</f>
        <v>1 video</v>
      </c>
      <c r="K216" s="27" t="s">
        <v>35</v>
      </c>
      <c r="L216" s="40" t="s">
        <v>28</v>
      </c>
      <c r="M216" s="40" t="s">
        <v>29</v>
      </c>
      <c r="N216" s="40" t="s">
        <v>30</v>
      </c>
      <c r="O216" s="88" t="str">
        <f>+IFERROR(IF(P216="#N/C","#N/C",IF(Q216=0,INDEX(Taxonomy_UniqueValues!D:D,MATCH(Q216,Taxonomy_UniqueValues!F:F,0)),INDEX(Taxonomy_UniqueValues!D:D,MATCH(P216,Taxonomy_UniqueValues!E:E,0)))),"#N/C")</f>
        <v>Muscomorpha</v>
      </c>
      <c r="P216" s="40" t="s">
        <v>37</v>
      </c>
      <c r="Q216" s="40" t="s">
        <v>38</v>
      </c>
      <c r="R216" s="40" t="s">
        <v>39</v>
      </c>
      <c r="S216" s="40" t="s">
        <v>26</v>
      </c>
      <c r="T216" s="26" t="s">
        <v>26</v>
      </c>
    </row>
    <row r="217" spans="1:20" hidden="1" x14ac:dyDescent="0.3">
      <c r="A217" s="84">
        <v>216</v>
      </c>
      <c r="B217" s="6">
        <v>44401</v>
      </c>
      <c r="C217" s="85" t="s">
        <v>384</v>
      </c>
      <c r="D217" s="85" t="s">
        <v>384</v>
      </c>
      <c r="E217" s="16">
        <v>44401.467118055552</v>
      </c>
      <c r="F217" s="7">
        <v>44401.467534722222</v>
      </c>
      <c r="G217" s="14">
        <f t="shared" si="3"/>
        <v>4.1666666948003694E-4</v>
      </c>
      <c r="H217" s="86" t="s">
        <v>23</v>
      </c>
      <c r="I217" s="86" t="s">
        <v>24</v>
      </c>
      <c r="J217" s="87" t="str">
        <f>IF(ISBLANK(C217),"",IF(C217=D217, "1 video",CONCATENATE((+COUNTIFS(Video_List!$C:$C,"&lt;=" &amp;Monitoring!F217)-COUNTIFS(Video_List!$C:$C,"&lt;=" &amp;Monitoring!E217))+1," videos")))</f>
        <v>1 video</v>
      </c>
      <c r="K217" s="25" t="s">
        <v>23</v>
      </c>
      <c r="L217" s="40" t="s">
        <v>28</v>
      </c>
      <c r="M217" s="40" t="s">
        <v>29</v>
      </c>
      <c r="N217" s="40" t="s">
        <v>30</v>
      </c>
      <c r="O217" s="88" t="str">
        <f>+IFERROR(IF(P217="#N/C","#N/C",IF(Q217=0,INDEX(Taxonomy_UniqueValues!D:D,MATCH(Q217,Taxonomy_UniqueValues!F:F,0)),INDEX(Taxonomy_UniqueValues!D:D,MATCH(P217,Taxonomy_UniqueValues!E:E,0)))),"#N/C")</f>
        <v>Asilomorpha</v>
      </c>
      <c r="P217" s="40" t="s">
        <v>140</v>
      </c>
      <c r="Q217" s="40" t="s">
        <v>141</v>
      </c>
      <c r="R217" s="40" t="s">
        <v>142</v>
      </c>
      <c r="S217" s="40" t="s">
        <v>25</v>
      </c>
      <c r="T217" s="26" t="s">
        <v>26</v>
      </c>
    </row>
    <row r="218" spans="1:20" hidden="1" x14ac:dyDescent="0.3">
      <c r="A218" s="84">
        <v>217</v>
      </c>
      <c r="B218" s="6">
        <v>44401</v>
      </c>
      <c r="C218" s="85" t="s">
        <v>385</v>
      </c>
      <c r="D218" s="85" t="s">
        <v>385</v>
      </c>
      <c r="E218" s="16">
        <v>44401.511331018519</v>
      </c>
      <c r="F218" s="7">
        <v>44401.511817129627</v>
      </c>
      <c r="G218" s="14">
        <f t="shared" si="3"/>
        <v>4.8611110833007842E-4</v>
      </c>
      <c r="H218" s="86" t="s">
        <v>23</v>
      </c>
      <c r="I218" s="86" t="s">
        <v>24</v>
      </c>
      <c r="J218" s="87" t="str">
        <f>IF(ISBLANK(C218),"",IF(C218=D218, "1 video",CONCATENATE((+COUNTIFS(Video_List!$C:$C,"&lt;=" &amp;Monitoring!F218)-COUNTIFS(Video_List!$C:$C,"&lt;=" &amp;Monitoring!E218))+1," videos")))</f>
        <v>1 video</v>
      </c>
      <c r="K218" s="27" t="s">
        <v>35</v>
      </c>
      <c r="L218" s="40" t="s">
        <v>28</v>
      </c>
      <c r="M218" s="40" t="s">
        <v>29</v>
      </c>
      <c r="N218" s="40" t="s">
        <v>30</v>
      </c>
      <c r="O218" s="88" t="str">
        <f>+IFERROR(IF(P218="#N/C","#N/C",IF(Q218=0,INDEX(Taxonomy_UniqueValues!D:D,MATCH(Q218,Taxonomy_UniqueValues!F:F,0)),INDEX(Taxonomy_UniqueValues!D:D,MATCH(P218,Taxonomy_UniqueValues!E:E,0)))),"#N/C")</f>
        <v>Asilomorpha</v>
      </c>
      <c r="P218" s="40" t="s">
        <v>140</v>
      </c>
      <c r="Q218" s="40" t="s">
        <v>141</v>
      </c>
      <c r="R218" s="40" t="s">
        <v>142</v>
      </c>
      <c r="S218" s="40" t="s">
        <v>26</v>
      </c>
      <c r="T218" s="26" t="s">
        <v>26</v>
      </c>
    </row>
    <row r="219" spans="1:20" x14ac:dyDescent="0.3">
      <c r="A219" s="84">
        <v>218</v>
      </c>
      <c r="B219" s="6">
        <v>44401</v>
      </c>
      <c r="C219" s="85" t="s">
        <v>386</v>
      </c>
      <c r="D219" s="85" t="s">
        <v>386</v>
      </c>
      <c r="E219" s="16">
        <v>44401.528182870374</v>
      </c>
      <c r="F219" s="7">
        <v>44401.528321759259</v>
      </c>
      <c r="G219" s="14">
        <f t="shared" si="3"/>
        <v>1.3888888497604057E-4</v>
      </c>
      <c r="H219" s="4" t="s">
        <v>35</v>
      </c>
      <c r="I219" s="4" t="s">
        <v>24</v>
      </c>
      <c r="J219" s="87" t="str">
        <f>IF(ISBLANK(C219),"",IF(C219=D219, "1 video",CONCATENATE((+COUNTIFS(Video_List!$C:$C,"&lt;=" &amp;Monitoring!F219)-COUNTIFS(Video_List!$C:$C,"&lt;=" &amp;Monitoring!E219))+1," videos")))</f>
        <v>1 video</v>
      </c>
      <c r="K219" s="25" t="s">
        <v>23</v>
      </c>
      <c r="L219" s="40" t="s">
        <v>28</v>
      </c>
      <c r="M219" s="40" t="s">
        <v>32</v>
      </c>
      <c r="N219" s="40" t="s">
        <v>33</v>
      </c>
      <c r="O219" s="88" t="str">
        <f>+IFERROR(IF(P219="#N/C","#N/C",IF(Q219=0,INDEX(Taxonomy_UniqueValues!D:D,MATCH(Q219,Taxonomy_UniqueValues!F:F,0)),INDEX(Taxonomy_UniqueValues!D:D,MATCH(P219,Taxonomy_UniqueValues!E:E,0)))),"#N/C")</f>
        <v>Aculeata</v>
      </c>
      <c r="P219" s="40" t="s">
        <v>122</v>
      </c>
      <c r="Q219" s="40" t="s">
        <v>387</v>
      </c>
      <c r="R219" s="40" t="s">
        <v>388</v>
      </c>
      <c r="S219" s="40" t="s">
        <v>389</v>
      </c>
      <c r="T219" s="26" t="s">
        <v>26</v>
      </c>
    </row>
    <row r="220" spans="1:20" hidden="1" x14ac:dyDescent="0.3">
      <c r="A220" s="84">
        <v>219</v>
      </c>
      <c r="B220" s="6">
        <v>44401</v>
      </c>
      <c r="C220" s="85" t="s">
        <v>390</v>
      </c>
      <c r="D220" s="85" t="s">
        <v>390</v>
      </c>
      <c r="E220" s="16">
        <v>44401.538969907408</v>
      </c>
      <c r="F220" s="7">
        <v>44401.539074074077</v>
      </c>
      <c r="G220" s="14">
        <f t="shared" si="3"/>
        <v>1.0416666918899864E-4</v>
      </c>
      <c r="H220" s="86" t="s">
        <v>23</v>
      </c>
      <c r="I220" s="86" t="s">
        <v>24</v>
      </c>
      <c r="J220" s="87" t="str">
        <f>IF(ISBLANK(C220),"",IF(C220=D220, "1 video",CONCATENATE((+COUNTIFS(Video_List!$C:$C,"&lt;=" &amp;Monitoring!F220)-COUNTIFS(Video_List!$C:$C,"&lt;=" &amp;Monitoring!E220))+1," videos")))</f>
        <v>1 video</v>
      </c>
      <c r="K220" s="25" t="s">
        <v>23</v>
      </c>
      <c r="L220" s="40" t="s">
        <v>28</v>
      </c>
      <c r="M220" s="40" t="s">
        <v>29</v>
      </c>
      <c r="N220" s="40" t="s">
        <v>30</v>
      </c>
      <c r="O220" s="88" t="str">
        <f>+IFERROR(IF(P220="#N/C","#N/C",IF(Q220=0,INDEX(Taxonomy_UniqueValues!D:D,MATCH(Q220,Taxonomy_UniqueValues!F:F,0)),INDEX(Taxonomy_UniqueValues!D:D,MATCH(P220,Taxonomy_UniqueValues!E:E,0)))),"#N/C")</f>
        <v>Muscomorpha</v>
      </c>
      <c r="P220" s="40" t="s">
        <v>37</v>
      </c>
      <c r="Q220" s="40" t="s">
        <v>38</v>
      </c>
      <c r="R220" s="40" t="s">
        <v>39</v>
      </c>
      <c r="S220" s="40" t="s">
        <v>391</v>
      </c>
      <c r="T220" s="26" t="s">
        <v>392</v>
      </c>
    </row>
    <row r="221" spans="1:20" hidden="1" x14ac:dyDescent="0.3">
      <c r="A221" s="84">
        <v>220</v>
      </c>
      <c r="B221" s="6">
        <v>44401</v>
      </c>
      <c r="C221" s="85" t="s">
        <v>393</v>
      </c>
      <c r="D221" s="85" t="s">
        <v>393</v>
      </c>
      <c r="E221" s="16">
        <v>44401.54828703704</v>
      </c>
      <c r="F221" s="7">
        <v>44401.548414351855</v>
      </c>
      <c r="G221" s="14">
        <f t="shared" si="3"/>
        <v>1.273148154723458E-4</v>
      </c>
      <c r="H221" s="86" t="s">
        <v>23</v>
      </c>
      <c r="I221" s="86" t="s">
        <v>24</v>
      </c>
      <c r="J221" s="87" t="str">
        <f>IF(ISBLANK(C221),"",IF(C221=D221, "1 video",CONCATENATE((+COUNTIFS(Video_List!$C:$C,"&lt;=" &amp;Monitoring!F221)-COUNTIFS(Video_List!$C:$C,"&lt;=" &amp;Monitoring!E221))+1," videos")))</f>
        <v>1 video</v>
      </c>
      <c r="K221" s="27" t="s">
        <v>35</v>
      </c>
      <c r="L221" s="40" t="s">
        <v>28</v>
      </c>
      <c r="M221" s="40" t="s">
        <v>29</v>
      </c>
      <c r="N221" s="40" t="s">
        <v>30</v>
      </c>
      <c r="O221" s="88" t="str">
        <f>+IFERROR(IF(P221="#N/C","#N/C",IF(Q221=0,INDEX(Taxonomy_UniqueValues!D:D,MATCH(Q221,Taxonomy_UniqueValues!F:F,0)),INDEX(Taxonomy_UniqueValues!D:D,MATCH(P221,Taxonomy_UniqueValues!E:E,0)))),"#N/C")</f>
        <v>Asilomorpha</v>
      </c>
      <c r="P221" s="40" t="s">
        <v>140</v>
      </c>
      <c r="Q221" s="40" t="s">
        <v>141</v>
      </c>
      <c r="R221" s="40" t="s">
        <v>142</v>
      </c>
      <c r="S221" s="40" t="s">
        <v>26</v>
      </c>
      <c r="T221" s="26" t="s">
        <v>26</v>
      </c>
    </row>
    <row r="222" spans="1:20" hidden="1" x14ac:dyDescent="0.3">
      <c r="A222" s="84">
        <v>221</v>
      </c>
      <c r="B222" s="6">
        <v>44401</v>
      </c>
      <c r="C222" s="85" t="s">
        <v>394</v>
      </c>
      <c r="D222" s="85" t="s">
        <v>394</v>
      </c>
      <c r="E222" s="16">
        <v>44401.580324074072</v>
      </c>
      <c r="F222" s="7">
        <v>44401.580381944441</v>
      </c>
      <c r="G222" s="14">
        <f t="shared" si="3"/>
        <v>5.7870369346346706E-5</v>
      </c>
      <c r="H222" s="86" t="s">
        <v>23</v>
      </c>
      <c r="I222" s="86" t="s">
        <v>24</v>
      </c>
      <c r="J222" s="87" t="str">
        <f>IF(ISBLANK(C222),"",IF(C222=D222, "1 video",CONCATENATE((+COUNTIFS(Video_List!$C:$C,"&lt;=" &amp;Monitoring!F222)-COUNTIFS(Video_List!$C:$C,"&lt;=" &amp;Monitoring!E222))+1," videos")))</f>
        <v>1 video</v>
      </c>
      <c r="K222" s="25" t="s">
        <v>23</v>
      </c>
      <c r="L222" s="40" t="s">
        <v>28</v>
      </c>
      <c r="M222" s="40" t="s">
        <v>29</v>
      </c>
      <c r="N222" s="40" t="s">
        <v>30</v>
      </c>
      <c r="O222" s="88" t="str">
        <f>+IFERROR(IF(P222="#N/C","#N/C",IF(Q222=0,INDEX(Taxonomy_UniqueValues!D:D,MATCH(Q222,Taxonomy_UniqueValues!F:F,0)),INDEX(Taxonomy_UniqueValues!D:D,MATCH(P222,Taxonomy_UniqueValues!E:E,0)))),"#N/C")</f>
        <v>Muscomorpha</v>
      </c>
      <c r="P222" s="40" t="s">
        <v>37</v>
      </c>
      <c r="Q222" s="40" t="s">
        <v>38</v>
      </c>
      <c r="R222" s="40" t="s">
        <v>39</v>
      </c>
      <c r="S222" s="40" t="s">
        <v>40</v>
      </c>
      <c r="T222" s="26" t="s">
        <v>26</v>
      </c>
    </row>
    <row r="223" spans="1:20" hidden="1" x14ac:dyDescent="0.3">
      <c r="A223" s="84">
        <v>222</v>
      </c>
      <c r="B223" s="6">
        <v>44401</v>
      </c>
      <c r="C223" s="85" t="s">
        <v>395</v>
      </c>
      <c r="D223" s="85" t="s">
        <v>395</v>
      </c>
      <c r="E223" s="16">
        <v>44401.613981481481</v>
      </c>
      <c r="F223" s="7">
        <v>44401.61409722222</v>
      </c>
      <c r="G223" s="14">
        <f t="shared" si="3"/>
        <v>1.1574073869269341E-4</v>
      </c>
      <c r="H223" s="86" t="s">
        <v>23</v>
      </c>
      <c r="I223" s="86" t="s">
        <v>24</v>
      </c>
      <c r="J223" s="87" t="str">
        <f>IF(ISBLANK(C223),"",IF(C223=D223, "1 video",CONCATENATE((+COUNTIFS(Video_List!$C:$C,"&lt;=" &amp;Monitoring!F223)-COUNTIFS(Video_List!$C:$C,"&lt;=" &amp;Monitoring!E223))+1," videos")))</f>
        <v>1 video</v>
      </c>
      <c r="K223" s="25" t="s">
        <v>23</v>
      </c>
      <c r="L223" s="40" t="s">
        <v>28</v>
      </c>
      <c r="M223" s="40" t="s">
        <v>29</v>
      </c>
      <c r="N223" s="40" t="s">
        <v>30</v>
      </c>
      <c r="O223" s="88" t="str">
        <f>+IFERROR(IF(P223="#N/C","#N/C",IF(Q223=0,INDEX(Taxonomy_UniqueValues!D:D,MATCH(Q223,Taxonomy_UniqueValues!F:F,0)),INDEX(Taxonomy_UniqueValues!D:D,MATCH(P223,Taxonomy_UniqueValues!E:E,0)))),"#N/C")</f>
        <v>Stratiomyomorpha</v>
      </c>
      <c r="P223" s="40" t="s">
        <v>396</v>
      </c>
      <c r="Q223" s="40" t="s">
        <v>397</v>
      </c>
      <c r="R223" s="40">
        <v>0</v>
      </c>
      <c r="S223" s="40" t="s">
        <v>398</v>
      </c>
      <c r="T223" s="26" t="s">
        <v>399</v>
      </c>
    </row>
    <row r="224" spans="1:20" hidden="1" x14ac:dyDescent="0.3">
      <c r="A224" s="84">
        <v>223</v>
      </c>
      <c r="B224" s="6">
        <v>44401</v>
      </c>
      <c r="C224" s="85" t="s">
        <v>400</v>
      </c>
      <c r="D224" s="85" t="s">
        <v>400</v>
      </c>
      <c r="E224" s="16">
        <v>44401.648784722223</v>
      </c>
      <c r="F224" s="7">
        <v>44401.648935185185</v>
      </c>
      <c r="G224" s="14">
        <f t="shared" si="3"/>
        <v>1.5046296175569296E-4</v>
      </c>
      <c r="H224" s="86" t="s">
        <v>23</v>
      </c>
      <c r="I224" s="86" t="s">
        <v>24</v>
      </c>
      <c r="J224" s="87" t="str">
        <f>IF(ISBLANK(C224),"",IF(C224=D224, "1 video",CONCATENATE((+COUNTIFS(Video_List!$C:$C,"&lt;=" &amp;Monitoring!F224)-COUNTIFS(Video_List!$C:$C,"&lt;=" &amp;Monitoring!E224))+1," videos")))</f>
        <v>1 video</v>
      </c>
      <c r="K224" s="27" t="s">
        <v>35</v>
      </c>
      <c r="L224" s="40" t="s">
        <v>28</v>
      </c>
      <c r="M224" s="40" t="s">
        <v>29</v>
      </c>
      <c r="N224" s="40" t="s">
        <v>30</v>
      </c>
      <c r="O224" s="88" t="str">
        <f>+IFERROR(IF(P224="#N/C","#N/C",IF(Q224=0,INDEX(Taxonomy_UniqueValues!D:D,MATCH(Q224,Taxonomy_UniqueValues!F:F,0)),INDEX(Taxonomy_UniqueValues!D:D,MATCH(P224,Taxonomy_UniqueValues!E:E,0)))),"#N/C")</f>
        <v>Muscomorpha</v>
      </c>
      <c r="P224" s="40" t="s">
        <v>37</v>
      </c>
      <c r="Q224" s="40" t="s">
        <v>38</v>
      </c>
      <c r="R224" s="40" t="s">
        <v>39</v>
      </c>
      <c r="S224" s="40" t="s">
        <v>40</v>
      </c>
      <c r="T224" s="26" t="s">
        <v>26</v>
      </c>
    </row>
    <row r="225" spans="1:20" hidden="1" x14ac:dyDescent="0.3">
      <c r="A225" s="84">
        <v>224</v>
      </c>
      <c r="B225" s="6">
        <v>44401</v>
      </c>
      <c r="C225" s="85" t="s">
        <v>400</v>
      </c>
      <c r="D225" s="85" t="s">
        <v>400</v>
      </c>
      <c r="E225" s="16">
        <v>44401.648784722223</v>
      </c>
      <c r="F225" s="7">
        <v>44401.649594907409</v>
      </c>
      <c r="G225" s="14">
        <f t="shared" si="3"/>
        <v>8.1018518540076911E-4</v>
      </c>
      <c r="H225" s="4" t="s">
        <v>35</v>
      </c>
      <c r="I225" s="4" t="s">
        <v>24</v>
      </c>
      <c r="J225" s="87" t="str">
        <f>IF(ISBLANK(C225),"",IF(C225=D225, "1 video",CONCATENATE((+COUNTIFS(Video_List!$C:$C,"&lt;=" &amp;Monitoring!F225)-COUNTIFS(Video_List!$C:$C,"&lt;=" &amp;Monitoring!E225))+1," videos")))</f>
        <v>1 video</v>
      </c>
      <c r="K225" s="25" t="s">
        <v>23</v>
      </c>
      <c r="L225" s="40" t="s">
        <v>28</v>
      </c>
      <c r="M225" s="40" t="s">
        <v>114</v>
      </c>
      <c r="N225" s="40" t="s">
        <v>115</v>
      </c>
      <c r="O225" s="88" t="str">
        <f>+IFERROR(IF(P225="#N/C","#N/C",IF(Q225=0,INDEX(Taxonomy_UniqueValues!D:D,MATCH(Q225,Taxonomy_UniqueValues!F:F,0)),INDEX(Taxonomy_UniqueValues!D:D,MATCH(P225,Taxonomy_UniqueValues!E:E,0)))),"#N/C")</f>
        <v>Acrididea</v>
      </c>
      <c r="P225" s="40" t="s">
        <v>116</v>
      </c>
      <c r="Q225" s="40" t="s">
        <v>117</v>
      </c>
      <c r="R225" s="40" t="s">
        <v>164</v>
      </c>
      <c r="S225" s="40" t="s">
        <v>262</v>
      </c>
      <c r="T225" s="26" t="s">
        <v>263</v>
      </c>
    </row>
    <row r="226" spans="1:20" hidden="1" x14ac:dyDescent="0.3">
      <c r="A226" s="84">
        <v>225</v>
      </c>
      <c r="B226" s="6">
        <v>44401</v>
      </c>
      <c r="C226" s="85" t="s">
        <v>401</v>
      </c>
      <c r="D226" s="85" t="s">
        <v>401</v>
      </c>
      <c r="E226" s="16">
        <v>44401.664004629631</v>
      </c>
      <c r="F226" s="7">
        <v>44401.664166666669</v>
      </c>
      <c r="G226" s="14">
        <f t="shared" si="3"/>
        <v>1.6203703853534535E-4</v>
      </c>
      <c r="H226" s="86" t="s">
        <v>23</v>
      </c>
      <c r="I226" s="86" t="s">
        <v>24</v>
      </c>
      <c r="J226" s="87" t="str">
        <f>IF(ISBLANK(C226),"",IF(C226=D226, "1 video",CONCATENATE((+COUNTIFS(Video_List!$C:$C,"&lt;=" &amp;Monitoring!F226)-COUNTIFS(Video_List!$C:$C,"&lt;=" &amp;Monitoring!E226))+1," videos")))</f>
        <v>1 video</v>
      </c>
      <c r="K226" s="27" t="s">
        <v>35</v>
      </c>
      <c r="L226" s="40" t="s">
        <v>28</v>
      </c>
      <c r="M226" s="40" t="s">
        <v>29</v>
      </c>
      <c r="N226" s="40" t="s">
        <v>30</v>
      </c>
      <c r="O226" s="88" t="str">
        <f>+IFERROR(IF(P226="#N/C","#N/C",IF(Q226=0,INDEX(Taxonomy_UniqueValues!D:D,MATCH(Q226,Taxonomy_UniqueValues!F:F,0)),INDEX(Taxonomy_UniqueValues!D:D,MATCH(P226,Taxonomy_UniqueValues!E:E,0)))),"#N/C")</f>
        <v>Asilomorpha</v>
      </c>
      <c r="P226" s="40" t="s">
        <v>140</v>
      </c>
      <c r="Q226" s="40" t="s">
        <v>141</v>
      </c>
      <c r="R226" s="40" t="s">
        <v>142</v>
      </c>
      <c r="S226" s="40" t="s">
        <v>26</v>
      </c>
      <c r="T226" s="26" t="s">
        <v>26</v>
      </c>
    </row>
    <row r="227" spans="1:20" hidden="1" x14ac:dyDescent="0.3">
      <c r="A227" s="84">
        <v>226</v>
      </c>
      <c r="B227" s="6">
        <v>44401</v>
      </c>
      <c r="C227" s="85" t="s">
        <v>402</v>
      </c>
      <c r="D227" s="85" t="s">
        <v>403</v>
      </c>
      <c r="E227" s="16">
        <v>44401.753831018519</v>
      </c>
      <c r="F227" s="7">
        <v>44401.755162037036</v>
      </c>
      <c r="G227" s="14">
        <f t="shared" si="3"/>
        <v>1.3310185167938471E-3</v>
      </c>
      <c r="H227" s="86" t="s">
        <v>23</v>
      </c>
      <c r="I227" s="86" t="s">
        <v>24</v>
      </c>
      <c r="J227" s="87" t="str">
        <f>IF(ISBLANK(C227),"",IF(C227=D227, "1 video",CONCATENATE((+COUNTIFS(Video_List!$C:$C,"&lt;=" &amp;Monitoring!F227)-COUNTIFS(Video_List!$C:$C,"&lt;=" &amp;Monitoring!E227))+1," videos")))</f>
        <v>2 videos</v>
      </c>
      <c r="K227" s="27" t="s">
        <v>35</v>
      </c>
      <c r="L227" s="40" t="s">
        <v>28</v>
      </c>
      <c r="M227" s="40" t="s">
        <v>29</v>
      </c>
      <c r="N227" s="40" t="s">
        <v>30</v>
      </c>
      <c r="O227" s="88" t="str">
        <f>+IFERROR(IF(P227="#N/C","#N/C",IF(Q227=0,INDEX(Taxonomy_UniqueValues!D:D,MATCH(Q227,Taxonomy_UniqueValues!F:F,0)),INDEX(Taxonomy_UniqueValues!D:D,MATCH(P227,Taxonomy_UniqueValues!E:E,0)))),"#N/C")</f>
        <v>Asilomorpha</v>
      </c>
      <c r="P227" s="40" t="s">
        <v>140</v>
      </c>
      <c r="Q227" s="40" t="s">
        <v>141</v>
      </c>
      <c r="R227" s="40" t="s">
        <v>142</v>
      </c>
      <c r="S227" s="40" t="s">
        <v>26</v>
      </c>
      <c r="T227" s="26" t="s">
        <v>26</v>
      </c>
    </row>
    <row r="228" spans="1:20" hidden="1" x14ac:dyDescent="0.3">
      <c r="A228" s="84">
        <v>227</v>
      </c>
      <c r="B228" s="6">
        <v>44402</v>
      </c>
      <c r="C228" s="85" t="s">
        <v>404</v>
      </c>
      <c r="D228" s="85" t="s">
        <v>404</v>
      </c>
      <c r="E228" s="16">
        <v>44402.315046296295</v>
      </c>
      <c r="F228" s="7">
        <v>44402.315254629626</v>
      </c>
      <c r="G228" s="14">
        <f t="shared" si="3"/>
        <v>2.0833333110203966E-4</v>
      </c>
      <c r="H228" s="86" t="s">
        <v>23</v>
      </c>
      <c r="I228" s="86" t="s">
        <v>24</v>
      </c>
      <c r="J228" s="87" t="str">
        <f>IF(ISBLANK(C228),"",IF(C228=D228, "1 video",CONCATENATE((+COUNTIFS(Video_List!$C:$C,"&lt;=" &amp;Monitoring!F228)-COUNTIFS(Video_List!$C:$C,"&lt;=" &amp;Monitoring!E228))+1," videos")))</f>
        <v>1 video</v>
      </c>
      <c r="K228" s="25" t="s">
        <v>23</v>
      </c>
      <c r="L228" s="40" t="s">
        <v>28</v>
      </c>
      <c r="M228" s="40" t="s">
        <v>29</v>
      </c>
      <c r="N228" s="40" t="s">
        <v>30</v>
      </c>
      <c r="O228" s="88" t="str">
        <f>+IFERROR(IF(P228="#N/C","#N/C",IF(Q228=0,INDEX(Taxonomy_UniqueValues!D:D,MATCH(Q228,Taxonomy_UniqueValues!F:F,0)),INDEX(Taxonomy_UniqueValues!D:D,MATCH(P228,Taxonomy_UniqueValues!E:E,0)))),"#N/C")</f>
        <v>Muscomorpha</v>
      </c>
      <c r="P228" s="40" t="s">
        <v>321</v>
      </c>
      <c r="Q228" s="40" t="s">
        <v>322</v>
      </c>
      <c r="R228" s="40" t="s">
        <v>323</v>
      </c>
      <c r="S228" s="40" t="s">
        <v>324</v>
      </c>
      <c r="T228" s="26" t="s">
        <v>26</v>
      </c>
    </row>
    <row r="229" spans="1:20" hidden="1" x14ac:dyDescent="0.3">
      <c r="A229" s="84">
        <v>228</v>
      </c>
      <c r="B229" s="6">
        <v>44402</v>
      </c>
      <c r="C229" s="85" t="s">
        <v>405</v>
      </c>
      <c r="D229" s="85" t="s">
        <v>405</v>
      </c>
      <c r="E229" s="16">
        <v>44402.342615740738</v>
      </c>
      <c r="F229" s="7">
        <v>44402.343136574076</v>
      </c>
      <c r="G229" s="14">
        <f t="shared" si="3"/>
        <v>5.2083333866903558E-4</v>
      </c>
      <c r="H229" s="86" t="s">
        <v>23</v>
      </c>
      <c r="I229" s="86" t="s">
        <v>24</v>
      </c>
      <c r="J229" s="87" t="str">
        <f>IF(ISBLANK(C229),"",IF(C229=D229, "1 video",CONCATENATE((+COUNTIFS(Video_List!$C:$C,"&lt;=" &amp;Monitoring!F229)-COUNTIFS(Video_List!$C:$C,"&lt;=" &amp;Monitoring!E229))+1," videos")))</f>
        <v>1 video</v>
      </c>
      <c r="K229" s="25" t="s">
        <v>23</v>
      </c>
      <c r="L229" s="40" t="s">
        <v>28</v>
      </c>
      <c r="M229" s="40" t="s">
        <v>29</v>
      </c>
      <c r="N229" s="40" t="s">
        <v>30</v>
      </c>
      <c r="O229" s="88" t="str">
        <f>+IFERROR(IF(P229="#N/C","#N/C",IF(Q229=0,INDEX(Taxonomy_UniqueValues!D:D,MATCH(Q229,Taxonomy_UniqueValues!F:F,0)),INDEX(Taxonomy_UniqueValues!D:D,MATCH(P229,Taxonomy_UniqueValues!E:E,0)))),"#N/C")</f>
        <v>Muscomorpha</v>
      </c>
      <c r="P229" s="40" t="s">
        <v>37</v>
      </c>
      <c r="Q229" s="40" t="s">
        <v>38</v>
      </c>
      <c r="R229" s="40" t="s">
        <v>39</v>
      </c>
      <c r="S229" s="40" t="s">
        <v>173</v>
      </c>
      <c r="T229" s="26" t="s">
        <v>26</v>
      </c>
    </row>
    <row r="230" spans="1:20" hidden="1" x14ac:dyDescent="0.3">
      <c r="A230" s="84">
        <v>229</v>
      </c>
      <c r="B230" s="6">
        <v>44402</v>
      </c>
      <c r="C230" s="85" t="s">
        <v>406</v>
      </c>
      <c r="D230" s="85" t="s">
        <v>406</v>
      </c>
      <c r="E230" s="16">
        <v>44402.35050925926</v>
      </c>
      <c r="F230" s="7">
        <v>44402.350682870368</v>
      </c>
      <c r="G230" s="14">
        <f t="shared" si="3"/>
        <v>1.7361110803904012E-4</v>
      </c>
      <c r="H230" s="4" t="s">
        <v>35</v>
      </c>
      <c r="I230" s="4" t="s">
        <v>109</v>
      </c>
      <c r="J230" s="87" t="str">
        <f>IF(ISBLANK(C230),"",IF(C230=D230, "1 video",CONCATENATE((+COUNTIFS(Video_List!$C:$C,"&lt;=" &amp;Monitoring!F230)-COUNTIFS(Video_List!$C:$C,"&lt;=" &amp;Monitoring!E230))+1," videos")))</f>
        <v>1 video</v>
      </c>
      <c r="K230" s="25" t="s">
        <v>23</v>
      </c>
      <c r="L230" s="40" t="s">
        <v>28</v>
      </c>
      <c r="M230" s="40" t="s">
        <v>29</v>
      </c>
      <c r="N230" s="40" t="s">
        <v>30</v>
      </c>
      <c r="O230" s="88" t="str">
        <f>+IFERROR(IF(P230="#N/C","#N/C",IF(Q230=0,INDEX(Taxonomy_UniqueValues!D:D,MATCH(Q230,Taxonomy_UniqueValues!F:F,0)),INDEX(Taxonomy_UniqueValues!D:D,MATCH(P230,Taxonomy_UniqueValues!E:E,0)))),"#N/C")</f>
        <v>Muscomorpha</v>
      </c>
      <c r="P230" s="40" t="s">
        <v>326</v>
      </c>
      <c r="Q230" s="40" t="s">
        <v>366</v>
      </c>
      <c r="R230" s="40" t="s">
        <v>367</v>
      </c>
      <c r="S230" s="40" t="s">
        <v>368</v>
      </c>
      <c r="T230" s="26" t="s">
        <v>26</v>
      </c>
    </row>
    <row r="231" spans="1:20" hidden="1" x14ac:dyDescent="0.3">
      <c r="A231" s="84">
        <v>230</v>
      </c>
      <c r="B231" s="6">
        <v>44402</v>
      </c>
      <c r="C231" s="85" t="s">
        <v>407</v>
      </c>
      <c r="D231" s="85" t="s">
        <v>407</v>
      </c>
      <c r="E231" s="16">
        <v>44402.474432870367</v>
      </c>
      <c r="F231" s="7">
        <v>44402.47483796296</v>
      </c>
      <c r="G231" s="14">
        <f t="shared" si="3"/>
        <v>4.0509259270038456E-4</v>
      </c>
      <c r="H231" s="4" t="s">
        <v>46</v>
      </c>
      <c r="I231" s="4" t="s">
        <v>24</v>
      </c>
      <c r="J231" s="87" t="str">
        <f>IF(ISBLANK(C231),"",IF(C231=D231, "1 video",CONCATENATE((+COUNTIFS(Video_List!$C:$C,"&lt;=" &amp;Monitoring!F231)-COUNTIFS(Video_List!$C:$C,"&lt;=" &amp;Monitoring!E231))+1," videos")))</f>
        <v>1 video</v>
      </c>
      <c r="K231" s="25" t="s">
        <v>23</v>
      </c>
      <c r="L231" s="40" t="s">
        <v>28</v>
      </c>
      <c r="M231" s="40" t="s">
        <v>29</v>
      </c>
      <c r="N231" s="40" t="s">
        <v>30</v>
      </c>
      <c r="O231" s="88" t="str">
        <f>+IFERROR(IF(P231="#N/C","#N/C",IF(Q231=0,INDEX(Taxonomy_UniqueValues!D:D,MATCH(Q231,Taxonomy_UniqueValues!F:F,0)),INDEX(Taxonomy_UniqueValues!D:D,MATCH(P231,Taxonomy_UniqueValues!E:E,0)))),"#N/C")</f>
        <v>Muscomorpha</v>
      </c>
      <c r="P231" s="40" t="s">
        <v>166</v>
      </c>
      <c r="Q231" s="40" t="s">
        <v>26</v>
      </c>
      <c r="R231" s="40" t="s">
        <v>26</v>
      </c>
      <c r="S231" s="40" t="s">
        <v>26</v>
      </c>
      <c r="T231" s="26" t="s">
        <v>26</v>
      </c>
    </row>
    <row r="232" spans="1:20" hidden="1" x14ac:dyDescent="0.3">
      <c r="A232" s="84">
        <v>231</v>
      </c>
      <c r="B232" s="6">
        <v>44402</v>
      </c>
      <c r="C232" s="85" t="s">
        <v>408</v>
      </c>
      <c r="D232" s="85" t="s">
        <v>408</v>
      </c>
      <c r="E232" s="16">
        <v>44402.475868055553</v>
      </c>
      <c r="F232" s="7">
        <v>44402.476087962961</v>
      </c>
      <c r="G232" s="14">
        <f t="shared" si="3"/>
        <v>2.1990740788169205E-4</v>
      </c>
      <c r="H232" s="86" t="s">
        <v>23</v>
      </c>
      <c r="I232" s="86" t="s">
        <v>24</v>
      </c>
      <c r="J232" s="87" t="str">
        <f>IF(ISBLANK(C232),"",IF(C232=D232, "1 video",CONCATENATE((+COUNTIFS(Video_List!$C:$C,"&lt;=" &amp;Monitoring!F232)-COUNTIFS(Video_List!$C:$C,"&lt;=" &amp;Monitoring!E232))+1," videos")))</f>
        <v>1 video</v>
      </c>
      <c r="K232" s="27" t="s">
        <v>35</v>
      </c>
      <c r="L232" s="40" t="s">
        <v>28</v>
      </c>
      <c r="M232" s="40" t="s">
        <v>29</v>
      </c>
      <c r="N232" s="40" t="s">
        <v>30</v>
      </c>
      <c r="O232" s="88" t="str">
        <f>+IFERROR(IF(P232="#N/C","#N/C",IF(Q232=0,INDEX(Taxonomy_UniqueValues!D:D,MATCH(Q232,Taxonomy_UniqueValues!F:F,0)),INDEX(Taxonomy_UniqueValues!D:D,MATCH(P232,Taxonomy_UniqueValues!E:E,0)))),"#N/C")</f>
        <v>Asilomorpha</v>
      </c>
      <c r="P232" s="40" t="s">
        <v>140</v>
      </c>
      <c r="Q232" s="40" t="s">
        <v>141</v>
      </c>
      <c r="R232" s="40" t="s">
        <v>142</v>
      </c>
      <c r="S232" s="40" t="s">
        <v>26</v>
      </c>
      <c r="T232" s="26" t="s">
        <v>26</v>
      </c>
    </row>
    <row r="233" spans="1:20" hidden="1" x14ac:dyDescent="0.3">
      <c r="A233" s="84">
        <v>232</v>
      </c>
      <c r="B233" s="6">
        <v>44402</v>
      </c>
      <c r="C233" s="85" t="s">
        <v>409</v>
      </c>
      <c r="D233" s="85" t="s">
        <v>409</v>
      </c>
      <c r="E233" s="16">
        <v>44402.54215277778</v>
      </c>
      <c r="F233" s="7">
        <v>44402.542453703703</v>
      </c>
      <c r="G233" s="14">
        <f t="shared" si="3"/>
        <v>3.0092592351138592E-4</v>
      </c>
      <c r="H233" s="4" t="s">
        <v>23</v>
      </c>
      <c r="I233" s="4" t="s">
        <v>24</v>
      </c>
      <c r="J233" s="87" t="str">
        <f>IF(ISBLANK(C233),"",IF(C233=D233, "1 video",CONCATENATE((+COUNTIFS(Video_List!$C:$C,"&lt;=" &amp;Monitoring!F233)-COUNTIFS(Video_List!$C:$C,"&lt;=" &amp;Monitoring!E233))+1," videos")))</f>
        <v>1 video</v>
      </c>
      <c r="K233" s="27" t="s">
        <v>35</v>
      </c>
      <c r="L233" s="40" t="s">
        <v>28</v>
      </c>
      <c r="M233" s="40" t="s">
        <v>29</v>
      </c>
      <c r="N233" s="40" t="s">
        <v>176</v>
      </c>
      <c r="O233" s="88" t="str">
        <f>+IFERROR(IF(P233="#N/C","#N/C",IF(Q233=0,INDEX(Taxonomy_UniqueValues!D:D,MATCH(Q233,Taxonomy_UniqueValues!F:F,0)),INDEX(Taxonomy_UniqueValues!D:D,MATCH(P233,Taxonomy_UniqueValues!E:E,0)))),"#N/C")</f>
        <v>Bibionomorpha</v>
      </c>
      <c r="P233" s="40" t="s">
        <v>177</v>
      </c>
      <c r="Q233" s="40" t="s">
        <v>410</v>
      </c>
      <c r="R233" s="40" t="s">
        <v>26</v>
      </c>
      <c r="S233" s="40" t="s">
        <v>26</v>
      </c>
      <c r="T233" s="26" t="s">
        <v>26</v>
      </c>
    </row>
    <row r="234" spans="1:20" hidden="1" x14ac:dyDescent="0.3">
      <c r="A234" s="84">
        <v>233</v>
      </c>
      <c r="B234" s="6">
        <v>44402</v>
      </c>
      <c r="C234" s="85" t="s">
        <v>409</v>
      </c>
      <c r="D234" s="85" t="s">
        <v>409</v>
      </c>
      <c r="E234" s="16">
        <v>44402.54241898148</v>
      </c>
      <c r="F234" s="7">
        <v>44402.542569444442</v>
      </c>
      <c r="G234" s="14">
        <f t="shared" si="3"/>
        <v>1.5046296175569296E-4</v>
      </c>
      <c r="H234" s="86" t="s">
        <v>23</v>
      </c>
      <c r="I234" s="86" t="s">
        <v>24</v>
      </c>
      <c r="J234" s="87" t="str">
        <f>IF(ISBLANK(C234),"",IF(C234=D234, "1 video",CONCATENATE((+COUNTIFS(Video_List!$C:$C,"&lt;=" &amp;Monitoring!F234)-COUNTIFS(Video_List!$C:$C,"&lt;=" &amp;Monitoring!E234))+1," videos")))</f>
        <v>1 video</v>
      </c>
      <c r="K234" s="27" t="s">
        <v>35</v>
      </c>
      <c r="L234" s="40" t="s">
        <v>28</v>
      </c>
      <c r="M234" s="40" t="s">
        <v>29</v>
      </c>
      <c r="N234" s="40" t="s">
        <v>30</v>
      </c>
      <c r="O234" s="88" t="str">
        <f>+IFERROR(IF(P234="#N/C","#N/C",IF(Q234=0,INDEX(Taxonomy_UniqueValues!D:D,MATCH(Q234,Taxonomy_UniqueValues!F:F,0)),INDEX(Taxonomy_UniqueValues!D:D,MATCH(P234,Taxonomy_UniqueValues!E:E,0)))),"#N/C")</f>
        <v>Asilomorpha</v>
      </c>
      <c r="P234" s="40" t="s">
        <v>140</v>
      </c>
      <c r="Q234" s="40" t="s">
        <v>141</v>
      </c>
      <c r="R234" s="40" t="s">
        <v>142</v>
      </c>
      <c r="S234" s="40" t="s">
        <v>25</v>
      </c>
      <c r="T234" s="26" t="s">
        <v>26</v>
      </c>
    </row>
    <row r="235" spans="1:20" hidden="1" x14ac:dyDescent="0.3">
      <c r="A235" s="84">
        <v>234</v>
      </c>
      <c r="B235" s="6">
        <v>44402</v>
      </c>
      <c r="C235" s="85" t="s">
        <v>411</v>
      </c>
      <c r="D235" s="85" t="s">
        <v>411</v>
      </c>
      <c r="E235" s="16">
        <v>44402.596851851849</v>
      </c>
      <c r="F235" s="7">
        <v>44402.601064814815</v>
      </c>
      <c r="G235" s="14">
        <f t="shared" si="3"/>
        <v>4.2129629655391909E-3</v>
      </c>
      <c r="H235" s="86" t="s">
        <v>35</v>
      </c>
      <c r="I235" s="86" t="s">
        <v>109</v>
      </c>
      <c r="J235" s="87" t="str">
        <f>IF(ISBLANK(C235),"",IF(C235=D235, "1 video",CONCATENATE((+COUNTIFS(Video_List!$C:$C,"&lt;=" &amp;Monitoring!F235)-COUNTIFS(Video_List!$C:$C,"&lt;=" &amp;Monitoring!E235))+1," videos")))</f>
        <v>1 video</v>
      </c>
      <c r="K235" s="25" t="s">
        <v>23</v>
      </c>
      <c r="L235" s="40" t="s">
        <v>28</v>
      </c>
      <c r="M235" s="40" t="s">
        <v>67</v>
      </c>
      <c r="N235" s="40" t="s">
        <v>68</v>
      </c>
      <c r="O235" s="88" t="str">
        <f>+IFERROR(IF(P235="#N/C","#N/C",IF(Q235=0,INDEX(Taxonomy_UniqueValues!D:D,MATCH(Q235,Taxonomy_UniqueValues!F:F,0)),INDEX(Taxonomy_UniqueValues!D:D,MATCH(P235,Taxonomy_UniqueValues!E:E,0)))),"#N/C")</f>
        <v>Cucujiformia</v>
      </c>
      <c r="P235" s="40" t="s">
        <v>412</v>
      </c>
      <c r="Q235" s="40" t="s">
        <v>413</v>
      </c>
      <c r="R235" s="40" t="s">
        <v>414</v>
      </c>
      <c r="S235" s="40" t="s">
        <v>415</v>
      </c>
      <c r="T235" s="26" t="s">
        <v>26</v>
      </c>
    </row>
    <row r="236" spans="1:20" hidden="1" x14ac:dyDescent="0.3">
      <c r="A236" s="84">
        <v>235</v>
      </c>
      <c r="B236" s="6">
        <v>44402</v>
      </c>
      <c r="C236" s="85" t="s">
        <v>416</v>
      </c>
      <c r="D236" s="85" t="s">
        <v>416</v>
      </c>
      <c r="E236" s="16">
        <v>44402.614074074074</v>
      </c>
      <c r="F236" s="7">
        <v>44402.614166666666</v>
      </c>
      <c r="G236" s="14">
        <f t="shared" si="3"/>
        <v>9.2592592409346253E-5</v>
      </c>
      <c r="H236" s="86" t="s">
        <v>23</v>
      </c>
      <c r="I236" s="86" t="s">
        <v>24</v>
      </c>
      <c r="J236" s="87" t="str">
        <f>IF(ISBLANK(C236),"",IF(C236=D236, "1 video",CONCATENATE((+COUNTIFS(Video_List!$C:$C,"&lt;=" &amp;Monitoring!F236)-COUNTIFS(Video_List!$C:$C,"&lt;=" &amp;Monitoring!E236))+1," videos")))</f>
        <v>1 video</v>
      </c>
      <c r="K236" s="27" t="s">
        <v>35</v>
      </c>
      <c r="L236" s="40" t="s">
        <v>28</v>
      </c>
      <c r="M236" s="40" t="s">
        <v>29</v>
      </c>
      <c r="N236" s="40" t="s">
        <v>30</v>
      </c>
      <c r="O236" s="88" t="str">
        <f>+IFERROR(IF(P236="#N/C","#N/C",IF(Q236=0,INDEX(Taxonomy_UniqueValues!D:D,MATCH(Q236,Taxonomy_UniqueValues!F:F,0)),INDEX(Taxonomy_UniqueValues!D:D,MATCH(P236,Taxonomy_UniqueValues!E:E,0)))),"#N/C")</f>
        <v>#N/C</v>
      </c>
      <c r="P236" s="40" t="s">
        <v>26</v>
      </c>
      <c r="Q236" s="40" t="s">
        <v>26</v>
      </c>
      <c r="R236" s="40" t="s">
        <v>26</v>
      </c>
      <c r="S236" s="40" t="s">
        <v>26</v>
      </c>
      <c r="T236" s="26" t="s">
        <v>26</v>
      </c>
    </row>
    <row r="237" spans="1:20" hidden="1" x14ac:dyDescent="0.3">
      <c r="A237" s="84">
        <v>236</v>
      </c>
      <c r="B237" s="6">
        <v>44402</v>
      </c>
      <c r="C237" s="85" t="s">
        <v>417</v>
      </c>
      <c r="D237" s="85" t="s">
        <v>417</v>
      </c>
      <c r="E237" s="16">
        <v>44402.639189814814</v>
      </c>
      <c r="F237" s="7">
        <v>44402.639224537037</v>
      </c>
      <c r="G237" s="14">
        <f t="shared" si="3"/>
        <v>3.4722223062999547E-5</v>
      </c>
      <c r="H237" s="86" t="s">
        <v>23</v>
      </c>
      <c r="I237" s="86" t="s">
        <v>24</v>
      </c>
      <c r="J237" s="87" t="str">
        <f>IF(ISBLANK(C237),"",IF(C237=D237, "1 video",CONCATENATE((+COUNTIFS(Video_List!$C:$C,"&lt;=" &amp;Monitoring!F237)-COUNTIFS(Video_List!$C:$C,"&lt;=" &amp;Monitoring!E237))+1," videos")))</f>
        <v>1 video</v>
      </c>
      <c r="K237" s="27" t="s">
        <v>35</v>
      </c>
      <c r="L237" s="40" t="s">
        <v>28</v>
      </c>
      <c r="M237" s="40" t="s">
        <v>29</v>
      </c>
      <c r="N237" s="40" t="s">
        <v>30</v>
      </c>
      <c r="O237" s="88" t="str">
        <f>+IFERROR(IF(P237="#N/C","#N/C",IF(Q237=0,INDEX(Taxonomy_UniqueValues!D:D,MATCH(Q237,Taxonomy_UniqueValues!F:F,0)),INDEX(Taxonomy_UniqueValues!D:D,MATCH(P237,Taxonomy_UniqueValues!E:E,0)))),"#N/C")</f>
        <v>#N/C</v>
      </c>
      <c r="P237" s="40" t="s">
        <v>26</v>
      </c>
      <c r="Q237" s="40" t="s">
        <v>26</v>
      </c>
      <c r="R237" s="40" t="s">
        <v>26</v>
      </c>
      <c r="S237" s="40" t="s">
        <v>26</v>
      </c>
      <c r="T237" s="26" t="s">
        <v>26</v>
      </c>
    </row>
    <row r="238" spans="1:20" hidden="1" x14ac:dyDescent="0.3">
      <c r="A238" s="84">
        <v>237</v>
      </c>
      <c r="B238" s="6">
        <v>44402</v>
      </c>
      <c r="C238" s="85" t="s">
        <v>418</v>
      </c>
      <c r="D238" s="85" t="s">
        <v>418</v>
      </c>
      <c r="E238" s="16">
        <v>44402.646608796298</v>
      </c>
      <c r="F238" s="7">
        <v>44402.652395833335</v>
      </c>
      <c r="G238" s="14">
        <f t="shared" si="3"/>
        <v>5.7870370364980772E-3</v>
      </c>
      <c r="H238" s="86" t="s">
        <v>46</v>
      </c>
      <c r="I238" s="86" t="s">
        <v>46</v>
      </c>
      <c r="J238" s="87" t="str">
        <f>IF(ISBLANK(C238),"",IF(C238=D238, "1 video",CONCATENATE((+COUNTIFS(Video_List!$C:$C,"&lt;=" &amp;Monitoring!F238)-COUNTIFS(Video_List!$C:$C,"&lt;=" &amp;Monitoring!E238))+1," videos")))</f>
        <v>1 video</v>
      </c>
      <c r="K238" s="25" t="s">
        <v>23</v>
      </c>
      <c r="L238" s="40" t="s">
        <v>28</v>
      </c>
      <c r="M238" s="40" t="s">
        <v>67</v>
      </c>
      <c r="N238" s="40" t="s">
        <v>68</v>
      </c>
      <c r="O238" s="88" t="str">
        <f>+IFERROR(IF(P238="#N/C","#N/C",IF(Q238=0,INDEX(Taxonomy_UniqueValues!D:D,MATCH(Q238,Taxonomy_UniqueValues!F:F,0)),INDEX(Taxonomy_UniqueValues!D:D,MATCH(P238,Taxonomy_UniqueValues!E:E,0)))),"#N/C")</f>
        <v>Cucujiformia</v>
      </c>
      <c r="P238" s="40" t="s">
        <v>419</v>
      </c>
      <c r="Q238" s="40" t="s">
        <v>420</v>
      </c>
      <c r="R238" s="40" t="s">
        <v>421</v>
      </c>
      <c r="S238" s="40" t="s">
        <v>422</v>
      </c>
      <c r="T238" s="26" t="s">
        <v>423</v>
      </c>
    </row>
    <row r="239" spans="1:20" hidden="1" x14ac:dyDescent="0.3">
      <c r="A239" s="84">
        <v>238</v>
      </c>
      <c r="B239" s="6">
        <v>44402</v>
      </c>
      <c r="C239" s="85" t="s">
        <v>424</v>
      </c>
      <c r="D239" s="85" t="s">
        <v>424</v>
      </c>
      <c r="E239" s="16">
        <v>44402.652268518519</v>
      </c>
      <c r="F239" s="7">
        <v>44402.652361111112</v>
      </c>
      <c r="G239" s="14">
        <f t="shared" si="3"/>
        <v>9.2592592409346253E-5</v>
      </c>
      <c r="H239" s="4" t="s">
        <v>23</v>
      </c>
      <c r="I239" s="4" t="s">
        <v>24</v>
      </c>
      <c r="J239" s="87" t="str">
        <f>IF(ISBLANK(C239),"",IF(C239=D239, "1 video",CONCATENATE((+COUNTIFS(Video_List!$C:$C,"&lt;=" &amp;Monitoring!F239)-COUNTIFS(Video_List!$C:$C,"&lt;=" &amp;Monitoring!E239))+1," videos")))</f>
        <v>1 video</v>
      </c>
      <c r="K239" s="25" t="s">
        <v>23</v>
      </c>
      <c r="L239" s="40" t="s">
        <v>28</v>
      </c>
      <c r="M239" s="40" t="s">
        <v>29</v>
      </c>
      <c r="N239" s="40" t="s">
        <v>176</v>
      </c>
      <c r="O239" s="88" t="str">
        <f>+IFERROR(IF(P239="#N/C","#N/C",IF(Q239=0,INDEX(Taxonomy_UniqueValues!D:D,MATCH(Q239,Taxonomy_UniqueValues!F:F,0)),INDEX(Taxonomy_UniqueValues!D:D,MATCH(P239,Taxonomy_UniqueValues!E:E,0)))),"#N/C")</f>
        <v>Bibionomorpha</v>
      </c>
      <c r="P239" s="40" t="s">
        <v>177</v>
      </c>
      <c r="Q239" s="40" t="s">
        <v>410</v>
      </c>
      <c r="R239" s="40" t="s">
        <v>26</v>
      </c>
      <c r="S239" s="40" t="s">
        <v>26</v>
      </c>
      <c r="T239" s="26" t="s">
        <v>26</v>
      </c>
    </row>
    <row r="240" spans="1:20" hidden="1" x14ac:dyDescent="0.3">
      <c r="A240" s="84">
        <v>239</v>
      </c>
      <c r="B240" s="6">
        <v>44402</v>
      </c>
      <c r="C240" s="85" t="s">
        <v>425</v>
      </c>
      <c r="D240" s="85" t="s">
        <v>425</v>
      </c>
      <c r="E240" s="16">
        <v>44402.656770833331</v>
      </c>
      <c r="F240" s="7">
        <v>44402.656828703701</v>
      </c>
      <c r="G240" s="14">
        <f t="shared" si="3"/>
        <v>5.7870369346346706E-5</v>
      </c>
      <c r="H240" s="86" t="s">
        <v>46</v>
      </c>
      <c r="I240" s="86" t="s">
        <v>46</v>
      </c>
      <c r="J240" s="87" t="str">
        <f>IF(ISBLANK(C240),"",IF(C240=D240, "1 video",CONCATENATE((+COUNTIFS(Video_List!$C:$C,"&lt;=" &amp;Monitoring!F240)-COUNTIFS(Video_List!$C:$C,"&lt;=" &amp;Monitoring!E240))+1," videos")))</f>
        <v>1 video</v>
      </c>
      <c r="K240" s="27" t="s">
        <v>35</v>
      </c>
      <c r="L240" s="40" t="s">
        <v>28</v>
      </c>
      <c r="M240" s="40" t="s">
        <v>29</v>
      </c>
      <c r="N240" s="40" t="s">
        <v>30</v>
      </c>
      <c r="O240" s="88" t="str">
        <f>+IFERROR(IF(P240="#N/C","#N/C",IF(Q240=0,INDEX(Taxonomy_UniqueValues!D:D,MATCH(Q240,Taxonomy_UniqueValues!F:F,0)),INDEX(Taxonomy_UniqueValues!D:D,MATCH(P240,Taxonomy_UniqueValues!E:E,0)))),"#N/C")</f>
        <v>#N/C</v>
      </c>
      <c r="P240" s="40" t="s">
        <v>26</v>
      </c>
      <c r="Q240" s="40" t="s">
        <v>26</v>
      </c>
      <c r="R240" s="40" t="s">
        <v>26</v>
      </c>
      <c r="S240" s="40" t="s">
        <v>26</v>
      </c>
      <c r="T240" s="26" t="s">
        <v>26</v>
      </c>
    </row>
    <row r="241" spans="1:20" hidden="1" x14ac:dyDescent="0.3">
      <c r="A241" s="84">
        <v>240</v>
      </c>
      <c r="B241" s="6">
        <v>44402</v>
      </c>
      <c r="C241" s="85" t="s">
        <v>426</v>
      </c>
      <c r="D241" s="85" t="s">
        <v>426</v>
      </c>
      <c r="E241" s="16">
        <v>44402.711875000001</v>
      </c>
      <c r="F241" s="7">
        <v>44402.762048611112</v>
      </c>
      <c r="G241" s="14">
        <f t="shared" si="3"/>
        <v>5.0173611110949423E-2</v>
      </c>
      <c r="H241" s="86" t="s">
        <v>23</v>
      </c>
      <c r="I241" s="86" t="s">
        <v>24</v>
      </c>
      <c r="J241" s="87" t="str">
        <f>IF(ISBLANK(C241),"",IF(C241=D241, "1 video",CONCATENATE((+COUNTIFS(Video_List!$C:$C,"&lt;=" &amp;Monitoring!F241)-COUNTIFS(Video_List!$C:$C,"&lt;=" &amp;Monitoring!E241))+1," videos")))</f>
        <v>1 video</v>
      </c>
      <c r="K241" s="27" t="s">
        <v>35</v>
      </c>
      <c r="L241" s="40" t="s">
        <v>28</v>
      </c>
      <c r="M241" s="40" t="s">
        <v>29</v>
      </c>
      <c r="N241" s="40" t="s">
        <v>30</v>
      </c>
      <c r="O241" s="88" t="str">
        <f>+IFERROR(IF(P241="#N/C","#N/C",IF(Q241=0,INDEX(Taxonomy_UniqueValues!D:D,MATCH(Q241,Taxonomy_UniqueValues!F:F,0)),INDEX(Taxonomy_UniqueValues!D:D,MATCH(P241,Taxonomy_UniqueValues!E:E,0)))),"#N/C")</f>
        <v>Muscomorpha</v>
      </c>
      <c r="P241" s="40" t="s">
        <v>37</v>
      </c>
      <c r="Q241" s="40" t="s">
        <v>38</v>
      </c>
      <c r="R241" s="40" t="s">
        <v>39</v>
      </c>
      <c r="S241" s="40" t="s">
        <v>40</v>
      </c>
      <c r="T241" s="26" t="s">
        <v>26</v>
      </c>
    </row>
    <row r="242" spans="1:20" hidden="1" x14ac:dyDescent="0.3">
      <c r="A242" s="84">
        <v>241</v>
      </c>
      <c r="B242" s="6">
        <v>44402</v>
      </c>
      <c r="C242" s="85" t="s">
        <v>427</v>
      </c>
      <c r="D242" s="85" t="s">
        <v>428</v>
      </c>
      <c r="E242" s="16">
        <v>44402.732916666668</v>
      </c>
      <c r="F242" s="7">
        <v>44402.735555555555</v>
      </c>
      <c r="G242" s="14">
        <f t="shared" si="3"/>
        <v>2.638888887304347E-3</v>
      </c>
      <c r="H242" s="4" t="s">
        <v>23</v>
      </c>
      <c r="I242" s="4" t="s">
        <v>24</v>
      </c>
      <c r="J242" s="87" t="str">
        <f>IF(ISBLANK(C242),"",IF(C242=D242, "1 video",CONCATENATE((+COUNTIFS(Video_List!$C:$C,"&lt;=" &amp;Monitoring!F242)-COUNTIFS(Video_List!$C:$C,"&lt;=" &amp;Monitoring!E242))+1," videos")))</f>
        <v>2 videos</v>
      </c>
      <c r="K242" s="25" t="s">
        <v>23</v>
      </c>
      <c r="L242" s="40" t="s">
        <v>28</v>
      </c>
      <c r="M242" s="40" t="s">
        <v>29</v>
      </c>
      <c r="N242" s="40" t="s">
        <v>30</v>
      </c>
      <c r="O242" s="88" t="str">
        <f>+IFERROR(IF(P242="#N/C","#N/C",IF(Q242=0,INDEX(Taxonomy_UniqueValues!D:D,MATCH(Q242,Taxonomy_UniqueValues!F:F,0)),INDEX(Taxonomy_UniqueValues!D:D,MATCH(P242,Taxonomy_UniqueValues!E:E,0)))),"#N/C")</f>
        <v>Asilomorpha</v>
      </c>
      <c r="P242" s="40" t="s">
        <v>140</v>
      </c>
      <c r="Q242" s="40" t="s">
        <v>141</v>
      </c>
      <c r="R242" s="40" t="s">
        <v>142</v>
      </c>
      <c r="S242" s="40" t="s">
        <v>25</v>
      </c>
      <c r="T242" s="26" t="s">
        <v>26</v>
      </c>
    </row>
    <row r="243" spans="1:20" hidden="1" x14ac:dyDescent="0.3">
      <c r="A243" s="84">
        <v>242</v>
      </c>
      <c r="B243" s="6">
        <v>44402</v>
      </c>
      <c r="C243" s="85" t="s">
        <v>429</v>
      </c>
      <c r="D243" s="85" t="s">
        <v>429</v>
      </c>
      <c r="E243" s="16">
        <v>44402.762708333335</v>
      </c>
      <c r="F243" s="7">
        <v>44402.762858796297</v>
      </c>
      <c r="G243" s="14">
        <f t="shared" si="3"/>
        <v>1.5046296175569296E-4</v>
      </c>
      <c r="H243" s="4" t="s">
        <v>23</v>
      </c>
      <c r="I243" s="4" t="s">
        <v>24</v>
      </c>
      <c r="J243" s="87" t="str">
        <f>IF(ISBLANK(C243),"",IF(C243=D243, "1 video",CONCATENATE((+COUNTIFS(Video_List!$C:$C,"&lt;=" &amp;Monitoring!F243)-COUNTIFS(Video_List!$C:$C,"&lt;=" &amp;Monitoring!E243))+1," videos")))</f>
        <v>1 video</v>
      </c>
      <c r="K243" s="27" t="s">
        <v>35</v>
      </c>
      <c r="L243" s="40" t="s">
        <v>28</v>
      </c>
      <c r="M243" s="40" t="s">
        <v>29</v>
      </c>
      <c r="N243" s="40" t="s">
        <v>30</v>
      </c>
      <c r="O243" s="88" t="str">
        <f>+IFERROR(IF(P243="#N/C","#N/C",IF(Q243=0,INDEX(Taxonomy_UniqueValues!D:D,MATCH(Q243,Taxonomy_UniqueValues!F:F,0)),INDEX(Taxonomy_UniqueValues!D:D,MATCH(P243,Taxonomy_UniqueValues!E:E,0)))),"#N/C")</f>
        <v>Asilomorpha</v>
      </c>
      <c r="P243" s="40" t="s">
        <v>430</v>
      </c>
      <c r="Q243" s="40" t="s">
        <v>431</v>
      </c>
      <c r="R243" s="40" t="s">
        <v>26</v>
      </c>
      <c r="S243" s="40" t="s">
        <v>26</v>
      </c>
      <c r="T243" s="26" t="s">
        <v>26</v>
      </c>
    </row>
    <row r="244" spans="1:20" hidden="1" x14ac:dyDescent="0.3">
      <c r="A244" s="84">
        <v>243</v>
      </c>
      <c r="B244" s="6">
        <v>44402</v>
      </c>
      <c r="C244" s="85" t="s">
        <v>429</v>
      </c>
      <c r="D244" s="85" t="s">
        <v>429</v>
      </c>
      <c r="E244" s="16">
        <v>44402.760520833333</v>
      </c>
      <c r="F244" s="7">
        <v>44402.763842592591</v>
      </c>
      <c r="G244" s="14">
        <f t="shared" si="3"/>
        <v>3.3217592572327703E-3</v>
      </c>
      <c r="H244" s="4" t="s">
        <v>35</v>
      </c>
      <c r="I244" s="4" t="s">
        <v>24</v>
      </c>
      <c r="J244" s="87" t="str">
        <f>IF(ISBLANK(C244),"",IF(C244=D244, "1 video",CONCATENATE((+COUNTIFS(Video_List!$C:$C,"&lt;=" &amp;Monitoring!F244)-COUNTIFS(Video_List!$C:$C,"&lt;=" &amp;Monitoring!E244))+1," videos")))</f>
        <v>1 video</v>
      </c>
      <c r="K244" s="25" t="s">
        <v>23</v>
      </c>
      <c r="L244" s="105" t="str">
        <f>+IFERROR(IF(M244="#N/C","#N/C",INDEX(Taxonomy_UniqueValues!A:A,MATCH(M244,Taxonomy_UniqueValues!B:B,0))),"#N/C")</f>
        <v>Insecta</v>
      </c>
      <c r="M244" s="105" t="str">
        <f>+IFERROR(IF(N244="#N/C","#N/C",INDEX(Taxonomy_UniqueValues!B:B,MATCH(N244,Taxonomy_UniqueValues!C:C,0))),"#N/C")</f>
        <v>Hymenoptera</v>
      </c>
      <c r="N244" s="105" t="str">
        <f>+IFERROR(IF(O244="#N/C","#N/C",INDEX(Taxonomy_UniqueValues!C:C,MATCH(O244,Taxonomy_UniqueValues!D:D,0))),"#N/C")</f>
        <v>Apocrita</v>
      </c>
      <c r="O244" s="105" t="str">
        <f>+IFERROR(IF(P244="#N/C","#N/C",INDEX(Taxonomy_UniqueValues!D:D,MATCH(P244,Taxonomy_UniqueValues!E:E,0))),"#N/C")</f>
        <v>Aculeata</v>
      </c>
      <c r="P244" s="105" t="str">
        <f>+IFERROR(IF(Q244="#N/C","#N/C",INDEX(Taxonomy_UniqueValues!E:E,MATCH(Q244,Taxonomy_UniqueValues!F:F,0))),"#N/C")</f>
        <v>Formicoidea</v>
      </c>
      <c r="Q244" s="105" t="str">
        <f>+IFERROR(IF(R244="#N/C","#N/C",INDEX(Taxonomy_UniqueValues!F:F,MATCH(R244,Taxonomy_UniqueValues!G:G,0))),"#N/C")</f>
        <v>Formicidae</v>
      </c>
      <c r="R244" s="105" t="str">
        <f>+IFERROR(IF(S244="#N/C","#N/C",INDEX(Taxonomy_UniqueValues!G:G,MATCH(S244,Taxonomy_UniqueValues!H:H,0))),"#N/C")</f>
        <v>Formicinae</v>
      </c>
      <c r="S244" s="40" t="s">
        <v>170</v>
      </c>
      <c r="T244" s="26" t="s">
        <v>26</v>
      </c>
    </row>
    <row r="245" spans="1:20" hidden="1" x14ac:dyDescent="0.3">
      <c r="A245" s="84">
        <v>244</v>
      </c>
      <c r="B245" s="6">
        <v>44402</v>
      </c>
      <c r="C245" s="85" t="s">
        <v>432</v>
      </c>
      <c r="D245" s="85" t="s">
        <v>432</v>
      </c>
      <c r="E245" s="16">
        <v>44402.767442129632</v>
      </c>
      <c r="F245" s="7">
        <v>44402.767488425925</v>
      </c>
      <c r="G245" s="14">
        <f t="shared" si="3"/>
        <v>4.6296292566694319E-5</v>
      </c>
      <c r="H245" s="86" t="s">
        <v>23</v>
      </c>
      <c r="I245" s="86" t="s">
        <v>24</v>
      </c>
      <c r="J245" s="87" t="str">
        <f>IF(ISBLANK(C245),"",IF(C245=D245, "1 video",CONCATENATE((+COUNTIFS(Video_List!$C:$C,"&lt;=" &amp;Monitoring!F245)-COUNTIFS(Video_List!$C:$C,"&lt;=" &amp;Monitoring!E245))+1," videos")))</f>
        <v>1 video</v>
      </c>
      <c r="K245" s="27" t="s">
        <v>35</v>
      </c>
      <c r="L245" s="40" t="s">
        <v>28</v>
      </c>
      <c r="M245" s="40" t="s">
        <v>29</v>
      </c>
      <c r="N245" s="40" t="s">
        <v>30</v>
      </c>
      <c r="O245" s="88" t="str">
        <f>+IFERROR(IF(P245="#N/C","#N/C",IF(Q245=0,INDEX(Taxonomy_UniqueValues!D:D,MATCH(Q245,Taxonomy_UniqueValues!F:F,0)),INDEX(Taxonomy_UniqueValues!D:D,MATCH(P245,Taxonomy_UniqueValues!E:E,0)))),"#N/C")</f>
        <v>#N/C</v>
      </c>
      <c r="P245" s="40" t="s">
        <v>26</v>
      </c>
      <c r="Q245" s="40" t="s">
        <v>26</v>
      </c>
      <c r="R245" s="40" t="s">
        <v>26</v>
      </c>
      <c r="S245" s="40" t="s">
        <v>26</v>
      </c>
      <c r="T245" s="26" t="s">
        <v>26</v>
      </c>
    </row>
    <row r="246" spans="1:20" hidden="1" x14ac:dyDescent="0.3">
      <c r="A246" s="84">
        <v>245</v>
      </c>
      <c r="B246" s="6">
        <v>44402</v>
      </c>
      <c r="C246" s="85" t="s">
        <v>433</v>
      </c>
      <c r="D246" s="85" t="s">
        <v>433</v>
      </c>
      <c r="E246" s="16">
        <v>44402.76971064815</v>
      </c>
      <c r="F246" s="7">
        <v>44402.770428240743</v>
      </c>
      <c r="G246" s="14">
        <f t="shared" si="3"/>
        <v>7.1759259299142286E-4</v>
      </c>
      <c r="H246" s="86" t="s">
        <v>23</v>
      </c>
      <c r="I246" s="86" t="s">
        <v>24</v>
      </c>
      <c r="J246" s="87" t="str">
        <f>IF(ISBLANK(C246),"",IF(C246=D246, "1 video",CONCATENATE((+COUNTIFS(Video_List!$C:$C,"&lt;=" &amp;Monitoring!F246)-COUNTIFS(Video_List!$C:$C,"&lt;=" &amp;Monitoring!E246))+1," videos")))</f>
        <v>1 video</v>
      </c>
      <c r="K246" s="25" t="s">
        <v>23</v>
      </c>
      <c r="L246" s="40" t="s">
        <v>28</v>
      </c>
      <c r="M246" s="40" t="s">
        <v>67</v>
      </c>
      <c r="N246" s="40" t="s">
        <v>68</v>
      </c>
      <c r="O246" s="88" t="str">
        <f>+IFERROR(IF(P246="#N/C","#N/C",IF(Q246=0,INDEX(Taxonomy_UniqueValues!D:D,MATCH(Q246,Taxonomy_UniqueValues!F:F,0)),INDEX(Taxonomy_UniqueValues!D:D,MATCH(P246,Taxonomy_UniqueValues!E:E,0)))),"#N/C")</f>
        <v>Cucujiformia</v>
      </c>
      <c r="P246" s="40" t="s">
        <v>412</v>
      </c>
      <c r="Q246" s="40" t="s">
        <v>413</v>
      </c>
      <c r="R246" s="40" t="s">
        <v>434</v>
      </c>
      <c r="S246" s="3" t="s">
        <v>435</v>
      </c>
      <c r="T246" s="26" t="s">
        <v>26</v>
      </c>
    </row>
    <row r="247" spans="1:20" hidden="1" x14ac:dyDescent="0.3">
      <c r="A247" s="84">
        <v>246</v>
      </c>
      <c r="B247" s="6">
        <v>44403</v>
      </c>
      <c r="C247" s="85" t="s">
        <v>436</v>
      </c>
      <c r="D247" s="85" t="s">
        <v>436</v>
      </c>
      <c r="E247" s="16">
        <v>44403.254340277781</v>
      </c>
      <c r="F247" s="7">
        <v>44403.254421296297</v>
      </c>
      <c r="G247" s="14">
        <f t="shared" si="3"/>
        <v>8.1018515629693866E-5</v>
      </c>
      <c r="H247" s="86" t="s">
        <v>23</v>
      </c>
      <c r="I247" s="86" t="s">
        <v>24</v>
      </c>
      <c r="J247" s="87" t="str">
        <f>IF(ISBLANK(C247),"",IF(C247=D247, "1 video",CONCATENATE((+COUNTIFS(Video_List!$C:$C,"&lt;=" &amp;Monitoring!F247)-COUNTIFS(Video_List!$C:$C,"&lt;=" &amp;Monitoring!E247))+1," videos")))</f>
        <v>1 video</v>
      </c>
      <c r="K247" s="25" t="s">
        <v>23</v>
      </c>
      <c r="L247" s="40" t="s">
        <v>28</v>
      </c>
      <c r="M247" s="40" t="s">
        <v>47</v>
      </c>
      <c r="N247" s="40" t="s">
        <v>48</v>
      </c>
      <c r="O247" s="88" t="str">
        <f>+IFERROR(IF(P247="#N/C","#N/C",IF(Q247=0,INDEX(Taxonomy_UniqueValues!D:D,MATCH(Q247,Taxonomy_UniqueValues!F:F,0)),INDEX(Taxonomy_UniqueValues!D:D,MATCH(P247,Taxonomy_UniqueValues!E:E,0)))),"#N/C")</f>
        <v>Heterocera</v>
      </c>
      <c r="P247" s="40" t="s">
        <v>234</v>
      </c>
      <c r="Q247" s="40" t="s">
        <v>235</v>
      </c>
      <c r="R247" s="40" t="s">
        <v>251</v>
      </c>
      <c r="S247" s="40" t="s">
        <v>437</v>
      </c>
      <c r="T247" s="26" t="s">
        <v>438</v>
      </c>
    </row>
    <row r="248" spans="1:20" hidden="1" x14ac:dyDescent="0.3">
      <c r="A248" s="84">
        <v>247</v>
      </c>
      <c r="B248" s="6">
        <v>44403</v>
      </c>
      <c r="C248" s="85" t="s">
        <v>439</v>
      </c>
      <c r="D248" s="85" t="s">
        <v>440</v>
      </c>
      <c r="E248" s="16">
        <v>44403.262939814813</v>
      </c>
      <c r="F248" s="7">
        <v>44403.264305555553</v>
      </c>
      <c r="G248" s="14">
        <f t="shared" si="3"/>
        <v>1.3657407398568466E-3</v>
      </c>
      <c r="H248" s="86" t="s">
        <v>23</v>
      </c>
      <c r="I248" s="86" t="s">
        <v>24</v>
      </c>
      <c r="J248" s="87" t="str">
        <f>IF(ISBLANK(C248),"",IF(C248=D248, "1 video",CONCATENATE((+COUNTIFS(Video_List!$C:$C,"&lt;=" &amp;Monitoring!F248)-COUNTIFS(Video_List!$C:$C,"&lt;=" &amp;Monitoring!E248))+1," videos")))</f>
        <v>2 videos</v>
      </c>
      <c r="K248" s="27" t="s">
        <v>35</v>
      </c>
      <c r="L248" s="40" t="s">
        <v>28</v>
      </c>
      <c r="M248" s="40" t="s">
        <v>47</v>
      </c>
      <c r="N248" s="40" t="s">
        <v>48</v>
      </c>
      <c r="O248" s="88" t="str">
        <f>+IFERROR(IF(P248="#N/C","#N/C",IF(Q248=0,INDEX(Taxonomy_UniqueValues!D:D,MATCH(Q248,Taxonomy_UniqueValues!F:F,0)),INDEX(Taxonomy_UniqueValues!D:D,MATCH(P248,Taxonomy_UniqueValues!E:E,0)))),"#N/C")</f>
        <v>Heterocera</v>
      </c>
      <c r="P248" s="40" t="s">
        <v>234</v>
      </c>
      <c r="Q248" s="40" t="s">
        <v>235</v>
      </c>
      <c r="R248" s="40">
        <v>0</v>
      </c>
      <c r="S248" s="40" t="s">
        <v>437</v>
      </c>
      <c r="T248" s="26" t="s">
        <v>438</v>
      </c>
    </row>
    <row r="249" spans="1:20" hidden="1" x14ac:dyDescent="0.3">
      <c r="A249" s="84">
        <v>248</v>
      </c>
      <c r="B249" s="6">
        <v>44403</v>
      </c>
      <c r="C249" s="85" t="s">
        <v>441</v>
      </c>
      <c r="D249" s="85" t="s">
        <v>441</v>
      </c>
      <c r="E249" s="16">
        <v>44403.321423611109</v>
      </c>
      <c r="F249" s="7">
        <v>44403.321469907409</v>
      </c>
      <c r="G249" s="14">
        <f t="shared" si="3"/>
        <v>4.6296299842651933E-5</v>
      </c>
      <c r="H249" s="86" t="s">
        <v>23</v>
      </c>
      <c r="I249" s="86" t="s">
        <v>24</v>
      </c>
      <c r="J249" s="87" t="str">
        <f>IF(ISBLANK(C249),"",IF(C249=D249, "1 video",CONCATENATE((+COUNTIFS(Video_List!$C:$C,"&lt;=" &amp;Monitoring!F249)-COUNTIFS(Video_List!$C:$C,"&lt;=" &amp;Monitoring!E249))+1," videos")))</f>
        <v>1 video</v>
      </c>
      <c r="K249" s="27" t="s">
        <v>35</v>
      </c>
      <c r="L249" s="40" t="s">
        <v>28</v>
      </c>
      <c r="M249" s="40" t="s">
        <v>29</v>
      </c>
      <c r="N249" s="40" t="s">
        <v>30</v>
      </c>
      <c r="O249" s="88" t="str">
        <f>+IFERROR(IF(P249="#N/C","#N/C",IF(Q249=0,INDEX(Taxonomy_UniqueValues!D:D,MATCH(Q249,Taxonomy_UniqueValues!F:F,0)),INDEX(Taxonomy_UniqueValues!D:D,MATCH(P249,Taxonomy_UniqueValues!E:E,0)))),"#N/C")</f>
        <v>#N/C</v>
      </c>
      <c r="P249" s="40" t="s">
        <v>26</v>
      </c>
      <c r="Q249" s="40" t="s">
        <v>26</v>
      </c>
      <c r="R249" s="40" t="s">
        <v>26</v>
      </c>
      <c r="S249" s="40" t="s">
        <v>26</v>
      </c>
      <c r="T249" s="26" t="s">
        <v>26</v>
      </c>
    </row>
    <row r="250" spans="1:20" hidden="1" x14ac:dyDescent="0.3">
      <c r="A250" s="84">
        <v>249</v>
      </c>
      <c r="B250" s="6">
        <v>44403</v>
      </c>
      <c r="C250" s="85" t="s">
        <v>442</v>
      </c>
      <c r="D250" s="85" t="s">
        <v>442</v>
      </c>
      <c r="E250" s="16">
        <v>44403.341446759259</v>
      </c>
      <c r="F250" s="7">
        <v>44403.341643518521</v>
      </c>
      <c r="G250" s="14">
        <f t="shared" si="3"/>
        <v>1.9675926159834489E-4</v>
      </c>
      <c r="H250" s="4" t="s">
        <v>23</v>
      </c>
      <c r="I250" s="4" t="s">
        <v>24</v>
      </c>
      <c r="J250" s="87" t="str">
        <f>IF(ISBLANK(C250),"",IF(C250=D250, "1 video",CONCATENATE((+COUNTIFS(Video_List!$C:$C,"&lt;=" &amp;Monitoring!F250)-COUNTIFS(Video_List!$C:$C,"&lt;=" &amp;Monitoring!E250))+1," videos")))</f>
        <v>1 video</v>
      </c>
      <c r="K250" s="25" t="s">
        <v>23</v>
      </c>
      <c r="L250" s="40" t="s">
        <v>28</v>
      </c>
      <c r="M250" s="40" t="s">
        <v>29</v>
      </c>
      <c r="N250" s="40" t="s">
        <v>30</v>
      </c>
      <c r="O250" s="88" t="str">
        <f>+IFERROR(IF(P250="#N/C","#N/C",IF(Q250=0,INDEX(Taxonomy_UniqueValues!D:D,MATCH(Q250,Taxonomy_UniqueValues!F:F,0)),INDEX(Taxonomy_UniqueValues!D:D,MATCH(P250,Taxonomy_UniqueValues!E:E,0)))),"#N/C")</f>
        <v>Muscomorpha</v>
      </c>
      <c r="P250" s="40" t="s">
        <v>443</v>
      </c>
      <c r="Q250" s="40" t="s">
        <v>444</v>
      </c>
      <c r="R250" s="40" t="s">
        <v>26</v>
      </c>
      <c r="S250" s="40" t="s">
        <v>26</v>
      </c>
      <c r="T250" s="26" t="s">
        <v>26</v>
      </c>
    </row>
    <row r="251" spans="1:20" hidden="1" x14ac:dyDescent="0.3">
      <c r="A251" s="84">
        <v>250</v>
      </c>
      <c r="B251" s="6">
        <v>44403</v>
      </c>
      <c r="C251" s="85" t="s">
        <v>445</v>
      </c>
      <c r="D251" s="85" t="s">
        <v>445</v>
      </c>
      <c r="E251" s="16">
        <v>44403.395902777775</v>
      </c>
      <c r="F251" s="7">
        <v>44403.395960648151</v>
      </c>
      <c r="G251" s="14">
        <f t="shared" si="3"/>
        <v>5.787037662230432E-5</v>
      </c>
      <c r="H251" s="86" t="s">
        <v>23</v>
      </c>
      <c r="I251" s="86" t="s">
        <v>24</v>
      </c>
      <c r="J251" s="87" t="str">
        <f>IF(ISBLANK(C251),"",IF(C251=D251, "1 video",CONCATENATE((+COUNTIFS(Video_List!$C:$C,"&lt;=" &amp;Monitoring!F251)-COUNTIFS(Video_List!$C:$C,"&lt;=" &amp;Monitoring!E251))+1," videos")))</f>
        <v>1 video</v>
      </c>
      <c r="K251" s="27" t="s">
        <v>35</v>
      </c>
      <c r="L251" s="40" t="s">
        <v>28</v>
      </c>
      <c r="M251" s="40" t="s">
        <v>29</v>
      </c>
      <c r="N251" s="40" t="s">
        <v>30</v>
      </c>
      <c r="O251" s="88" t="str">
        <f>+IFERROR(IF(P251="#N/C","#N/C",IF(Q251=0,INDEX(Taxonomy_UniqueValues!D:D,MATCH(Q251,Taxonomy_UniqueValues!F:F,0)),INDEX(Taxonomy_UniqueValues!D:D,MATCH(P251,Taxonomy_UniqueValues!E:E,0)))),"#N/C")</f>
        <v>#N/C</v>
      </c>
      <c r="P251" s="40" t="s">
        <v>26</v>
      </c>
      <c r="Q251" s="40" t="s">
        <v>26</v>
      </c>
      <c r="R251" s="40" t="s">
        <v>26</v>
      </c>
      <c r="S251" s="40" t="s">
        <v>26</v>
      </c>
      <c r="T251" s="26" t="s">
        <v>26</v>
      </c>
    </row>
    <row r="252" spans="1:20" hidden="1" x14ac:dyDescent="0.3">
      <c r="A252" s="84">
        <v>251</v>
      </c>
      <c r="B252" s="6">
        <v>44403</v>
      </c>
      <c r="C252" s="85" t="s">
        <v>446</v>
      </c>
      <c r="D252" s="85" t="s">
        <v>446</v>
      </c>
      <c r="E252" s="16">
        <v>44403.435358796298</v>
      </c>
      <c r="F252" s="7">
        <v>44403.435416666667</v>
      </c>
      <c r="G252" s="14">
        <f t="shared" si="3"/>
        <v>5.7870369346346706E-5</v>
      </c>
      <c r="H252" s="86" t="s">
        <v>23</v>
      </c>
      <c r="I252" s="86" t="s">
        <v>24</v>
      </c>
      <c r="J252" s="87" t="str">
        <f>IF(ISBLANK(C252),"",IF(C252=D252, "1 video",CONCATENATE((+COUNTIFS(Video_List!$C:$C,"&lt;=" &amp;Monitoring!F252)-COUNTIFS(Video_List!$C:$C,"&lt;=" &amp;Monitoring!E252))+1," videos")))</f>
        <v>1 video</v>
      </c>
      <c r="K252" s="27" t="s">
        <v>35</v>
      </c>
      <c r="L252" s="40" t="s">
        <v>28</v>
      </c>
      <c r="M252" s="40" t="s">
        <v>29</v>
      </c>
      <c r="N252" s="40" t="s">
        <v>30</v>
      </c>
      <c r="O252" s="88" t="str">
        <f>+IFERROR(IF(P252="#N/C","#N/C",IF(Q252=0,INDEX(Taxonomy_UniqueValues!D:D,MATCH(Q252,Taxonomy_UniqueValues!F:F,0)),INDEX(Taxonomy_UniqueValues!D:D,MATCH(P252,Taxonomy_UniqueValues!E:E,0)))),"#N/C")</f>
        <v>Asilomorpha</v>
      </c>
      <c r="P252" s="40" t="s">
        <v>140</v>
      </c>
      <c r="Q252" s="40" t="s">
        <v>141</v>
      </c>
      <c r="R252" s="40" t="s">
        <v>142</v>
      </c>
      <c r="S252" s="40" t="s">
        <v>26</v>
      </c>
      <c r="T252" s="26" t="s">
        <v>26</v>
      </c>
    </row>
    <row r="253" spans="1:20" hidden="1" x14ac:dyDescent="0.3">
      <c r="A253" s="84">
        <v>252</v>
      </c>
      <c r="B253" s="6">
        <v>44403</v>
      </c>
      <c r="C253" s="85" t="s">
        <v>447</v>
      </c>
      <c r="D253" s="85" t="s">
        <v>447</v>
      </c>
      <c r="E253" s="16">
        <v>44403.457766203705</v>
      </c>
      <c r="F253" s="7">
        <v>44403.457812499997</v>
      </c>
      <c r="G253" s="14">
        <f t="shared" si="3"/>
        <v>4.6296292566694319E-5</v>
      </c>
      <c r="H253" s="4" t="s">
        <v>23</v>
      </c>
      <c r="I253" s="4" t="s">
        <v>24</v>
      </c>
      <c r="J253" s="87" t="str">
        <f>IF(ISBLANK(C253),"",IF(C253=D253, "1 video",CONCATENATE((+COUNTIFS(Video_List!$C:$C,"&lt;=" &amp;Monitoring!F253)-COUNTIFS(Video_List!$C:$C,"&lt;=" &amp;Monitoring!E253))+1," videos")))</f>
        <v>1 video</v>
      </c>
      <c r="K253" s="25" t="s">
        <v>23</v>
      </c>
      <c r="L253" s="40" t="s">
        <v>28</v>
      </c>
      <c r="M253" s="40" t="s">
        <v>29</v>
      </c>
      <c r="N253" s="40" t="s">
        <v>30</v>
      </c>
      <c r="O253" s="88" t="str">
        <f>+IFERROR(IF(P253="#N/C","#N/C",IF(Q253=0,INDEX(Taxonomy_UniqueValues!D:D,MATCH(Q253,Taxonomy_UniqueValues!F:F,0)),INDEX(Taxonomy_UniqueValues!D:D,MATCH(P253,Taxonomy_UniqueValues!E:E,0)))),"#N/C")</f>
        <v>#N/C</v>
      </c>
      <c r="P253" s="40" t="s">
        <v>26</v>
      </c>
      <c r="Q253" s="40" t="s">
        <v>26</v>
      </c>
      <c r="R253" s="40" t="s">
        <v>26</v>
      </c>
      <c r="S253" s="40" t="s">
        <v>26</v>
      </c>
      <c r="T253" s="26" t="s">
        <v>26</v>
      </c>
    </row>
    <row r="254" spans="1:20" hidden="1" x14ac:dyDescent="0.3">
      <c r="A254" s="84">
        <v>253</v>
      </c>
      <c r="B254" s="6">
        <v>44403</v>
      </c>
      <c r="C254" s="85" t="s">
        <v>448</v>
      </c>
      <c r="D254" s="85" t="s">
        <v>448</v>
      </c>
      <c r="E254" s="16">
        <v>44403.462430555555</v>
      </c>
      <c r="F254" s="7">
        <v>44403.462488425925</v>
      </c>
      <c r="G254" s="14">
        <f t="shared" si="3"/>
        <v>5.7870369346346706E-5</v>
      </c>
      <c r="H254" s="4" t="s">
        <v>23</v>
      </c>
      <c r="I254" s="4" t="s">
        <v>24</v>
      </c>
      <c r="J254" s="87" t="str">
        <f>IF(ISBLANK(C254),"",IF(C254=D254, "1 video",CONCATENATE((+COUNTIFS(Video_List!$C:$C,"&lt;=" &amp;Monitoring!F254)-COUNTIFS(Video_List!$C:$C,"&lt;=" &amp;Monitoring!E254))+1," videos")))</f>
        <v>1 video</v>
      </c>
      <c r="K254" s="25" t="s">
        <v>23</v>
      </c>
      <c r="L254" s="40" t="s">
        <v>28</v>
      </c>
      <c r="M254" s="40" t="s">
        <v>29</v>
      </c>
      <c r="N254" s="40" t="s">
        <v>30</v>
      </c>
      <c r="O254" s="88" t="str">
        <f>+IFERROR(IF(P254="#N/C","#N/C",IF(Q254=0,INDEX(Taxonomy_UniqueValues!D:D,MATCH(Q254,Taxonomy_UniqueValues!F:F,0)),INDEX(Taxonomy_UniqueValues!D:D,MATCH(P254,Taxonomy_UniqueValues!E:E,0)))),"#N/C")</f>
        <v>Muscomorpha</v>
      </c>
      <c r="P254" s="40" t="s">
        <v>37</v>
      </c>
      <c r="Q254" s="40" t="s">
        <v>38</v>
      </c>
      <c r="R254" s="40" t="s">
        <v>39</v>
      </c>
      <c r="S254" s="40" t="s">
        <v>40</v>
      </c>
      <c r="T254" s="26" t="s">
        <v>26</v>
      </c>
    </row>
    <row r="255" spans="1:20" hidden="1" x14ac:dyDescent="0.3">
      <c r="A255" s="84">
        <v>254</v>
      </c>
      <c r="B255" s="6">
        <v>44403</v>
      </c>
      <c r="C255" s="85" t="s">
        <v>449</v>
      </c>
      <c r="D255" s="85" t="s">
        <v>449</v>
      </c>
      <c r="E255" s="16">
        <v>44403.469155092593</v>
      </c>
      <c r="F255" s="7">
        <v>44403.469502314816</v>
      </c>
      <c r="G255" s="14">
        <f t="shared" si="3"/>
        <v>3.4722222335403785E-4</v>
      </c>
      <c r="H255" s="86" t="s">
        <v>23</v>
      </c>
      <c r="I255" s="86" t="s">
        <v>24</v>
      </c>
      <c r="J255" s="87" t="str">
        <f>IF(ISBLANK(C255),"",IF(C255=D255, "1 video",CONCATENATE((+COUNTIFS(Video_List!$C:$C,"&lt;=" &amp;Monitoring!F255)-COUNTIFS(Video_List!$C:$C,"&lt;=" &amp;Monitoring!E255))+1," videos")))</f>
        <v>1 video</v>
      </c>
      <c r="K255" s="27" t="s">
        <v>35</v>
      </c>
      <c r="L255" s="40" t="s">
        <v>28</v>
      </c>
      <c r="M255" s="40" t="s">
        <v>29</v>
      </c>
      <c r="N255" s="40" t="s">
        <v>30</v>
      </c>
      <c r="O255" s="88" t="str">
        <f>+IFERROR(IF(P255="#N/C","#N/C",IF(Q255=0,INDEX(Taxonomy_UniqueValues!D:D,MATCH(Q255,Taxonomy_UniqueValues!F:F,0)),INDEX(Taxonomy_UniqueValues!D:D,MATCH(P255,Taxonomy_UniqueValues!E:E,0)))),"#N/C")</f>
        <v>Asilomorpha</v>
      </c>
      <c r="P255" s="40" t="s">
        <v>140</v>
      </c>
      <c r="Q255" s="40" t="s">
        <v>141</v>
      </c>
      <c r="R255" s="40" t="s">
        <v>142</v>
      </c>
      <c r="S255" s="40" t="s">
        <v>26</v>
      </c>
      <c r="T255" s="26" t="s">
        <v>26</v>
      </c>
    </row>
    <row r="256" spans="1:20" hidden="1" x14ac:dyDescent="0.3">
      <c r="A256" s="84">
        <v>255</v>
      </c>
      <c r="B256" s="6">
        <v>44403</v>
      </c>
      <c r="C256" s="85" t="s">
        <v>450</v>
      </c>
      <c r="D256" s="85" t="s">
        <v>450</v>
      </c>
      <c r="E256" s="16">
        <v>44403.478067129632</v>
      </c>
      <c r="F256" s="7">
        <v>44403.478761574072</v>
      </c>
      <c r="G256" s="14">
        <f t="shared" si="3"/>
        <v>6.9444443943211809E-4</v>
      </c>
      <c r="H256" s="86" t="s">
        <v>23</v>
      </c>
      <c r="I256" s="86" t="s">
        <v>24</v>
      </c>
      <c r="J256" s="87" t="str">
        <f>IF(ISBLANK(C256),"",IF(C256=D256, "1 video",CONCATENATE((+COUNTIFS(Video_List!$C:$C,"&lt;=" &amp;Monitoring!F256)-COUNTIFS(Video_List!$C:$C,"&lt;=" &amp;Monitoring!E256))+1," videos")))</f>
        <v>1 video</v>
      </c>
      <c r="K256" s="27" t="s">
        <v>35</v>
      </c>
      <c r="L256" s="40" t="s">
        <v>28</v>
      </c>
      <c r="M256" s="40" t="s">
        <v>29</v>
      </c>
      <c r="N256" s="40" t="s">
        <v>30</v>
      </c>
      <c r="O256" s="88" t="str">
        <f>+IFERROR(IF(P256="#N/C","#N/C",IF(Q256=0,INDEX(Taxonomy_UniqueValues!D:D,MATCH(Q256,Taxonomy_UniqueValues!F:F,0)),INDEX(Taxonomy_UniqueValues!D:D,MATCH(P256,Taxonomy_UniqueValues!E:E,0)))),"#N/C")</f>
        <v>Asilomorpha</v>
      </c>
      <c r="P256" s="40" t="s">
        <v>140</v>
      </c>
      <c r="Q256" s="40" t="s">
        <v>141</v>
      </c>
      <c r="R256" s="40" t="s">
        <v>142</v>
      </c>
      <c r="S256" s="40" t="s">
        <v>26</v>
      </c>
      <c r="T256" s="26" t="s">
        <v>26</v>
      </c>
    </row>
    <row r="257" spans="1:20" hidden="1" x14ac:dyDescent="0.3">
      <c r="A257" s="84">
        <v>256</v>
      </c>
      <c r="B257" s="6">
        <v>44403</v>
      </c>
      <c r="C257" s="85" t="s">
        <v>451</v>
      </c>
      <c r="D257" s="85" t="s">
        <v>451</v>
      </c>
      <c r="E257" s="16">
        <v>44403.49150462963</v>
      </c>
      <c r="F257" s="7">
        <v>44403.492083333331</v>
      </c>
      <c r="G257" s="14">
        <f t="shared" si="3"/>
        <v>5.7870370073942468E-4</v>
      </c>
      <c r="H257" s="4" t="s">
        <v>35</v>
      </c>
      <c r="I257" s="4" t="s">
        <v>109</v>
      </c>
      <c r="J257" s="87" t="str">
        <f>IF(ISBLANK(C257),"",IF(C257=D257, "1 video",CONCATENATE((+COUNTIFS(Video_List!$C:$C,"&lt;=" &amp;Monitoring!F257)-COUNTIFS(Video_List!$C:$C,"&lt;=" &amp;Monitoring!E257))+1," videos")))</f>
        <v>1 video</v>
      </c>
      <c r="K257" s="25" t="s">
        <v>23</v>
      </c>
      <c r="L257" s="105" t="str">
        <f>+IFERROR(IF(M257="#N/C","#N/C",INDEX(Taxonomy_UniqueValues!A:A,MATCH(M257,Taxonomy_UniqueValues!B:B,0))),"#N/C")</f>
        <v>Insecta</v>
      </c>
      <c r="M257" s="105" t="str">
        <f>+IFERROR(IF(N257="#N/C","#N/C",INDEX(Taxonomy_UniqueValues!B:B,MATCH(N257,Taxonomy_UniqueValues!C:C,0))),"#N/C")</f>
        <v>Hymenoptera</v>
      </c>
      <c r="N257" s="105" t="str">
        <f>+IFERROR(IF(O257="#N/C","#N/C",INDEX(Taxonomy_UniqueValues!C:C,MATCH(O257,Taxonomy_UniqueValues!D:D,0))),"#N/C")</f>
        <v>Apocrita</v>
      </c>
      <c r="O257" s="105" t="str">
        <f>+IFERROR(IF(P257="#N/C","#N/C",INDEX(Taxonomy_UniqueValues!D:D,MATCH(P257,Taxonomy_UniqueValues!E:E,0))),"#N/C")</f>
        <v>Aculeata</v>
      </c>
      <c r="P257" s="105" t="str">
        <f>+IFERROR(IF(Q257="#N/C","#N/C",INDEX(Taxonomy_UniqueValues!E:E,MATCH(Q257,Taxonomy_UniqueValues!F:F,0))),"#N/C")</f>
        <v>Pompiloidea</v>
      </c>
      <c r="Q257" s="40" t="s">
        <v>452</v>
      </c>
      <c r="R257" s="40" t="s">
        <v>26</v>
      </c>
      <c r="S257" s="40" t="s">
        <v>26</v>
      </c>
      <c r="T257" s="26" t="s">
        <v>26</v>
      </c>
    </row>
    <row r="258" spans="1:20" hidden="1" x14ac:dyDescent="0.3">
      <c r="A258" s="84">
        <v>257</v>
      </c>
      <c r="B258" s="6">
        <v>44403</v>
      </c>
      <c r="C258" s="85" t="s">
        <v>453</v>
      </c>
      <c r="D258" s="85" t="s">
        <v>453</v>
      </c>
      <c r="E258" s="16">
        <v>44403.503576388888</v>
      </c>
      <c r="F258" s="7">
        <v>44403.503923611112</v>
      </c>
      <c r="G258" s="14">
        <f t="shared" ref="G258:G321" si="4">F258-E258</f>
        <v>3.4722222335403785E-4</v>
      </c>
      <c r="H258" s="4" t="s">
        <v>35</v>
      </c>
      <c r="I258" s="4" t="s">
        <v>24</v>
      </c>
      <c r="J258" s="87" t="str">
        <f>IF(ISBLANK(C258),"",IF(C258=D258, "1 video",CONCATENATE((+COUNTIFS(Video_List!$C:$C,"&lt;=" &amp;Monitoring!F258)-COUNTIFS(Video_List!$C:$C,"&lt;=" &amp;Monitoring!E258))+1," videos")))</f>
        <v>1 video</v>
      </c>
      <c r="K258" s="25" t="s">
        <v>23</v>
      </c>
      <c r="L258" s="40" t="s">
        <v>28</v>
      </c>
      <c r="M258" s="40" t="s">
        <v>114</v>
      </c>
      <c r="N258" s="40" t="s">
        <v>115</v>
      </c>
      <c r="O258" s="88" t="str">
        <f>+IFERROR(IF(P258="#N/C","#N/C",IF(Q258=0,INDEX(Taxonomy_UniqueValues!D:D,MATCH(Q258,Taxonomy_UniqueValues!F:F,0)),INDEX(Taxonomy_UniqueValues!D:D,MATCH(P258,Taxonomy_UniqueValues!E:E,0)))),"#N/C")</f>
        <v>Acrididea</v>
      </c>
      <c r="P258" s="40" t="s">
        <v>116</v>
      </c>
      <c r="Q258" s="40" t="s">
        <v>117</v>
      </c>
      <c r="R258" s="40" t="s">
        <v>164</v>
      </c>
      <c r="S258" s="40" t="s">
        <v>165</v>
      </c>
      <c r="T258" s="26" t="s">
        <v>26</v>
      </c>
    </row>
    <row r="259" spans="1:20" hidden="1" x14ac:dyDescent="0.3">
      <c r="A259" s="84">
        <v>258</v>
      </c>
      <c r="B259" s="6">
        <v>44403</v>
      </c>
      <c r="C259" s="85" t="s">
        <v>454</v>
      </c>
      <c r="D259" s="85" t="s">
        <v>454</v>
      </c>
      <c r="E259" s="16">
        <v>44403.517604166664</v>
      </c>
      <c r="F259" s="7">
        <v>44403.518125000002</v>
      </c>
      <c r="G259" s="14">
        <f t="shared" si="4"/>
        <v>5.2083333866903558E-4</v>
      </c>
      <c r="H259" s="4" t="s">
        <v>35</v>
      </c>
      <c r="I259" s="4" t="s">
        <v>24</v>
      </c>
      <c r="J259" s="87" t="str">
        <f>IF(ISBLANK(C259),"",IF(C259=D259, "1 video",CONCATENATE((+COUNTIFS(Video_List!$C:$C,"&lt;=" &amp;Monitoring!F259)-COUNTIFS(Video_List!$C:$C,"&lt;=" &amp;Monitoring!E259))+1," videos")))</f>
        <v>1 video</v>
      </c>
      <c r="K259" s="25" t="s">
        <v>23</v>
      </c>
      <c r="L259" s="40" t="s">
        <v>28</v>
      </c>
      <c r="M259" s="40" t="s">
        <v>29</v>
      </c>
      <c r="N259" s="40" t="s">
        <v>30</v>
      </c>
      <c r="O259" s="88" t="str">
        <f>+IFERROR(IF(P259="#N/C","#N/C",IF(Q259=0,INDEX(Taxonomy_UniqueValues!D:D,MATCH(Q259,Taxonomy_UniqueValues!F:F,0)),INDEX(Taxonomy_UniqueValues!D:D,MATCH(P259,Taxonomy_UniqueValues!E:E,0)))),"#N/C")</f>
        <v>Muscomorpha</v>
      </c>
      <c r="P259" s="40" t="s">
        <v>37</v>
      </c>
      <c r="Q259" s="40" t="s">
        <v>38</v>
      </c>
      <c r="R259" s="40" t="s">
        <v>39</v>
      </c>
      <c r="S259" s="40" t="s">
        <v>40</v>
      </c>
      <c r="T259" s="26" t="s">
        <v>26</v>
      </c>
    </row>
    <row r="260" spans="1:20" hidden="1" x14ac:dyDescent="0.3">
      <c r="A260" s="84">
        <v>259</v>
      </c>
      <c r="B260" s="6">
        <v>44403</v>
      </c>
      <c r="C260" s="85" t="s">
        <v>455</v>
      </c>
      <c r="D260" s="85" t="s">
        <v>455</v>
      </c>
      <c r="E260" s="16">
        <v>44403.531400462962</v>
      </c>
      <c r="F260" s="7">
        <v>44403.532986111109</v>
      </c>
      <c r="G260" s="14">
        <f t="shared" si="4"/>
        <v>1.5856481477385387E-3</v>
      </c>
      <c r="H260" s="4" t="s">
        <v>35</v>
      </c>
      <c r="I260" s="4" t="s">
        <v>24</v>
      </c>
      <c r="J260" s="87" t="str">
        <f>IF(ISBLANK(C260),"",IF(C260=D260, "1 video",CONCATENATE((+COUNTIFS(Video_List!$C:$C,"&lt;=" &amp;Monitoring!F260)-COUNTIFS(Video_List!$C:$C,"&lt;=" &amp;Monitoring!E260))+1," videos")))</f>
        <v>1 video</v>
      </c>
      <c r="K260" s="25" t="s">
        <v>23</v>
      </c>
      <c r="L260" s="40" t="s">
        <v>28</v>
      </c>
      <c r="M260" s="40" t="s">
        <v>32</v>
      </c>
      <c r="N260" s="40" t="s">
        <v>33</v>
      </c>
      <c r="O260" s="88" t="str">
        <f>+IFERROR(IF(P260="#N/C","#N/C",IF(Q260=0,INDEX(Taxonomy_UniqueValues!D:D,MATCH(Q260,Taxonomy_UniqueValues!F:F,0)),INDEX(Taxonomy_UniqueValues!D:D,MATCH(P260,Taxonomy_UniqueValues!E:E,0)))),"#N/C")</f>
        <v>Parasitica</v>
      </c>
      <c r="P260" s="40" t="s">
        <v>62</v>
      </c>
      <c r="Q260" s="40" t="s">
        <v>63</v>
      </c>
      <c r="R260" s="40" t="s">
        <v>456</v>
      </c>
      <c r="S260" s="40" t="s">
        <v>457</v>
      </c>
      <c r="T260" s="26" t="s">
        <v>26</v>
      </c>
    </row>
    <row r="261" spans="1:20" hidden="1" x14ac:dyDescent="0.3">
      <c r="A261" s="84">
        <v>260</v>
      </c>
      <c r="B261" s="6">
        <v>44403</v>
      </c>
      <c r="C261" s="85" t="s">
        <v>458</v>
      </c>
      <c r="D261" s="85" t="s">
        <v>458</v>
      </c>
      <c r="E261" s="16">
        <v>44403.546400462961</v>
      </c>
      <c r="F261" s="7">
        <v>44403.56422453704</v>
      </c>
      <c r="G261" s="14">
        <f t="shared" si="4"/>
        <v>1.7824074078816921E-2</v>
      </c>
      <c r="H261" s="86" t="s">
        <v>23</v>
      </c>
      <c r="I261" s="86" t="s">
        <v>24</v>
      </c>
      <c r="J261" s="87" t="str">
        <f>IF(ISBLANK(C261),"",IF(C261=D261, "1 video",CONCATENATE((+COUNTIFS(Video_List!$C:$C,"&lt;=" &amp;Monitoring!F261)-COUNTIFS(Video_List!$C:$C,"&lt;=" &amp;Monitoring!E261))+1," videos")))</f>
        <v>1 video</v>
      </c>
      <c r="K261" s="27" t="s">
        <v>35</v>
      </c>
      <c r="L261" s="40" t="s">
        <v>28</v>
      </c>
      <c r="M261" s="40" t="s">
        <v>29</v>
      </c>
      <c r="N261" s="40" t="s">
        <v>30</v>
      </c>
      <c r="O261" s="88" t="str">
        <f>+IFERROR(IF(P261="#N/C","#N/C",IF(Q261=0,INDEX(Taxonomy_UniqueValues!D:D,MATCH(Q261,Taxonomy_UniqueValues!F:F,0)),INDEX(Taxonomy_UniqueValues!D:D,MATCH(P261,Taxonomy_UniqueValues!E:E,0)))),"#N/C")</f>
        <v>Asilomorpha</v>
      </c>
      <c r="P261" s="40" t="s">
        <v>140</v>
      </c>
      <c r="Q261" s="40" t="s">
        <v>141</v>
      </c>
      <c r="R261" s="40" t="s">
        <v>142</v>
      </c>
      <c r="S261" s="40" t="s">
        <v>26</v>
      </c>
      <c r="T261" s="26" t="s">
        <v>26</v>
      </c>
    </row>
    <row r="262" spans="1:20" hidden="1" x14ac:dyDescent="0.3">
      <c r="A262" s="84">
        <v>261</v>
      </c>
      <c r="B262" s="6">
        <v>44403</v>
      </c>
      <c r="C262" s="85" t="s">
        <v>459</v>
      </c>
      <c r="D262" s="85" t="s">
        <v>459</v>
      </c>
      <c r="E262" s="16">
        <v>44403.645925925928</v>
      </c>
      <c r="F262" s="7">
        <v>44403.64607638889</v>
      </c>
      <c r="G262" s="14">
        <f t="shared" si="4"/>
        <v>1.5046296175569296E-4</v>
      </c>
      <c r="H262" s="4" t="s">
        <v>23</v>
      </c>
      <c r="I262" s="4" t="s">
        <v>24</v>
      </c>
      <c r="J262" s="87" t="str">
        <f>IF(ISBLANK(C262),"",IF(C262=D262, "1 video",CONCATENATE((+COUNTIFS(Video_List!$C:$C,"&lt;=" &amp;Monitoring!F262)-COUNTIFS(Video_List!$C:$C,"&lt;=" &amp;Monitoring!E262))+1," videos")))</f>
        <v>1 video</v>
      </c>
      <c r="K262" s="25" t="s">
        <v>23</v>
      </c>
      <c r="L262" s="40" t="s">
        <v>28</v>
      </c>
      <c r="M262" s="40" t="s">
        <v>29</v>
      </c>
      <c r="N262" s="40" t="s">
        <v>30</v>
      </c>
      <c r="O262" s="88" t="str">
        <f>+IFERROR(IF(P262="#N/C","#N/C",IF(Q262=0,INDEX(Taxonomy_UniqueValues!D:D,MATCH(Q262,Taxonomy_UniqueValues!F:F,0)),INDEX(Taxonomy_UniqueValues!D:D,MATCH(P262,Taxonomy_UniqueValues!E:E,0)))),"#N/C")</f>
        <v>Muscomorpha</v>
      </c>
      <c r="P262" s="40" t="s">
        <v>37</v>
      </c>
      <c r="Q262" s="40" t="s">
        <v>38</v>
      </c>
      <c r="R262" s="40" t="s">
        <v>39</v>
      </c>
      <c r="S262" s="40" t="s">
        <v>26</v>
      </c>
      <c r="T262" s="26" t="s">
        <v>26</v>
      </c>
    </row>
    <row r="263" spans="1:20" hidden="1" x14ac:dyDescent="0.3">
      <c r="A263" s="84">
        <v>262</v>
      </c>
      <c r="B263" s="6">
        <v>44403</v>
      </c>
      <c r="C263" s="85" t="s">
        <v>460</v>
      </c>
      <c r="D263" s="85" t="s">
        <v>460</v>
      </c>
      <c r="E263" s="16">
        <v>44403.657789351855</v>
      </c>
      <c r="F263" s="7">
        <v>44403.676215277781</v>
      </c>
      <c r="G263" s="14">
        <f t="shared" si="4"/>
        <v>1.8425925925839692E-2</v>
      </c>
      <c r="H263" s="86" t="s">
        <v>46</v>
      </c>
      <c r="I263" s="86" t="s">
        <v>46</v>
      </c>
      <c r="J263" s="87" t="str">
        <f>IF(ISBLANK(C263),"",IF(C263=D263, "1 video",CONCATENATE((+COUNTIFS(Video_List!$C:$C,"&lt;=" &amp;Monitoring!F263)-COUNTIFS(Video_List!$C:$C,"&lt;=" &amp;Monitoring!E263))+1," videos")))</f>
        <v>1 video</v>
      </c>
      <c r="K263" s="25" t="s">
        <v>23</v>
      </c>
      <c r="L263" s="40" t="s">
        <v>28</v>
      </c>
      <c r="M263" s="40" t="s">
        <v>67</v>
      </c>
      <c r="N263" s="40" t="s">
        <v>68</v>
      </c>
      <c r="O263" s="88" t="str">
        <f>+IFERROR(IF(P263="#N/C","#N/C",IF(Q263=0,INDEX(Taxonomy_UniqueValues!D:D,MATCH(Q263,Taxonomy_UniqueValues!F:F,0)),INDEX(Taxonomy_UniqueValues!D:D,MATCH(P263,Taxonomy_UniqueValues!E:E,0)))),"#N/C")</f>
        <v>Cucujiformia</v>
      </c>
      <c r="P263" s="40" t="s">
        <v>69</v>
      </c>
      <c r="Q263" s="40" t="s">
        <v>70</v>
      </c>
      <c r="R263" s="40" t="s">
        <v>71</v>
      </c>
      <c r="S263" s="3" t="s">
        <v>461</v>
      </c>
      <c r="T263" s="26" t="s">
        <v>462</v>
      </c>
    </row>
    <row r="264" spans="1:20" hidden="1" x14ac:dyDescent="0.3">
      <c r="A264" s="84">
        <v>263</v>
      </c>
      <c r="B264" s="6">
        <v>44403</v>
      </c>
      <c r="C264" s="85" t="s">
        <v>463</v>
      </c>
      <c r="D264" s="85" t="s">
        <v>463</v>
      </c>
      <c r="E264" s="16">
        <v>44403.699664351851</v>
      </c>
      <c r="F264" s="7">
        <v>44403.699745370373</v>
      </c>
      <c r="G264" s="14">
        <f t="shared" si="4"/>
        <v>8.101852290565148E-5</v>
      </c>
      <c r="H264" s="4" t="s">
        <v>23</v>
      </c>
      <c r="I264" s="4" t="s">
        <v>24</v>
      </c>
      <c r="J264" s="87" t="str">
        <f>IF(ISBLANK(C264),"",IF(C264=D264, "1 video",CONCATENATE((+COUNTIFS(Video_List!$C:$C,"&lt;=" &amp;Monitoring!F264)-COUNTIFS(Video_List!$C:$C,"&lt;=" &amp;Monitoring!E264))+1," videos")))</f>
        <v>1 video</v>
      </c>
      <c r="K264" s="25" t="s">
        <v>23</v>
      </c>
      <c r="L264" s="40" t="s">
        <v>28</v>
      </c>
      <c r="M264" s="40" t="s">
        <v>29</v>
      </c>
      <c r="N264" s="40" t="s">
        <v>30</v>
      </c>
      <c r="O264" s="88" t="str">
        <f>+IFERROR(IF(P264="#N/C","#N/C",IF(Q264=0,INDEX(Taxonomy_UniqueValues!D:D,MATCH(Q264,Taxonomy_UniqueValues!F:F,0)),INDEX(Taxonomy_UniqueValues!D:D,MATCH(P264,Taxonomy_UniqueValues!E:E,0)))),"#N/C")</f>
        <v>#N/C</v>
      </c>
      <c r="P264" s="40" t="s">
        <v>26</v>
      </c>
      <c r="Q264" s="40" t="s">
        <v>26</v>
      </c>
      <c r="R264" s="40" t="s">
        <v>26</v>
      </c>
      <c r="S264" s="40" t="s">
        <v>26</v>
      </c>
      <c r="T264" s="26" t="s">
        <v>26</v>
      </c>
    </row>
    <row r="265" spans="1:20" hidden="1" x14ac:dyDescent="0.3">
      <c r="A265" s="84">
        <v>264</v>
      </c>
      <c r="B265" s="6">
        <v>44403</v>
      </c>
      <c r="C265" s="85" t="s">
        <v>464</v>
      </c>
      <c r="D265" s="85" t="s">
        <v>464</v>
      </c>
      <c r="E265" s="16">
        <v>44403.702256944445</v>
      </c>
      <c r="F265" s="7">
        <v>44403.70244212963</v>
      </c>
      <c r="G265" s="14">
        <f t="shared" si="4"/>
        <v>1.8518518481869251E-4</v>
      </c>
      <c r="H265" s="4" t="s">
        <v>46</v>
      </c>
      <c r="I265" s="4" t="s">
        <v>46</v>
      </c>
      <c r="J265" s="87" t="str">
        <f>IF(ISBLANK(C265),"",IF(C265=D265, "1 video",CONCATENATE((+COUNTIFS(Video_List!$C:$C,"&lt;=" &amp;Monitoring!F265)-COUNTIFS(Video_List!$C:$C,"&lt;=" &amp;Monitoring!E265))+1," videos")))</f>
        <v>1 video</v>
      </c>
      <c r="K265" s="25" t="s">
        <v>23</v>
      </c>
      <c r="L265" s="40" t="s">
        <v>28</v>
      </c>
      <c r="M265" s="40" t="s">
        <v>32</v>
      </c>
      <c r="N265" s="40" t="s">
        <v>33</v>
      </c>
      <c r="O265" s="88" t="str">
        <f>+IFERROR(IF(P265="#N/C","#N/C",IF(Q265=0,INDEX(Taxonomy_UniqueValues!D:D,MATCH(Q265,Taxonomy_UniqueValues!F:F,0)),INDEX(Taxonomy_UniqueValues!D:D,MATCH(P265,Taxonomy_UniqueValues!E:E,0)))),"#N/C")</f>
        <v>Parasitica</v>
      </c>
      <c r="P265" s="40" t="s">
        <v>62</v>
      </c>
      <c r="Q265" s="40" t="s">
        <v>63</v>
      </c>
      <c r="R265" s="40" t="s">
        <v>76</v>
      </c>
      <c r="S265" s="40" t="s">
        <v>77</v>
      </c>
      <c r="T265" s="26" t="s">
        <v>26</v>
      </c>
    </row>
    <row r="266" spans="1:20" hidden="1" x14ac:dyDescent="0.3">
      <c r="A266" s="84">
        <v>265</v>
      </c>
      <c r="B266" s="6">
        <v>44405</v>
      </c>
      <c r="C266" s="85" t="s">
        <v>465</v>
      </c>
      <c r="D266" s="85" t="s">
        <v>466</v>
      </c>
      <c r="E266" s="16">
        <v>44405.660729166666</v>
      </c>
      <c r="F266" s="7">
        <v>44405.665011574078</v>
      </c>
      <c r="G266" s="14">
        <f t="shared" si="4"/>
        <v>4.28240741166519E-3</v>
      </c>
      <c r="H266" s="4" t="s">
        <v>35</v>
      </c>
      <c r="I266" s="4" t="s">
        <v>24</v>
      </c>
      <c r="J266" s="87" t="str">
        <f>IF(ISBLANK(C266),"",IF(C266=D266, "1 video",CONCATENATE((+COUNTIFS(Video_List!$C:$C,"&lt;=" &amp;Monitoring!F266)-COUNTIFS(Video_List!$C:$C,"&lt;=" &amp;Monitoring!E266))+1," videos")))</f>
        <v>3 videos</v>
      </c>
      <c r="K266" s="25" t="s">
        <v>23</v>
      </c>
      <c r="L266" s="40" t="s">
        <v>28</v>
      </c>
      <c r="M266" s="40" t="s">
        <v>32</v>
      </c>
      <c r="N266" s="40" t="s">
        <v>33</v>
      </c>
      <c r="O266" s="88" t="str">
        <f>+IFERROR(IF(P266="#N/C","#N/C",IF(Q266=0,INDEX(Taxonomy_UniqueValues!D:D,MATCH(Q266,Taxonomy_UniqueValues!F:F,0)),INDEX(Taxonomy_UniqueValues!D:D,MATCH(P266,Taxonomy_UniqueValues!E:E,0)))),"#N/C")</f>
        <v>Parasitica</v>
      </c>
      <c r="P266" s="40" t="s">
        <v>62</v>
      </c>
      <c r="Q266" s="40" t="s">
        <v>63</v>
      </c>
      <c r="R266" s="40" t="s">
        <v>202</v>
      </c>
      <c r="S266" s="40" t="s">
        <v>26</v>
      </c>
      <c r="T266" s="26" t="s">
        <v>26</v>
      </c>
    </row>
    <row r="267" spans="1:20" hidden="1" x14ac:dyDescent="0.3">
      <c r="A267" s="84">
        <v>266</v>
      </c>
      <c r="B267" s="6">
        <v>44405</v>
      </c>
      <c r="C267" s="85" t="s">
        <v>466</v>
      </c>
      <c r="D267" s="85" t="s">
        <v>466</v>
      </c>
      <c r="E267" s="16">
        <v>44405.665277777778</v>
      </c>
      <c r="F267" s="7">
        <v>44405.665347222224</v>
      </c>
      <c r="G267" s="14">
        <f t="shared" si="4"/>
        <v>6.9444446125999093E-5</v>
      </c>
      <c r="H267" s="4" t="s">
        <v>23</v>
      </c>
      <c r="I267" s="4" t="s">
        <v>24</v>
      </c>
      <c r="J267" s="87" t="str">
        <f>IF(ISBLANK(C267),"",IF(C267=D267, "1 video",CONCATENATE((+COUNTIFS(Video_List!$C:$C,"&lt;=" &amp;Monitoring!F267)-COUNTIFS(Video_List!$C:$C,"&lt;=" &amp;Monitoring!E267))+1," videos")))</f>
        <v>1 video</v>
      </c>
      <c r="K267" s="27" t="s">
        <v>35</v>
      </c>
      <c r="L267" s="40" t="s">
        <v>28</v>
      </c>
      <c r="M267" s="40" t="s">
        <v>29</v>
      </c>
      <c r="N267" s="40" t="s">
        <v>30</v>
      </c>
      <c r="O267" s="88" t="str">
        <f>+IFERROR(IF(P267="#N/C","#N/C",IF(Q267=0,INDEX(Taxonomy_UniqueValues!D:D,MATCH(Q267,Taxonomy_UniqueValues!F:F,0)),INDEX(Taxonomy_UniqueValues!D:D,MATCH(P267,Taxonomy_UniqueValues!E:E,0)))),"#N/C")</f>
        <v>#N/C</v>
      </c>
      <c r="P267" s="40" t="s">
        <v>26</v>
      </c>
      <c r="Q267" s="40" t="s">
        <v>26</v>
      </c>
      <c r="R267" s="40" t="s">
        <v>26</v>
      </c>
      <c r="S267" s="40" t="s">
        <v>26</v>
      </c>
      <c r="T267" s="26" t="s">
        <v>26</v>
      </c>
    </row>
    <row r="268" spans="1:20" hidden="1" x14ac:dyDescent="0.3">
      <c r="A268" s="84">
        <v>267</v>
      </c>
      <c r="B268" s="6">
        <v>44405</v>
      </c>
      <c r="C268" s="85" t="s">
        <v>467</v>
      </c>
      <c r="D268" s="85" t="s">
        <v>467</v>
      </c>
      <c r="E268" s="16">
        <v>44405.679293981484</v>
      </c>
      <c r="F268" s="7">
        <v>44405.682291666664</v>
      </c>
      <c r="G268" s="14">
        <f t="shared" si="4"/>
        <v>2.9976851801620796E-3</v>
      </c>
      <c r="H268" s="86" t="s">
        <v>35</v>
      </c>
      <c r="I268" s="86" t="s">
        <v>109</v>
      </c>
      <c r="J268" s="87" t="str">
        <f>IF(ISBLANK(C268),"",IF(C268=D268, "1 video",CONCATENATE((+COUNTIFS(Video_List!$C:$C,"&lt;=" &amp;Monitoring!F268)-COUNTIFS(Video_List!$C:$C,"&lt;=" &amp;Monitoring!E268))+1," videos")))</f>
        <v>1 video</v>
      </c>
      <c r="K268" s="27" t="s">
        <v>35</v>
      </c>
      <c r="L268" s="40" t="s">
        <v>28</v>
      </c>
      <c r="M268" s="40" t="s">
        <v>29</v>
      </c>
      <c r="N268" s="40" t="s">
        <v>30</v>
      </c>
      <c r="O268" s="88" t="str">
        <f>+IFERROR(IF(P268="#N/C","#N/C",IF(Q268=0,INDEX(Taxonomy_UniqueValues!D:D,MATCH(Q268,Taxonomy_UniqueValues!F:F,0)),INDEX(Taxonomy_UniqueValues!D:D,MATCH(P268,Taxonomy_UniqueValues!E:E,0)))),"#N/C")</f>
        <v>#N/C</v>
      </c>
      <c r="P268" s="40" t="s">
        <v>26</v>
      </c>
      <c r="Q268" s="40" t="s">
        <v>26</v>
      </c>
      <c r="R268" s="40" t="s">
        <v>26</v>
      </c>
      <c r="S268" s="40" t="s">
        <v>26</v>
      </c>
      <c r="T268" s="26" t="s">
        <v>26</v>
      </c>
    </row>
    <row r="269" spans="1:20" hidden="1" x14ac:dyDescent="0.3">
      <c r="A269" s="84">
        <v>268</v>
      </c>
      <c r="B269" s="6">
        <v>44405</v>
      </c>
      <c r="C269" s="85" t="s">
        <v>468</v>
      </c>
      <c r="D269" s="85" t="s">
        <v>468</v>
      </c>
      <c r="E269" s="16">
        <v>44405.687847222223</v>
      </c>
      <c r="F269" s="7">
        <v>44405.687905092593</v>
      </c>
      <c r="G269" s="14">
        <f t="shared" si="4"/>
        <v>5.7870369346346706E-5</v>
      </c>
      <c r="H269" s="4" t="s">
        <v>23</v>
      </c>
      <c r="I269" s="4" t="s">
        <v>24</v>
      </c>
      <c r="J269" s="87" t="str">
        <f>IF(ISBLANK(C269),"",IF(C269=D269, "1 video",CONCATENATE((+COUNTIFS(Video_List!$C:$C,"&lt;=" &amp;Monitoring!F269)-COUNTIFS(Video_List!$C:$C,"&lt;=" &amp;Monitoring!E269))+1," videos")))</f>
        <v>1 video</v>
      </c>
      <c r="K269" s="25" t="s">
        <v>23</v>
      </c>
      <c r="L269" s="40" t="s">
        <v>28</v>
      </c>
      <c r="M269" s="40" t="s">
        <v>29</v>
      </c>
      <c r="N269" s="40" t="s">
        <v>30</v>
      </c>
      <c r="O269" s="88" t="str">
        <f>+IFERROR(IF(P269="#N/C","#N/C",IF(Q269=0,INDEX(Taxonomy_UniqueValues!D:D,MATCH(Q269,Taxonomy_UniqueValues!F:F,0)),INDEX(Taxonomy_UniqueValues!D:D,MATCH(P269,Taxonomy_UniqueValues!E:E,0)))),"#N/C")</f>
        <v>Muscomorpha</v>
      </c>
      <c r="P269" s="40" t="s">
        <v>37</v>
      </c>
      <c r="Q269" s="40" t="s">
        <v>469</v>
      </c>
      <c r="R269" s="40" t="s">
        <v>26</v>
      </c>
      <c r="S269" s="40" t="s">
        <v>26</v>
      </c>
      <c r="T269" s="26" t="s">
        <v>26</v>
      </c>
    </row>
    <row r="270" spans="1:20" hidden="1" x14ac:dyDescent="0.3">
      <c r="A270" s="84">
        <v>269</v>
      </c>
      <c r="B270" s="6">
        <v>44405</v>
      </c>
      <c r="C270" s="85" t="s">
        <v>470</v>
      </c>
      <c r="D270" s="85" t="s">
        <v>470</v>
      </c>
      <c r="E270" s="16">
        <v>44405.709490740737</v>
      </c>
      <c r="F270" s="7">
        <v>44405.710613425923</v>
      </c>
      <c r="G270" s="14">
        <f t="shared" si="4"/>
        <v>1.1226851856918074E-3</v>
      </c>
      <c r="H270" s="4" t="s">
        <v>23</v>
      </c>
      <c r="I270" s="4" t="s">
        <v>24</v>
      </c>
      <c r="J270" s="87" t="str">
        <f>IF(ISBLANK(C270),"",IF(C270=D270, "1 video",CONCATENATE((+COUNTIFS(Video_List!$C:$C,"&lt;=" &amp;Monitoring!F270)-COUNTIFS(Video_List!$C:$C,"&lt;=" &amp;Monitoring!E270))+1," videos")))</f>
        <v>1 video</v>
      </c>
      <c r="K270" s="25" t="s">
        <v>23</v>
      </c>
      <c r="L270" s="40" t="s">
        <v>28</v>
      </c>
      <c r="M270" s="40" t="s">
        <v>29</v>
      </c>
      <c r="N270" s="40" t="s">
        <v>30</v>
      </c>
      <c r="O270" s="88" t="str">
        <f>+IFERROR(IF(P270="#N/C","#N/C",IF(Q270=0,INDEX(Taxonomy_UniqueValues!D:D,MATCH(Q270,Taxonomy_UniqueValues!F:F,0)),INDEX(Taxonomy_UniqueValues!D:D,MATCH(P270,Taxonomy_UniqueValues!E:E,0)))),"#N/C")</f>
        <v>Muscomorpha</v>
      </c>
      <c r="P270" s="40" t="s">
        <v>37</v>
      </c>
      <c r="Q270" s="40" t="s">
        <v>38</v>
      </c>
      <c r="R270" s="40" t="s">
        <v>39</v>
      </c>
      <c r="S270" s="40" t="s">
        <v>40</v>
      </c>
      <c r="T270" s="26" t="s">
        <v>26</v>
      </c>
    </row>
    <row r="271" spans="1:20" hidden="1" x14ac:dyDescent="0.3">
      <c r="A271" s="84">
        <v>270</v>
      </c>
      <c r="B271" s="6">
        <v>44405</v>
      </c>
      <c r="C271" s="85" t="s">
        <v>471</v>
      </c>
      <c r="D271" s="85" t="s">
        <v>471</v>
      </c>
      <c r="E271" s="16">
        <v>44405.71365740741</v>
      </c>
      <c r="F271" s="7">
        <v>44405.71365740741</v>
      </c>
      <c r="G271" s="14">
        <f t="shared" si="4"/>
        <v>0</v>
      </c>
      <c r="H271" s="86" t="s">
        <v>46</v>
      </c>
      <c r="I271" s="86" t="s">
        <v>46</v>
      </c>
      <c r="J271" s="87" t="str">
        <f>IF(ISBLANK(C271),"",IF(C271=D271, "1 video",CONCATENATE((+COUNTIFS(Video_List!$C:$C,"&lt;=" &amp;Monitoring!F271)-COUNTIFS(Video_List!$C:$C,"&lt;=" &amp;Monitoring!E271))+1," videos")))</f>
        <v>1 video</v>
      </c>
      <c r="K271" s="25" t="s">
        <v>23</v>
      </c>
      <c r="L271" s="40" t="s">
        <v>28</v>
      </c>
      <c r="M271" s="40" t="s">
        <v>67</v>
      </c>
      <c r="N271" s="40" t="s">
        <v>68</v>
      </c>
      <c r="O271" s="88" t="str">
        <f>+IFERROR(IF(P271="#N/C","#N/C",IF(Q271=0,INDEX(Taxonomy_UniqueValues!D:D,MATCH(Q271,Taxonomy_UniqueValues!F:F,0)),INDEX(Taxonomy_UniqueValues!D:D,MATCH(P271,Taxonomy_UniqueValues!E:E,0)))),"#N/C")</f>
        <v>Cucujiformia</v>
      </c>
      <c r="P271" s="40" t="s">
        <v>419</v>
      </c>
      <c r="Q271" s="40" t="s">
        <v>472</v>
      </c>
      <c r="R271" s="40" t="s">
        <v>473</v>
      </c>
      <c r="S271" s="40" t="s">
        <v>474</v>
      </c>
      <c r="T271" s="26" t="s">
        <v>26</v>
      </c>
    </row>
    <row r="272" spans="1:20" hidden="1" x14ac:dyDescent="0.3">
      <c r="A272" s="84">
        <v>271</v>
      </c>
      <c r="B272" s="6">
        <v>44406</v>
      </c>
      <c r="C272" s="85" t="s">
        <v>475</v>
      </c>
      <c r="D272" s="85" t="s">
        <v>475</v>
      </c>
      <c r="E272" s="16">
        <v>44406.750937500001</v>
      </c>
      <c r="F272" s="7">
        <v>44406.75099537037</v>
      </c>
      <c r="G272" s="14">
        <f t="shared" si="4"/>
        <v>5.7870369346346706E-5</v>
      </c>
      <c r="H272" s="86" t="s">
        <v>23</v>
      </c>
      <c r="I272" s="86" t="s">
        <v>24</v>
      </c>
      <c r="J272" s="87" t="str">
        <f>IF(ISBLANK(C272),"",IF(C272=D272, "1 video",CONCATENATE((+COUNTIFS(Video_List!$C:$C,"&lt;=" &amp;Monitoring!F272)-COUNTIFS(Video_List!$C:$C,"&lt;=" &amp;Monitoring!E272))+1," videos")))</f>
        <v>1 video</v>
      </c>
      <c r="K272" s="27" t="s">
        <v>35</v>
      </c>
      <c r="L272" s="40" t="s">
        <v>28</v>
      </c>
      <c r="M272" s="40" t="s">
        <v>29</v>
      </c>
      <c r="N272" s="40" t="s">
        <v>30</v>
      </c>
      <c r="O272" s="88" t="str">
        <f>+IFERROR(IF(P272="#N/C","#N/C",IF(Q272=0,INDEX(Taxonomy_UniqueValues!D:D,MATCH(Q272,Taxonomy_UniqueValues!F:F,0)),INDEX(Taxonomy_UniqueValues!D:D,MATCH(P272,Taxonomy_UniqueValues!E:E,0)))),"#N/C")</f>
        <v>#N/C</v>
      </c>
      <c r="P272" s="40" t="s">
        <v>26</v>
      </c>
      <c r="Q272" s="40" t="s">
        <v>26</v>
      </c>
      <c r="R272" s="40" t="s">
        <v>26</v>
      </c>
      <c r="S272" s="40" t="s">
        <v>26</v>
      </c>
      <c r="T272" s="26" t="s">
        <v>26</v>
      </c>
    </row>
    <row r="273" spans="1:20" hidden="1" x14ac:dyDescent="0.3">
      <c r="A273" s="84">
        <v>272</v>
      </c>
      <c r="B273" s="6">
        <v>44406</v>
      </c>
      <c r="C273" s="85" t="s">
        <v>476</v>
      </c>
      <c r="D273" s="85" t="s">
        <v>477</v>
      </c>
      <c r="E273" s="16">
        <v>44406.376435185186</v>
      </c>
      <c r="F273" s="7">
        <v>44406.383333333331</v>
      </c>
      <c r="G273" s="14">
        <f t="shared" si="4"/>
        <v>6.8981481454102322E-3</v>
      </c>
      <c r="H273" s="86" t="s">
        <v>35</v>
      </c>
      <c r="I273" s="86" t="s">
        <v>24</v>
      </c>
      <c r="J273" s="87" t="str">
        <f>IF(ISBLANK(C273),"",IF(C273=D273, "1 video",CONCATENATE((+COUNTIFS(Video_List!$C:$C,"&lt;=" &amp;Monitoring!F273)-COUNTIFS(Video_List!$C:$C,"&lt;=" &amp;Monitoring!E273))+1," videos")))</f>
        <v>2 videos</v>
      </c>
      <c r="K273" s="25" t="s">
        <v>23</v>
      </c>
      <c r="L273" s="40" t="s">
        <v>28</v>
      </c>
      <c r="M273" s="40" t="s">
        <v>114</v>
      </c>
      <c r="N273" s="40" t="s">
        <v>278</v>
      </c>
      <c r="O273" s="88" t="str">
        <f>+IFERROR(IF(P273="#N/C","#N/C",IF(Q273=0,INDEX(Taxonomy_UniqueValues!D:D,MATCH(Q273,Taxonomy_UniqueValues!F:F,0)),INDEX(Taxonomy_UniqueValues!D:D,MATCH(P273,Taxonomy_UniqueValues!E:E,0)))),"#N/C")</f>
        <v>Tettigoniidea</v>
      </c>
      <c r="P273" s="40" t="s">
        <v>279</v>
      </c>
      <c r="Q273" s="40" t="s">
        <v>280</v>
      </c>
      <c r="R273" s="3" t="s">
        <v>478</v>
      </c>
      <c r="S273" s="40" t="s">
        <v>479</v>
      </c>
      <c r="T273" s="26" t="s">
        <v>480</v>
      </c>
    </row>
    <row r="274" spans="1:20" hidden="1" x14ac:dyDescent="0.3">
      <c r="A274" s="84">
        <v>273</v>
      </c>
      <c r="B274" s="6">
        <v>44406</v>
      </c>
      <c r="C274" s="85" t="s">
        <v>481</v>
      </c>
      <c r="D274" s="85" t="s">
        <v>481</v>
      </c>
      <c r="E274" s="16">
        <v>44406.615636574075</v>
      </c>
      <c r="F274" s="7">
        <v>44406.615949074076</v>
      </c>
      <c r="G274" s="14">
        <f t="shared" si="4"/>
        <v>3.125000002910383E-4</v>
      </c>
      <c r="H274" s="4" t="s">
        <v>35</v>
      </c>
      <c r="I274" s="4" t="s">
        <v>24</v>
      </c>
      <c r="J274" s="87" t="str">
        <f>IF(ISBLANK(C274),"",IF(C274=D274, "1 video",CONCATENATE((+COUNTIFS(Video_List!$C:$C,"&lt;=" &amp;Monitoring!F274)-COUNTIFS(Video_List!$C:$C,"&lt;=" &amp;Monitoring!E274))+1," videos")))</f>
        <v>1 video</v>
      </c>
      <c r="K274" s="25" t="s">
        <v>23</v>
      </c>
      <c r="L274" s="105" t="str">
        <f>+IFERROR(IF(M274="#N/C","#N/C",INDEX(Taxonomy_UniqueValues!A:A,MATCH(M274,Taxonomy_UniqueValues!B:B,0))),"#N/C")</f>
        <v>Insecta</v>
      </c>
      <c r="M274" s="105" t="str">
        <f>+IFERROR(IF(N274="#N/C","#N/C",INDEX(Taxonomy_UniqueValues!B:B,MATCH(N274,Taxonomy_UniqueValues!C:C,0))),"#N/C")</f>
        <v>Hymenoptera</v>
      </c>
      <c r="N274" s="105" t="str">
        <f>+IFERROR(IF(O274="#N/C","#N/C",INDEX(Taxonomy_UniqueValues!C:C,MATCH(O274,Taxonomy_UniqueValues!D:D,0))),"#N/C")</f>
        <v>Apocrita</v>
      </c>
      <c r="O274" s="105" t="str">
        <f>+IFERROR(IF(P274="#N/C","#N/C",INDEX(Taxonomy_UniqueValues!D:D,MATCH(P274,Taxonomy_UniqueValues!E:E,0))),"#N/C")</f>
        <v>Aculeata</v>
      </c>
      <c r="P274" s="105" t="str">
        <f>+IFERROR(IF(Q274="#N/C","#N/C",INDEX(Taxonomy_UniqueValues!E:E,MATCH(Q274,Taxonomy_UniqueValues!F:F,0))),"#N/C")</f>
        <v>Formicoidea</v>
      </c>
      <c r="Q274" s="105" t="str">
        <f>+IFERROR(IF(R274="#N/C","#N/C",INDEX(Taxonomy_UniqueValues!F:F,MATCH(R274,Taxonomy_UniqueValues!G:G,0))),"#N/C")</f>
        <v>Formicidae</v>
      </c>
      <c r="R274" s="105" t="s">
        <v>112</v>
      </c>
      <c r="S274" s="40" t="s">
        <v>312</v>
      </c>
      <c r="T274" s="26" t="s">
        <v>26</v>
      </c>
    </row>
    <row r="275" spans="1:20" hidden="1" x14ac:dyDescent="0.3">
      <c r="A275" s="84">
        <v>274</v>
      </c>
      <c r="B275" s="6">
        <v>44406</v>
      </c>
      <c r="C275" s="85" t="s">
        <v>482</v>
      </c>
      <c r="D275" s="85" t="s">
        <v>482</v>
      </c>
      <c r="E275" s="16">
        <v>44406.691724537035</v>
      </c>
      <c r="F275" s="7">
        <v>44406.69190972222</v>
      </c>
      <c r="G275" s="14">
        <f t="shared" si="4"/>
        <v>1.8518518481869251E-4</v>
      </c>
      <c r="H275" s="86" t="s">
        <v>35</v>
      </c>
      <c r="I275" s="86" t="s">
        <v>109</v>
      </c>
      <c r="J275" s="87" t="str">
        <f>IF(ISBLANK(C275),"",IF(C275=D275, "1 video",CONCATENATE((+COUNTIFS(Video_List!$C:$C,"&lt;=" &amp;Monitoring!F275)-COUNTIFS(Video_List!$C:$C,"&lt;=" &amp;Monitoring!E275))+1," videos")))</f>
        <v>1 video</v>
      </c>
      <c r="K275" s="27" t="s">
        <v>35</v>
      </c>
      <c r="L275" s="40" t="s">
        <v>28</v>
      </c>
      <c r="M275" s="40" t="s">
        <v>114</v>
      </c>
      <c r="N275" s="40" t="s">
        <v>115</v>
      </c>
      <c r="O275" s="88" t="str">
        <f>+IFERROR(IF(P275="#N/C","#N/C",IF(Q275=0,INDEX(Taxonomy_UniqueValues!D:D,MATCH(Q275,Taxonomy_UniqueValues!F:F,0)),INDEX(Taxonomy_UniqueValues!D:D,MATCH(P275,Taxonomy_UniqueValues!E:E,0)))),"#N/C")</f>
        <v>Acrididea</v>
      </c>
      <c r="P275" s="40" t="s">
        <v>116</v>
      </c>
      <c r="Q275" s="40" t="s">
        <v>117</v>
      </c>
      <c r="R275" s="40" t="s">
        <v>164</v>
      </c>
      <c r="S275" s="40" t="s">
        <v>165</v>
      </c>
      <c r="T275" s="26" t="s">
        <v>483</v>
      </c>
    </row>
    <row r="276" spans="1:20" hidden="1" x14ac:dyDescent="0.3">
      <c r="A276" s="84">
        <v>275</v>
      </c>
      <c r="B276" s="6">
        <v>44406</v>
      </c>
      <c r="C276" s="85" t="s">
        <v>484</v>
      </c>
      <c r="D276" s="85" t="s">
        <v>484</v>
      </c>
      <c r="E276" s="16">
        <v>44406.692627314813</v>
      </c>
      <c r="F276" s="7">
        <v>44406.694594907407</v>
      </c>
      <c r="G276" s="14">
        <f t="shared" si="4"/>
        <v>1.9675925941555761E-3</v>
      </c>
      <c r="H276" s="86" t="s">
        <v>35</v>
      </c>
      <c r="I276" s="86" t="s">
        <v>24</v>
      </c>
      <c r="J276" s="87" t="str">
        <f>IF(ISBLANK(C276),"",IF(C276=D276, "1 video",CONCATENATE((+COUNTIFS(Video_List!$C:$C,"&lt;=" &amp;Monitoring!F276)-COUNTIFS(Video_List!$C:$C,"&lt;=" &amp;Monitoring!E276))+1," videos")))</f>
        <v>1 video</v>
      </c>
      <c r="K276" s="25" t="s">
        <v>23</v>
      </c>
      <c r="L276" s="40" t="s">
        <v>28</v>
      </c>
      <c r="M276" s="40" t="s">
        <v>114</v>
      </c>
      <c r="N276" s="40" t="s">
        <v>115</v>
      </c>
      <c r="O276" s="88" t="str">
        <f>+IFERROR(IF(P276="#N/C","#N/C",IF(Q276=0,INDEX(Taxonomy_UniqueValues!D:D,MATCH(Q276,Taxonomy_UniqueValues!F:F,0)),INDEX(Taxonomy_UniqueValues!D:D,MATCH(P276,Taxonomy_UniqueValues!E:E,0)))),"#N/C")</f>
        <v>Acrididea</v>
      </c>
      <c r="P276" s="40" t="s">
        <v>116</v>
      </c>
      <c r="Q276" s="40" t="s">
        <v>117</v>
      </c>
      <c r="R276" s="40" t="s">
        <v>164</v>
      </c>
      <c r="S276" s="40" t="s">
        <v>165</v>
      </c>
      <c r="T276" s="26" t="s">
        <v>483</v>
      </c>
    </row>
    <row r="277" spans="1:20" hidden="1" x14ac:dyDescent="0.3">
      <c r="A277" s="84">
        <v>276</v>
      </c>
      <c r="B277" s="6">
        <v>44406</v>
      </c>
      <c r="C277" s="85" t="s">
        <v>485</v>
      </c>
      <c r="D277" s="85" t="s">
        <v>485</v>
      </c>
      <c r="E277" s="16">
        <v>44406.721180555556</v>
      </c>
      <c r="F277" s="7">
        <v>44406.721296296295</v>
      </c>
      <c r="G277" s="14">
        <f t="shared" si="4"/>
        <v>1.1574073869269341E-4</v>
      </c>
      <c r="H277" s="4" t="s">
        <v>35</v>
      </c>
      <c r="I277" s="4" t="s">
        <v>24</v>
      </c>
      <c r="J277" s="87" t="str">
        <f>IF(ISBLANK(C277),"",IF(C277=D277, "1 video",CONCATENATE((+COUNTIFS(Video_List!$C:$C,"&lt;=" &amp;Monitoring!F277)-COUNTIFS(Video_List!$C:$C,"&lt;=" &amp;Monitoring!E277))+1," videos")))</f>
        <v>1 video</v>
      </c>
      <c r="K277" s="27" t="s">
        <v>35</v>
      </c>
      <c r="L277" s="40" t="s">
        <v>28</v>
      </c>
      <c r="M277" s="40" t="s">
        <v>29</v>
      </c>
      <c r="N277" s="40" t="s">
        <v>30</v>
      </c>
      <c r="O277" s="88" t="str">
        <f>+IFERROR(IF(P277="#N/C","#N/C",IF(Q277=0,INDEX(Taxonomy_UniqueValues!D:D,MATCH(Q277,Taxonomy_UniqueValues!F:F,0)),INDEX(Taxonomy_UniqueValues!D:D,MATCH(P277,Taxonomy_UniqueValues!E:E,0)))),"#N/C")</f>
        <v>Muscomorpha</v>
      </c>
      <c r="P277" s="40" t="s">
        <v>166</v>
      </c>
      <c r="Q277" s="40" t="s">
        <v>486</v>
      </c>
      <c r="R277" s="40" t="s">
        <v>487</v>
      </c>
      <c r="S277" s="40" t="s">
        <v>488</v>
      </c>
      <c r="T277" s="26" t="s">
        <v>489</v>
      </c>
    </row>
    <row r="278" spans="1:20" hidden="1" x14ac:dyDescent="0.3">
      <c r="A278" s="84">
        <v>277</v>
      </c>
      <c r="B278" s="6">
        <v>44406</v>
      </c>
      <c r="C278" s="85" t="s">
        <v>490</v>
      </c>
      <c r="D278" s="85" t="s">
        <v>490</v>
      </c>
      <c r="E278" s="16">
        <v>44406.725081018521</v>
      </c>
      <c r="F278" s="7">
        <v>44406.725694444445</v>
      </c>
      <c r="G278" s="14">
        <f t="shared" si="4"/>
        <v>6.1342592380242422E-4</v>
      </c>
      <c r="H278" s="4" t="s">
        <v>35</v>
      </c>
      <c r="I278" s="4" t="s">
        <v>24</v>
      </c>
      <c r="J278" s="87" t="str">
        <f>IF(ISBLANK(C278),"",IF(C278=D278, "1 video",CONCATENATE((+COUNTIFS(Video_List!$C:$C,"&lt;=" &amp;Monitoring!F278)-COUNTIFS(Video_List!$C:$C,"&lt;=" &amp;Monitoring!E278))+1," videos")))</f>
        <v>1 video</v>
      </c>
      <c r="K278" s="25" t="s">
        <v>23</v>
      </c>
      <c r="L278" s="40" t="s">
        <v>28</v>
      </c>
      <c r="M278" s="40" t="s">
        <v>29</v>
      </c>
      <c r="N278" s="40" t="s">
        <v>30</v>
      </c>
      <c r="O278" s="88" t="str">
        <f>+IFERROR(IF(P278="#N/C","#N/C",IF(Q278=0,INDEX(Taxonomy_UniqueValues!D:D,MATCH(Q278,Taxonomy_UniqueValues!F:F,0)),INDEX(Taxonomy_UniqueValues!D:D,MATCH(P278,Taxonomy_UniqueValues!E:E,0)))),"#N/C")</f>
        <v>Muscomorpha</v>
      </c>
      <c r="P278" s="40" t="s">
        <v>166</v>
      </c>
      <c r="Q278" s="40" t="s">
        <v>486</v>
      </c>
      <c r="R278" s="40" t="s">
        <v>487</v>
      </c>
      <c r="S278" s="40" t="s">
        <v>488</v>
      </c>
      <c r="T278" s="26" t="s">
        <v>489</v>
      </c>
    </row>
    <row r="279" spans="1:20" hidden="1" x14ac:dyDescent="0.3">
      <c r="A279" s="84">
        <v>278</v>
      </c>
      <c r="B279" s="6">
        <v>44406</v>
      </c>
      <c r="C279" s="85" t="s">
        <v>491</v>
      </c>
      <c r="D279" s="85" t="s">
        <v>491</v>
      </c>
      <c r="E279" s="16">
        <v>44406.751354166663</v>
      </c>
      <c r="F279" s="7">
        <v>44406.751875000002</v>
      </c>
      <c r="G279" s="14">
        <f t="shared" si="4"/>
        <v>5.2083333866903558E-4</v>
      </c>
      <c r="H279" s="86" t="s">
        <v>23</v>
      </c>
      <c r="I279" s="86" t="s">
        <v>24</v>
      </c>
      <c r="J279" s="87" t="str">
        <f>IF(ISBLANK(C279),"",IF(C279=D279, "1 video",CONCATENATE((+COUNTIFS(Video_List!$C:$C,"&lt;=" &amp;Monitoring!F279)-COUNTIFS(Video_List!$C:$C,"&lt;=" &amp;Monitoring!E279))+1," videos")))</f>
        <v>1 video</v>
      </c>
      <c r="K279" s="27" t="s">
        <v>35</v>
      </c>
      <c r="L279" s="40" t="s">
        <v>28</v>
      </c>
      <c r="M279" s="40" t="s">
        <v>29</v>
      </c>
      <c r="N279" s="40" t="s">
        <v>30</v>
      </c>
      <c r="O279" s="88" t="str">
        <f>+IFERROR(IF(P279="#N/C","#N/C",IF(Q279=0,INDEX(Taxonomy_UniqueValues!D:D,MATCH(Q279,Taxonomy_UniqueValues!F:F,0)),INDEX(Taxonomy_UniqueValues!D:D,MATCH(P279,Taxonomy_UniqueValues!E:E,0)))),"#N/C")</f>
        <v>#N/C</v>
      </c>
      <c r="P279" s="40" t="s">
        <v>26</v>
      </c>
      <c r="Q279" s="40" t="s">
        <v>26</v>
      </c>
      <c r="R279" s="40" t="s">
        <v>26</v>
      </c>
      <c r="S279" s="40" t="s">
        <v>26</v>
      </c>
      <c r="T279" s="26" t="s">
        <v>26</v>
      </c>
    </row>
    <row r="280" spans="1:20" hidden="1" x14ac:dyDescent="0.3">
      <c r="A280" s="84">
        <v>279</v>
      </c>
      <c r="B280" s="6">
        <v>44406</v>
      </c>
      <c r="C280" s="85" t="s">
        <v>492</v>
      </c>
      <c r="D280" s="85" t="s">
        <v>492</v>
      </c>
      <c r="E280" s="16">
        <v>44406.765196759261</v>
      </c>
      <c r="F280" s="7">
        <v>44406.76525462963</v>
      </c>
      <c r="G280" s="14">
        <f t="shared" si="4"/>
        <v>5.7870369346346706E-5</v>
      </c>
      <c r="H280" s="86" t="s">
        <v>23</v>
      </c>
      <c r="I280" s="86" t="s">
        <v>24</v>
      </c>
      <c r="J280" s="87" t="str">
        <f>IF(ISBLANK(C280),"",IF(C280=D280, "1 video",CONCATENATE((+COUNTIFS(Video_List!$C:$C,"&lt;=" &amp;Monitoring!F280)-COUNTIFS(Video_List!$C:$C,"&lt;=" &amp;Monitoring!E280))+1," videos")))</f>
        <v>1 video</v>
      </c>
      <c r="K280" s="27" t="s">
        <v>35</v>
      </c>
      <c r="L280" s="40" t="s">
        <v>28</v>
      </c>
      <c r="M280" s="40" t="s">
        <v>29</v>
      </c>
      <c r="N280" s="40" t="s">
        <v>30</v>
      </c>
      <c r="O280" s="88" t="str">
        <f>+IFERROR(IF(P280="#N/C","#N/C",IF(Q280=0,INDEX(Taxonomy_UniqueValues!D:D,MATCH(Q280,Taxonomy_UniqueValues!F:F,0)),INDEX(Taxonomy_UniqueValues!D:D,MATCH(P280,Taxonomy_UniqueValues!E:E,0)))),"#N/C")</f>
        <v>#N/C</v>
      </c>
      <c r="P280" s="40" t="s">
        <v>26</v>
      </c>
      <c r="Q280" s="40" t="s">
        <v>26</v>
      </c>
      <c r="R280" s="40" t="s">
        <v>26</v>
      </c>
      <c r="S280" s="40" t="s">
        <v>26</v>
      </c>
      <c r="T280" s="26" t="s">
        <v>26</v>
      </c>
    </row>
    <row r="281" spans="1:20" hidden="1" x14ac:dyDescent="0.3">
      <c r="A281" s="84">
        <v>280</v>
      </c>
      <c r="B281" s="6">
        <v>44406</v>
      </c>
      <c r="C281" s="85" t="s">
        <v>493</v>
      </c>
      <c r="D281" s="85" t="s">
        <v>493</v>
      </c>
      <c r="E281" s="16">
        <v>44406.781192129631</v>
      </c>
      <c r="F281" s="7">
        <v>44406.781238425923</v>
      </c>
      <c r="G281" s="14">
        <f t="shared" si="4"/>
        <v>4.6296292566694319E-5</v>
      </c>
      <c r="H281" s="86" t="s">
        <v>23</v>
      </c>
      <c r="I281" s="86" t="s">
        <v>24</v>
      </c>
      <c r="J281" s="87" t="str">
        <f>IF(ISBLANK(C281),"",IF(C281=D281, "1 video",CONCATENATE((+COUNTIFS(Video_List!$C:$C,"&lt;=" &amp;Monitoring!F281)-COUNTIFS(Video_List!$C:$C,"&lt;=" &amp;Monitoring!E281))+1," videos")))</f>
        <v>1 video</v>
      </c>
      <c r="K281" s="27" t="s">
        <v>35</v>
      </c>
      <c r="L281" s="40" t="s">
        <v>28</v>
      </c>
      <c r="M281" s="40" t="s">
        <v>29</v>
      </c>
      <c r="N281" s="40" t="s">
        <v>30</v>
      </c>
      <c r="O281" s="88" t="str">
        <f>+IFERROR(IF(P281="#N/C","#N/C",IF(Q281=0,INDEX(Taxonomy_UniqueValues!D:D,MATCH(Q281,Taxonomy_UniqueValues!F:F,0)),INDEX(Taxonomy_UniqueValues!D:D,MATCH(P281,Taxonomy_UniqueValues!E:E,0)))),"#N/C")</f>
        <v>#N/C</v>
      </c>
      <c r="P281" s="40" t="s">
        <v>26</v>
      </c>
      <c r="Q281" s="40" t="s">
        <v>26</v>
      </c>
      <c r="R281" s="40" t="s">
        <v>26</v>
      </c>
      <c r="S281" s="40" t="s">
        <v>26</v>
      </c>
      <c r="T281" s="26" t="s">
        <v>26</v>
      </c>
    </row>
    <row r="282" spans="1:20" hidden="1" x14ac:dyDescent="0.3">
      <c r="A282" s="84">
        <v>281</v>
      </c>
      <c r="B282" s="6">
        <v>44406</v>
      </c>
      <c r="C282" s="85" t="s">
        <v>494</v>
      </c>
      <c r="D282" s="85" t="s">
        <v>494</v>
      </c>
      <c r="E282" s="16">
        <v>44406.783993055556</v>
      </c>
      <c r="F282" s="7">
        <v>44406.784178240741</v>
      </c>
      <c r="G282" s="14">
        <f t="shared" si="4"/>
        <v>1.8518518481869251E-4</v>
      </c>
      <c r="H282" s="4" t="s">
        <v>23</v>
      </c>
      <c r="I282" s="4" t="s">
        <v>24</v>
      </c>
      <c r="J282" s="87" t="str">
        <f>IF(ISBLANK(C282),"",IF(C282=D282, "1 video",CONCATENATE((+COUNTIFS(Video_List!$C:$C,"&lt;=" &amp;Monitoring!F282)-COUNTIFS(Video_List!$C:$C,"&lt;=" &amp;Monitoring!E282))+1," videos")))</f>
        <v>1 video</v>
      </c>
      <c r="K282" s="25" t="s">
        <v>23</v>
      </c>
      <c r="L282" s="40" t="s">
        <v>28</v>
      </c>
      <c r="M282" s="40" t="s">
        <v>32</v>
      </c>
      <c r="N282" s="40" t="s">
        <v>33</v>
      </c>
      <c r="O282" s="88" t="str">
        <f>+IFERROR(IF(P282="#N/C","#N/C",IF(Q282=0,INDEX(Taxonomy_UniqueValues!D:D,MATCH(Q282,Taxonomy_UniqueValues!F:F,0)),INDEX(Taxonomy_UniqueValues!D:D,MATCH(P282,Taxonomy_UniqueValues!E:E,0)))),"#N/C")</f>
        <v>Parasitica</v>
      </c>
      <c r="P282" s="40" t="s">
        <v>62</v>
      </c>
      <c r="Q282" s="40" t="s">
        <v>63</v>
      </c>
      <c r="R282" s="40" t="s">
        <v>76</v>
      </c>
      <c r="S282" s="40" t="s">
        <v>77</v>
      </c>
      <c r="T282" s="26" t="s">
        <v>26</v>
      </c>
    </row>
    <row r="283" spans="1:20" hidden="1" x14ac:dyDescent="0.3">
      <c r="A283" s="84">
        <v>282</v>
      </c>
      <c r="B283" s="6">
        <v>44406</v>
      </c>
      <c r="C283" s="85" t="s">
        <v>495</v>
      </c>
      <c r="D283" s="85" t="s">
        <v>495</v>
      </c>
      <c r="E283" s="16">
        <v>44406.785532407404</v>
      </c>
      <c r="F283" s="7">
        <v>44406.785613425927</v>
      </c>
      <c r="G283" s="14">
        <f t="shared" si="4"/>
        <v>8.101852290565148E-5</v>
      </c>
      <c r="H283" s="4" t="s">
        <v>23</v>
      </c>
      <c r="I283" s="4" t="s">
        <v>24</v>
      </c>
      <c r="J283" s="87" t="str">
        <f>IF(ISBLANK(C283),"",IF(C283=D283, "1 video",CONCATENATE((+COUNTIFS(Video_List!$C:$C,"&lt;=" &amp;Monitoring!F283)-COUNTIFS(Video_List!$C:$C,"&lt;=" &amp;Monitoring!E283))+1," videos")))</f>
        <v>1 video</v>
      </c>
      <c r="K283" s="27" t="s">
        <v>35</v>
      </c>
      <c r="L283" s="40" t="s">
        <v>28</v>
      </c>
      <c r="M283" s="40" t="s">
        <v>29</v>
      </c>
      <c r="N283" s="40" t="s">
        <v>30</v>
      </c>
      <c r="O283" s="88" t="str">
        <f>+IFERROR(IF(P283="#N/C","#N/C",IF(Q283=0,INDEX(Taxonomy_UniqueValues!D:D,MATCH(Q283,Taxonomy_UniqueValues!F:F,0)),INDEX(Taxonomy_UniqueValues!D:D,MATCH(P283,Taxonomy_UniqueValues!E:E,0)))),"#N/C")</f>
        <v>#N/C</v>
      </c>
      <c r="P283" s="40" t="s">
        <v>26</v>
      </c>
      <c r="Q283" s="40" t="s">
        <v>26</v>
      </c>
      <c r="R283" s="40" t="s">
        <v>26</v>
      </c>
      <c r="S283" s="40" t="s">
        <v>26</v>
      </c>
      <c r="T283" s="26" t="s">
        <v>26</v>
      </c>
    </row>
    <row r="284" spans="1:20" hidden="1" x14ac:dyDescent="0.3">
      <c r="A284" s="84">
        <v>283</v>
      </c>
      <c r="B284" s="6">
        <v>44407</v>
      </c>
      <c r="C284" s="85" t="s">
        <v>496</v>
      </c>
      <c r="D284" s="85" t="s">
        <v>496</v>
      </c>
      <c r="E284" s="16">
        <v>44407.399386574078</v>
      </c>
      <c r="F284" s="7">
        <v>44407.407743055555</v>
      </c>
      <c r="G284" s="14">
        <f t="shared" si="4"/>
        <v>8.3564814776764251E-3</v>
      </c>
      <c r="H284" s="86" t="s">
        <v>35</v>
      </c>
      <c r="I284" s="86" t="s">
        <v>24</v>
      </c>
      <c r="J284" s="87" t="str">
        <f>IF(ISBLANK(C284),"",IF(C284=D284, "1 video",CONCATENATE((+COUNTIFS(Video_List!$C:$C,"&lt;=" &amp;Monitoring!F284)-COUNTIFS(Video_List!$C:$C,"&lt;=" &amp;Monitoring!E284))+1," videos")))</f>
        <v>1 video</v>
      </c>
      <c r="K284" s="27" t="s">
        <v>35</v>
      </c>
      <c r="L284" s="105" t="str">
        <f>+IFERROR(IF(M284="#N/C","#N/C",INDEX(Taxonomy_UniqueValues!A:A,MATCH(M284,Taxonomy_UniqueValues!B:B,0))),"#N/C")</f>
        <v>Insecta</v>
      </c>
      <c r="M284" s="105" t="str">
        <f>+IFERROR(IF(N284="#N/C","#N/C",INDEX(Taxonomy_UniqueValues!B:B,MATCH(N284,Taxonomy_UniqueValues!C:C,0))),"#N/C")</f>
        <v>Hymenoptera</v>
      </c>
      <c r="N284" s="105" t="str">
        <f>+IFERROR(IF(O284="#N/C","#N/C",INDEX(Taxonomy_UniqueValues!C:C,MATCH(O284,Taxonomy_UniqueValues!D:D,0))),"#N/C")</f>
        <v>Apocrita</v>
      </c>
      <c r="O284" s="105" t="str">
        <f>+IFERROR(IF(P284="#N/C","#N/C",INDEX(Taxonomy_UniqueValues!D:D,MATCH(P284,Taxonomy_UniqueValues!E:E,0))),"#N/C")</f>
        <v>Aculeata</v>
      </c>
      <c r="P284" s="105" t="str">
        <f>+IFERROR(IF(Q284="#N/C","#N/C",INDEX(Taxonomy_UniqueValues!E:E,MATCH(Q284,Taxonomy_UniqueValues!F:F,0))),"#N/C")</f>
        <v>Formicoidea</v>
      </c>
      <c r="Q284" s="105" t="str">
        <f>+IFERROR(IF(R284="#N/C","#N/C",INDEX(Taxonomy_UniqueValues!F:F,MATCH(R284,Taxonomy_UniqueValues!G:G,0))),"#N/C")</f>
        <v>Formicidae</v>
      </c>
      <c r="R284" s="105" t="s">
        <v>112</v>
      </c>
      <c r="S284" s="40" t="s">
        <v>26</v>
      </c>
      <c r="T284" s="26" t="s">
        <v>26</v>
      </c>
    </row>
    <row r="285" spans="1:20" hidden="1" x14ac:dyDescent="0.3">
      <c r="A285" s="84">
        <v>284</v>
      </c>
      <c r="B285" s="6">
        <v>44407</v>
      </c>
      <c r="C285" s="85" t="s">
        <v>497</v>
      </c>
      <c r="D285" s="85" t="s">
        <v>497</v>
      </c>
      <c r="E285" s="16">
        <v>44407.476412037038</v>
      </c>
      <c r="F285" s="7">
        <v>44407.476446759261</v>
      </c>
      <c r="G285" s="14">
        <f t="shared" si="4"/>
        <v>3.4722223062999547E-5</v>
      </c>
      <c r="H285" s="86" t="s">
        <v>23</v>
      </c>
      <c r="I285" s="86" t="s">
        <v>24</v>
      </c>
      <c r="J285" s="87" t="str">
        <f>IF(ISBLANK(C285),"",IF(C285=D285, "1 video",CONCATENATE((+COUNTIFS(Video_List!$C:$C,"&lt;=" &amp;Monitoring!F285)-COUNTIFS(Video_List!$C:$C,"&lt;=" &amp;Monitoring!E285))+1," videos")))</f>
        <v>1 video</v>
      </c>
      <c r="K285" s="27" t="s">
        <v>35</v>
      </c>
      <c r="L285" s="40" t="s">
        <v>28</v>
      </c>
      <c r="M285" s="40" t="s">
        <v>29</v>
      </c>
      <c r="N285" s="40" t="s">
        <v>30</v>
      </c>
      <c r="O285" s="88" t="str">
        <f>+IFERROR(IF(P285="#N/C","#N/C",IF(Q285=0,INDEX(Taxonomy_UniqueValues!D:D,MATCH(Q285,Taxonomy_UniqueValues!F:F,0)),INDEX(Taxonomy_UniqueValues!D:D,MATCH(P285,Taxonomy_UniqueValues!E:E,0)))),"#N/C")</f>
        <v>#N/C</v>
      </c>
      <c r="P285" s="40" t="s">
        <v>26</v>
      </c>
      <c r="Q285" s="40" t="s">
        <v>26</v>
      </c>
      <c r="R285" s="40" t="s">
        <v>26</v>
      </c>
      <c r="S285" s="40" t="s">
        <v>26</v>
      </c>
      <c r="T285" s="26" t="s">
        <v>26</v>
      </c>
    </row>
    <row r="286" spans="1:20" hidden="1" x14ac:dyDescent="0.3">
      <c r="A286" s="84">
        <v>285</v>
      </c>
      <c r="B286" s="6">
        <v>44407</v>
      </c>
      <c r="C286" s="85" t="s">
        <v>498</v>
      </c>
      <c r="D286" s="85" t="s">
        <v>498</v>
      </c>
      <c r="E286" s="16">
        <v>44407.515277777777</v>
      </c>
      <c r="F286" s="7">
        <v>44407.515567129631</v>
      </c>
      <c r="G286" s="14">
        <f t="shared" si="4"/>
        <v>2.8935185400769114E-4</v>
      </c>
      <c r="H286" s="4" t="s">
        <v>35</v>
      </c>
      <c r="I286" s="4" t="s">
        <v>24</v>
      </c>
      <c r="J286" s="87" t="str">
        <f>IF(ISBLANK(C286),"",IF(C286=D286, "1 video",CONCATENATE((+COUNTIFS(Video_List!$C:$C,"&lt;=" &amp;Monitoring!F286)-COUNTIFS(Video_List!$C:$C,"&lt;=" &amp;Monitoring!E286))+1," videos")))</f>
        <v>1 video</v>
      </c>
      <c r="K286" s="25" t="s">
        <v>23</v>
      </c>
      <c r="L286" s="40" t="s">
        <v>28</v>
      </c>
      <c r="M286" s="40" t="s">
        <v>114</v>
      </c>
      <c r="N286" s="40" t="s">
        <v>278</v>
      </c>
      <c r="O286" s="88" t="str">
        <f>+IFERROR(IF(P286="#N/C","#N/C",IF(Q286=0,INDEX(Taxonomy_UniqueValues!D:D,MATCH(Q286,Taxonomy_UniqueValues!F:F,0)),INDEX(Taxonomy_UniqueValues!D:D,MATCH(P286,Taxonomy_UniqueValues!E:E,0)))),"#N/C")</f>
        <v>Tettigoniidea</v>
      </c>
      <c r="P286" s="40" t="s">
        <v>279</v>
      </c>
      <c r="Q286" s="40" t="s">
        <v>280</v>
      </c>
      <c r="R286" s="40" t="s">
        <v>478</v>
      </c>
      <c r="S286" s="40" t="s">
        <v>479</v>
      </c>
      <c r="T286" s="26" t="s">
        <v>480</v>
      </c>
    </row>
    <row r="287" spans="1:20" hidden="1" x14ac:dyDescent="0.3">
      <c r="A287" s="84">
        <v>286</v>
      </c>
      <c r="B287" s="6">
        <v>44407</v>
      </c>
      <c r="C287" s="85" t="s">
        <v>499</v>
      </c>
      <c r="D287" s="85" t="s">
        <v>499</v>
      </c>
      <c r="E287" s="16">
        <v>44407.518043981479</v>
      </c>
      <c r="F287" s="7">
        <v>44407.519166666665</v>
      </c>
      <c r="G287" s="14">
        <f t="shared" si="4"/>
        <v>1.1226851856918074E-3</v>
      </c>
      <c r="H287" s="86" t="s">
        <v>35</v>
      </c>
      <c r="I287" s="86" t="s">
        <v>24</v>
      </c>
      <c r="J287" s="87" t="str">
        <f>IF(ISBLANK(C287),"",IF(C287=D287, "1 video",CONCATENATE((+COUNTIFS(Video_List!$C:$C,"&lt;=" &amp;Monitoring!F287)-COUNTIFS(Video_List!$C:$C,"&lt;=" &amp;Monitoring!E287))+1," videos")))</f>
        <v>1 video</v>
      </c>
      <c r="K287" s="27" t="s">
        <v>35</v>
      </c>
      <c r="L287" s="40" t="s">
        <v>28</v>
      </c>
      <c r="M287" s="40" t="s">
        <v>114</v>
      </c>
      <c r="N287" s="40" t="s">
        <v>278</v>
      </c>
      <c r="O287" s="88" t="str">
        <f>+IFERROR(IF(P287="#N/C","#N/C",IF(Q287=0,INDEX(Taxonomy_UniqueValues!D:D,MATCH(Q287,Taxonomy_UniqueValues!F:F,0)),INDEX(Taxonomy_UniqueValues!D:D,MATCH(P287,Taxonomy_UniqueValues!E:E,0)))),"#N/C")</f>
        <v>Tettigoniidea</v>
      </c>
      <c r="P287" s="40" t="s">
        <v>279</v>
      </c>
      <c r="Q287" s="40" t="s">
        <v>280</v>
      </c>
      <c r="R287" s="40" t="s">
        <v>478</v>
      </c>
      <c r="S287" s="40" t="s">
        <v>479</v>
      </c>
      <c r="T287" s="26" t="s">
        <v>480</v>
      </c>
    </row>
    <row r="288" spans="1:20" hidden="1" x14ac:dyDescent="0.3">
      <c r="A288" s="84">
        <v>287</v>
      </c>
      <c r="B288" s="6">
        <v>44407</v>
      </c>
      <c r="C288" s="85" t="s">
        <v>500</v>
      </c>
      <c r="D288" s="85" t="s">
        <v>500</v>
      </c>
      <c r="E288" s="16">
        <v>44407.634606481479</v>
      </c>
      <c r="F288" s="7">
        <v>44407.634722222225</v>
      </c>
      <c r="G288" s="14">
        <f t="shared" si="4"/>
        <v>1.1574074596865103E-4</v>
      </c>
      <c r="H288" s="4" t="s">
        <v>23</v>
      </c>
      <c r="I288" s="4" t="s">
        <v>24</v>
      </c>
      <c r="J288" s="87" t="str">
        <f>IF(ISBLANK(C288),"",IF(C288=D288, "1 video",CONCATENATE((+COUNTIFS(Video_List!$C:$C,"&lt;=" &amp;Monitoring!F288)-COUNTIFS(Video_List!$C:$C,"&lt;=" &amp;Monitoring!E288))+1," videos")))</f>
        <v>1 video</v>
      </c>
      <c r="K288" s="25" t="s">
        <v>23</v>
      </c>
      <c r="L288" s="40" t="s">
        <v>28</v>
      </c>
      <c r="M288" s="40" t="s">
        <v>32</v>
      </c>
      <c r="N288" s="40" t="s">
        <v>33</v>
      </c>
      <c r="O288" s="88" t="str">
        <f>+IFERROR(IF(P288="#N/C","#N/C",IF(Q288=0,INDEX(Taxonomy_UniqueValues!D:D,MATCH(Q288,Taxonomy_UniqueValues!F:F,0)),INDEX(Taxonomy_UniqueValues!D:D,MATCH(P288,Taxonomy_UniqueValues!E:E,0)))),"#N/C")</f>
        <v>Parasitica</v>
      </c>
      <c r="P288" s="40" t="s">
        <v>62</v>
      </c>
      <c r="Q288" s="40" t="s">
        <v>26</v>
      </c>
      <c r="R288" s="40" t="s">
        <v>26</v>
      </c>
      <c r="S288" s="40" t="s">
        <v>26</v>
      </c>
      <c r="T288" s="26" t="s">
        <v>26</v>
      </c>
    </row>
    <row r="289" spans="1:20" hidden="1" x14ac:dyDescent="0.3">
      <c r="A289" s="84">
        <v>288</v>
      </c>
      <c r="B289" s="6">
        <v>44407</v>
      </c>
      <c r="C289" s="85" t="s">
        <v>501</v>
      </c>
      <c r="D289" s="85" t="s">
        <v>501</v>
      </c>
      <c r="E289" s="16">
        <v>44407.635775462964</v>
      </c>
      <c r="F289" s="7">
        <v>44407.637754629628</v>
      </c>
      <c r="G289" s="14">
        <f t="shared" si="4"/>
        <v>1.9791666636592709E-3</v>
      </c>
      <c r="H289" s="86" t="s">
        <v>35</v>
      </c>
      <c r="I289" s="86" t="s">
        <v>109</v>
      </c>
      <c r="J289" s="87" t="str">
        <f>IF(ISBLANK(C289),"",IF(C289=D289, "1 video",CONCATENATE((+COUNTIFS(Video_List!$C:$C,"&lt;=" &amp;Monitoring!F289)-COUNTIFS(Video_List!$C:$C,"&lt;=" &amp;Monitoring!E289))+1," videos")))</f>
        <v>1 video</v>
      </c>
      <c r="K289" s="25" t="s">
        <v>23</v>
      </c>
      <c r="L289" s="40" t="s">
        <v>28</v>
      </c>
      <c r="M289" s="40" t="s">
        <v>67</v>
      </c>
      <c r="N289" s="40" t="s">
        <v>68</v>
      </c>
      <c r="O289" s="88" t="str">
        <f>+IFERROR(IF(P289="#N/C","#N/C",IF(Q289=0,INDEX(Taxonomy_UniqueValues!D:D,MATCH(Q289,Taxonomy_UniqueValues!F:F,0)),INDEX(Taxonomy_UniqueValues!D:D,MATCH(P289,Taxonomy_UniqueValues!E:E,0)))),"#N/C")</f>
        <v>Cucujiformia</v>
      </c>
      <c r="P289" s="40" t="s">
        <v>69</v>
      </c>
      <c r="Q289" s="40" t="s">
        <v>70</v>
      </c>
      <c r="R289" s="40" t="s">
        <v>71</v>
      </c>
      <c r="S289" s="40" t="s">
        <v>72</v>
      </c>
      <c r="T289" s="26" t="s">
        <v>73</v>
      </c>
    </row>
    <row r="290" spans="1:20" hidden="1" x14ac:dyDescent="0.3">
      <c r="A290" s="84">
        <v>289</v>
      </c>
      <c r="B290" s="6">
        <v>44407</v>
      </c>
      <c r="C290" s="85" t="s">
        <v>502</v>
      </c>
      <c r="D290" s="85" t="s">
        <v>502</v>
      </c>
      <c r="E290" s="16">
        <v>44407.663263888891</v>
      </c>
      <c r="F290" s="7">
        <v>44407.663402777776</v>
      </c>
      <c r="G290" s="14">
        <f t="shared" si="4"/>
        <v>1.3888888497604057E-4</v>
      </c>
      <c r="H290" s="86" t="s">
        <v>46</v>
      </c>
      <c r="I290" s="86" t="s">
        <v>46</v>
      </c>
      <c r="J290" s="87" t="str">
        <f>IF(ISBLANK(C290),"",IF(C290=D290, "1 video",CONCATENATE((+COUNTIFS(Video_List!$C:$C,"&lt;=" &amp;Monitoring!F290)-COUNTIFS(Video_List!$C:$C,"&lt;=" &amp;Monitoring!E290))+1," videos")))</f>
        <v>1 video</v>
      </c>
      <c r="K290" s="27" t="s">
        <v>35</v>
      </c>
      <c r="L290" s="40" t="s">
        <v>28</v>
      </c>
      <c r="M290" s="40" t="s">
        <v>67</v>
      </c>
      <c r="N290" s="40" t="s">
        <v>68</v>
      </c>
      <c r="O290" s="88" t="str">
        <f>+IFERROR(IF(P290="#N/C","#N/C",IF(Q290=0,INDEX(Taxonomy_UniqueValues!D:D,MATCH(Q290,Taxonomy_UniqueValues!F:F,0)),INDEX(Taxonomy_UniqueValues!D:D,MATCH(P290,Taxonomy_UniqueValues!E:E,0)))),"#N/C")</f>
        <v>Cucujiformia</v>
      </c>
      <c r="P290" s="40" t="s">
        <v>69</v>
      </c>
      <c r="Q290" s="40" t="s">
        <v>70</v>
      </c>
      <c r="R290" s="40" t="s">
        <v>71</v>
      </c>
      <c r="S290" s="40" t="s">
        <v>72</v>
      </c>
      <c r="T290" s="26" t="s">
        <v>73</v>
      </c>
    </row>
    <row r="291" spans="1:20" hidden="1" x14ac:dyDescent="0.3">
      <c r="A291" s="84">
        <v>290</v>
      </c>
      <c r="B291" s="6">
        <v>44407</v>
      </c>
      <c r="C291" s="85" t="s">
        <v>503</v>
      </c>
      <c r="D291" s="85" t="s">
        <v>503</v>
      </c>
      <c r="E291" s="16">
        <v>44407.639201388891</v>
      </c>
      <c r="F291" s="7">
        <v>44407.639363425929</v>
      </c>
      <c r="G291" s="14">
        <f t="shared" si="4"/>
        <v>1.6203703853534535E-4</v>
      </c>
      <c r="H291" s="4" t="s">
        <v>35</v>
      </c>
      <c r="I291" s="4" t="s">
        <v>24</v>
      </c>
      <c r="J291" s="87" t="str">
        <f>IF(ISBLANK(C291),"",IF(C291=D291, "1 video",CONCATENATE((+COUNTIFS(Video_List!$C:$C,"&lt;=" &amp;Monitoring!F291)-COUNTIFS(Video_List!$C:$C,"&lt;=" &amp;Monitoring!E291))+1," videos")))</f>
        <v>1 video</v>
      </c>
      <c r="K291" s="25" t="s">
        <v>23</v>
      </c>
      <c r="L291" s="40" t="s">
        <v>28</v>
      </c>
      <c r="M291" s="40" t="s">
        <v>114</v>
      </c>
      <c r="N291" s="40" t="s">
        <v>115</v>
      </c>
      <c r="O291" s="88" t="str">
        <f>+IFERROR(IF(P291="#N/C","#N/C",IF(Q291=0,INDEX(Taxonomy_UniqueValues!D:D,MATCH(Q291,Taxonomy_UniqueValues!F:F,0)),INDEX(Taxonomy_UniqueValues!D:D,MATCH(P291,Taxonomy_UniqueValues!E:E,0)))),"#N/C")</f>
        <v>Acrididea</v>
      </c>
      <c r="P291" s="40" t="s">
        <v>116</v>
      </c>
      <c r="Q291" s="40" t="s">
        <v>117</v>
      </c>
      <c r="R291" s="40" t="s">
        <v>164</v>
      </c>
      <c r="S291" s="40" t="s">
        <v>165</v>
      </c>
      <c r="T291" s="26" t="s">
        <v>26</v>
      </c>
    </row>
    <row r="292" spans="1:20" hidden="1" x14ac:dyDescent="0.3">
      <c r="A292" s="84">
        <v>291</v>
      </c>
      <c r="B292" s="6">
        <v>44407</v>
      </c>
      <c r="C292" s="85" t="s">
        <v>504</v>
      </c>
      <c r="D292" s="85" t="s">
        <v>504</v>
      </c>
      <c r="E292" s="16">
        <v>44407.71533564815</v>
      </c>
      <c r="F292" s="7">
        <v>44407.715381944443</v>
      </c>
      <c r="G292" s="14">
        <f t="shared" si="4"/>
        <v>4.6296292566694319E-5</v>
      </c>
      <c r="H292" s="86" t="s">
        <v>23</v>
      </c>
      <c r="I292" s="86" t="s">
        <v>24</v>
      </c>
      <c r="J292" s="87" t="str">
        <f>IF(ISBLANK(C292),"",IF(C292=D292, "1 video",CONCATENATE((+COUNTIFS(Video_List!$C:$C,"&lt;=" &amp;Monitoring!F292)-COUNTIFS(Video_List!$C:$C,"&lt;=" &amp;Monitoring!E292))+1," videos")))</f>
        <v>1 video</v>
      </c>
      <c r="K292" s="27" t="s">
        <v>35</v>
      </c>
      <c r="L292" s="40" t="s">
        <v>28</v>
      </c>
      <c r="M292" s="40" t="s">
        <v>29</v>
      </c>
      <c r="N292" s="40" t="s">
        <v>30</v>
      </c>
      <c r="O292" s="88" t="str">
        <f>+IFERROR(IF(P292="#N/C","#N/C",IF(Q292=0,INDEX(Taxonomy_UniqueValues!D:D,MATCH(Q292,Taxonomy_UniqueValues!F:F,0)),INDEX(Taxonomy_UniqueValues!D:D,MATCH(P292,Taxonomy_UniqueValues!E:E,0)))),"#N/C")</f>
        <v>#N/C</v>
      </c>
      <c r="P292" s="40" t="s">
        <v>26</v>
      </c>
      <c r="Q292" s="40" t="s">
        <v>26</v>
      </c>
      <c r="R292" s="40" t="s">
        <v>26</v>
      </c>
      <c r="S292" s="40" t="s">
        <v>26</v>
      </c>
      <c r="T292" s="26" t="s">
        <v>26</v>
      </c>
    </row>
    <row r="293" spans="1:20" hidden="1" x14ac:dyDescent="0.3">
      <c r="A293" s="84">
        <v>292</v>
      </c>
      <c r="B293" s="6">
        <v>44407</v>
      </c>
      <c r="C293" s="85" t="s">
        <v>505</v>
      </c>
      <c r="D293" s="85" t="s">
        <v>505</v>
      </c>
      <c r="E293" s="16">
        <v>44407.716157407405</v>
      </c>
      <c r="F293" s="7">
        <v>44407.716203703705</v>
      </c>
      <c r="G293" s="14">
        <f t="shared" si="4"/>
        <v>4.6296299842651933E-5</v>
      </c>
      <c r="H293" s="4" t="s">
        <v>23</v>
      </c>
      <c r="I293" s="4" t="s">
        <v>24</v>
      </c>
      <c r="J293" s="87" t="str">
        <f>IF(ISBLANK(C293),"",IF(C293=D293, "1 video",CONCATENATE((+COUNTIFS(Video_List!$C:$C,"&lt;=" &amp;Monitoring!F293)-COUNTIFS(Video_List!$C:$C,"&lt;=" &amp;Monitoring!E293))+1," videos")))</f>
        <v>1 video</v>
      </c>
      <c r="K293" s="25" t="s">
        <v>23</v>
      </c>
      <c r="L293" s="40" t="s">
        <v>28</v>
      </c>
      <c r="M293" s="40" t="s">
        <v>29</v>
      </c>
      <c r="N293" s="40" t="s">
        <v>26</v>
      </c>
      <c r="O293" s="88" t="str">
        <f>+IFERROR(IF(P293="#N/C","#N/C",IF(Q293=0,INDEX(Taxonomy_UniqueValues!D:D,MATCH(Q293,Taxonomy_UniqueValues!F:F,0)),INDEX(Taxonomy_UniqueValues!D:D,MATCH(P293,Taxonomy_UniqueValues!E:E,0)))),"#N/C")</f>
        <v>#N/C</v>
      </c>
      <c r="P293" s="40" t="s">
        <v>26</v>
      </c>
      <c r="Q293" s="40" t="s">
        <v>26</v>
      </c>
      <c r="R293" s="40" t="s">
        <v>26</v>
      </c>
      <c r="S293" s="40" t="s">
        <v>26</v>
      </c>
      <c r="T293" s="26" t="s">
        <v>26</v>
      </c>
    </row>
    <row r="294" spans="1:20" hidden="1" x14ac:dyDescent="0.3">
      <c r="A294" s="84">
        <v>293</v>
      </c>
      <c r="B294" s="6">
        <v>44407</v>
      </c>
      <c r="C294" s="85" t="s">
        <v>506</v>
      </c>
      <c r="D294" s="85" t="s">
        <v>506</v>
      </c>
      <c r="E294" s="16">
        <v>44407.755891203706</v>
      </c>
      <c r="F294" s="7">
        <v>44407.75644675926</v>
      </c>
      <c r="G294" s="14">
        <f t="shared" si="4"/>
        <v>5.5555555445607752E-4</v>
      </c>
      <c r="H294" s="86" t="s">
        <v>35</v>
      </c>
      <c r="I294" s="86" t="s">
        <v>24</v>
      </c>
      <c r="J294" s="87" t="str">
        <f>IF(ISBLANK(C294),"",IF(C294=D294, "1 video",CONCATENATE((+COUNTIFS(Video_List!$C:$C,"&lt;=" &amp;Monitoring!F294)-COUNTIFS(Video_List!$C:$C,"&lt;=" &amp;Monitoring!E294))+1," videos")))</f>
        <v>1 video</v>
      </c>
      <c r="K294" s="27" t="s">
        <v>35</v>
      </c>
      <c r="L294" s="40" t="s">
        <v>28</v>
      </c>
      <c r="M294" s="40" t="s">
        <v>114</v>
      </c>
      <c r="N294" s="40" t="s">
        <v>278</v>
      </c>
      <c r="O294" s="88" t="str">
        <f>+IFERROR(IF(P294="#N/C","#N/C",IF(Q294=0,INDEX(Taxonomy_UniqueValues!D:D,MATCH(Q294,Taxonomy_UniqueValues!F:F,0)),INDEX(Taxonomy_UniqueValues!D:D,MATCH(P294,Taxonomy_UniqueValues!E:E,0)))),"#N/C")</f>
        <v>Tettigoniidea</v>
      </c>
      <c r="P294" s="40" t="s">
        <v>279</v>
      </c>
      <c r="Q294" s="40" t="s">
        <v>280</v>
      </c>
      <c r="R294" s="40" t="s">
        <v>478</v>
      </c>
      <c r="S294" s="40" t="s">
        <v>479</v>
      </c>
      <c r="T294" s="26" t="s">
        <v>26</v>
      </c>
    </row>
    <row r="295" spans="1:20" hidden="1" x14ac:dyDescent="0.3">
      <c r="A295" s="84">
        <v>294</v>
      </c>
      <c r="B295" s="6">
        <v>44408</v>
      </c>
      <c r="C295" s="85" t="s">
        <v>507</v>
      </c>
      <c r="D295" s="85" t="s">
        <v>508</v>
      </c>
      <c r="E295" s="16">
        <v>44408.286620370367</v>
      </c>
      <c r="F295" s="7">
        <v>44408.788541666669</v>
      </c>
      <c r="G295" s="14">
        <f t="shared" si="4"/>
        <v>0.50192129630158888</v>
      </c>
      <c r="H295" s="86" t="s">
        <v>46</v>
      </c>
      <c r="I295" s="86" t="s">
        <v>46</v>
      </c>
      <c r="J295" s="87" t="str">
        <f>IF(ISBLANK(C295),"",IF(C295=D295, "1 video",CONCATENATE((+COUNTIFS(Video_List!$C:$C,"&lt;=" &amp;Monitoring!F295)-COUNTIFS(Video_List!$C:$C,"&lt;=" &amp;Monitoring!E295))+1," videos")))</f>
        <v>7 videos</v>
      </c>
      <c r="K295" s="25" t="s">
        <v>23</v>
      </c>
      <c r="L295" s="40" t="s">
        <v>28</v>
      </c>
      <c r="M295" s="40" t="s">
        <v>47</v>
      </c>
      <c r="N295" s="40" t="s">
        <v>48</v>
      </c>
      <c r="O295" s="88" t="str">
        <f>+IFERROR(IF(P295="#N/C","#N/C",IF(Q295=0,INDEX(Taxonomy_UniqueValues!D:D,MATCH(Q295,Taxonomy_UniqueValues!F:F,0)),INDEX(Taxonomy_UniqueValues!D:D,MATCH(P295,Taxonomy_UniqueValues!E:E,0)))),"#N/C")</f>
        <v>Heterocera</v>
      </c>
      <c r="P295" s="40" t="s">
        <v>509</v>
      </c>
      <c r="Q295" s="40" t="s">
        <v>510</v>
      </c>
      <c r="R295" s="40" t="s">
        <v>511</v>
      </c>
      <c r="S295" s="40" t="s">
        <v>512</v>
      </c>
      <c r="T295" s="26" t="s">
        <v>513</v>
      </c>
    </row>
    <row r="296" spans="1:20" hidden="1" x14ac:dyDescent="0.3">
      <c r="A296" s="84">
        <v>295</v>
      </c>
      <c r="B296" s="6">
        <v>44408</v>
      </c>
      <c r="C296" s="85" t="s">
        <v>514</v>
      </c>
      <c r="D296" s="85" t="s">
        <v>514</v>
      </c>
      <c r="E296" s="16">
        <v>44408.520775462966</v>
      </c>
      <c r="F296" s="7">
        <v>44408.527928240743</v>
      </c>
      <c r="G296" s="14">
        <f t="shared" si="4"/>
        <v>7.1527777763549238E-3</v>
      </c>
      <c r="H296" s="4" t="s">
        <v>35</v>
      </c>
      <c r="I296" s="4" t="s">
        <v>24</v>
      </c>
      <c r="J296" s="87" t="str">
        <f>IF(ISBLANK(C296),"",IF(C296=D296, "1 video",CONCATENATE((+COUNTIFS(Video_List!$C:$C,"&lt;=" &amp;Monitoring!F296)-COUNTIFS(Video_List!$C:$C,"&lt;=" &amp;Monitoring!E296))+1," videos")))</f>
        <v>1 video</v>
      </c>
      <c r="K296" s="25" t="s">
        <v>23</v>
      </c>
      <c r="L296" s="40" t="s">
        <v>28</v>
      </c>
      <c r="M296" s="40" t="s">
        <v>32</v>
      </c>
      <c r="N296" s="40" t="s">
        <v>33</v>
      </c>
      <c r="O296" s="88" t="str">
        <f>+IFERROR(IF(P296="#N/C","#N/C",IF(Q296=0,INDEX(Taxonomy_UniqueValues!D:D,MATCH(Q296,Taxonomy_UniqueValues!F:F,0)),INDEX(Taxonomy_UniqueValues!D:D,MATCH(P296,Taxonomy_UniqueValues!E:E,0)))),"#N/C")</f>
        <v>Parasitica</v>
      </c>
      <c r="P296" s="40" t="s">
        <v>62</v>
      </c>
      <c r="Q296" s="40" t="s">
        <v>26</v>
      </c>
      <c r="R296" s="40" t="s">
        <v>26</v>
      </c>
      <c r="S296" s="40" t="s">
        <v>26</v>
      </c>
      <c r="T296" s="26" t="s">
        <v>26</v>
      </c>
    </row>
    <row r="297" spans="1:20" hidden="1" x14ac:dyDescent="0.3">
      <c r="A297" s="84">
        <v>296</v>
      </c>
      <c r="B297" s="6">
        <v>44408</v>
      </c>
      <c r="C297" s="85" t="s">
        <v>514</v>
      </c>
      <c r="D297" s="85" t="s">
        <v>515</v>
      </c>
      <c r="E297" s="16">
        <v>44408.526284722226</v>
      </c>
      <c r="F297" s="7">
        <v>44408.544629629629</v>
      </c>
      <c r="G297" s="14">
        <f t="shared" si="4"/>
        <v>1.8344907402934041E-2</v>
      </c>
      <c r="H297" s="86" t="s">
        <v>23</v>
      </c>
      <c r="I297" s="86" t="s">
        <v>24</v>
      </c>
      <c r="J297" s="87" t="str">
        <f>IF(ISBLANK(C297),"",IF(C297=D297, "1 video",CONCATENATE((+COUNTIFS(Video_List!$C:$C,"&lt;=" &amp;Monitoring!F297)-COUNTIFS(Video_List!$C:$C,"&lt;=" &amp;Monitoring!E297))+1," videos")))</f>
        <v>2 videos</v>
      </c>
      <c r="K297" s="25" t="s">
        <v>23</v>
      </c>
      <c r="L297" s="40" t="s">
        <v>28</v>
      </c>
      <c r="M297" s="40" t="s">
        <v>29</v>
      </c>
      <c r="N297" s="40" t="s">
        <v>30</v>
      </c>
      <c r="O297" s="88" t="str">
        <f>+IFERROR(IF(P297="#N/C","#N/C",IF(Q297=0,INDEX(Taxonomy_UniqueValues!D:D,MATCH(Q297,Taxonomy_UniqueValues!F:F,0)),INDEX(Taxonomy_UniqueValues!D:D,MATCH(P297,Taxonomy_UniqueValues!E:E,0)))),"#N/C")</f>
        <v>Muscomorpha</v>
      </c>
      <c r="P297" s="40" t="s">
        <v>326</v>
      </c>
      <c r="Q297" s="40" t="s">
        <v>516</v>
      </c>
      <c r="R297" s="40" t="s">
        <v>517</v>
      </c>
      <c r="S297" s="40" t="s">
        <v>518</v>
      </c>
      <c r="T297" s="26" t="s">
        <v>26</v>
      </c>
    </row>
    <row r="298" spans="1:20" hidden="1" x14ac:dyDescent="0.3">
      <c r="A298" s="84">
        <v>297</v>
      </c>
      <c r="B298" s="92">
        <v>44408</v>
      </c>
      <c r="C298" s="85" t="s">
        <v>519</v>
      </c>
      <c r="D298" s="85" t="s">
        <v>520</v>
      </c>
      <c r="E298" s="93">
        <v>44408.689409722225</v>
      </c>
      <c r="F298" s="7">
        <v>44408.779351851852</v>
      </c>
      <c r="G298" s="14">
        <f t="shared" si="4"/>
        <v>8.9942129627161194E-2</v>
      </c>
      <c r="H298" s="86" t="s">
        <v>46</v>
      </c>
      <c r="I298" s="86" t="s">
        <v>46</v>
      </c>
      <c r="J298" s="87" t="str">
        <f>IF(ISBLANK(C298),"",IF(C298=D298, "1 video",CONCATENATE((+COUNTIFS(Video_List!$C:$C,"&lt;=" &amp;Monitoring!F298)-COUNTIFS(Video_List!$C:$C,"&lt;=" &amp;Monitoring!E298))+1," videos")))</f>
        <v>4 videos</v>
      </c>
      <c r="K298" s="27" t="s">
        <v>35</v>
      </c>
      <c r="L298" s="40" t="s">
        <v>28</v>
      </c>
      <c r="M298" s="40" t="s">
        <v>67</v>
      </c>
      <c r="N298" s="40" t="s">
        <v>68</v>
      </c>
      <c r="O298" s="88" t="str">
        <f>+IFERROR(IF(P298="#N/C","#N/C",IF(Q298=0,INDEX(Taxonomy_UniqueValues!D:D,MATCH(Q298,Taxonomy_UniqueValues!F:F,0)),INDEX(Taxonomy_UniqueValues!D:D,MATCH(P298,Taxonomy_UniqueValues!E:E,0)))),"#N/C")</f>
        <v>Cucujiformia</v>
      </c>
      <c r="P298" s="40" t="s">
        <v>419</v>
      </c>
      <c r="Q298" s="40" t="s">
        <v>420</v>
      </c>
      <c r="R298" s="40" t="s">
        <v>472</v>
      </c>
      <c r="S298" s="40" t="s">
        <v>474</v>
      </c>
      <c r="T298" s="26" t="s">
        <v>521</v>
      </c>
    </row>
    <row r="299" spans="1:20" hidden="1" x14ac:dyDescent="0.3">
      <c r="A299" s="84">
        <v>298</v>
      </c>
      <c r="B299" s="92">
        <v>44408</v>
      </c>
      <c r="C299" s="85" t="s">
        <v>522</v>
      </c>
      <c r="D299" s="85" t="s">
        <v>523</v>
      </c>
      <c r="E299" s="93">
        <v>44408.716874999998</v>
      </c>
      <c r="F299" s="7">
        <v>44411.501203703701</v>
      </c>
      <c r="G299" s="14">
        <f t="shared" si="4"/>
        <v>2.7843287037030677</v>
      </c>
      <c r="H299" s="86" t="s">
        <v>46</v>
      </c>
      <c r="I299" s="86" t="s">
        <v>46</v>
      </c>
      <c r="J299" s="87" t="str">
        <f>IF(ISBLANK(C299),"",IF(C299=D299, "1 video",CONCATENATE((+COUNTIFS(Video_List!$C:$C,"&lt;=" &amp;Monitoring!F299)-COUNTIFS(Video_List!$C:$C,"&lt;=" &amp;Monitoring!E299))+1," videos")))</f>
        <v>49 videos</v>
      </c>
      <c r="K299" s="25" t="s">
        <v>23</v>
      </c>
      <c r="L299" s="105" t="str">
        <f>+IFERROR(IF(M299="#N/C","#N/C",INDEX(Taxonomy_UniqueValues!A:A,MATCH(M299,Taxonomy_UniqueValues!B:B,0))),"#N/C")</f>
        <v>Insecta</v>
      </c>
      <c r="M299" s="105" t="str">
        <f>+IFERROR(IF(N299="#N/C","#N/C",INDEX(Taxonomy_UniqueValues!B:B,MATCH(N299,Taxonomy_UniqueValues!C:C,0))),"#N/C")</f>
        <v>Hymenoptera</v>
      </c>
      <c r="N299" s="105" t="str">
        <f>+IFERROR(IF(O299="#N/C","#N/C",INDEX(Taxonomy_UniqueValues!C:C,MATCH(O299,Taxonomy_UniqueValues!D:D,0))),"#N/C")</f>
        <v>Apocrita</v>
      </c>
      <c r="O299" s="105" t="str">
        <f>+IFERROR(IF(P299="#N/C","#N/C",INDEX(Taxonomy_UniqueValues!D:D,MATCH(P299,Taxonomy_UniqueValues!E:E,0))),"#N/C")</f>
        <v>Aculeata</v>
      </c>
      <c r="P299" s="105" t="str">
        <f>+IFERROR(IF(Q299="#N/C","#N/C",INDEX(Taxonomy_UniqueValues!E:E,MATCH(Q299,Taxonomy_UniqueValues!F:F,0))),"#N/C")</f>
        <v>Formicoidea</v>
      </c>
      <c r="Q299" s="105" t="str">
        <f>+IFERROR(IF(R299="#N/C","#N/C",INDEX(Taxonomy_UniqueValues!F:F,MATCH(R299,Taxonomy_UniqueValues!G:G,0))),"#N/C")</f>
        <v>Formicidae</v>
      </c>
      <c r="R299" s="40" t="s">
        <v>112</v>
      </c>
      <c r="S299" s="40" t="s">
        <v>312</v>
      </c>
      <c r="T299" s="26" t="s">
        <v>26</v>
      </c>
    </row>
    <row r="300" spans="1:20" hidden="1" x14ac:dyDescent="0.3">
      <c r="A300" s="84">
        <v>299</v>
      </c>
      <c r="B300" s="6">
        <v>44408</v>
      </c>
      <c r="C300" s="85" t="s">
        <v>524</v>
      </c>
      <c r="D300" s="85" t="s">
        <v>524</v>
      </c>
      <c r="E300" s="93">
        <v>44408.766064814816</v>
      </c>
      <c r="F300" s="7">
        <v>44408.767164351855</v>
      </c>
      <c r="G300" s="14">
        <f t="shared" si="4"/>
        <v>1.0995370394084603E-3</v>
      </c>
      <c r="H300" s="4" t="s">
        <v>23</v>
      </c>
      <c r="I300" s="4" t="s">
        <v>109</v>
      </c>
      <c r="J300" s="87" t="str">
        <f>IF(ISBLANK(C300),"",IF(C300=D300, "1 video",CONCATENATE((+COUNTIFS(Video_List!$C:$C,"&lt;=" &amp;Monitoring!F300)-COUNTIFS(Video_List!$C:$C,"&lt;=" &amp;Monitoring!E300))+1," videos")))</f>
        <v>1 video</v>
      </c>
      <c r="K300" s="25" t="s">
        <v>23</v>
      </c>
      <c r="L300" s="40" t="s">
        <v>28</v>
      </c>
      <c r="M300" s="40" t="s">
        <v>32</v>
      </c>
      <c r="N300" s="40" t="s">
        <v>33</v>
      </c>
      <c r="O300" s="88" t="str">
        <f>+IFERROR(IF(P300="#N/C","#N/C",IF(Q300=0,INDEX(Taxonomy_UniqueValues!D:D,MATCH(Q300,Taxonomy_UniqueValues!F:F,0)),INDEX(Taxonomy_UniqueValues!D:D,MATCH(P300,Taxonomy_UniqueValues!E:E,0)))),"#N/C")</f>
        <v>Parasitica</v>
      </c>
      <c r="P300" s="40" t="s">
        <v>62</v>
      </c>
      <c r="Q300" s="40" t="s">
        <v>26</v>
      </c>
      <c r="R300" s="40" t="s">
        <v>26</v>
      </c>
      <c r="S300" s="40" t="s">
        <v>26</v>
      </c>
      <c r="T300" s="26" t="s">
        <v>26</v>
      </c>
    </row>
    <row r="301" spans="1:20" hidden="1" x14ac:dyDescent="0.3">
      <c r="A301" s="84">
        <v>300</v>
      </c>
      <c r="B301" s="92">
        <v>44409</v>
      </c>
      <c r="C301" s="85" t="s">
        <v>525</v>
      </c>
      <c r="D301" s="85" t="s">
        <v>525</v>
      </c>
      <c r="E301" s="93">
        <v>44409.321585648147</v>
      </c>
      <c r="F301" s="7">
        <v>44409.322824074072</v>
      </c>
      <c r="G301" s="14">
        <f t="shared" si="4"/>
        <v>1.2384259243845008E-3</v>
      </c>
      <c r="H301" s="86" t="s">
        <v>35</v>
      </c>
      <c r="I301" s="86" t="s">
        <v>24</v>
      </c>
      <c r="J301" s="87" t="str">
        <f>IF(ISBLANK(C301),"",IF(C301=D301, "1 video",CONCATENATE((+COUNTIFS(Video_List!$C:$C,"&lt;=" &amp;Monitoring!F301)-COUNTIFS(Video_List!$C:$C,"&lt;=" &amp;Monitoring!E301))+1," videos")))</f>
        <v>1 video</v>
      </c>
      <c r="K301" s="27" t="s">
        <v>35</v>
      </c>
      <c r="L301" s="40" t="s">
        <v>28</v>
      </c>
      <c r="M301" s="40" t="s">
        <v>114</v>
      </c>
      <c r="N301" s="40" t="s">
        <v>278</v>
      </c>
      <c r="O301" s="88" t="str">
        <f>+IFERROR(IF(P301="#N/C","#N/C",IF(Q301=0,INDEX(Taxonomy_UniqueValues!D:D,MATCH(Q301,Taxonomy_UniqueValues!F:F,0)),INDEX(Taxonomy_UniqueValues!D:D,MATCH(P301,Taxonomy_UniqueValues!E:E,0)))),"#N/C")</f>
        <v>Tettigoniidea</v>
      </c>
      <c r="P301" s="40" t="s">
        <v>279</v>
      </c>
      <c r="Q301" s="40" t="s">
        <v>280</v>
      </c>
      <c r="R301" s="40" t="s">
        <v>478</v>
      </c>
      <c r="S301" s="40" t="s">
        <v>479</v>
      </c>
      <c r="T301" s="26" t="s">
        <v>26</v>
      </c>
    </row>
    <row r="302" spans="1:20" hidden="1" x14ac:dyDescent="0.3">
      <c r="A302" s="84">
        <v>301</v>
      </c>
      <c r="B302" s="6">
        <v>44409</v>
      </c>
      <c r="C302" s="85" t="s">
        <v>526</v>
      </c>
      <c r="D302" s="85" t="s">
        <v>526</v>
      </c>
      <c r="E302" s="16">
        <v>44409.463275462964</v>
      </c>
      <c r="F302" s="7">
        <v>44409.463321759256</v>
      </c>
      <c r="G302" s="14">
        <f t="shared" si="4"/>
        <v>4.6296292566694319E-5</v>
      </c>
      <c r="H302" s="86" t="s">
        <v>23</v>
      </c>
      <c r="I302" s="86" t="s">
        <v>24</v>
      </c>
      <c r="J302" s="87" t="str">
        <f>IF(ISBLANK(C302),"",IF(C302=D302, "1 video",CONCATENATE((+COUNTIFS(Video_List!$C:$C,"&lt;=" &amp;Monitoring!F302)-COUNTIFS(Video_List!$C:$C,"&lt;=" &amp;Monitoring!E302))+1," videos")))</f>
        <v>1 video</v>
      </c>
      <c r="K302" s="27" t="s">
        <v>35</v>
      </c>
      <c r="L302" s="40" t="s">
        <v>28</v>
      </c>
      <c r="M302" s="40" t="s">
        <v>29</v>
      </c>
      <c r="N302" s="40" t="s">
        <v>30</v>
      </c>
      <c r="O302" s="88" t="str">
        <f>+IFERROR(IF(P302="#N/C","#N/C",IF(Q302=0,INDEX(Taxonomy_UniqueValues!D:D,MATCH(Q302,Taxonomy_UniqueValues!F:F,0)),INDEX(Taxonomy_UniqueValues!D:D,MATCH(P302,Taxonomy_UniqueValues!E:E,0)))),"#N/C")</f>
        <v>Muscomorpha</v>
      </c>
      <c r="P302" s="40" t="s">
        <v>326</v>
      </c>
      <c r="Q302" s="40" t="s">
        <v>366</v>
      </c>
      <c r="R302" s="40" t="s">
        <v>367</v>
      </c>
      <c r="S302" s="40" t="s">
        <v>368</v>
      </c>
      <c r="T302" s="26" t="s">
        <v>26</v>
      </c>
    </row>
    <row r="303" spans="1:20" hidden="1" x14ac:dyDescent="0.3">
      <c r="A303" s="84">
        <v>302</v>
      </c>
      <c r="B303" s="92">
        <v>44409</v>
      </c>
      <c r="C303" s="85" t="s">
        <v>527</v>
      </c>
      <c r="D303" s="85" t="s">
        <v>527</v>
      </c>
      <c r="E303" s="93">
        <v>44409.584236111114</v>
      </c>
      <c r="F303" s="7">
        <v>44409.584548611114</v>
      </c>
      <c r="G303" s="14">
        <f t="shared" si="4"/>
        <v>3.125000002910383E-4</v>
      </c>
      <c r="H303" s="4" t="s">
        <v>35</v>
      </c>
      <c r="I303" s="4" t="s">
        <v>24</v>
      </c>
      <c r="J303" s="87" t="str">
        <f>IF(ISBLANK(C303),"",IF(C303=D303, "1 video",CONCATENATE((+COUNTIFS(Video_List!$C:$C,"&lt;=" &amp;Monitoring!F303)-COUNTIFS(Video_List!$C:$C,"&lt;=" &amp;Monitoring!E303))+1," videos")))</f>
        <v>1 video</v>
      </c>
      <c r="K303" s="25" t="s">
        <v>23</v>
      </c>
      <c r="L303" s="40" t="s">
        <v>28</v>
      </c>
      <c r="M303" s="40" t="s">
        <v>101</v>
      </c>
      <c r="N303" s="40">
        <v>0</v>
      </c>
      <c r="O303" s="88">
        <f>+IFERROR(IF(P303="#N/C","#N/C",IF(Q303=0,INDEX(Taxonomy_UniqueValues!D:D,MATCH(Q303,Taxonomy_UniqueValues!F:F,0)),INDEX(Taxonomy_UniqueValues!D:D,MATCH(P303,Taxonomy_UniqueValues!E:E,0)))),"#N/C")</f>
        <v>0</v>
      </c>
      <c r="P303" s="40" t="s">
        <v>102</v>
      </c>
      <c r="Q303" s="40" t="s">
        <v>103</v>
      </c>
      <c r="R303" s="40">
        <v>0</v>
      </c>
      <c r="S303" s="40" t="s">
        <v>104</v>
      </c>
      <c r="T303" s="26" t="s">
        <v>528</v>
      </c>
    </row>
    <row r="304" spans="1:20" hidden="1" x14ac:dyDescent="0.3">
      <c r="A304" s="84">
        <v>303</v>
      </c>
      <c r="B304" s="92">
        <v>44409</v>
      </c>
      <c r="C304" s="85" t="s">
        <v>529</v>
      </c>
      <c r="D304" s="85" t="s">
        <v>530</v>
      </c>
      <c r="E304" s="93">
        <v>44409.64</v>
      </c>
      <c r="F304" s="7">
        <v>44409.651145833333</v>
      </c>
      <c r="G304" s="14">
        <f t="shared" si="4"/>
        <v>1.1145833334012423E-2</v>
      </c>
      <c r="H304" s="86" t="s">
        <v>35</v>
      </c>
      <c r="I304" s="86" t="s">
        <v>24</v>
      </c>
      <c r="J304" s="87" t="str">
        <f>IF(ISBLANK(C304),"",IF(C304=D304, "1 video",CONCATENATE((+COUNTIFS(Video_List!$C:$C,"&lt;=" &amp;Monitoring!F304)-COUNTIFS(Video_List!$C:$C,"&lt;=" &amp;Monitoring!E304))+1," videos")))</f>
        <v>2 videos</v>
      </c>
      <c r="K304" s="27" t="s">
        <v>35</v>
      </c>
      <c r="L304" s="41" t="s">
        <v>28</v>
      </c>
      <c r="M304" s="41" t="s">
        <v>114</v>
      </c>
      <c r="N304" s="41" t="s">
        <v>278</v>
      </c>
      <c r="O304" s="88" t="str">
        <f>+IFERROR(IF(P304="#N/C","#N/C",IF(Q304=0,INDEX(Taxonomy_UniqueValues!D:D,MATCH(Q304,Taxonomy_UniqueValues!F:F,0)),INDEX(Taxonomy_UniqueValues!D:D,MATCH(P304,Taxonomy_UniqueValues!E:E,0)))),"#N/C")</f>
        <v>Tettigoniidea</v>
      </c>
      <c r="P304" s="41" t="s">
        <v>279</v>
      </c>
      <c r="Q304" s="41" t="s">
        <v>280</v>
      </c>
      <c r="R304" s="41" t="s">
        <v>478</v>
      </c>
      <c r="S304" s="41" t="s">
        <v>479</v>
      </c>
      <c r="T304" s="28" t="s">
        <v>26</v>
      </c>
    </row>
    <row r="305" spans="1:20" hidden="1" x14ac:dyDescent="0.3">
      <c r="A305" s="84">
        <v>304</v>
      </c>
      <c r="B305" s="92">
        <v>44409</v>
      </c>
      <c r="C305" s="85" t="s">
        <v>529</v>
      </c>
      <c r="D305" s="85" t="s">
        <v>529</v>
      </c>
      <c r="E305" s="93">
        <v>44409.640092592592</v>
      </c>
      <c r="F305" s="7">
        <v>44409.641875000001</v>
      </c>
      <c r="G305" s="14">
        <f t="shared" si="4"/>
        <v>1.7824074093368836E-3</v>
      </c>
      <c r="H305" s="86" t="s">
        <v>35</v>
      </c>
      <c r="I305" s="86" t="s">
        <v>24</v>
      </c>
      <c r="J305" s="87" t="str">
        <f>IF(ISBLANK(C305),"",IF(C305=D305, "1 video",CONCATENATE((+COUNTIFS(Video_List!$C:$C,"&lt;=" &amp;Monitoring!F305)-COUNTIFS(Video_List!$C:$C,"&lt;=" &amp;Monitoring!E305))+1," videos")))</f>
        <v>1 video</v>
      </c>
      <c r="K305" s="27" t="s">
        <v>35</v>
      </c>
      <c r="L305" s="41" t="s">
        <v>28</v>
      </c>
      <c r="M305" s="41" t="s">
        <v>114</v>
      </c>
      <c r="N305" s="41" t="s">
        <v>278</v>
      </c>
      <c r="O305" s="88" t="str">
        <f>+IFERROR(IF(P305="#N/C","#N/C",IF(Q305=0,INDEX(Taxonomy_UniqueValues!D:D,MATCH(Q305,Taxonomy_UniqueValues!F:F,0)),INDEX(Taxonomy_UniqueValues!D:D,MATCH(P305,Taxonomy_UniqueValues!E:E,0)))),"#N/C")</f>
        <v>Tettigoniidea</v>
      </c>
      <c r="P305" s="41" t="s">
        <v>279</v>
      </c>
      <c r="Q305" s="41" t="s">
        <v>280</v>
      </c>
      <c r="R305" s="41" t="s">
        <v>478</v>
      </c>
      <c r="S305" s="41" t="s">
        <v>479</v>
      </c>
      <c r="T305" s="28" t="s">
        <v>26</v>
      </c>
    </row>
    <row r="306" spans="1:20" hidden="1" x14ac:dyDescent="0.3">
      <c r="A306" s="84">
        <v>305</v>
      </c>
      <c r="B306" s="92">
        <v>44409</v>
      </c>
      <c r="C306" s="85" t="s">
        <v>531</v>
      </c>
      <c r="D306" s="85" t="s">
        <v>531</v>
      </c>
      <c r="E306" s="93">
        <v>44409.6640162037</v>
      </c>
      <c r="F306" s="7">
        <v>44409.667754629627</v>
      </c>
      <c r="G306" s="14">
        <f t="shared" si="4"/>
        <v>3.7384259267128073E-3</v>
      </c>
      <c r="H306" s="4" t="s">
        <v>35</v>
      </c>
      <c r="I306" s="4" t="s">
        <v>24</v>
      </c>
      <c r="J306" s="87" t="str">
        <f>IF(ISBLANK(C306),"",IF(C306=D306, "1 video",CONCATENATE((+COUNTIFS(Video_List!$C:$C,"&lt;=" &amp;Monitoring!F306)-COUNTIFS(Video_List!$C:$C,"&lt;=" &amp;Monitoring!E306))+1," videos")))</f>
        <v>1 video</v>
      </c>
      <c r="K306" s="25" t="s">
        <v>23</v>
      </c>
      <c r="L306" s="105" t="str">
        <f>+IFERROR(IF(M306="#N/C","#N/C",INDEX(Taxonomy_UniqueValues!A:A,MATCH(M306,Taxonomy_UniqueValues!B:B,0))),"#N/C")</f>
        <v>Insecta</v>
      </c>
      <c r="M306" s="105" t="str">
        <f>+IFERROR(IF(N306="#N/C","#N/C",INDEX(Taxonomy_UniqueValues!B:B,MATCH(N306,Taxonomy_UniqueValues!C:C,0))),"#N/C")</f>
        <v>Hymenoptera</v>
      </c>
      <c r="N306" s="105" t="str">
        <f>+IFERROR(IF(O306="#N/C","#N/C",INDEX(Taxonomy_UniqueValues!C:C,MATCH(O306,Taxonomy_UniqueValues!D:D,0))),"#N/C")</f>
        <v>Apocrita</v>
      </c>
      <c r="O306" s="105" t="str">
        <f>+IFERROR(IF(P306="#N/C","#N/C",INDEX(Taxonomy_UniqueValues!D:D,MATCH(P306,Taxonomy_UniqueValues!E:E,0))),"#N/C")</f>
        <v>Aculeata</v>
      </c>
      <c r="P306" s="105" t="str">
        <f>+IFERROR(IF(Q306="#N/C","#N/C",INDEX(Taxonomy_UniqueValues!E:E,MATCH(Q306,Taxonomy_UniqueValues!F:F,0))),"#N/C")</f>
        <v>Formicoidea</v>
      </c>
      <c r="Q306" s="105" t="str">
        <f>+IFERROR(IF(R306="#N/C","#N/C",INDEX(Taxonomy_UniqueValues!F:F,MATCH(R306,Taxonomy_UniqueValues!G:G,0))),"#N/C")</f>
        <v>Formicidae</v>
      </c>
      <c r="R306" s="41" t="s">
        <v>112</v>
      </c>
      <c r="S306" s="41" t="s">
        <v>312</v>
      </c>
      <c r="T306" s="28" t="s">
        <v>26</v>
      </c>
    </row>
    <row r="307" spans="1:20" hidden="1" x14ac:dyDescent="0.3">
      <c r="A307" s="84">
        <v>306</v>
      </c>
      <c r="B307" s="92">
        <v>44409</v>
      </c>
      <c r="C307" s="85" t="s">
        <v>532</v>
      </c>
      <c r="D307" s="85" t="s">
        <v>532</v>
      </c>
      <c r="E307" s="93">
        <v>44409.680277777778</v>
      </c>
      <c r="F307" s="7">
        <v>44409.680347222224</v>
      </c>
      <c r="G307" s="14">
        <f t="shared" si="4"/>
        <v>6.9444446125999093E-5</v>
      </c>
      <c r="H307" s="4" t="s">
        <v>23</v>
      </c>
      <c r="I307" s="4" t="s">
        <v>24</v>
      </c>
      <c r="J307" s="87" t="str">
        <f>IF(ISBLANK(C307),"",IF(C307=D307, "1 video",CONCATENATE((+COUNTIFS(Video_List!$C:$C,"&lt;=" &amp;Monitoring!F307)-COUNTIFS(Video_List!$C:$C,"&lt;=" &amp;Monitoring!E307))+1," videos")))</f>
        <v>1 video</v>
      </c>
      <c r="K307" s="25" t="s">
        <v>23</v>
      </c>
      <c r="L307" s="105" t="str">
        <f>+IFERROR(IF(M307="#N/C","#N/C",INDEX(Taxonomy_UniqueValues!A:A,MATCH(M307,Taxonomy_UniqueValues!B:B,0))),"#N/C")</f>
        <v>Insecta</v>
      </c>
      <c r="M307" s="105" t="str">
        <f>+IFERROR(IF(N307="#N/C","#N/C",INDEX(Taxonomy_UniqueValues!B:B,MATCH(N307,Taxonomy_UniqueValues!C:C,0))),"#N/C")</f>
        <v>Hymenoptera</v>
      </c>
      <c r="N307" s="105" t="str">
        <f>+IFERROR(IF(O307="#N/C","#N/C",INDEX(Taxonomy_UniqueValues!C:C,MATCH(O307,Taxonomy_UniqueValues!D:D,0))),"#N/C")</f>
        <v>Apocrita</v>
      </c>
      <c r="O307" s="105" t="str">
        <f>+IFERROR(IF(P307="#N/C","#N/C",INDEX(Taxonomy_UniqueValues!D:D,MATCH(P307,Taxonomy_UniqueValues!E:E,0))),"#N/C")</f>
        <v>Aculeata</v>
      </c>
      <c r="P307" s="105" t="str">
        <f>+IFERROR(IF(Q307="#N/C","#N/C",INDEX(Taxonomy_UniqueValues!E:E,MATCH(Q307,Taxonomy_UniqueValues!F:F,0))),"#N/C")</f>
        <v>Vespoidea</v>
      </c>
      <c r="Q307" s="105" t="str">
        <f>+IFERROR(IF(R307="#N/C","#N/C",INDEX(Taxonomy_UniqueValues!F:F,MATCH(R307,Taxonomy_UniqueValues!G:G,0))),"#N/C")</f>
        <v>Vespidae</v>
      </c>
      <c r="R307" s="41" t="s">
        <v>534</v>
      </c>
      <c r="S307" s="41" t="s">
        <v>535</v>
      </c>
      <c r="T307" s="28" t="s">
        <v>344</v>
      </c>
    </row>
    <row r="308" spans="1:20" hidden="1" x14ac:dyDescent="0.3">
      <c r="A308" s="84">
        <v>307</v>
      </c>
      <c r="B308" s="92">
        <v>44409</v>
      </c>
      <c r="C308" s="85" t="s">
        <v>536</v>
      </c>
      <c r="D308" s="85" t="s">
        <v>536</v>
      </c>
      <c r="E308" s="93">
        <v>44409.69295138889</v>
      </c>
      <c r="F308" s="7">
        <v>44409.693020833336</v>
      </c>
      <c r="G308" s="14">
        <f t="shared" si="4"/>
        <v>6.9444446125999093E-5</v>
      </c>
      <c r="H308" s="86" t="s">
        <v>23</v>
      </c>
      <c r="I308" s="86" t="s">
        <v>24</v>
      </c>
      <c r="J308" s="87" t="str">
        <f>IF(ISBLANK(C308),"",IF(C308=D308, "1 video",CONCATENATE((+COUNTIFS(Video_List!$C:$C,"&lt;=" &amp;Monitoring!F308)-COUNTIFS(Video_List!$C:$C,"&lt;=" &amp;Monitoring!E308))+1," videos")))</f>
        <v>1 video</v>
      </c>
      <c r="K308" s="27" t="s">
        <v>35</v>
      </c>
      <c r="L308" s="41" t="s">
        <v>28</v>
      </c>
      <c r="M308" s="41" t="s">
        <v>29</v>
      </c>
      <c r="N308" s="41" t="s">
        <v>176</v>
      </c>
      <c r="O308" s="88" t="str">
        <f>+IFERROR(IF(P308="#N/C","#N/C",IF(Q308=0,INDEX(Taxonomy_UniqueValues!D:D,MATCH(Q308,Taxonomy_UniqueValues!F:F,0)),INDEX(Taxonomy_UniqueValues!D:D,MATCH(P308,Taxonomy_UniqueValues!E:E,0)))),"#N/C")</f>
        <v>Bibionomorpha</v>
      </c>
      <c r="P308" s="41" t="s">
        <v>177</v>
      </c>
      <c r="Q308" s="41" t="s">
        <v>410</v>
      </c>
      <c r="R308" s="41" t="s">
        <v>26</v>
      </c>
      <c r="S308" s="41" t="s">
        <v>26</v>
      </c>
      <c r="T308" s="28" t="s">
        <v>26</v>
      </c>
    </row>
    <row r="309" spans="1:20" hidden="1" x14ac:dyDescent="0.3">
      <c r="A309" s="84">
        <v>308</v>
      </c>
      <c r="B309" s="6">
        <v>44409</v>
      </c>
      <c r="C309" s="85" t="s">
        <v>537</v>
      </c>
      <c r="D309" s="85" t="s">
        <v>537</v>
      </c>
      <c r="E309" s="16">
        <v>44409.740624999999</v>
      </c>
      <c r="F309" s="7">
        <v>44409.740752314814</v>
      </c>
      <c r="G309" s="14">
        <f t="shared" si="4"/>
        <v>1.273148154723458E-4</v>
      </c>
      <c r="H309" s="4" t="s">
        <v>23</v>
      </c>
      <c r="I309" s="4" t="s">
        <v>24</v>
      </c>
      <c r="J309" s="87" t="str">
        <f>IF(ISBLANK(C309),"",IF(C309=D309, "1 video",CONCATENATE((+COUNTIFS(Video_List!$C:$C,"&lt;=" &amp;Monitoring!F309)-COUNTIFS(Video_List!$C:$C,"&lt;=" &amp;Monitoring!E309))+1," videos")))</f>
        <v>1 video</v>
      </c>
      <c r="K309" s="27" t="s">
        <v>35</v>
      </c>
      <c r="L309" s="41" t="s">
        <v>28</v>
      </c>
      <c r="M309" s="41" t="s">
        <v>29</v>
      </c>
      <c r="N309" s="41" t="s">
        <v>30</v>
      </c>
      <c r="O309" s="88" t="str">
        <f>+IFERROR(IF(P309="#N/C","#N/C",IF(Q309=0,INDEX(Taxonomy_UniqueValues!D:D,MATCH(Q309,Taxonomy_UniqueValues!F:F,0)),INDEX(Taxonomy_UniqueValues!D:D,MATCH(P309,Taxonomy_UniqueValues!E:E,0)))),"#N/C")</f>
        <v>Asilomorpha</v>
      </c>
      <c r="P309" s="41" t="s">
        <v>430</v>
      </c>
      <c r="Q309" s="41" t="s">
        <v>431</v>
      </c>
      <c r="R309" s="41" t="s">
        <v>538</v>
      </c>
      <c r="S309" s="41" t="s">
        <v>539</v>
      </c>
      <c r="T309" s="28" t="s">
        <v>26</v>
      </c>
    </row>
    <row r="310" spans="1:20" hidden="1" x14ac:dyDescent="0.3">
      <c r="A310" s="84">
        <v>309</v>
      </c>
      <c r="B310" s="92">
        <v>44409</v>
      </c>
      <c r="C310" s="85" t="s">
        <v>537</v>
      </c>
      <c r="D310" s="85" t="s">
        <v>537</v>
      </c>
      <c r="E310" s="93">
        <v>44409.749305555553</v>
      </c>
      <c r="F310" s="7">
        <v>44409.749328703707</v>
      </c>
      <c r="G310" s="14">
        <f t="shared" si="4"/>
        <v>2.3148153559304774E-5</v>
      </c>
      <c r="H310" s="86" t="s">
        <v>23</v>
      </c>
      <c r="I310" s="86" t="s">
        <v>24</v>
      </c>
      <c r="J310" s="87" t="str">
        <f>IF(ISBLANK(C310),"",IF(C310=D310, "1 video",CONCATENATE((+COUNTIFS(Video_List!$C:$C,"&lt;=" &amp;Monitoring!F310)-COUNTIFS(Video_List!$C:$C,"&lt;=" &amp;Monitoring!E310))+1," videos")))</f>
        <v>1 video</v>
      </c>
      <c r="K310" s="27" t="s">
        <v>35</v>
      </c>
      <c r="L310" s="41" t="s">
        <v>28</v>
      </c>
      <c r="M310" s="41" t="s">
        <v>29</v>
      </c>
      <c r="N310" s="41" t="s">
        <v>176</v>
      </c>
      <c r="O310" s="88" t="str">
        <f>+IFERROR(IF(P310="#N/C","#N/C",IF(Q310=0,INDEX(Taxonomy_UniqueValues!D:D,MATCH(Q310,Taxonomy_UniqueValues!F:F,0)),INDEX(Taxonomy_UniqueValues!D:D,MATCH(P310,Taxonomy_UniqueValues!E:E,0)))),"#N/C")</f>
        <v>Bibionomorpha</v>
      </c>
      <c r="P310" s="41" t="s">
        <v>177</v>
      </c>
      <c r="Q310" s="41" t="s">
        <v>410</v>
      </c>
      <c r="R310" s="41" t="s">
        <v>26</v>
      </c>
      <c r="S310" s="41" t="s">
        <v>26</v>
      </c>
      <c r="T310" s="28" t="s">
        <v>26</v>
      </c>
    </row>
    <row r="311" spans="1:20" hidden="1" x14ac:dyDescent="0.3">
      <c r="A311" s="84">
        <v>310</v>
      </c>
      <c r="B311" s="92">
        <v>44409</v>
      </c>
      <c r="C311" s="85" t="s">
        <v>540</v>
      </c>
      <c r="D311" s="85" t="s">
        <v>540</v>
      </c>
      <c r="E311" s="93">
        <v>44409.781469907408</v>
      </c>
      <c r="F311" s="7">
        <v>44409.781539351854</v>
      </c>
      <c r="G311" s="14">
        <f t="shared" si="4"/>
        <v>6.9444446125999093E-5</v>
      </c>
      <c r="H311" s="86" t="s">
        <v>23</v>
      </c>
      <c r="I311" s="86" t="s">
        <v>24</v>
      </c>
      <c r="J311" s="87" t="str">
        <f>IF(ISBLANK(C311),"",IF(C311=D311, "1 video",CONCATENATE((+COUNTIFS(Video_List!$C:$C,"&lt;=" &amp;Monitoring!F311)-COUNTIFS(Video_List!$C:$C,"&lt;=" &amp;Monitoring!E311))+1," videos")))</f>
        <v>1 video</v>
      </c>
      <c r="K311" s="25" t="s">
        <v>23</v>
      </c>
      <c r="L311" s="41" t="s">
        <v>28</v>
      </c>
      <c r="M311" s="41" t="s">
        <v>29</v>
      </c>
      <c r="N311" s="41" t="s">
        <v>30</v>
      </c>
      <c r="O311" s="88" t="str">
        <f>+IFERROR(IF(P311="#N/C","#N/C",IF(Q311=0,INDEX(Taxonomy_UniqueValues!D:D,MATCH(Q311,Taxonomy_UniqueValues!F:F,0)),INDEX(Taxonomy_UniqueValues!D:D,MATCH(P311,Taxonomy_UniqueValues!E:E,0)))),"#N/C")</f>
        <v>Muscomorpha</v>
      </c>
      <c r="P311" s="41" t="s">
        <v>166</v>
      </c>
      <c r="Q311" s="41" t="s">
        <v>167</v>
      </c>
      <c r="R311" s="41">
        <v>0</v>
      </c>
      <c r="S311" s="41" t="s">
        <v>168</v>
      </c>
      <c r="T311" s="28" t="s">
        <v>541</v>
      </c>
    </row>
    <row r="312" spans="1:20" hidden="1" x14ac:dyDescent="0.3">
      <c r="A312" s="84">
        <v>311</v>
      </c>
      <c r="B312" s="92">
        <v>44410</v>
      </c>
      <c r="C312" s="85" t="s">
        <v>542</v>
      </c>
      <c r="D312" s="85" t="s">
        <v>543</v>
      </c>
      <c r="E312" s="93">
        <v>44410.259282407409</v>
      </c>
      <c r="F312" s="7">
        <v>44410.340729166666</v>
      </c>
      <c r="G312" s="14">
        <f t="shared" si="4"/>
        <v>8.144675925723277E-2</v>
      </c>
      <c r="H312" s="86" t="s">
        <v>35</v>
      </c>
      <c r="I312" s="86" t="s">
        <v>109</v>
      </c>
      <c r="J312" s="87" t="str">
        <f>IF(ISBLANK(C312),"",IF(C312=D312, "1 video",CONCATENATE((+COUNTIFS(Video_List!$C:$C,"&lt;=" &amp;Monitoring!F312)-COUNTIFS(Video_List!$C:$C,"&lt;=" &amp;Monitoring!E312))+1," videos")))</f>
        <v>2 videos</v>
      </c>
      <c r="K312" s="27" t="s">
        <v>35</v>
      </c>
      <c r="L312" s="41" t="s">
        <v>28</v>
      </c>
      <c r="M312" s="41" t="s">
        <v>114</v>
      </c>
      <c r="N312" s="41" t="s">
        <v>278</v>
      </c>
      <c r="O312" s="88" t="str">
        <f>+IFERROR(IF(P312="#N/C","#N/C",IF(Q312=0,INDEX(Taxonomy_UniqueValues!D:D,MATCH(Q312,Taxonomy_UniqueValues!F:F,0)),INDEX(Taxonomy_UniqueValues!D:D,MATCH(P312,Taxonomy_UniqueValues!E:E,0)))),"#N/C")</f>
        <v>Tettigoniidea</v>
      </c>
      <c r="P312" s="41" t="s">
        <v>279</v>
      </c>
      <c r="Q312" s="41" t="s">
        <v>280</v>
      </c>
      <c r="R312" s="41" t="s">
        <v>478</v>
      </c>
      <c r="S312" s="41" t="s">
        <v>479</v>
      </c>
      <c r="T312" s="28" t="s">
        <v>26</v>
      </c>
    </row>
    <row r="313" spans="1:20" hidden="1" x14ac:dyDescent="0.3">
      <c r="A313" s="84">
        <v>312</v>
      </c>
      <c r="B313" s="92">
        <v>44410</v>
      </c>
      <c r="C313" s="85" t="s">
        <v>544</v>
      </c>
      <c r="D313" s="85" t="s">
        <v>545</v>
      </c>
      <c r="E313" s="93">
        <v>44410.36959490741</v>
      </c>
      <c r="F313" s="7">
        <v>44410.393391203703</v>
      </c>
      <c r="G313" s="14">
        <f t="shared" si="4"/>
        <v>2.3796296292857733E-2</v>
      </c>
      <c r="H313" s="86" t="s">
        <v>35</v>
      </c>
      <c r="I313" s="86" t="s">
        <v>109</v>
      </c>
      <c r="J313" s="87" t="str">
        <f>IF(ISBLANK(C313),"",IF(C313=D313, "1 video",CONCATENATE((+COUNTIFS(Video_List!$C:$C,"&lt;=" &amp;Monitoring!F313)-COUNTIFS(Video_List!$C:$C,"&lt;=" &amp;Monitoring!E313))+1," videos")))</f>
        <v>2 videos</v>
      </c>
      <c r="K313" s="27" t="s">
        <v>35</v>
      </c>
      <c r="L313" s="41" t="s">
        <v>28</v>
      </c>
      <c r="M313" s="41" t="s">
        <v>114</v>
      </c>
      <c r="N313" s="41" t="s">
        <v>278</v>
      </c>
      <c r="O313" s="88" t="str">
        <f>+IFERROR(IF(P313="#N/C","#N/C",IF(Q313=0,INDEX(Taxonomy_UniqueValues!D:D,MATCH(Q313,Taxonomy_UniqueValues!F:F,0)),INDEX(Taxonomy_UniqueValues!D:D,MATCH(P313,Taxonomy_UniqueValues!E:E,0)))),"#N/C")</f>
        <v>Tettigoniidea</v>
      </c>
      <c r="P313" s="41" t="s">
        <v>279</v>
      </c>
      <c r="Q313" s="41" t="s">
        <v>280</v>
      </c>
      <c r="R313" s="41" t="s">
        <v>478</v>
      </c>
      <c r="S313" s="41" t="s">
        <v>479</v>
      </c>
      <c r="T313" s="28" t="s">
        <v>26</v>
      </c>
    </row>
    <row r="314" spans="1:20" hidden="1" x14ac:dyDescent="0.3">
      <c r="A314" s="84">
        <v>313</v>
      </c>
      <c r="B314" s="92">
        <v>44410</v>
      </c>
      <c r="C314" s="85" t="s">
        <v>545</v>
      </c>
      <c r="D314" s="85" t="s">
        <v>545</v>
      </c>
      <c r="E314" s="93">
        <v>44410.371689814812</v>
      </c>
      <c r="F314" s="7">
        <v>44410.395925925928</v>
      </c>
      <c r="G314" s="14">
        <f t="shared" si="4"/>
        <v>2.4236111115897074E-2</v>
      </c>
      <c r="H314" s="86" t="s">
        <v>35</v>
      </c>
      <c r="I314" s="86" t="s">
        <v>109</v>
      </c>
      <c r="J314" s="87" t="str">
        <f>IF(ISBLANK(C314),"",IF(C314=D314, "1 video",CONCATENATE((+COUNTIFS(Video_List!$C:$C,"&lt;=" &amp;Monitoring!F314)-COUNTIFS(Video_List!$C:$C,"&lt;=" &amp;Monitoring!E314))+1," videos")))</f>
        <v>1 video</v>
      </c>
      <c r="K314" s="27" t="s">
        <v>35</v>
      </c>
      <c r="L314" s="41" t="s">
        <v>28</v>
      </c>
      <c r="M314" s="41" t="s">
        <v>114</v>
      </c>
      <c r="N314" s="41" t="s">
        <v>278</v>
      </c>
      <c r="O314" s="88" t="str">
        <f>+IFERROR(IF(P314="#N/C","#N/C",IF(Q314=0,INDEX(Taxonomy_UniqueValues!D:D,MATCH(Q314,Taxonomy_UniqueValues!F:F,0)),INDEX(Taxonomy_UniqueValues!D:D,MATCH(P314,Taxonomy_UniqueValues!E:E,0)))),"#N/C")</f>
        <v>Tettigoniidea</v>
      </c>
      <c r="P314" s="41" t="s">
        <v>279</v>
      </c>
      <c r="Q314" s="41" t="s">
        <v>280</v>
      </c>
      <c r="R314" s="41" t="s">
        <v>478</v>
      </c>
      <c r="S314" s="41" t="s">
        <v>479</v>
      </c>
      <c r="T314" s="28" t="s">
        <v>26</v>
      </c>
    </row>
    <row r="315" spans="1:20" hidden="1" x14ac:dyDescent="0.3">
      <c r="A315" s="84">
        <v>314</v>
      </c>
      <c r="B315" s="92">
        <v>44410</v>
      </c>
      <c r="C315" s="85" t="s">
        <v>545</v>
      </c>
      <c r="D315" s="85" t="s">
        <v>546</v>
      </c>
      <c r="E315" s="93">
        <v>44410.371689814812</v>
      </c>
      <c r="F315" s="7">
        <v>44410.545034722221</v>
      </c>
      <c r="G315" s="14">
        <f t="shared" si="4"/>
        <v>0.17334490740904585</v>
      </c>
      <c r="H315" s="86" t="s">
        <v>35</v>
      </c>
      <c r="I315" s="86" t="s">
        <v>24</v>
      </c>
      <c r="J315" s="87" t="str">
        <f>IF(ISBLANK(C315),"",IF(C315=D315, "1 video",CONCATENATE((+COUNTIFS(Video_List!$C:$C,"&lt;=" &amp;Monitoring!F315)-COUNTIFS(Video_List!$C:$C,"&lt;=" &amp;Monitoring!E315))+1," videos")))</f>
        <v>3 videos</v>
      </c>
      <c r="K315" s="27" t="s">
        <v>35</v>
      </c>
      <c r="L315" s="41" t="s">
        <v>28</v>
      </c>
      <c r="M315" s="41" t="s">
        <v>114</v>
      </c>
      <c r="N315" s="41" t="s">
        <v>278</v>
      </c>
      <c r="O315" s="88" t="str">
        <f>+IFERROR(IF(P315="#N/C","#N/C",IF(Q315=0,INDEX(Taxonomy_UniqueValues!D:D,MATCH(Q315,Taxonomy_UniqueValues!F:F,0)),INDEX(Taxonomy_UniqueValues!D:D,MATCH(P315,Taxonomy_UniqueValues!E:E,0)))),"#N/C")</f>
        <v>Tettigoniidea</v>
      </c>
      <c r="P315" s="41" t="s">
        <v>279</v>
      </c>
      <c r="Q315" s="41" t="s">
        <v>280</v>
      </c>
      <c r="R315" s="41" t="s">
        <v>478</v>
      </c>
      <c r="S315" s="41" t="s">
        <v>479</v>
      </c>
      <c r="T315" s="28" t="s">
        <v>26</v>
      </c>
    </row>
    <row r="316" spans="1:20" hidden="1" x14ac:dyDescent="0.3">
      <c r="A316" s="84">
        <v>315</v>
      </c>
      <c r="B316" s="92">
        <v>44410</v>
      </c>
      <c r="C316" s="85" t="s">
        <v>547</v>
      </c>
      <c r="D316" s="85" t="s">
        <v>547</v>
      </c>
      <c r="E316" s="93">
        <v>44410.513333333336</v>
      </c>
      <c r="F316" s="7">
        <v>44410.51421296296</v>
      </c>
      <c r="G316" s="14">
        <f t="shared" si="4"/>
        <v>8.7962962425081059E-4</v>
      </c>
      <c r="H316" s="86" t="s">
        <v>23</v>
      </c>
      <c r="I316" s="86" t="s">
        <v>24</v>
      </c>
      <c r="J316" s="87" t="str">
        <f>IF(ISBLANK(C316),"",IF(C316=D316, "1 video",CONCATENATE((+COUNTIFS(Video_List!$C:$C,"&lt;=" &amp;Monitoring!F316)-COUNTIFS(Video_List!$C:$C,"&lt;=" &amp;Monitoring!E316))+1," videos")))</f>
        <v>1 video</v>
      </c>
      <c r="K316" s="27" t="s">
        <v>35</v>
      </c>
      <c r="L316" s="41" t="s">
        <v>28</v>
      </c>
      <c r="M316" s="41" t="s">
        <v>29</v>
      </c>
      <c r="N316" s="41" t="s">
        <v>30</v>
      </c>
      <c r="O316" s="88" t="str">
        <f>+IFERROR(IF(P316="#N/C","#N/C",IF(Q316=0,INDEX(Taxonomy_UniqueValues!D:D,MATCH(Q316,Taxonomy_UniqueValues!F:F,0)),INDEX(Taxonomy_UniqueValues!D:D,MATCH(P316,Taxonomy_UniqueValues!E:E,0)))),"#N/C")</f>
        <v>#N/C</v>
      </c>
      <c r="P316" s="41" t="s">
        <v>26</v>
      </c>
      <c r="Q316" s="41" t="s">
        <v>26</v>
      </c>
      <c r="R316" s="41" t="s">
        <v>26</v>
      </c>
      <c r="S316" s="41" t="s">
        <v>26</v>
      </c>
      <c r="T316" s="28" t="s">
        <v>26</v>
      </c>
    </row>
    <row r="317" spans="1:20" hidden="1" x14ac:dyDescent="0.3">
      <c r="A317" s="84">
        <v>316</v>
      </c>
      <c r="B317" s="92">
        <v>44410</v>
      </c>
      <c r="C317" s="85" t="s">
        <v>548</v>
      </c>
      <c r="D317" s="85" t="s">
        <v>548</v>
      </c>
      <c r="E317" s="93">
        <v>44410.595520833333</v>
      </c>
      <c r="F317" s="7">
        <v>44410.598333333335</v>
      </c>
      <c r="G317" s="14">
        <f t="shared" si="4"/>
        <v>2.8125000026193447E-3</v>
      </c>
      <c r="H317" s="86" t="s">
        <v>35</v>
      </c>
      <c r="I317" s="86" t="s">
        <v>24</v>
      </c>
      <c r="J317" s="87" t="str">
        <f>IF(ISBLANK(C317),"",IF(C317=D317, "1 video",CONCATENATE((+COUNTIFS(Video_List!$C:$C,"&lt;=" &amp;Monitoring!F317)-COUNTIFS(Video_List!$C:$C,"&lt;=" &amp;Monitoring!E317))+1," videos")))</f>
        <v>1 video</v>
      </c>
      <c r="K317" s="27" t="s">
        <v>35</v>
      </c>
      <c r="L317" s="105" t="str">
        <f>+IFERROR(IF(M317="#N/C","#N/C",INDEX(Taxonomy_UniqueValues!A:A,MATCH(M317,Taxonomy_UniqueValues!B:B,0))),"#N/C")</f>
        <v>Insecta</v>
      </c>
      <c r="M317" s="105" t="str">
        <f>+IFERROR(IF(N317="#N/C","#N/C",INDEX(Taxonomy_UniqueValues!B:B,MATCH(N317,Taxonomy_UniqueValues!C:C,0))),"#N/C")</f>
        <v>Hymenoptera</v>
      </c>
      <c r="N317" s="105" t="str">
        <f>+IFERROR(IF(O317="#N/C","#N/C",INDEX(Taxonomy_UniqueValues!C:C,MATCH(O317,Taxonomy_UniqueValues!D:D,0))),"#N/C")</f>
        <v>Apocrita</v>
      </c>
      <c r="O317" s="105" t="str">
        <f>+IFERROR(IF(P317="#N/C","#N/C",INDEX(Taxonomy_UniqueValues!D:D,MATCH(P317,Taxonomy_UniqueValues!E:E,0))),"#N/C")</f>
        <v>Aculeata</v>
      </c>
      <c r="P317" s="105" t="str">
        <f>+IFERROR(IF(Q317="#N/C","#N/C",INDEX(Taxonomy_UniqueValues!E:E,MATCH(Q317,Taxonomy_UniqueValues!F:F,0))),"#N/C")</f>
        <v>Formicoidea</v>
      </c>
      <c r="Q317" s="105" t="str">
        <f>+IFERROR(IF(R317="#N/C","#N/C",INDEX(Taxonomy_UniqueValues!F:F,MATCH(R317,Taxonomy_UniqueValues!G:G,0))),"#N/C")</f>
        <v>Formicidae</v>
      </c>
      <c r="R317" s="41" t="s">
        <v>112</v>
      </c>
      <c r="S317" s="41" t="s">
        <v>549</v>
      </c>
      <c r="T317" s="28" t="s">
        <v>26</v>
      </c>
    </row>
    <row r="318" spans="1:20" hidden="1" x14ac:dyDescent="0.3">
      <c r="A318" s="84">
        <v>317</v>
      </c>
      <c r="B318" s="92">
        <v>44410</v>
      </c>
      <c r="C318" s="85" t="s">
        <v>548</v>
      </c>
      <c r="D318" s="85" t="s">
        <v>550</v>
      </c>
      <c r="E318" s="93">
        <v>44410.596921296295</v>
      </c>
      <c r="F318" s="7">
        <v>44410.611863425926</v>
      </c>
      <c r="G318" s="14">
        <f t="shared" si="4"/>
        <v>1.4942129630071577E-2</v>
      </c>
      <c r="H318" s="86" t="s">
        <v>35</v>
      </c>
      <c r="I318" s="86" t="s">
        <v>24</v>
      </c>
      <c r="J318" s="87" t="str">
        <f>IF(ISBLANK(C318),"",IF(C318=D318, "1 video",CONCATENATE((+COUNTIFS(Video_List!$C:$C,"&lt;=" &amp;Monitoring!F318)-COUNTIFS(Video_List!$C:$C,"&lt;=" &amp;Monitoring!E318))+1," videos")))</f>
        <v>2 videos</v>
      </c>
      <c r="K318" s="27" t="s">
        <v>35</v>
      </c>
      <c r="L318" s="41" t="s">
        <v>28</v>
      </c>
      <c r="M318" s="41" t="s">
        <v>114</v>
      </c>
      <c r="N318" s="41" t="s">
        <v>278</v>
      </c>
      <c r="O318" s="88" t="str">
        <f>+IFERROR(IF(P318="#N/C","#N/C",IF(Q318=0,INDEX(Taxonomy_UniqueValues!D:D,MATCH(Q318,Taxonomy_UniqueValues!F:F,0)),INDEX(Taxonomy_UniqueValues!D:D,MATCH(P318,Taxonomy_UniqueValues!E:E,0)))),"#N/C")</f>
        <v>Tettigoniidea</v>
      </c>
      <c r="P318" s="41" t="s">
        <v>279</v>
      </c>
      <c r="Q318" s="41" t="s">
        <v>280</v>
      </c>
      <c r="R318" s="41" t="s">
        <v>478</v>
      </c>
      <c r="S318" s="41" t="s">
        <v>479</v>
      </c>
      <c r="T318" s="28" t="s">
        <v>26</v>
      </c>
    </row>
    <row r="319" spans="1:20" hidden="1" x14ac:dyDescent="0.3">
      <c r="A319" s="84">
        <v>318</v>
      </c>
      <c r="B319" s="92">
        <v>44410</v>
      </c>
      <c r="C319" s="85" t="s">
        <v>551</v>
      </c>
      <c r="D319" s="85" t="s">
        <v>552</v>
      </c>
      <c r="E319" s="93">
        <v>44410.617418981485</v>
      </c>
      <c r="F319" s="7">
        <v>44410.654178240744</v>
      </c>
      <c r="G319" s="14">
        <f t="shared" si="4"/>
        <v>3.6759259259270038E-2</v>
      </c>
      <c r="H319" s="86" t="s">
        <v>35</v>
      </c>
      <c r="I319" s="86" t="s">
        <v>24</v>
      </c>
      <c r="J319" s="87" t="str">
        <f>IF(ISBLANK(C319),"",IF(C319=D319, "1 video",CONCATENATE((+COUNTIFS(Video_List!$C:$C,"&lt;=" &amp;Monitoring!F319)-COUNTIFS(Video_List!$C:$C,"&lt;=" &amp;Monitoring!E319))+1," videos")))</f>
        <v>4 videos</v>
      </c>
      <c r="K319" s="27" t="s">
        <v>35</v>
      </c>
      <c r="L319" s="41" t="s">
        <v>28</v>
      </c>
      <c r="M319" s="41" t="s">
        <v>114</v>
      </c>
      <c r="N319" s="41" t="s">
        <v>278</v>
      </c>
      <c r="O319" s="88" t="str">
        <f>+IFERROR(IF(P319="#N/C","#N/C",IF(Q319=0,INDEX(Taxonomy_UniqueValues!D:D,MATCH(Q319,Taxonomy_UniqueValues!F:F,0)),INDEX(Taxonomy_UniqueValues!D:D,MATCH(P319,Taxonomy_UniqueValues!E:E,0)))),"#N/C")</f>
        <v>Tettigoniidea</v>
      </c>
      <c r="P319" s="41" t="s">
        <v>279</v>
      </c>
      <c r="Q319" s="41" t="s">
        <v>280</v>
      </c>
      <c r="R319" s="41" t="s">
        <v>478</v>
      </c>
      <c r="S319" s="41" t="s">
        <v>479</v>
      </c>
      <c r="T319" s="28" t="s">
        <v>26</v>
      </c>
    </row>
    <row r="320" spans="1:20" hidden="1" x14ac:dyDescent="0.3">
      <c r="A320" s="84">
        <v>319</v>
      </c>
      <c r="B320" s="92">
        <v>44410</v>
      </c>
      <c r="C320" s="85" t="s">
        <v>553</v>
      </c>
      <c r="D320" s="85" t="s">
        <v>553</v>
      </c>
      <c r="E320" s="93">
        <v>44410.629953703705</v>
      </c>
      <c r="F320" s="7">
        <v>44410.629976851851</v>
      </c>
      <c r="G320" s="14">
        <f t="shared" si="4"/>
        <v>2.314814628334716E-5</v>
      </c>
      <c r="H320" s="86" t="s">
        <v>23</v>
      </c>
      <c r="I320" s="86" t="s">
        <v>24</v>
      </c>
      <c r="J320" s="87" t="str">
        <f>IF(ISBLANK(C320),"",IF(C320=D320, "1 video",CONCATENATE((+COUNTIFS(Video_List!$C:$C,"&lt;=" &amp;Monitoring!F320)-COUNTIFS(Video_List!$C:$C,"&lt;=" &amp;Monitoring!E320))+1," videos")))</f>
        <v>1 video</v>
      </c>
      <c r="K320" s="27" t="s">
        <v>35</v>
      </c>
      <c r="L320" s="41" t="s">
        <v>28</v>
      </c>
      <c r="M320" s="41" t="s">
        <v>29</v>
      </c>
      <c r="N320" s="41" t="s">
        <v>30</v>
      </c>
      <c r="O320" s="88" t="str">
        <f>+IFERROR(IF(P320="#N/C","#N/C",IF(Q320=0,INDEX(Taxonomy_UniqueValues!D:D,MATCH(Q320,Taxonomy_UniqueValues!F:F,0)),INDEX(Taxonomy_UniqueValues!D:D,MATCH(P320,Taxonomy_UniqueValues!E:E,0)))),"#N/C")</f>
        <v>#N/C</v>
      </c>
      <c r="P320" s="41" t="s">
        <v>26</v>
      </c>
      <c r="Q320" s="41" t="s">
        <v>26</v>
      </c>
      <c r="R320" s="41" t="s">
        <v>26</v>
      </c>
      <c r="S320" s="41" t="s">
        <v>26</v>
      </c>
      <c r="T320" s="28" t="s">
        <v>26</v>
      </c>
    </row>
    <row r="321" spans="1:20" hidden="1" x14ac:dyDescent="0.3">
      <c r="A321" s="84">
        <v>320</v>
      </c>
      <c r="B321" s="92">
        <v>44410</v>
      </c>
      <c r="C321" s="85" t="s">
        <v>554</v>
      </c>
      <c r="D321" s="85" t="s">
        <v>554</v>
      </c>
      <c r="E321" s="93">
        <v>44410.640092592592</v>
      </c>
      <c r="F321" s="7">
        <v>44410.640532407408</v>
      </c>
      <c r="G321" s="14">
        <f t="shared" si="4"/>
        <v>4.398148157633841E-4</v>
      </c>
      <c r="H321" s="86" t="s">
        <v>23</v>
      </c>
      <c r="I321" s="86" t="s">
        <v>24</v>
      </c>
      <c r="J321" s="87" t="str">
        <f>IF(ISBLANK(C321),"",IF(C321=D321, "1 video",CONCATENATE((+COUNTIFS(Video_List!$C:$C,"&lt;=" &amp;Monitoring!F321)-COUNTIFS(Video_List!$C:$C,"&lt;=" &amp;Monitoring!E321))+1," videos")))</f>
        <v>1 video</v>
      </c>
      <c r="K321" s="27" t="s">
        <v>35</v>
      </c>
      <c r="L321" s="41" t="s">
        <v>28</v>
      </c>
      <c r="M321" s="41" t="s">
        <v>29</v>
      </c>
      <c r="N321" s="41" t="s">
        <v>30</v>
      </c>
      <c r="O321" s="88" t="str">
        <f>+IFERROR(IF(P321="#N/C","#N/C",IF(Q321=0,INDEX(Taxonomy_UniqueValues!D:D,MATCH(Q321,Taxonomy_UniqueValues!F:F,0)),INDEX(Taxonomy_UniqueValues!D:D,MATCH(P321,Taxonomy_UniqueValues!E:E,0)))),"#N/C")</f>
        <v>#N/C</v>
      </c>
      <c r="P321" s="41" t="s">
        <v>26</v>
      </c>
      <c r="Q321" s="41" t="s">
        <v>26</v>
      </c>
      <c r="R321" s="41" t="s">
        <v>26</v>
      </c>
      <c r="S321" s="41" t="s">
        <v>26</v>
      </c>
      <c r="T321" s="28" t="s">
        <v>26</v>
      </c>
    </row>
    <row r="322" spans="1:20" hidden="1" x14ac:dyDescent="0.3">
      <c r="A322" s="84">
        <v>321</v>
      </c>
      <c r="B322" s="92">
        <v>44410</v>
      </c>
      <c r="C322" s="85" t="s">
        <v>555</v>
      </c>
      <c r="D322" s="85" t="s">
        <v>556</v>
      </c>
      <c r="E322" s="93">
        <v>44410.654895833337</v>
      </c>
      <c r="F322" s="7">
        <v>44410.666585648149</v>
      </c>
      <c r="G322" s="14">
        <f t="shared" ref="G322:G385" si="5">F322-E322</f>
        <v>1.1689814811688848E-2</v>
      </c>
      <c r="H322" s="86" t="s">
        <v>35</v>
      </c>
      <c r="I322" s="86" t="s">
        <v>24</v>
      </c>
      <c r="J322" s="87" t="str">
        <f>IF(ISBLANK(C322),"",IF(C322=D322, "1 video",CONCATENATE((+COUNTIFS(Video_List!$C:$C,"&lt;=" &amp;Monitoring!F322)-COUNTIFS(Video_List!$C:$C,"&lt;=" &amp;Monitoring!E322))+1," videos")))</f>
        <v>2 videos</v>
      </c>
      <c r="K322" s="27" t="s">
        <v>35</v>
      </c>
      <c r="L322" s="41" t="s">
        <v>28</v>
      </c>
      <c r="M322" s="41" t="s">
        <v>114</v>
      </c>
      <c r="N322" s="41" t="s">
        <v>278</v>
      </c>
      <c r="O322" s="88" t="str">
        <f>+IFERROR(IF(P322="#N/C","#N/C",IF(Q322=0,INDEX(Taxonomy_UniqueValues!D:D,MATCH(Q322,Taxonomy_UniqueValues!F:F,0)),INDEX(Taxonomy_UniqueValues!D:D,MATCH(P322,Taxonomy_UniqueValues!E:E,0)))),"#N/C")</f>
        <v>Tettigoniidea</v>
      </c>
      <c r="P322" s="41" t="s">
        <v>279</v>
      </c>
      <c r="Q322" s="41" t="s">
        <v>280</v>
      </c>
      <c r="R322" s="41" t="s">
        <v>478</v>
      </c>
      <c r="S322" s="41" t="s">
        <v>479</v>
      </c>
      <c r="T322" s="28" t="s">
        <v>26</v>
      </c>
    </row>
    <row r="323" spans="1:20" hidden="1" x14ac:dyDescent="0.3">
      <c r="A323" s="84">
        <v>322</v>
      </c>
      <c r="B323" s="92">
        <v>44410</v>
      </c>
      <c r="C323" s="85" t="s">
        <v>557</v>
      </c>
      <c r="D323" s="85" t="s">
        <v>557</v>
      </c>
      <c r="E323" s="93">
        <v>44410.676157407404</v>
      </c>
      <c r="F323" s="7">
        <v>44410.677303240744</v>
      </c>
      <c r="G323" s="14">
        <f t="shared" si="5"/>
        <v>1.1458333392511122E-3</v>
      </c>
      <c r="H323" s="86" t="s">
        <v>35</v>
      </c>
      <c r="I323" s="86" t="s">
        <v>24</v>
      </c>
      <c r="J323" s="87" t="str">
        <f>IF(ISBLANK(C323),"",IF(C323=D323, "1 video",CONCATENATE((+COUNTIFS(Video_List!$C:$C,"&lt;=" &amp;Monitoring!F323)-COUNTIFS(Video_List!$C:$C,"&lt;=" &amp;Monitoring!E323))+1," videos")))</f>
        <v>1 video</v>
      </c>
      <c r="K323" s="27" t="s">
        <v>35</v>
      </c>
      <c r="L323" s="105" t="str">
        <f>+IFERROR(IF(M323="#N/C","#N/C",INDEX(Taxonomy_UniqueValues!A:A,MATCH(M323,Taxonomy_UniqueValues!B:B,0))),"#N/C")</f>
        <v>Insecta</v>
      </c>
      <c r="M323" s="105" t="str">
        <f>+IFERROR(IF(N323="#N/C","#N/C",INDEX(Taxonomy_UniqueValues!B:B,MATCH(N323,Taxonomy_UniqueValues!C:C,0))),"#N/C")</f>
        <v>Hymenoptera</v>
      </c>
      <c r="N323" s="105" t="str">
        <f>+IFERROR(IF(O323="#N/C","#N/C",INDEX(Taxonomy_UniqueValues!C:C,MATCH(O323,Taxonomy_UniqueValues!D:D,0))),"#N/C")</f>
        <v>Apocrita</v>
      </c>
      <c r="O323" s="105" t="str">
        <f>+IFERROR(IF(P323="#N/C","#N/C",INDEX(Taxonomy_UniqueValues!D:D,MATCH(P323,Taxonomy_UniqueValues!E:E,0))),"#N/C")</f>
        <v>Aculeata</v>
      </c>
      <c r="P323" s="105" t="str">
        <f>+IFERROR(IF(Q323="#N/C","#N/C",INDEX(Taxonomy_UniqueValues!E:E,MATCH(Q323,Taxonomy_UniqueValues!F:F,0))),"#N/C")</f>
        <v>Formicoidea</v>
      </c>
      <c r="Q323" s="105" t="str">
        <f>+IFERROR(IF(R323="#N/C","#N/C",INDEX(Taxonomy_UniqueValues!F:F,MATCH(R323,Taxonomy_UniqueValues!G:G,0))),"#N/C")</f>
        <v>Formicidae</v>
      </c>
      <c r="R323" s="41" t="s">
        <v>112</v>
      </c>
      <c r="S323" s="41" t="s">
        <v>549</v>
      </c>
      <c r="T323" s="28" t="s">
        <v>26</v>
      </c>
    </row>
    <row r="324" spans="1:20" hidden="1" x14ac:dyDescent="0.3">
      <c r="A324" s="84">
        <v>323</v>
      </c>
      <c r="B324" s="92">
        <v>44410</v>
      </c>
      <c r="C324" s="85" t="s">
        <v>558</v>
      </c>
      <c r="D324" s="85" t="s">
        <v>558</v>
      </c>
      <c r="E324" s="93">
        <v>44410.679143518515</v>
      </c>
      <c r="F324" s="7">
        <v>44410.679212962961</v>
      </c>
      <c r="G324" s="14">
        <f t="shared" si="5"/>
        <v>6.9444446125999093E-5</v>
      </c>
      <c r="H324" s="4" t="s">
        <v>23</v>
      </c>
      <c r="I324" s="4" t="s">
        <v>24</v>
      </c>
      <c r="J324" s="87" t="str">
        <f>IF(ISBLANK(C324),"",IF(C324=D324, "1 video",CONCATENATE((+COUNTIFS(Video_List!$C:$C,"&lt;=" &amp;Monitoring!F324)-COUNTIFS(Video_List!$C:$C,"&lt;=" &amp;Monitoring!E324))+1," videos")))</f>
        <v>1 video</v>
      </c>
      <c r="K324" s="27" t="s">
        <v>35</v>
      </c>
      <c r="L324" s="41" t="s">
        <v>28</v>
      </c>
      <c r="M324" s="41" t="s">
        <v>29</v>
      </c>
      <c r="N324" s="41" t="s">
        <v>30</v>
      </c>
      <c r="O324" s="88" t="str">
        <f>+IFERROR(IF(P324="#N/C","#N/C",IF(Q324=0,INDEX(Taxonomy_UniqueValues!D:D,MATCH(Q324,Taxonomy_UniqueValues!F:F,0)),INDEX(Taxonomy_UniqueValues!D:D,MATCH(P324,Taxonomy_UniqueValues!E:E,0)))),"#N/C")</f>
        <v>#N/C</v>
      </c>
      <c r="P324" s="41" t="s">
        <v>26</v>
      </c>
      <c r="Q324" s="41" t="s">
        <v>26</v>
      </c>
      <c r="R324" s="41" t="s">
        <v>26</v>
      </c>
      <c r="S324" s="41" t="s">
        <v>26</v>
      </c>
      <c r="T324" s="28" t="s">
        <v>26</v>
      </c>
    </row>
    <row r="325" spans="1:20" hidden="1" x14ac:dyDescent="0.3">
      <c r="A325" s="84">
        <v>324</v>
      </c>
      <c r="B325" s="92">
        <v>44410</v>
      </c>
      <c r="C325" s="85" t="s">
        <v>559</v>
      </c>
      <c r="D325" s="85" t="s">
        <v>559</v>
      </c>
      <c r="E325" s="93">
        <v>44410.688703703701</v>
      </c>
      <c r="F325" s="7">
        <v>44410.689247685186</v>
      </c>
      <c r="G325" s="14">
        <f t="shared" si="5"/>
        <v>5.4398148495238274E-4</v>
      </c>
      <c r="H325" s="4" t="s">
        <v>35</v>
      </c>
      <c r="I325" s="4" t="s">
        <v>109</v>
      </c>
      <c r="J325" s="87" t="str">
        <f>IF(ISBLANK(C325),"",IF(C325=D325, "1 video",CONCATENATE((+COUNTIFS(Video_List!$C:$C,"&lt;=" &amp;Monitoring!F325)-COUNTIFS(Video_List!$C:$C,"&lt;=" &amp;Monitoring!E325))+1," videos")))</f>
        <v>1 video</v>
      </c>
      <c r="K325" s="25" t="s">
        <v>23</v>
      </c>
      <c r="L325" s="41" t="s">
        <v>28</v>
      </c>
      <c r="M325" s="41" t="s">
        <v>32</v>
      </c>
      <c r="N325" s="41" t="s">
        <v>33</v>
      </c>
      <c r="O325" s="88" t="str">
        <f>+IFERROR(IF(P325="#N/C","#N/C",IF(Q325=0,INDEX(Taxonomy_UniqueValues!D:D,MATCH(Q325,Taxonomy_UniqueValues!F:F,0)),INDEX(Taxonomy_UniqueValues!D:D,MATCH(P325,Taxonomy_UniqueValues!E:E,0)))),"#N/C")</f>
        <v>#N/C</v>
      </c>
      <c r="P325" s="41" t="s">
        <v>26</v>
      </c>
      <c r="Q325" s="41" t="s">
        <v>26</v>
      </c>
      <c r="R325" s="41" t="s">
        <v>26</v>
      </c>
      <c r="S325" s="41" t="s">
        <v>26</v>
      </c>
      <c r="T325" s="28" t="s">
        <v>26</v>
      </c>
    </row>
    <row r="326" spans="1:20" hidden="1" x14ac:dyDescent="0.3">
      <c r="A326" s="84">
        <v>325</v>
      </c>
      <c r="B326" s="92">
        <v>44410</v>
      </c>
      <c r="C326" s="85" t="s">
        <v>560</v>
      </c>
      <c r="D326" s="85" t="s">
        <v>560</v>
      </c>
      <c r="E326" s="93">
        <v>44410.693449074075</v>
      </c>
      <c r="F326" s="7">
        <v>44410.693518518521</v>
      </c>
      <c r="G326" s="14">
        <f t="shared" si="5"/>
        <v>6.9444446125999093E-5</v>
      </c>
      <c r="H326" s="86" t="s">
        <v>23</v>
      </c>
      <c r="I326" s="86" t="s">
        <v>24</v>
      </c>
      <c r="J326" s="87" t="str">
        <f>IF(ISBLANK(C326),"",IF(C326=D326, "1 video",CONCATENATE((+COUNTIFS(Video_List!$C:$C,"&lt;=" &amp;Monitoring!F326)-COUNTIFS(Video_List!$C:$C,"&lt;=" &amp;Monitoring!E326))+1," videos")))</f>
        <v>1 video</v>
      </c>
      <c r="K326" s="27" t="s">
        <v>35</v>
      </c>
      <c r="L326" s="41" t="s">
        <v>28</v>
      </c>
      <c r="M326" s="41" t="s">
        <v>29</v>
      </c>
      <c r="N326" s="41" t="s">
        <v>176</v>
      </c>
      <c r="O326" s="88" t="str">
        <f>+IFERROR(IF(P326="#N/C","#N/C",IF(Q326=0,INDEX(Taxonomy_UniqueValues!D:D,MATCH(Q326,Taxonomy_UniqueValues!F:F,0)),INDEX(Taxonomy_UniqueValues!D:D,MATCH(P326,Taxonomy_UniqueValues!E:E,0)))),"#N/C")</f>
        <v>Bibionomorpha</v>
      </c>
      <c r="P326" s="41" t="s">
        <v>177</v>
      </c>
      <c r="Q326" s="41" t="s">
        <v>26</v>
      </c>
      <c r="R326" s="41" t="s">
        <v>26</v>
      </c>
      <c r="S326" s="41" t="s">
        <v>26</v>
      </c>
      <c r="T326" s="28" t="s">
        <v>26</v>
      </c>
    </row>
    <row r="327" spans="1:20" hidden="1" x14ac:dyDescent="0.3">
      <c r="A327" s="84">
        <v>326</v>
      </c>
      <c r="B327" s="92">
        <v>44410</v>
      </c>
      <c r="C327" s="85" t="s">
        <v>561</v>
      </c>
      <c r="D327" s="85" t="s">
        <v>561</v>
      </c>
      <c r="E327" s="93">
        <v>44410.694178240738</v>
      </c>
      <c r="F327" s="7">
        <v>44410.694224537037</v>
      </c>
      <c r="G327" s="14">
        <f t="shared" si="5"/>
        <v>4.6296299842651933E-5</v>
      </c>
      <c r="H327" s="86" t="s">
        <v>23</v>
      </c>
      <c r="I327" s="86" t="s">
        <v>24</v>
      </c>
      <c r="J327" s="87" t="str">
        <f>IF(ISBLANK(C327),"",IF(C327=D327, "1 video",CONCATENATE((+COUNTIFS(Video_List!$C:$C,"&lt;=" &amp;Monitoring!F327)-COUNTIFS(Video_List!$C:$C,"&lt;=" &amp;Monitoring!E327))+1," videos")))</f>
        <v>1 video</v>
      </c>
      <c r="K327" s="27" t="s">
        <v>35</v>
      </c>
      <c r="L327" s="41" t="s">
        <v>28</v>
      </c>
      <c r="M327" s="41" t="s">
        <v>29</v>
      </c>
      <c r="N327" s="41" t="s">
        <v>30</v>
      </c>
      <c r="O327" s="88" t="str">
        <f>+IFERROR(IF(P327="#N/C","#N/C",IF(Q327=0,INDEX(Taxonomy_UniqueValues!D:D,MATCH(Q327,Taxonomy_UniqueValues!F:F,0)),INDEX(Taxonomy_UniqueValues!D:D,MATCH(P327,Taxonomy_UniqueValues!E:E,0)))),"#N/C")</f>
        <v>Asilomorpha</v>
      </c>
      <c r="P327" s="41" t="s">
        <v>430</v>
      </c>
      <c r="Q327" s="41" t="s">
        <v>431</v>
      </c>
      <c r="R327" s="41" t="s">
        <v>26</v>
      </c>
      <c r="S327" s="41" t="s">
        <v>26</v>
      </c>
      <c r="T327" s="28" t="s">
        <v>26</v>
      </c>
    </row>
    <row r="328" spans="1:20" hidden="1" x14ac:dyDescent="0.3">
      <c r="A328" s="84">
        <v>327</v>
      </c>
      <c r="B328" s="92">
        <v>44410</v>
      </c>
      <c r="C328" s="85" t="s">
        <v>562</v>
      </c>
      <c r="D328" s="85" t="s">
        <v>562</v>
      </c>
      <c r="E328" s="93">
        <v>44410.720185185186</v>
      </c>
      <c r="F328" s="7">
        <v>44410.721365740741</v>
      </c>
      <c r="G328" s="14">
        <f t="shared" si="5"/>
        <v>1.1805555550381541E-3</v>
      </c>
      <c r="H328" s="86" t="s">
        <v>35</v>
      </c>
      <c r="I328" s="86" t="s">
        <v>24</v>
      </c>
      <c r="J328" s="87" t="str">
        <f>IF(ISBLANK(C328),"",IF(C328=D328, "1 video",CONCATENATE((+COUNTIFS(Video_List!$C:$C,"&lt;=" &amp;Monitoring!F328)-COUNTIFS(Video_List!$C:$C,"&lt;=" &amp;Monitoring!E328))+1," videos")))</f>
        <v>1 video</v>
      </c>
      <c r="K328" s="27" t="s">
        <v>35</v>
      </c>
      <c r="L328" s="105" t="str">
        <f>+IFERROR(IF(M328="#N/C","#N/C",INDEX(Taxonomy_UniqueValues!A:A,MATCH(M328,Taxonomy_UniqueValues!B:B,0))),"#N/C")</f>
        <v>Insecta</v>
      </c>
      <c r="M328" s="105" t="str">
        <f>+IFERROR(IF(N328="#N/C","#N/C",INDEX(Taxonomy_UniqueValues!B:B,MATCH(N328,Taxonomy_UniqueValues!C:C,0))),"#N/C")</f>
        <v>Hymenoptera</v>
      </c>
      <c r="N328" s="105" t="str">
        <f>+IFERROR(IF(O328="#N/C","#N/C",INDEX(Taxonomy_UniqueValues!C:C,MATCH(O328,Taxonomy_UniqueValues!D:D,0))),"#N/C")</f>
        <v>Apocrita</v>
      </c>
      <c r="O328" s="105" t="str">
        <f>+IFERROR(IF(P328="#N/C","#N/C",INDEX(Taxonomy_UniqueValues!D:D,MATCH(P328,Taxonomy_UniqueValues!E:E,0))),"#N/C")</f>
        <v>Aculeata</v>
      </c>
      <c r="P328" s="105" t="str">
        <f>+IFERROR(IF(Q328="#N/C","#N/C",INDEX(Taxonomy_UniqueValues!E:E,MATCH(Q328,Taxonomy_UniqueValues!F:F,0))),"#N/C")</f>
        <v>Formicoidea</v>
      </c>
      <c r="Q328" s="41" t="s">
        <v>111</v>
      </c>
      <c r="R328" s="41" t="s">
        <v>26</v>
      </c>
      <c r="S328" s="41" t="s">
        <v>26</v>
      </c>
      <c r="T328" s="28" t="s">
        <v>26</v>
      </c>
    </row>
    <row r="329" spans="1:20" hidden="1" x14ac:dyDescent="0.3">
      <c r="A329" s="84">
        <v>328</v>
      </c>
      <c r="B329" s="92">
        <v>44410</v>
      </c>
      <c r="C329" s="85" t="s">
        <v>563</v>
      </c>
      <c r="D329" s="85" t="s">
        <v>563</v>
      </c>
      <c r="E329" s="93">
        <v>44410.748101851852</v>
      </c>
      <c r="F329" s="7">
        <v>44410.748148148145</v>
      </c>
      <c r="G329" s="14">
        <f t="shared" si="5"/>
        <v>4.6296292566694319E-5</v>
      </c>
      <c r="H329" s="86" t="s">
        <v>23</v>
      </c>
      <c r="I329" s="86" t="s">
        <v>24</v>
      </c>
      <c r="J329" s="87" t="str">
        <f>IF(ISBLANK(C329),"",IF(C329=D329, "1 video",CONCATENATE((+COUNTIFS(Video_List!$C:$C,"&lt;=" &amp;Monitoring!F329)-COUNTIFS(Video_List!$C:$C,"&lt;=" &amp;Monitoring!E329))+1," videos")))</f>
        <v>1 video</v>
      </c>
      <c r="K329" s="27" t="s">
        <v>35</v>
      </c>
      <c r="L329" s="41" t="s">
        <v>28</v>
      </c>
      <c r="M329" s="41" t="s">
        <v>29</v>
      </c>
      <c r="N329" s="41" t="s">
        <v>30</v>
      </c>
      <c r="O329" s="88" t="str">
        <f>+IFERROR(IF(P329="#N/C","#N/C",IF(Q329=0,INDEX(Taxonomy_UniqueValues!D:D,MATCH(Q329,Taxonomy_UniqueValues!F:F,0)),INDEX(Taxonomy_UniqueValues!D:D,MATCH(P329,Taxonomy_UniqueValues!E:E,0)))),"#N/C")</f>
        <v>Asilomorpha</v>
      </c>
      <c r="P329" s="41" t="s">
        <v>430</v>
      </c>
      <c r="Q329" s="41" t="s">
        <v>431</v>
      </c>
      <c r="R329" s="41" t="s">
        <v>26</v>
      </c>
      <c r="S329" s="41" t="s">
        <v>26</v>
      </c>
      <c r="T329" s="28" t="s">
        <v>26</v>
      </c>
    </row>
    <row r="330" spans="1:20" hidden="1" x14ac:dyDescent="0.3">
      <c r="A330" s="84">
        <v>329</v>
      </c>
      <c r="B330" s="92">
        <v>44410</v>
      </c>
      <c r="C330" s="85" t="s">
        <v>564</v>
      </c>
      <c r="D330" s="85" t="s">
        <v>564</v>
      </c>
      <c r="E330" s="93">
        <v>44410.75439814815</v>
      </c>
      <c r="F330" s="7">
        <v>44410.754537037035</v>
      </c>
      <c r="G330" s="14">
        <f t="shared" si="5"/>
        <v>1.3888888497604057E-4</v>
      </c>
      <c r="H330" s="86" t="s">
        <v>23</v>
      </c>
      <c r="I330" s="86" t="s">
        <v>24</v>
      </c>
      <c r="J330" s="87" t="str">
        <f>IF(ISBLANK(C330),"",IF(C330=D330, "1 video",CONCATENATE((+COUNTIFS(Video_List!$C:$C,"&lt;=" &amp;Monitoring!F330)-COUNTIFS(Video_List!$C:$C,"&lt;=" &amp;Monitoring!E330))+1," videos")))</f>
        <v>1 video</v>
      </c>
      <c r="K330" s="27" t="s">
        <v>35</v>
      </c>
      <c r="L330" s="41" t="s">
        <v>28</v>
      </c>
      <c r="M330" s="41" t="s">
        <v>29</v>
      </c>
      <c r="N330" s="41" t="s">
        <v>30</v>
      </c>
      <c r="O330" s="88" t="str">
        <f>+IFERROR(IF(P330="#N/C","#N/C",IF(Q330=0,INDEX(Taxonomy_UniqueValues!D:D,MATCH(Q330,Taxonomy_UniqueValues!F:F,0)),INDEX(Taxonomy_UniqueValues!D:D,MATCH(P330,Taxonomy_UniqueValues!E:E,0)))),"#N/C")</f>
        <v>Asilomorpha</v>
      </c>
      <c r="P330" s="41" t="s">
        <v>430</v>
      </c>
      <c r="Q330" s="41" t="s">
        <v>431</v>
      </c>
      <c r="R330" s="41" t="s">
        <v>26</v>
      </c>
      <c r="S330" s="41" t="s">
        <v>26</v>
      </c>
      <c r="T330" s="28" t="s">
        <v>26</v>
      </c>
    </row>
    <row r="331" spans="1:20" hidden="1" x14ac:dyDescent="0.3">
      <c r="A331" s="84">
        <v>330</v>
      </c>
      <c r="B331" s="92">
        <v>44410</v>
      </c>
      <c r="C331" s="85" t="s">
        <v>565</v>
      </c>
      <c r="D331" s="85" t="s">
        <v>565</v>
      </c>
      <c r="E331" s="93">
        <v>44410.759456018517</v>
      </c>
      <c r="F331" s="7">
        <v>44410.759548611109</v>
      </c>
      <c r="G331" s="14">
        <f t="shared" si="5"/>
        <v>9.2592592409346253E-5</v>
      </c>
      <c r="H331" s="86" t="s">
        <v>23</v>
      </c>
      <c r="I331" s="86" t="s">
        <v>24</v>
      </c>
      <c r="J331" s="87" t="str">
        <f>IF(ISBLANK(C331),"",IF(C331=D331, "1 video",CONCATENATE((+COUNTIFS(Video_List!$C:$C,"&lt;=" &amp;Monitoring!F331)-COUNTIFS(Video_List!$C:$C,"&lt;=" &amp;Monitoring!E331))+1," videos")))</f>
        <v>1 video</v>
      </c>
      <c r="K331" s="27" t="s">
        <v>35</v>
      </c>
      <c r="L331" s="41" t="s">
        <v>28</v>
      </c>
      <c r="M331" s="41" t="s">
        <v>29</v>
      </c>
      <c r="N331" s="41" t="s">
        <v>30</v>
      </c>
      <c r="O331" s="88" t="str">
        <f>+IFERROR(IF(P331="#N/C","#N/C",IF(Q331=0,INDEX(Taxonomy_UniqueValues!D:D,MATCH(Q331,Taxonomy_UniqueValues!F:F,0)),INDEX(Taxonomy_UniqueValues!D:D,MATCH(P331,Taxonomy_UniqueValues!E:E,0)))),"#N/C")</f>
        <v>Asilomorpha</v>
      </c>
      <c r="P331" s="41" t="s">
        <v>430</v>
      </c>
      <c r="Q331" s="41" t="s">
        <v>431</v>
      </c>
      <c r="R331" s="41" t="s">
        <v>26</v>
      </c>
      <c r="S331" s="41" t="s">
        <v>26</v>
      </c>
      <c r="T331" s="28" t="s">
        <v>26</v>
      </c>
    </row>
    <row r="332" spans="1:20" hidden="1" x14ac:dyDescent="0.3">
      <c r="A332" s="84">
        <v>331</v>
      </c>
      <c r="B332" s="92">
        <v>44410</v>
      </c>
      <c r="C332" s="85" t="s">
        <v>566</v>
      </c>
      <c r="D332" s="85" t="s">
        <v>566</v>
      </c>
      <c r="E332" s="93">
        <v>44410.783518518518</v>
      </c>
      <c r="F332" s="7">
        <v>44410.783750000002</v>
      </c>
      <c r="G332" s="14">
        <f t="shared" si="5"/>
        <v>2.3148148466134444E-4</v>
      </c>
      <c r="H332" s="86" t="s">
        <v>23</v>
      </c>
      <c r="I332" s="86" t="s">
        <v>24</v>
      </c>
      <c r="J332" s="87" t="str">
        <f>IF(ISBLANK(C332),"",IF(C332=D332, "1 video",CONCATENATE((+COUNTIFS(Video_List!$C:$C,"&lt;=" &amp;Monitoring!F332)-COUNTIFS(Video_List!$C:$C,"&lt;=" &amp;Monitoring!E332))+1," videos")))</f>
        <v>1 video</v>
      </c>
      <c r="K332" s="27" t="s">
        <v>35</v>
      </c>
      <c r="L332" s="41" t="s">
        <v>28</v>
      </c>
      <c r="M332" s="41" t="s">
        <v>29</v>
      </c>
      <c r="N332" s="41" t="s">
        <v>30</v>
      </c>
      <c r="O332" s="88" t="str">
        <f>+IFERROR(IF(P332="#N/C","#N/C",IF(Q332=0,INDEX(Taxonomy_UniqueValues!D:D,MATCH(Q332,Taxonomy_UniqueValues!F:F,0)),INDEX(Taxonomy_UniqueValues!D:D,MATCH(P332,Taxonomy_UniqueValues!E:E,0)))),"#N/C")</f>
        <v>Asilomorpha</v>
      </c>
      <c r="P332" s="41" t="s">
        <v>430</v>
      </c>
      <c r="Q332" s="41" t="s">
        <v>431</v>
      </c>
      <c r="R332" s="41" t="s">
        <v>26</v>
      </c>
      <c r="S332" s="41" t="s">
        <v>26</v>
      </c>
      <c r="T332" s="28" t="s">
        <v>26</v>
      </c>
    </row>
    <row r="333" spans="1:20" hidden="1" x14ac:dyDescent="0.3">
      <c r="A333" s="84">
        <v>332</v>
      </c>
      <c r="B333" s="92">
        <v>44410</v>
      </c>
      <c r="C333" s="85" t="s">
        <v>567</v>
      </c>
      <c r="D333" s="85" t="s">
        <v>567</v>
      </c>
      <c r="E333" s="93">
        <v>44410.791087962964</v>
      </c>
      <c r="F333" s="7">
        <v>44410.791134259256</v>
      </c>
      <c r="G333" s="14">
        <f t="shared" si="5"/>
        <v>4.6296292566694319E-5</v>
      </c>
      <c r="H333" s="86" t="s">
        <v>23</v>
      </c>
      <c r="I333" s="86" t="s">
        <v>24</v>
      </c>
      <c r="J333" s="87" t="str">
        <f>IF(ISBLANK(C333),"",IF(C333=D333, "1 video",CONCATENATE((+COUNTIFS(Video_List!$C:$C,"&lt;=" &amp;Monitoring!F333)-COUNTIFS(Video_List!$C:$C,"&lt;=" &amp;Monitoring!E333))+1," videos")))</f>
        <v>1 video</v>
      </c>
      <c r="K333" s="27" t="s">
        <v>35</v>
      </c>
      <c r="L333" s="41" t="s">
        <v>28</v>
      </c>
      <c r="M333" s="41" t="s">
        <v>29</v>
      </c>
      <c r="N333" s="41" t="s">
        <v>30</v>
      </c>
      <c r="O333" s="88" t="str">
        <f>+IFERROR(IF(P333="#N/C","#N/C",IF(Q333=0,INDEX(Taxonomy_UniqueValues!D:D,MATCH(Q333,Taxonomy_UniqueValues!F:F,0)),INDEX(Taxonomy_UniqueValues!D:D,MATCH(P333,Taxonomy_UniqueValues!E:E,0)))),"#N/C")</f>
        <v>Asilomorpha</v>
      </c>
      <c r="P333" s="41" t="s">
        <v>430</v>
      </c>
      <c r="Q333" s="41" t="s">
        <v>431</v>
      </c>
      <c r="R333" s="41" t="s">
        <v>26</v>
      </c>
      <c r="S333" s="41" t="s">
        <v>26</v>
      </c>
      <c r="T333" s="28" t="s">
        <v>26</v>
      </c>
    </row>
    <row r="334" spans="1:20" hidden="1" x14ac:dyDescent="0.3">
      <c r="A334" s="84">
        <v>333</v>
      </c>
      <c r="B334" s="92">
        <v>44411</v>
      </c>
      <c r="C334" s="85" t="s">
        <v>568</v>
      </c>
      <c r="D334" s="85" t="s">
        <v>569</v>
      </c>
      <c r="E334" s="93">
        <v>44411.254120370373</v>
      </c>
      <c r="F334" s="7">
        <v>44411.447256944448</v>
      </c>
      <c r="G334" s="14">
        <f t="shared" si="5"/>
        <v>0.19313657407474238</v>
      </c>
      <c r="H334" s="86" t="s">
        <v>35</v>
      </c>
      <c r="I334" s="86" t="s">
        <v>109</v>
      </c>
      <c r="J334" s="87" t="str">
        <f>IF(ISBLANK(C334),"",IF(C334=D334, "1 video",CONCATENATE((+COUNTIFS(Video_List!$C:$C,"&lt;=" &amp;Monitoring!F334)-COUNTIFS(Video_List!$C:$C,"&lt;=" &amp;Monitoring!E334))+1," videos")))</f>
        <v>3 videos</v>
      </c>
      <c r="K334" s="27" t="s">
        <v>35</v>
      </c>
      <c r="L334" s="41" t="s">
        <v>28</v>
      </c>
      <c r="M334" s="41" t="s">
        <v>114</v>
      </c>
      <c r="N334" s="41" t="s">
        <v>278</v>
      </c>
      <c r="O334" s="88" t="str">
        <f>+IFERROR(IF(P334="#N/C","#N/C",IF(Q334=0,INDEX(Taxonomy_UniqueValues!D:D,MATCH(Q334,Taxonomy_UniqueValues!F:F,0)),INDEX(Taxonomy_UniqueValues!D:D,MATCH(P334,Taxonomy_UniqueValues!E:E,0)))),"#N/C")</f>
        <v>Tettigoniidea</v>
      </c>
      <c r="P334" s="41" t="s">
        <v>279</v>
      </c>
      <c r="Q334" s="41" t="s">
        <v>280</v>
      </c>
      <c r="R334" s="41" t="s">
        <v>478</v>
      </c>
      <c r="S334" s="41" t="s">
        <v>479</v>
      </c>
      <c r="T334" s="28" t="s">
        <v>26</v>
      </c>
    </row>
    <row r="335" spans="1:20" hidden="1" x14ac:dyDescent="0.3">
      <c r="A335" s="84">
        <v>334</v>
      </c>
      <c r="B335" s="92">
        <v>44411</v>
      </c>
      <c r="C335" s="85" t="s">
        <v>570</v>
      </c>
      <c r="D335" s="85" t="s">
        <v>570</v>
      </c>
      <c r="E335" s="93">
        <v>44411.384467592594</v>
      </c>
      <c r="F335" s="7">
        <v>44411.385347222225</v>
      </c>
      <c r="G335" s="14">
        <f t="shared" si="5"/>
        <v>8.7962963152676821E-4</v>
      </c>
      <c r="H335" s="86" t="s">
        <v>35</v>
      </c>
      <c r="I335" s="86" t="s">
        <v>46</v>
      </c>
      <c r="J335" s="87" t="str">
        <f>IF(ISBLANK(C335),"",IF(C335=D335, "1 video",CONCATENATE((+COUNTIFS(Video_List!$C:$C,"&lt;=" &amp;Monitoring!F335)-COUNTIFS(Video_List!$C:$C,"&lt;=" &amp;Monitoring!E335))+1," videos")))</f>
        <v>1 video</v>
      </c>
      <c r="K335" s="27" t="s">
        <v>35</v>
      </c>
      <c r="L335" s="105" t="str">
        <f>+IFERROR(IF(M335="#N/C","#N/C",INDEX(Taxonomy_UniqueValues!A:A,MATCH(M335,Taxonomy_UniqueValues!B:B,0))),"#N/C")</f>
        <v>Insecta</v>
      </c>
      <c r="M335" s="105" t="str">
        <f>+IFERROR(IF(N335="#N/C","#N/C",INDEX(Taxonomy_UniqueValues!B:B,MATCH(N335,Taxonomy_UniqueValues!C:C,0))),"#N/C")</f>
        <v>Hymenoptera</v>
      </c>
      <c r="N335" s="105" t="str">
        <f>+IFERROR(IF(O335="#N/C","#N/C",INDEX(Taxonomy_UniqueValues!C:C,MATCH(O335,Taxonomy_UniqueValues!D:D,0))),"#N/C")</f>
        <v>Apocrita</v>
      </c>
      <c r="O335" s="105" t="str">
        <f>+IFERROR(IF(P335="#N/C","#N/C",INDEX(Taxonomy_UniqueValues!D:D,MATCH(P335,Taxonomy_UniqueValues!E:E,0))),"#N/C")</f>
        <v>Aculeata</v>
      </c>
      <c r="P335" s="105" t="str">
        <f>+IFERROR(IF(Q335="#N/C","#N/C",INDEX(Taxonomy_UniqueValues!E:E,MATCH(Q335,Taxonomy_UniqueValues!F:F,0))),"#N/C")</f>
        <v>Formicoidea</v>
      </c>
      <c r="Q335" s="41" t="s">
        <v>111</v>
      </c>
      <c r="R335" s="41" t="s">
        <v>26</v>
      </c>
      <c r="S335" s="41" t="s">
        <v>26</v>
      </c>
      <c r="T335" s="28" t="s">
        <v>26</v>
      </c>
    </row>
    <row r="336" spans="1:20" hidden="1" x14ac:dyDescent="0.3">
      <c r="A336" s="84">
        <v>335</v>
      </c>
      <c r="B336" s="92">
        <v>44411</v>
      </c>
      <c r="C336" s="85" t="s">
        <v>571</v>
      </c>
      <c r="D336" s="85" t="s">
        <v>572</v>
      </c>
      <c r="E336" s="93">
        <v>44411.453263888892</v>
      </c>
      <c r="F336" s="7">
        <v>44411.501099537039</v>
      </c>
      <c r="G336" s="14">
        <f t="shared" si="5"/>
        <v>4.7835648147156462E-2</v>
      </c>
      <c r="H336" s="86" t="s">
        <v>35</v>
      </c>
      <c r="I336" s="86" t="s">
        <v>109</v>
      </c>
      <c r="J336" s="87" t="str">
        <f>IF(ISBLANK(C336),"",IF(C336=D336, "1 video",CONCATENATE((+COUNTIFS(Video_List!$C:$C,"&lt;=" &amp;Monitoring!F336)-COUNTIFS(Video_List!$C:$C,"&lt;=" &amp;Monitoring!E336))+1," videos")))</f>
        <v>3 videos</v>
      </c>
      <c r="K336" s="27" t="s">
        <v>35</v>
      </c>
      <c r="L336" s="41" t="s">
        <v>28</v>
      </c>
      <c r="M336" s="41" t="s">
        <v>114</v>
      </c>
      <c r="N336" s="41" t="s">
        <v>278</v>
      </c>
      <c r="O336" s="88" t="str">
        <f>+IFERROR(IF(P336="#N/C","#N/C",IF(Q336=0,INDEX(Taxonomy_UniqueValues!D:D,MATCH(Q336,Taxonomy_UniqueValues!F:F,0)),INDEX(Taxonomy_UniqueValues!D:D,MATCH(P336,Taxonomy_UniqueValues!E:E,0)))),"#N/C")</f>
        <v>Tettigoniidea</v>
      </c>
      <c r="P336" s="41" t="s">
        <v>279</v>
      </c>
      <c r="Q336" s="41" t="s">
        <v>280</v>
      </c>
      <c r="R336" s="41" t="s">
        <v>478</v>
      </c>
      <c r="S336" s="41" t="s">
        <v>479</v>
      </c>
      <c r="T336" s="28" t="s">
        <v>26</v>
      </c>
    </row>
    <row r="337" spans="1:20" hidden="1" x14ac:dyDescent="0.3">
      <c r="A337" s="84">
        <v>336</v>
      </c>
      <c r="B337" s="92">
        <v>44411</v>
      </c>
      <c r="C337" s="85" t="s">
        <v>573</v>
      </c>
      <c r="D337" s="85" t="s">
        <v>573</v>
      </c>
      <c r="E337" s="93">
        <v>44411.482777777775</v>
      </c>
      <c r="F337" s="7">
        <v>44411.483275462961</v>
      </c>
      <c r="G337" s="14">
        <f t="shared" si="5"/>
        <v>4.9768518510973081E-4</v>
      </c>
      <c r="H337" s="86" t="s">
        <v>35</v>
      </c>
      <c r="I337" s="86" t="s">
        <v>24</v>
      </c>
      <c r="J337" s="87" t="str">
        <f>IF(ISBLANK(C337),"",IF(C337=D337, "1 video",CONCATENATE((+COUNTIFS(Video_List!$C:$C,"&lt;=" &amp;Monitoring!F337)-COUNTIFS(Video_List!$C:$C,"&lt;=" &amp;Monitoring!E337))+1," videos")))</f>
        <v>1 video</v>
      </c>
      <c r="K337" s="27" t="s">
        <v>35</v>
      </c>
      <c r="L337" s="105" t="str">
        <f>+IFERROR(IF(M337="#N/C","#N/C",INDEX(Taxonomy_UniqueValues!A:A,MATCH(M337,Taxonomy_UniqueValues!B:B,0))),"#N/C")</f>
        <v>Insecta</v>
      </c>
      <c r="M337" s="105" t="str">
        <f>+IFERROR(IF(N337="#N/C","#N/C",INDEX(Taxonomy_UniqueValues!B:B,MATCH(N337,Taxonomy_UniqueValues!C:C,0))),"#N/C")</f>
        <v>Hymenoptera</v>
      </c>
      <c r="N337" s="105" t="str">
        <f>+IFERROR(IF(O337="#N/C","#N/C",INDEX(Taxonomy_UniqueValues!C:C,MATCH(O337,Taxonomy_UniqueValues!D:D,0))),"#N/C")</f>
        <v>Apocrita</v>
      </c>
      <c r="O337" s="105" t="str">
        <f>+IFERROR(IF(P337="#N/C","#N/C",INDEX(Taxonomy_UniqueValues!D:D,MATCH(P337,Taxonomy_UniqueValues!E:E,0))),"#N/C")</f>
        <v>Aculeata</v>
      </c>
      <c r="P337" s="105" t="str">
        <f>+IFERROR(IF(Q337="#N/C","#N/C",INDEX(Taxonomy_UniqueValues!E:E,MATCH(Q337,Taxonomy_UniqueValues!F:F,0))),"#N/C")</f>
        <v>Formicoidea</v>
      </c>
      <c r="Q337" s="41" t="s">
        <v>111</v>
      </c>
      <c r="R337" s="41" t="s">
        <v>26</v>
      </c>
      <c r="S337" s="41" t="s">
        <v>26</v>
      </c>
      <c r="T337" s="28" t="s">
        <v>26</v>
      </c>
    </row>
    <row r="338" spans="1:20" hidden="1" x14ac:dyDescent="0.3">
      <c r="A338" s="84">
        <v>337</v>
      </c>
      <c r="B338" s="92">
        <v>44411</v>
      </c>
      <c r="C338" s="85" t="s">
        <v>573</v>
      </c>
      <c r="D338" s="85" t="s">
        <v>573</v>
      </c>
      <c r="E338" s="93">
        <v>44411.484317129631</v>
      </c>
      <c r="F338" s="7">
        <v>44411.484965277778</v>
      </c>
      <c r="G338" s="14">
        <f t="shared" si="5"/>
        <v>6.4814814686542377E-4</v>
      </c>
      <c r="H338" s="86" t="s">
        <v>35</v>
      </c>
      <c r="I338" s="86" t="s">
        <v>24</v>
      </c>
      <c r="J338" s="87" t="str">
        <f>IF(ISBLANK(C338),"",IF(C338=D338, "1 video",CONCATENATE((+COUNTIFS(Video_List!$C:$C,"&lt;=" &amp;Monitoring!F338)-COUNTIFS(Video_List!$C:$C,"&lt;=" &amp;Monitoring!E338))+1," videos")))</f>
        <v>1 video</v>
      </c>
      <c r="K338" s="25" t="s">
        <v>23</v>
      </c>
      <c r="L338" s="105" t="str">
        <f>+IFERROR(IF(M338="#N/C","#N/C",INDEX(Taxonomy_UniqueValues!A:A,MATCH(M338,Taxonomy_UniqueValues!B:B,0))),"#N/C")</f>
        <v>Insecta</v>
      </c>
      <c r="M338" s="105" t="str">
        <f>+IFERROR(IF(N338="#N/C","#N/C",INDEX(Taxonomy_UniqueValues!B:B,MATCH(N338,Taxonomy_UniqueValues!C:C,0))),"#N/C")</f>
        <v>Hymenoptera</v>
      </c>
      <c r="N338" s="105" t="str">
        <f>+IFERROR(IF(O338="#N/C","#N/C",INDEX(Taxonomy_UniqueValues!C:C,MATCH(O338,Taxonomy_UniqueValues!D:D,0))),"#N/C")</f>
        <v>Apocrita</v>
      </c>
      <c r="O338" s="105" t="str">
        <f>+IFERROR(IF(P338="#N/C","#N/C",INDEX(Taxonomy_UniqueValues!D:D,MATCH(P338,Taxonomy_UniqueValues!E:E,0))),"#N/C")</f>
        <v>Aculeata</v>
      </c>
      <c r="P338" s="105" t="str">
        <f>+IFERROR(IF(Q338="#N/C","#N/C",INDEX(Taxonomy_UniqueValues!E:E,MATCH(Q338,Taxonomy_UniqueValues!F:F,0))),"#N/C")</f>
        <v>Pompiloidea</v>
      </c>
      <c r="Q338" s="105" t="str">
        <f>+IFERROR(IF(R338="#N/C","#N/C",INDEX(Taxonomy_UniqueValues!F:F,MATCH(R338,Taxonomy_UniqueValues!G:G,0))),"#N/C")</f>
        <v>Pompilidae</v>
      </c>
      <c r="R338" s="41" t="s">
        <v>574</v>
      </c>
      <c r="S338" s="41" t="s">
        <v>575</v>
      </c>
      <c r="T338" s="28" t="s">
        <v>26</v>
      </c>
    </row>
    <row r="339" spans="1:20" hidden="1" x14ac:dyDescent="0.3">
      <c r="A339" s="84">
        <v>338</v>
      </c>
      <c r="B339" s="92">
        <v>44411</v>
      </c>
      <c r="C339" s="85" t="s">
        <v>572</v>
      </c>
      <c r="D339" s="85" t="s">
        <v>572</v>
      </c>
      <c r="E339" s="93">
        <v>44411.498263888891</v>
      </c>
      <c r="F339" s="7">
        <v>44411.499699074076</v>
      </c>
      <c r="G339" s="14">
        <f t="shared" si="5"/>
        <v>1.4351851859828457E-3</v>
      </c>
      <c r="H339" s="86" t="s">
        <v>35</v>
      </c>
      <c r="I339" s="86" t="s">
        <v>24</v>
      </c>
      <c r="J339" s="87" t="str">
        <f>IF(ISBLANK(C339),"",IF(C339=D339, "1 video",CONCATENATE((+COUNTIFS(Video_List!$C:$C,"&lt;=" &amp;Monitoring!F339)-COUNTIFS(Video_List!$C:$C,"&lt;=" &amp;Monitoring!E339))+1," videos")))</f>
        <v>1 video</v>
      </c>
      <c r="K339" s="27" t="s">
        <v>35</v>
      </c>
      <c r="L339" s="105" t="str">
        <f>+IFERROR(IF(M339="#N/C","#N/C",INDEX(Taxonomy_UniqueValues!A:A,MATCH(M339,Taxonomy_UniqueValues!B:B,0))),"#N/C")</f>
        <v>Insecta</v>
      </c>
      <c r="M339" s="105" t="str">
        <f>+IFERROR(IF(N339="#N/C","#N/C",INDEX(Taxonomy_UniqueValues!B:B,MATCH(N339,Taxonomy_UniqueValues!C:C,0))),"#N/C")</f>
        <v>Hymenoptera</v>
      </c>
      <c r="N339" s="105" t="str">
        <f>+IFERROR(IF(O339="#N/C","#N/C",INDEX(Taxonomy_UniqueValues!C:C,MATCH(O339,Taxonomy_UniqueValues!D:D,0))),"#N/C")</f>
        <v>Apocrita</v>
      </c>
      <c r="O339" s="105" t="str">
        <f>+IFERROR(IF(P339="#N/C","#N/C",INDEX(Taxonomy_UniqueValues!D:D,MATCH(P339,Taxonomy_UniqueValues!E:E,0))),"#N/C")</f>
        <v>Aculeata</v>
      </c>
      <c r="P339" s="105" t="str">
        <f>+IFERROR(IF(Q339="#N/C","#N/C",INDEX(Taxonomy_UniqueValues!E:E,MATCH(Q339,Taxonomy_UniqueValues!F:F,0))),"#N/C")</f>
        <v>Formicoidea</v>
      </c>
      <c r="Q339" s="41" t="s">
        <v>111</v>
      </c>
      <c r="R339" s="41" t="s">
        <v>26</v>
      </c>
      <c r="S339" s="41" t="s">
        <v>26</v>
      </c>
      <c r="T339" s="28" t="s">
        <v>26</v>
      </c>
    </row>
    <row r="340" spans="1:20" hidden="1" x14ac:dyDescent="0.3">
      <c r="A340" s="84">
        <v>339</v>
      </c>
      <c r="B340" s="92">
        <v>44411</v>
      </c>
      <c r="C340" s="85" t="s">
        <v>576</v>
      </c>
      <c r="D340" s="85" t="s">
        <v>577</v>
      </c>
      <c r="E340" s="93">
        <v>44411.508576388886</v>
      </c>
      <c r="F340" s="7">
        <v>44411.531863425924</v>
      </c>
      <c r="G340" s="14">
        <f t="shared" si="5"/>
        <v>2.3287037038244307E-2</v>
      </c>
      <c r="H340" s="86" t="s">
        <v>46</v>
      </c>
      <c r="I340" s="86" t="s">
        <v>46</v>
      </c>
      <c r="J340" s="87" t="str">
        <f>IF(ISBLANK(C340),"",IF(C340=D340, "1 video",CONCATENATE((+COUNTIFS(Video_List!$C:$C,"&lt;=" &amp;Monitoring!F340)-COUNTIFS(Video_List!$C:$C,"&lt;=" &amp;Monitoring!E340))+1," videos")))</f>
        <v>3 videos</v>
      </c>
      <c r="K340" s="27" t="s">
        <v>35</v>
      </c>
      <c r="L340" s="41" t="s">
        <v>28</v>
      </c>
      <c r="M340" s="41" t="s">
        <v>114</v>
      </c>
      <c r="N340" s="41" t="s">
        <v>278</v>
      </c>
      <c r="O340" s="88" t="str">
        <f>+IFERROR(IF(P340="#N/C","#N/C",IF(Q340=0,INDEX(Taxonomy_UniqueValues!D:D,MATCH(Q340,Taxonomy_UniqueValues!F:F,0)),INDEX(Taxonomy_UniqueValues!D:D,MATCH(P340,Taxonomy_UniqueValues!E:E,0)))),"#N/C")</f>
        <v>Tettigoniidea</v>
      </c>
      <c r="P340" s="41" t="s">
        <v>279</v>
      </c>
      <c r="Q340" s="41" t="s">
        <v>280</v>
      </c>
      <c r="R340" s="41" t="s">
        <v>478</v>
      </c>
      <c r="S340" s="41" t="s">
        <v>479</v>
      </c>
      <c r="T340" s="28" t="s">
        <v>26</v>
      </c>
    </row>
    <row r="341" spans="1:20" hidden="1" x14ac:dyDescent="0.3">
      <c r="A341" s="84">
        <v>340</v>
      </c>
      <c r="B341" s="92">
        <v>44411</v>
      </c>
      <c r="C341" s="85" t="s">
        <v>578</v>
      </c>
      <c r="D341" s="85" t="s">
        <v>578</v>
      </c>
      <c r="E341" s="93">
        <v>44411.519837962966</v>
      </c>
      <c r="F341" s="7">
        <v>44411.519849537035</v>
      </c>
      <c r="G341" s="14">
        <f t="shared" si="5"/>
        <v>1.1574069503694773E-5</v>
      </c>
      <c r="H341" s="86" t="s">
        <v>23</v>
      </c>
      <c r="I341" s="86" t="s">
        <v>24</v>
      </c>
      <c r="J341" s="87" t="str">
        <f>IF(ISBLANK(C341),"",IF(C341=D341, "1 video",CONCATENATE((+COUNTIFS(Video_List!$C:$C,"&lt;=" &amp;Monitoring!F341)-COUNTIFS(Video_List!$C:$C,"&lt;=" &amp;Monitoring!E341))+1," videos")))</f>
        <v>1 video</v>
      </c>
      <c r="K341" s="27" t="s">
        <v>35</v>
      </c>
      <c r="L341" s="41" t="s">
        <v>28</v>
      </c>
      <c r="M341" s="41" t="s">
        <v>29</v>
      </c>
      <c r="N341" s="41" t="s">
        <v>30</v>
      </c>
      <c r="O341" s="88" t="str">
        <f>+IFERROR(IF(P341="#N/C","#N/C",IF(Q341=0,INDEX(Taxonomy_UniqueValues!D:D,MATCH(Q341,Taxonomy_UniqueValues!F:F,0)),INDEX(Taxonomy_UniqueValues!D:D,MATCH(P341,Taxonomy_UniqueValues!E:E,0)))),"#N/C")</f>
        <v>#N/C</v>
      </c>
      <c r="P341" s="41" t="s">
        <v>26</v>
      </c>
      <c r="Q341" s="41" t="s">
        <v>26</v>
      </c>
      <c r="R341" s="41" t="s">
        <v>26</v>
      </c>
      <c r="S341" s="41" t="s">
        <v>26</v>
      </c>
      <c r="T341" s="28" t="s">
        <v>26</v>
      </c>
    </row>
    <row r="342" spans="1:20" hidden="1" x14ac:dyDescent="0.3">
      <c r="A342" s="84">
        <v>341</v>
      </c>
      <c r="B342" s="92">
        <v>44411</v>
      </c>
      <c r="C342" s="85" t="s">
        <v>578</v>
      </c>
      <c r="D342" s="85" t="s">
        <v>578</v>
      </c>
      <c r="E342" s="93">
        <v>44411.52443287037</v>
      </c>
      <c r="F342" s="7">
        <v>44411.524664351855</v>
      </c>
      <c r="G342" s="14">
        <f t="shared" si="5"/>
        <v>2.3148148466134444E-4</v>
      </c>
      <c r="H342" s="4" t="s">
        <v>23</v>
      </c>
      <c r="I342" s="4" t="s">
        <v>24</v>
      </c>
      <c r="J342" s="87" t="str">
        <f>IF(ISBLANK(C342),"",IF(C342=D342, "1 video",CONCATENATE((+COUNTIFS(Video_List!$C:$C,"&lt;=" &amp;Monitoring!F342)-COUNTIFS(Video_List!$C:$C,"&lt;=" &amp;Monitoring!E342))+1," videos")))</f>
        <v>1 video</v>
      </c>
      <c r="K342" s="25" t="s">
        <v>23</v>
      </c>
      <c r="L342" s="41" t="s">
        <v>28</v>
      </c>
      <c r="M342" s="41" t="s">
        <v>29</v>
      </c>
      <c r="N342" s="41" t="s">
        <v>30</v>
      </c>
      <c r="O342" s="88" t="str">
        <f>+IFERROR(IF(P342="#N/C","#N/C",IF(Q342=0,INDEX(Taxonomy_UniqueValues!D:D,MATCH(Q342,Taxonomy_UniqueValues!F:F,0)),INDEX(Taxonomy_UniqueValues!D:D,MATCH(P342,Taxonomy_UniqueValues!E:E,0)))),"#N/C")</f>
        <v>Muscomorpha</v>
      </c>
      <c r="P342" s="41" t="s">
        <v>321</v>
      </c>
      <c r="Q342" s="41" t="s">
        <v>322</v>
      </c>
      <c r="R342" s="41" t="s">
        <v>323</v>
      </c>
      <c r="S342" s="41" t="s">
        <v>324</v>
      </c>
      <c r="T342" s="28" t="s">
        <v>26</v>
      </c>
    </row>
    <row r="343" spans="1:20" hidden="1" x14ac:dyDescent="0.3">
      <c r="A343" s="84">
        <v>342</v>
      </c>
      <c r="B343" s="92">
        <v>44418</v>
      </c>
      <c r="C343" s="85" t="s">
        <v>579</v>
      </c>
      <c r="D343" s="85" t="s">
        <v>579</v>
      </c>
      <c r="E343" s="16">
        <v>44418.65934027778</v>
      </c>
      <c r="F343" s="7">
        <v>44418.659641203703</v>
      </c>
      <c r="G343" s="14">
        <f t="shared" si="5"/>
        <v>3.0092592351138592E-4</v>
      </c>
      <c r="H343" s="4" t="s">
        <v>23</v>
      </c>
      <c r="I343" s="4" t="s">
        <v>24</v>
      </c>
      <c r="J343" s="87" t="str">
        <f>IF(ISBLANK(C343),"",IF(C343=D343, "1 video",CONCATENATE((+COUNTIFS(Video_List!$C:$C,"&lt;=" &amp;Monitoring!F343)-COUNTIFS(Video_List!$C:$C,"&lt;=" &amp;Monitoring!E343))+1," videos")))</f>
        <v>1 video</v>
      </c>
      <c r="K343" s="25" t="s">
        <v>23</v>
      </c>
      <c r="L343" s="41" t="s">
        <v>28</v>
      </c>
      <c r="M343" s="41" t="s">
        <v>29</v>
      </c>
      <c r="N343" s="41" t="s">
        <v>30</v>
      </c>
      <c r="O343" s="88" t="str">
        <f>+IFERROR(IF(P343="#N/C","#N/C",IF(Q343=0,INDEX(Taxonomy_UniqueValues!D:D,MATCH(Q343,Taxonomy_UniqueValues!F:F,0)),INDEX(Taxonomy_UniqueValues!D:D,MATCH(P343,Taxonomy_UniqueValues!E:E,0)))),"#N/C")</f>
        <v>#N/C</v>
      </c>
      <c r="P343" s="41" t="s">
        <v>26</v>
      </c>
      <c r="Q343" s="41" t="s">
        <v>26</v>
      </c>
      <c r="R343" s="41" t="s">
        <v>26</v>
      </c>
      <c r="S343" s="41" t="s">
        <v>26</v>
      </c>
      <c r="T343" s="28" t="s">
        <v>26</v>
      </c>
    </row>
    <row r="344" spans="1:20" hidden="1" x14ac:dyDescent="0.3">
      <c r="A344" s="84">
        <v>343</v>
      </c>
      <c r="B344" s="92">
        <v>44418</v>
      </c>
      <c r="C344" s="85" t="s">
        <v>580</v>
      </c>
      <c r="D344" s="85" t="s">
        <v>580</v>
      </c>
      <c r="E344" s="16">
        <v>44418.676261574074</v>
      </c>
      <c r="F344" s="7">
        <v>44418.676365740743</v>
      </c>
      <c r="G344" s="14">
        <f t="shared" si="5"/>
        <v>1.0416666918899864E-4</v>
      </c>
      <c r="H344" s="4" t="s">
        <v>23</v>
      </c>
      <c r="I344" s="4" t="s">
        <v>24</v>
      </c>
      <c r="J344" s="87" t="str">
        <f>IF(ISBLANK(C344),"",IF(C344=D344, "1 video",CONCATENATE((+COUNTIFS(Video_List!$C:$C,"&lt;=" &amp;Monitoring!F344)-COUNTIFS(Video_List!$C:$C,"&lt;=" &amp;Monitoring!E344))+1," videos")))</f>
        <v>1 video</v>
      </c>
      <c r="K344" s="25" t="s">
        <v>23</v>
      </c>
      <c r="L344" s="41" t="s">
        <v>28</v>
      </c>
      <c r="M344" s="41" t="s">
        <v>29</v>
      </c>
      <c r="N344" s="41" t="s">
        <v>30</v>
      </c>
      <c r="O344" s="88" t="str">
        <f>+IFERROR(IF(P344="#N/C","#N/C",IF(Q344=0,INDEX(Taxonomy_UniqueValues!D:D,MATCH(Q344,Taxonomy_UniqueValues!F:F,0)),INDEX(Taxonomy_UniqueValues!D:D,MATCH(P344,Taxonomy_UniqueValues!E:E,0)))),"#N/C")</f>
        <v>Muscomorpha</v>
      </c>
      <c r="P344" s="41" t="s">
        <v>326</v>
      </c>
      <c r="Q344" s="41" t="s">
        <v>366</v>
      </c>
      <c r="R344" s="41" t="s">
        <v>367</v>
      </c>
      <c r="S344" s="41" t="s">
        <v>368</v>
      </c>
      <c r="T344" s="28" t="s">
        <v>26</v>
      </c>
    </row>
    <row r="345" spans="1:20" hidden="1" x14ac:dyDescent="0.3">
      <c r="A345" s="84">
        <v>344</v>
      </c>
      <c r="B345" s="6">
        <v>44418</v>
      </c>
      <c r="C345" s="85" t="s">
        <v>581</v>
      </c>
      <c r="D345" s="85" t="s">
        <v>581</v>
      </c>
      <c r="E345" s="16">
        <v>44418.676562499997</v>
      </c>
      <c r="F345" s="7">
        <v>44418.676736111112</v>
      </c>
      <c r="G345" s="14">
        <f t="shared" si="5"/>
        <v>1.7361111531499773E-4</v>
      </c>
      <c r="H345" s="4" t="s">
        <v>23</v>
      </c>
      <c r="I345" s="4" t="s">
        <v>24</v>
      </c>
      <c r="J345" s="87" t="str">
        <f>IF(ISBLANK(C345),"",IF(C345=D345, "1 video",CONCATENATE((+COUNTIFS(Video_List!$C:$C,"&lt;=" &amp;Monitoring!F345)-COUNTIFS(Video_List!$C:$C,"&lt;=" &amp;Monitoring!E345))+1," videos")))</f>
        <v>1 video</v>
      </c>
      <c r="K345" s="25" t="s">
        <v>23</v>
      </c>
      <c r="L345" s="105" t="str">
        <f>+IFERROR(IF(M345="#N/C","#N/C",INDEX(Taxonomy_UniqueValues!A:A,MATCH(M345,Taxonomy_UniqueValues!B:B,0))),"#N/C")</f>
        <v>Insecta</v>
      </c>
      <c r="M345" s="105" t="str">
        <f>+IFERROR(IF(N345="#N/C","#N/C",INDEX(Taxonomy_UniqueValues!B:B,MATCH(N345,Taxonomy_UniqueValues!C:C,0))),"#N/C")</f>
        <v>Hymenoptera</v>
      </c>
      <c r="N345" s="105" t="str">
        <f>+IFERROR(IF(O345="#N/C","#N/C",INDEX(Taxonomy_UniqueValues!C:C,MATCH(O345,Taxonomy_UniqueValues!D:D,0))),"#N/C")</f>
        <v>Apocrita</v>
      </c>
      <c r="O345" s="105" t="str">
        <f>+IFERROR(IF(P345="#N/C","#N/C",INDEX(Taxonomy_UniqueValues!D:D,MATCH(P345,Taxonomy_UniqueValues!E:E,0))),"#N/C")</f>
        <v>Aculeata</v>
      </c>
      <c r="P345" s="105" t="str">
        <f>+IFERROR(IF(Q345="#N/C","#N/C",INDEX(Taxonomy_UniqueValues!E:E,MATCH(Q345,Taxonomy_UniqueValues!F:F,0))),"#N/C")</f>
        <v>Vespoidea</v>
      </c>
      <c r="Q345" s="105" t="str">
        <f>+IFERROR(IF(R345="#N/C","#N/C",INDEX(Taxonomy_UniqueValues!F:F,MATCH(R345,Taxonomy_UniqueValues!G:G,0))),"#N/C")</f>
        <v>Vespidae</v>
      </c>
      <c r="R345" s="105" t="str">
        <f>+IFERROR(IF(S345="#N/C","#N/C",INDEX(Taxonomy_UniqueValues!G:G,MATCH(S345,Taxonomy_UniqueValues!H:H,0))),"#N/C")</f>
        <v>Vespinae</v>
      </c>
      <c r="S345" s="41" t="s">
        <v>582</v>
      </c>
      <c r="T345" s="28" t="s">
        <v>583</v>
      </c>
    </row>
    <row r="346" spans="1:20" hidden="1" x14ac:dyDescent="0.3">
      <c r="A346" s="84">
        <v>345</v>
      </c>
      <c r="B346" s="6">
        <v>44418</v>
      </c>
      <c r="C346" s="85" t="s">
        <v>584</v>
      </c>
      <c r="D346" s="85" t="s">
        <v>584</v>
      </c>
      <c r="E346" s="16">
        <v>44418.681932870371</v>
      </c>
      <c r="F346" s="7">
        <v>44418.68540509259</v>
      </c>
      <c r="G346" s="14">
        <f t="shared" si="5"/>
        <v>3.4722222189884633E-3</v>
      </c>
      <c r="H346" s="4" t="s">
        <v>23</v>
      </c>
      <c r="I346" s="4" t="s">
        <v>24</v>
      </c>
      <c r="J346" s="87" t="str">
        <f>IF(ISBLANK(C346),"",IF(C346=D346, "1 video",CONCATENATE((+COUNTIFS(Video_List!$C:$C,"&lt;=" &amp;Monitoring!F346)-COUNTIFS(Video_List!$C:$C,"&lt;=" &amp;Monitoring!E346))+1," videos")))</f>
        <v>1 video</v>
      </c>
      <c r="K346" s="25" t="s">
        <v>23</v>
      </c>
      <c r="L346" s="41" t="s">
        <v>28</v>
      </c>
      <c r="M346" s="41" t="s">
        <v>67</v>
      </c>
      <c r="N346" s="41" t="s">
        <v>68</v>
      </c>
      <c r="O346" s="88" t="str">
        <f>+IFERROR(IF(P346="#N/C","#N/C",IF(Q346=0,INDEX(Taxonomy_UniqueValues!D:D,MATCH(Q346,Taxonomy_UniqueValues!F:F,0)),INDEX(Taxonomy_UniqueValues!D:D,MATCH(P346,Taxonomy_UniqueValues!E:E,0)))),"#N/C")</f>
        <v>Cucujiformia</v>
      </c>
      <c r="P346" s="41" t="s">
        <v>69</v>
      </c>
      <c r="Q346" s="41" t="s">
        <v>70</v>
      </c>
      <c r="R346" s="41" t="s">
        <v>71</v>
      </c>
      <c r="S346" s="41" t="s">
        <v>72</v>
      </c>
      <c r="T346" s="28" t="s">
        <v>73</v>
      </c>
    </row>
    <row r="347" spans="1:20" hidden="1" x14ac:dyDescent="0.3">
      <c r="A347" s="84">
        <v>346</v>
      </c>
      <c r="B347" s="92">
        <v>44418</v>
      </c>
      <c r="C347" s="85" t="s">
        <v>585</v>
      </c>
      <c r="D347" s="85" t="s">
        <v>586</v>
      </c>
      <c r="E347" s="16">
        <v>44418.692858796298</v>
      </c>
      <c r="F347" s="7">
        <v>44418.694884259261</v>
      </c>
      <c r="G347" s="14">
        <f t="shared" si="5"/>
        <v>2.0254629635019228E-3</v>
      </c>
      <c r="H347" s="86" t="s">
        <v>35</v>
      </c>
      <c r="I347" s="86" t="s">
        <v>24</v>
      </c>
      <c r="J347" s="87" t="str">
        <f>IF(ISBLANK(C347),"",IF(C347=D347, "1 video",CONCATENATE((+COUNTIFS(Video_List!$C:$C,"&lt;=" &amp;Monitoring!F347)-COUNTIFS(Video_List!$C:$C,"&lt;=" &amp;Monitoring!E347))+1," videos")))</f>
        <v>2 videos</v>
      </c>
      <c r="K347" s="27" t="s">
        <v>35</v>
      </c>
      <c r="L347" s="105" t="str">
        <f>+IFERROR(IF(M347="#N/C","#N/C",INDEX(Taxonomy_UniqueValues!A:A,MATCH(M347,Taxonomy_UniqueValues!B:B,0))),"#N/C")</f>
        <v>Insecta</v>
      </c>
      <c r="M347" s="105" t="str">
        <f>+IFERROR(IF(N347="#N/C","#N/C",INDEX(Taxonomy_UniqueValues!B:B,MATCH(N347,Taxonomy_UniqueValues!C:C,0))),"#N/C")</f>
        <v>Hymenoptera</v>
      </c>
      <c r="N347" s="105" t="str">
        <f>+IFERROR(IF(O347="#N/C","#N/C",INDEX(Taxonomy_UniqueValues!C:C,MATCH(O347,Taxonomy_UniqueValues!D:D,0))),"#N/C")</f>
        <v>Apocrita</v>
      </c>
      <c r="O347" s="105" t="str">
        <f>+IFERROR(IF(P347="#N/C","#N/C",INDEX(Taxonomy_UniqueValues!D:D,MATCH(P347,Taxonomy_UniqueValues!E:E,0))),"#N/C")</f>
        <v>Aculeata</v>
      </c>
      <c r="P347" s="105" t="str">
        <f>+IFERROR(IF(Q347="#N/C","#N/C",INDEX(Taxonomy_UniqueValues!E:E,MATCH(Q347,Taxonomy_UniqueValues!F:F,0))),"#N/C")</f>
        <v>Formicoidea</v>
      </c>
      <c r="Q347" s="41" t="s">
        <v>111</v>
      </c>
      <c r="R347" s="41" t="s">
        <v>26</v>
      </c>
      <c r="S347" s="41" t="s">
        <v>26</v>
      </c>
      <c r="T347" s="28" t="s">
        <v>26</v>
      </c>
    </row>
    <row r="348" spans="1:20" hidden="1" x14ac:dyDescent="0.3">
      <c r="A348" s="84">
        <v>347</v>
      </c>
      <c r="B348" s="92">
        <v>44418</v>
      </c>
      <c r="C348" s="85" t="s">
        <v>585</v>
      </c>
      <c r="D348" s="85" t="s">
        <v>585</v>
      </c>
      <c r="E348" s="16">
        <v>44418.694525462961</v>
      </c>
      <c r="F348" s="7">
        <v>44418.69462962963</v>
      </c>
      <c r="G348" s="14">
        <f t="shared" si="5"/>
        <v>1.0416666918899864E-4</v>
      </c>
      <c r="H348" s="86" t="s">
        <v>35</v>
      </c>
      <c r="I348" s="86" t="s">
        <v>24</v>
      </c>
      <c r="J348" s="87" t="str">
        <f>IF(ISBLANK(C348),"",IF(C348=D348, "1 video",CONCATENATE((+COUNTIFS(Video_List!$C:$C,"&lt;=" &amp;Monitoring!F348)-COUNTIFS(Video_List!$C:$C,"&lt;=" &amp;Monitoring!E348))+1," videos")))</f>
        <v>1 video</v>
      </c>
      <c r="K348" s="27" t="s">
        <v>35</v>
      </c>
      <c r="L348" s="105" t="str">
        <f>+IFERROR(IF(M348="#N/C","#N/C",INDEX(Taxonomy_UniqueValues!A:A,MATCH(M348,Taxonomy_UniqueValues!B:B,0))),"#N/C")</f>
        <v>Insecta</v>
      </c>
      <c r="M348" s="105" t="str">
        <f>+IFERROR(IF(N348="#N/C","#N/C",INDEX(Taxonomy_UniqueValues!B:B,MATCH(N348,Taxonomy_UniqueValues!C:C,0))),"#N/C")</f>
        <v>Hymenoptera</v>
      </c>
      <c r="N348" s="105" t="str">
        <f>+IFERROR(IF(O348="#N/C","#N/C",INDEX(Taxonomy_UniqueValues!C:C,MATCH(O348,Taxonomy_UniqueValues!D:D,0))),"#N/C")</f>
        <v>Apocrita</v>
      </c>
      <c r="O348" s="105" t="str">
        <f>+IFERROR(IF(P348="#N/C","#N/C",INDEX(Taxonomy_UniqueValues!D:D,MATCH(P348,Taxonomy_UniqueValues!E:E,0))),"#N/C")</f>
        <v>Aculeata</v>
      </c>
      <c r="P348" s="105" t="str">
        <f>+IFERROR(IF(Q348="#N/C","#N/C",INDEX(Taxonomy_UniqueValues!E:E,MATCH(Q348,Taxonomy_UniqueValues!F:F,0))),"#N/C")</f>
        <v>Formicoidea</v>
      </c>
      <c r="Q348" s="41" t="s">
        <v>111</v>
      </c>
      <c r="R348" s="41" t="s">
        <v>26</v>
      </c>
      <c r="S348" s="41" t="s">
        <v>26</v>
      </c>
      <c r="T348" s="28" t="s">
        <v>26</v>
      </c>
    </row>
    <row r="349" spans="1:20" hidden="1" x14ac:dyDescent="0.3">
      <c r="A349" s="84">
        <v>348</v>
      </c>
      <c r="B349" s="92">
        <v>44418</v>
      </c>
      <c r="C349" s="85" t="s">
        <v>587</v>
      </c>
      <c r="D349" s="85" t="s">
        <v>587</v>
      </c>
      <c r="E349" s="16">
        <v>44418.717777777776</v>
      </c>
      <c r="F349" s="7">
        <v>44418.717824074076</v>
      </c>
      <c r="G349" s="14">
        <f t="shared" si="5"/>
        <v>4.6296299842651933E-5</v>
      </c>
      <c r="H349" s="86" t="s">
        <v>23</v>
      </c>
      <c r="I349" s="86" t="s">
        <v>24</v>
      </c>
      <c r="J349" s="87" t="str">
        <f>IF(ISBLANK(C349),"",IF(C349=D349, "1 video",CONCATENATE((+COUNTIFS(Video_List!$C:$C,"&lt;=" &amp;Monitoring!F349)-COUNTIFS(Video_List!$C:$C,"&lt;=" &amp;Monitoring!E349))+1," videos")))</f>
        <v>1 video</v>
      </c>
      <c r="K349" s="27" t="s">
        <v>35</v>
      </c>
      <c r="L349" s="41" t="s">
        <v>28</v>
      </c>
      <c r="M349" s="41" t="s">
        <v>29</v>
      </c>
      <c r="N349" s="41" t="s">
        <v>30</v>
      </c>
      <c r="O349" s="88" t="str">
        <f>+IFERROR(IF(P349="#N/C","#N/C",IF(Q349=0,INDEX(Taxonomy_UniqueValues!D:D,MATCH(Q349,Taxonomy_UniqueValues!F:F,0)),INDEX(Taxonomy_UniqueValues!D:D,MATCH(P349,Taxonomy_UniqueValues!E:E,0)))),"#N/C")</f>
        <v>#N/C</v>
      </c>
      <c r="P349" s="41" t="s">
        <v>26</v>
      </c>
      <c r="Q349" s="41" t="s">
        <v>26</v>
      </c>
      <c r="R349" s="41" t="s">
        <v>26</v>
      </c>
      <c r="S349" s="41" t="s">
        <v>26</v>
      </c>
      <c r="T349" s="28" t="s">
        <v>26</v>
      </c>
    </row>
    <row r="350" spans="1:20" hidden="1" x14ac:dyDescent="0.3">
      <c r="A350" s="84">
        <v>349</v>
      </c>
      <c r="B350" s="92">
        <v>44418</v>
      </c>
      <c r="C350" s="85" t="s">
        <v>588</v>
      </c>
      <c r="D350" s="85" t="s">
        <v>589</v>
      </c>
      <c r="E350" s="16">
        <v>44418.733356481483</v>
      </c>
      <c r="F350" s="7">
        <v>44418.743055555555</v>
      </c>
      <c r="G350" s="14">
        <f t="shared" si="5"/>
        <v>9.6990740712499246E-3</v>
      </c>
      <c r="H350" s="4" t="s">
        <v>46</v>
      </c>
      <c r="I350" s="4" t="s">
        <v>46</v>
      </c>
      <c r="J350" s="87" t="str">
        <f>IF(ISBLANK(C350),"",IF(C350=D350, "1 video",CONCATENATE((+COUNTIFS(Video_List!$C:$C,"&lt;=" &amp;Monitoring!F350)-COUNTIFS(Video_List!$C:$C,"&lt;=" &amp;Monitoring!E350))+1," videos")))</f>
        <v>2 videos</v>
      </c>
      <c r="K350" s="25" t="s">
        <v>23</v>
      </c>
      <c r="L350" s="41" t="s">
        <v>28</v>
      </c>
      <c r="M350" s="41" t="s">
        <v>67</v>
      </c>
      <c r="N350" s="41" t="s">
        <v>68</v>
      </c>
      <c r="O350" s="88" t="str">
        <f>+IFERROR(IF(P350="#N/C","#N/C",IF(Q350=0,INDEX(Taxonomy_UniqueValues!D:D,MATCH(Q350,Taxonomy_UniqueValues!F:F,0)),INDEX(Taxonomy_UniqueValues!D:D,MATCH(P350,Taxonomy_UniqueValues!E:E,0)))),"#N/C")</f>
        <v>Cucujiformia</v>
      </c>
      <c r="P350" s="41" t="s">
        <v>419</v>
      </c>
      <c r="Q350" s="41" t="s">
        <v>420</v>
      </c>
      <c r="R350" s="41" t="s">
        <v>421</v>
      </c>
      <c r="S350" s="41" t="s">
        <v>590</v>
      </c>
      <c r="T350" s="28" t="s">
        <v>591</v>
      </c>
    </row>
    <row r="351" spans="1:20" hidden="1" x14ac:dyDescent="0.3">
      <c r="A351" s="84">
        <v>350</v>
      </c>
      <c r="B351" s="92">
        <v>44418</v>
      </c>
      <c r="C351" s="85" t="s">
        <v>592</v>
      </c>
      <c r="D351" s="85" t="s">
        <v>592</v>
      </c>
      <c r="E351" s="16">
        <v>44418.743495370371</v>
      </c>
      <c r="F351" s="7">
        <v>44418.74355324074</v>
      </c>
      <c r="G351" s="14">
        <f t="shared" si="5"/>
        <v>5.7870369346346706E-5</v>
      </c>
      <c r="H351" s="86" t="s">
        <v>23</v>
      </c>
      <c r="I351" s="86" t="s">
        <v>24</v>
      </c>
      <c r="J351" s="87" t="str">
        <f>IF(ISBLANK(C351),"",IF(C351=D351, "1 video",CONCATENATE((+COUNTIFS(Video_List!$C:$C,"&lt;=" &amp;Monitoring!F351)-COUNTIFS(Video_List!$C:$C,"&lt;=" &amp;Monitoring!E351))+1," videos")))</f>
        <v>1 video</v>
      </c>
      <c r="K351" s="25" t="s">
        <v>23</v>
      </c>
      <c r="L351" s="41" t="s">
        <v>28</v>
      </c>
      <c r="M351" s="41" t="s">
        <v>29</v>
      </c>
      <c r="N351" s="41" t="s">
        <v>176</v>
      </c>
      <c r="O351" s="88" t="str">
        <f>+IFERROR(IF(P351="#N/C","#N/C",IF(Q351=0,INDEX(Taxonomy_UniqueValues!D:D,MATCH(Q351,Taxonomy_UniqueValues!F:F,0)),INDEX(Taxonomy_UniqueValues!D:D,MATCH(P351,Taxonomy_UniqueValues!E:E,0)))),"#N/C")</f>
        <v>Bibionomorpha</v>
      </c>
      <c r="P351" s="41" t="s">
        <v>177</v>
      </c>
      <c r="Q351" s="41" t="s">
        <v>410</v>
      </c>
      <c r="R351" s="41" t="s">
        <v>26</v>
      </c>
      <c r="S351" s="41" t="s">
        <v>26</v>
      </c>
      <c r="T351" s="28" t="s">
        <v>26</v>
      </c>
    </row>
    <row r="352" spans="1:20" hidden="1" x14ac:dyDescent="0.3">
      <c r="A352" s="84">
        <v>351</v>
      </c>
      <c r="B352" s="92">
        <v>44418</v>
      </c>
      <c r="C352" s="85" t="s">
        <v>593</v>
      </c>
      <c r="D352" s="85" t="s">
        <v>594</v>
      </c>
      <c r="E352" s="16">
        <v>44418.746087962965</v>
      </c>
      <c r="F352" s="7">
        <v>44418.746967592589</v>
      </c>
      <c r="G352" s="14">
        <f t="shared" si="5"/>
        <v>8.7962962425081059E-4</v>
      </c>
      <c r="H352" s="86" t="s">
        <v>23</v>
      </c>
      <c r="I352" s="86" t="s">
        <v>24</v>
      </c>
      <c r="J352" s="87" t="str">
        <f>IF(ISBLANK(C352),"",IF(C352=D352, "1 video",CONCATENATE((+COUNTIFS(Video_List!$C:$C,"&lt;=" &amp;Monitoring!F352)-COUNTIFS(Video_List!$C:$C,"&lt;=" &amp;Monitoring!E352))+1," videos")))</f>
        <v>2 videos</v>
      </c>
      <c r="K352" s="27" t="s">
        <v>35</v>
      </c>
      <c r="L352" s="41" t="s">
        <v>28</v>
      </c>
      <c r="M352" s="41" t="s">
        <v>29</v>
      </c>
      <c r="N352" s="41" t="s">
        <v>30</v>
      </c>
      <c r="O352" s="88" t="str">
        <f>+IFERROR(IF(P352="#N/C","#N/C",IF(Q352=0,INDEX(Taxonomy_UniqueValues!D:D,MATCH(Q352,Taxonomy_UniqueValues!F:F,0)),INDEX(Taxonomy_UniqueValues!D:D,MATCH(P352,Taxonomy_UniqueValues!E:E,0)))),"#N/C")</f>
        <v>Asilomorpha</v>
      </c>
      <c r="P352" s="41" t="s">
        <v>140</v>
      </c>
      <c r="Q352" s="41" t="s">
        <v>141</v>
      </c>
      <c r="R352" s="41" t="s">
        <v>142</v>
      </c>
      <c r="S352" s="41" t="s">
        <v>25</v>
      </c>
      <c r="T352" s="28" t="s">
        <v>26</v>
      </c>
    </row>
    <row r="353" spans="1:20" hidden="1" x14ac:dyDescent="0.3">
      <c r="A353" s="84">
        <v>352</v>
      </c>
      <c r="B353" s="92">
        <v>44418</v>
      </c>
      <c r="C353" s="85" t="s">
        <v>595</v>
      </c>
      <c r="D353" s="85" t="s">
        <v>595</v>
      </c>
      <c r="E353" s="16">
        <v>44418.758564814816</v>
      </c>
      <c r="F353" s="7">
        <v>44418.758611111109</v>
      </c>
      <c r="G353" s="14">
        <f t="shared" si="5"/>
        <v>4.6296292566694319E-5</v>
      </c>
      <c r="H353" s="86" t="s">
        <v>23</v>
      </c>
      <c r="I353" s="86" t="s">
        <v>24</v>
      </c>
      <c r="J353" s="87" t="str">
        <f>IF(ISBLANK(C353),"",IF(C353=D353, "1 video",CONCATENATE((+COUNTIFS(Video_List!$C:$C,"&lt;=" &amp;Monitoring!F353)-COUNTIFS(Video_List!$C:$C,"&lt;=" &amp;Monitoring!E353))+1," videos")))</f>
        <v>1 video</v>
      </c>
      <c r="K353" s="27" t="s">
        <v>35</v>
      </c>
      <c r="L353" s="41" t="s">
        <v>28</v>
      </c>
      <c r="M353" s="41" t="s">
        <v>29</v>
      </c>
      <c r="N353" s="41" t="s">
        <v>30</v>
      </c>
      <c r="O353" s="88" t="str">
        <f>+IFERROR(IF(P353="#N/C","#N/C",IF(Q353=0,INDEX(Taxonomy_UniqueValues!D:D,MATCH(Q353,Taxonomy_UniqueValues!F:F,0)),INDEX(Taxonomy_UniqueValues!D:D,MATCH(P353,Taxonomy_UniqueValues!E:E,0)))),"#N/C")</f>
        <v>#N/C</v>
      </c>
      <c r="P353" s="41" t="s">
        <v>26</v>
      </c>
      <c r="Q353" s="41" t="s">
        <v>26</v>
      </c>
      <c r="R353" s="41" t="s">
        <v>26</v>
      </c>
      <c r="S353" s="41" t="s">
        <v>26</v>
      </c>
      <c r="T353" s="28" t="s">
        <v>26</v>
      </c>
    </row>
    <row r="354" spans="1:20" hidden="1" x14ac:dyDescent="0.3">
      <c r="A354" s="84">
        <v>353</v>
      </c>
      <c r="B354" s="92">
        <v>44418</v>
      </c>
      <c r="C354" s="85" t="s">
        <v>596</v>
      </c>
      <c r="D354" s="85" t="s">
        <v>596</v>
      </c>
      <c r="E354" s="16">
        <v>44418.759629629632</v>
      </c>
      <c r="F354" s="7">
        <v>44418.759687500002</v>
      </c>
      <c r="G354" s="14">
        <f t="shared" si="5"/>
        <v>5.7870369346346706E-5</v>
      </c>
      <c r="H354" s="86" t="s">
        <v>23</v>
      </c>
      <c r="I354" s="86" t="s">
        <v>24</v>
      </c>
      <c r="J354" s="87" t="str">
        <f>IF(ISBLANK(C354),"",IF(C354=D354, "1 video",CONCATENATE((+COUNTIFS(Video_List!$C:$C,"&lt;=" &amp;Monitoring!F354)-COUNTIFS(Video_List!$C:$C,"&lt;=" &amp;Monitoring!E354))+1," videos")))</f>
        <v>1 video</v>
      </c>
      <c r="K354" s="27" t="s">
        <v>35</v>
      </c>
      <c r="L354" s="41" t="s">
        <v>28</v>
      </c>
      <c r="M354" s="41" t="s">
        <v>29</v>
      </c>
      <c r="N354" s="41" t="s">
        <v>30</v>
      </c>
      <c r="O354" s="88" t="str">
        <f>+IFERROR(IF(P354="#N/C","#N/C",IF(Q354=0,INDEX(Taxonomy_UniqueValues!D:D,MATCH(Q354,Taxonomy_UniqueValues!F:F,0)),INDEX(Taxonomy_UniqueValues!D:D,MATCH(P354,Taxonomy_UniqueValues!E:E,0)))),"#N/C")</f>
        <v>#N/C</v>
      </c>
      <c r="P354" s="41" t="s">
        <v>26</v>
      </c>
      <c r="Q354" s="41" t="s">
        <v>26</v>
      </c>
      <c r="R354" s="41" t="s">
        <v>26</v>
      </c>
      <c r="S354" s="41" t="s">
        <v>26</v>
      </c>
      <c r="T354" s="28" t="s">
        <v>26</v>
      </c>
    </row>
    <row r="355" spans="1:20" hidden="1" x14ac:dyDescent="0.3">
      <c r="A355" s="84">
        <v>354</v>
      </c>
      <c r="B355" s="92">
        <v>44418</v>
      </c>
      <c r="C355" s="85" t="s">
        <v>597</v>
      </c>
      <c r="D355" s="85" t="s">
        <v>597</v>
      </c>
      <c r="E355" s="16">
        <v>44418.775763888887</v>
      </c>
      <c r="F355" s="7">
        <v>44418.775821759256</v>
      </c>
      <c r="G355" s="14">
        <f t="shared" si="5"/>
        <v>5.7870369346346706E-5</v>
      </c>
      <c r="H355" s="86" t="s">
        <v>23</v>
      </c>
      <c r="I355" s="86" t="s">
        <v>24</v>
      </c>
      <c r="J355" s="87" t="str">
        <f>IF(ISBLANK(C355),"",IF(C355=D355, "1 video",CONCATENATE((+COUNTIFS(Video_List!$C:$C,"&lt;=" &amp;Monitoring!F355)-COUNTIFS(Video_List!$C:$C,"&lt;=" &amp;Monitoring!E355))+1," videos")))</f>
        <v>1 video</v>
      </c>
      <c r="K355" s="27" t="s">
        <v>35</v>
      </c>
      <c r="L355" s="41" t="s">
        <v>28</v>
      </c>
      <c r="M355" s="41" t="s">
        <v>29</v>
      </c>
      <c r="N355" s="41" t="s">
        <v>30</v>
      </c>
      <c r="O355" s="88" t="str">
        <f>+IFERROR(IF(P355="#N/C","#N/C",IF(Q355=0,INDEX(Taxonomy_UniqueValues!D:D,MATCH(Q355,Taxonomy_UniqueValues!F:F,0)),INDEX(Taxonomy_UniqueValues!D:D,MATCH(P355,Taxonomy_UniqueValues!E:E,0)))),"#N/C")</f>
        <v>#N/C</v>
      </c>
      <c r="P355" s="41" t="s">
        <v>26</v>
      </c>
      <c r="Q355" s="41" t="s">
        <v>26</v>
      </c>
      <c r="R355" s="41" t="s">
        <v>26</v>
      </c>
      <c r="S355" s="41" t="s">
        <v>26</v>
      </c>
      <c r="T355" s="28" t="s">
        <v>26</v>
      </c>
    </row>
    <row r="356" spans="1:20" hidden="1" x14ac:dyDescent="0.3">
      <c r="A356" s="84">
        <v>355</v>
      </c>
      <c r="B356" s="92">
        <v>44418</v>
      </c>
      <c r="C356" s="85" t="s">
        <v>598</v>
      </c>
      <c r="D356" s="85" t="s">
        <v>598</v>
      </c>
      <c r="E356" s="16">
        <v>44418.790277777778</v>
      </c>
      <c r="F356" s="7">
        <v>44418.790370370371</v>
      </c>
      <c r="G356" s="14">
        <f t="shared" si="5"/>
        <v>9.2592592409346253E-5</v>
      </c>
      <c r="H356" s="4" t="s">
        <v>35</v>
      </c>
      <c r="I356" s="4" t="s">
        <v>24</v>
      </c>
      <c r="J356" s="87" t="str">
        <f>IF(ISBLANK(C356),"",IF(C356=D356, "1 video",CONCATENATE((+COUNTIFS(Video_List!$C:$C,"&lt;=" &amp;Monitoring!F356)-COUNTIFS(Video_List!$C:$C,"&lt;=" &amp;Monitoring!E356))+1," videos")))</f>
        <v>1 video</v>
      </c>
      <c r="K356" s="27" t="s">
        <v>35</v>
      </c>
      <c r="L356" s="41" t="s">
        <v>28</v>
      </c>
      <c r="M356" s="41" t="s">
        <v>29</v>
      </c>
      <c r="N356" s="41" t="s">
        <v>176</v>
      </c>
      <c r="O356" s="88" t="str">
        <f>+IFERROR(IF(P356="#N/C","#N/C",IF(Q356=0,INDEX(Taxonomy_UniqueValues!D:D,MATCH(Q356,Taxonomy_UniqueValues!F:F,0)),INDEX(Taxonomy_UniqueValues!D:D,MATCH(P356,Taxonomy_UniqueValues!E:E,0)))),"#N/C")</f>
        <v>Bibionomorpha</v>
      </c>
      <c r="P356" s="41" t="s">
        <v>177</v>
      </c>
      <c r="Q356" s="41" t="s">
        <v>410</v>
      </c>
      <c r="R356" s="41" t="s">
        <v>26</v>
      </c>
      <c r="S356" s="41" t="s">
        <v>26</v>
      </c>
      <c r="T356" s="28" t="s">
        <v>26</v>
      </c>
    </row>
    <row r="357" spans="1:20" hidden="1" x14ac:dyDescent="0.3">
      <c r="A357" s="84">
        <v>356</v>
      </c>
      <c r="B357" s="92">
        <v>44418</v>
      </c>
      <c r="C357" s="85" t="s">
        <v>599</v>
      </c>
      <c r="D357" s="85" t="s">
        <v>599</v>
      </c>
      <c r="E357" s="16">
        <v>44418.804895833331</v>
      </c>
      <c r="F357" s="7">
        <v>44418.8049537037</v>
      </c>
      <c r="G357" s="14">
        <f t="shared" si="5"/>
        <v>5.7870369346346706E-5</v>
      </c>
      <c r="H357" s="4" t="s">
        <v>23</v>
      </c>
      <c r="I357" s="4" t="s">
        <v>24</v>
      </c>
      <c r="J357" s="87" t="str">
        <f>IF(ISBLANK(C357),"",IF(C357=D357, "1 video",CONCATENATE((+COUNTIFS(Video_List!$C:$C,"&lt;=" &amp;Monitoring!F357)-COUNTIFS(Video_List!$C:$C,"&lt;=" &amp;Monitoring!E357))+1," videos")))</f>
        <v>1 video</v>
      </c>
      <c r="K357" s="25" t="s">
        <v>23</v>
      </c>
      <c r="L357" s="41" t="s">
        <v>28</v>
      </c>
      <c r="M357" s="41" t="s">
        <v>47</v>
      </c>
      <c r="N357" s="41" t="s">
        <v>26</v>
      </c>
      <c r="O357" s="88" t="str">
        <f>+IFERROR(IF(P357="#N/C","#N/C",IF(Q357=0,INDEX(Taxonomy_UniqueValues!D:D,MATCH(Q357,Taxonomy_UniqueValues!F:F,0)),INDEX(Taxonomy_UniqueValues!D:D,MATCH(P357,Taxonomy_UniqueValues!E:E,0)))),"#N/C")</f>
        <v>#N/C</v>
      </c>
      <c r="P357" s="41" t="s">
        <v>26</v>
      </c>
      <c r="Q357" s="41" t="s">
        <v>26</v>
      </c>
      <c r="R357" s="41" t="s">
        <v>26</v>
      </c>
      <c r="S357" s="41" t="s">
        <v>26</v>
      </c>
      <c r="T357" s="28" t="s">
        <v>26</v>
      </c>
    </row>
    <row r="358" spans="1:20" hidden="1" x14ac:dyDescent="0.3">
      <c r="A358" s="84">
        <v>357</v>
      </c>
      <c r="B358" s="92">
        <v>44418</v>
      </c>
      <c r="C358" s="85" t="s">
        <v>600</v>
      </c>
      <c r="D358" s="85" t="s">
        <v>600</v>
      </c>
      <c r="E358" s="16">
        <v>44418.816967592589</v>
      </c>
      <c r="F358" s="7">
        <v>44418.817083333335</v>
      </c>
      <c r="G358" s="14">
        <f t="shared" si="5"/>
        <v>1.1574074596865103E-4</v>
      </c>
      <c r="H358" s="4" t="s">
        <v>23</v>
      </c>
      <c r="I358" s="4" t="s">
        <v>24</v>
      </c>
      <c r="J358" s="87" t="str">
        <f>IF(ISBLANK(C358),"",IF(C358=D358, "1 video",CONCATENATE((+COUNTIFS(Video_List!$C:$C,"&lt;=" &amp;Monitoring!F358)-COUNTIFS(Video_List!$C:$C,"&lt;=" &amp;Monitoring!E358))+1," videos")))</f>
        <v>1 video</v>
      </c>
      <c r="K358" s="27" t="s">
        <v>35</v>
      </c>
      <c r="L358" s="41" t="s">
        <v>28</v>
      </c>
      <c r="M358" s="41" t="s">
        <v>29</v>
      </c>
      <c r="N358" s="41" t="s">
        <v>30</v>
      </c>
      <c r="O358" s="88" t="str">
        <f>+IFERROR(IF(P358="#N/C","#N/C",IF(Q358=0,INDEX(Taxonomy_UniqueValues!D:D,MATCH(Q358,Taxonomy_UniqueValues!F:F,0)),INDEX(Taxonomy_UniqueValues!D:D,MATCH(P358,Taxonomy_UniqueValues!E:E,0)))),"#N/C")</f>
        <v>#N/C</v>
      </c>
      <c r="P358" s="41" t="s">
        <v>26</v>
      </c>
      <c r="Q358" s="41" t="s">
        <v>26</v>
      </c>
      <c r="R358" s="41" t="s">
        <v>26</v>
      </c>
      <c r="S358" s="41" t="s">
        <v>26</v>
      </c>
      <c r="T358" s="28" t="s">
        <v>26</v>
      </c>
    </row>
    <row r="359" spans="1:20" hidden="1" x14ac:dyDescent="0.3">
      <c r="A359" s="84">
        <v>358</v>
      </c>
      <c r="B359" s="92">
        <v>44418</v>
      </c>
      <c r="C359" s="85" t="s">
        <v>601</v>
      </c>
      <c r="D359" s="85" t="s">
        <v>601</v>
      </c>
      <c r="E359" s="16">
        <v>44418.828657407408</v>
      </c>
      <c r="F359" s="7">
        <v>44418.828715277778</v>
      </c>
      <c r="G359" s="14">
        <f t="shared" si="5"/>
        <v>5.7870369346346706E-5</v>
      </c>
      <c r="H359" s="4" t="s">
        <v>23</v>
      </c>
      <c r="I359" s="4" t="s">
        <v>24</v>
      </c>
      <c r="J359" s="87" t="str">
        <f>IF(ISBLANK(C359),"",IF(C359=D359, "1 video",CONCATENATE((+COUNTIFS(Video_List!$C:$C,"&lt;=" &amp;Monitoring!F359)-COUNTIFS(Video_List!$C:$C,"&lt;=" &amp;Monitoring!E359))+1," videos")))</f>
        <v>1 video</v>
      </c>
      <c r="K359" s="25" t="s">
        <v>23</v>
      </c>
      <c r="L359" s="41" t="s">
        <v>28</v>
      </c>
      <c r="M359" s="41" t="s">
        <v>29</v>
      </c>
      <c r="N359" s="41" t="s">
        <v>30</v>
      </c>
      <c r="O359" s="88" t="str">
        <f>+IFERROR(IF(P359="#N/C","#N/C",IF(Q359=0,INDEX(Taxonomy_UniqueValues!D:D,MATCH(Q359,Taxonomy_UniqueValues!F:F,0)),INDEX(Taxonomy_UniqueValues!D:D,MATCH(P359,Taxonomy_UniqueValues!E:E,0)))),"#N/C")</f>
        <v>Asilomorpha</v>
      </c>
      <c r="P359" s="41" t="s">
        <v>430</v>
      </c>
      <c r="Q359" s="41" t="s">
        <v>431</v>
      </c>
      <c r="R359" s="41" t="s">
        <v>538</v>
      </c>
      <c r="S359" s="41" t="s">
        <v>539</v>
      </c>
      <c r="T359" s="28" t="s">
        <v>26</v>
      </c>
    </row>
    <row r="360" spans="1:20" hidden="1" x14ac:dyDescent="0.3">
      <c r="A360" s="84">
        <v>359</v>
      </c>
      <c r="B360" s="92">
        <v>44418</v>
      </c>
      <c r="C360" s="85" t="s">
        <v>602</v>
      </c>
      <c r="D360" s="85" t="s">
        <v>602</v>
      </c>
      <c r="E360" s="16">
        <v>44418.833738425928</v>
      </c>
      <c r="F360" s="7">
        <v>44418.834236111114</v>
      </c>
      <c r="G360" s="14">
        <f t="shared" si="5"/>
        <v>4.9768518510973081E-4</v>
      </c>
      <c r="H360" s="4" t="s">
        <v>23</v>
      </c>
      <c r="I360" s="4" t="s">
        <v>24</v>
      </c>
      <c r="J360" s="87" t="str">
        <f>IF(ISBLANK(C360),"",IF(C360=D360, "1 video",CONCATENATE((+COUNTIFS(Video_List!$C:$C,"&lt;=" &amp;Monitoring!F360)-COUNTIFS(Video_List!$C:$C,"&lt;=" &amp;Monitoring!E360))+1," videos")))</f>
        <v>1 video</v>
      </c>
      <c r="K360" s="25" t="s">
        <v>23</v>
      </c>
      <c r="L360" s="41" t="s">
        <v>28</v>
      </c>
      <c r="M360" s="41" t="s">
        <v>29</v>
      </c>
      <c r="N360" s="41" t="s">
        <v>30</v>
      </c>
      <c r="O360" s="88" t="str">
        <f>+IFERROR(IF(P360="#N/C","#N/C",IF(Q360=0,INDEX(Taxonomy_UniqueValues!D:D,MATCH(Q360,Taxonomy_UniqueValues!F:F,0)),INDEX(Taxonomy_UniqueValues!D:D,MATCH(P360,Taxonomy_UniqueValues!E:E,0)))),"#N/C")</f>
        <v>Muscomorpha</v>
      </c>
      <c r="P360" s="41" t="s">
        <v>166</v>
      </c>
      <c r="Q360" s="41" t="s">
        <v>603</v>
      </c>
      <c r="R360" s="41" t="s">
        <v>604</v>
      </c>
      <c r="S360" s="41" t="s">
        <v>605</v>
      </c>
      <c r="T360" s="28" t="s">
        <v>26</v>
      </c>
    </row>
    <row r="361" spans="1:20" hidden="1" x14ac:dyDescent="0.3">
      <c r="A361" s="84">
        <v>360</v>
      </c>
      <c r="B361" s="92">
        <v>44418</v>
      </c>
      <c r="C361" s="85" t="s">
        <v>606</v>
      </c>
      <c r="D361" s="85" t="s">
        <v>606</v>
      </c>
      <c r="E361" s="16">
        <v>44418.839803240742</v>
      </c>
      <c r="F361" s="7">
        <v>44418.839918981481</v>
      </c>
      <c r="G361" s="14">
        <f t="shared" si="5"/>
        <v>1.1574073869269341E-4</v>
      </c>
      <c r="H361" s="86" t="s">
        <v>35</v>
      </c>
      <c r="I361" s="86" t="s">
        <v>109</v>
      </c>
      <c r="J361" s="87" t="str">
        <f>IF(ISBLANK(C361),"",IF(C361=D361, "1 video",CONCATENATE((+COUNTIFS(Video_List!$C:$C,"&lt;=" &amp;Monitoring!F361)-COUNTIFS(Video_List!$C:$C,"&lt;=" &amp;Monitoring!E361))+1," videos")))</f>
        <v>1 video</v>
      </c>
      <c r="K361" s="27" t="s">
        <v>35</v>
      </c>
      <c r="L361" s="41" t="s">
        <v>28</v>
      </c>
      <c r="M361" s="41" t="s">
        <v>29</v>
      </c>
      <c r="N361" s="41" t="s">
        <v>30</v>
      </c>
      <c r="O361" s="88" t="str">
        <f>+IFERROR(IF(P361="#N/C","#N/C",IF(Q361=0,INDEX(Taxonomy_UniqueValues!D:D,MATCH(Q361,Taxonomy_UniqueValues!F:F,0)),INDEX(Taxonomy_UniqueValues!D:D,MATCH(P361,Taxonomy_UniqueValues!E:E,0)))),"#N/C")</f>
        <v>Asilomorpha</v>
      </c>
      <c r="P361" s="41" t="s">
        <v>430</v>
      </c>
      <c r="Q361" s="41" t="s">
        <v>431</v>
      </c>
      <c r="R361" s="41" t="s">
        <v>538</v>
      </c>
      <c r="S361" s="41" t="s">
        <v>539</v>
      </c>
      <c r="T361" s="28" t="s">
        <v>26</v>
      </c>
    </row>
    <row r="362" spans="1:20" hidden="1" x14ac:dyDescent="0.3">
      <c r="A362" s="84">
        <v>361</v>
      </c>
      <c r="B362" s="92">
        <v>44418</v>
      </c>
      <c r="C362" s="85" t="s">
        <v>607</v>
      </c>
      <c r="D362" s="85" t="s">
        <v>607</v>
      </c>
      <c r="E362" s="16">
        <v>44418.848819444444</v>
      </c>
      <c r="F362" s="7">
        <v>44418.851643518516</v>
      </c>
      <c r="G362" s="14">
        <f t="shared" si="5"/>
        <v>2.8240740721230395E-3</v>
      </c>
      <c r="H362" s="86" t="s">
        <v>23</v>
      </c>
      <c r="I362" s="86" t="s">
        <v>24</v>
      </c>
      <c r="J362" s="87" t="str">
        <f>IF(ISBLANK(C362),"",IF(C362=D362, "1 video",CONCATENATE((+COUNTIFS(Video_List!$C:$C,"&lt;=" &amp;Monitoring!F362)-COUNTIFS(Video_List!$C:$C,"&lt;=" &amp;Monitoring!E362))+1," videos")))</f>
        <v>1 video</v>
      </c>
      <c r="K362" s="27" t="s">
        <v>35</v>
      </c>
      <c r="L362" s="41" t="s">
        <v>28</v>
      </c>
      <c r="M362" s="41" t="s">
        <v>29</v>
      </c>
      <c r="N362" s="41" t="s">
        <v>30</v>
      </c>
      <c r="O362" s="88" t="str">
        <f>+IFERROR(IF(P362="#N/C","#N/C",IF(Q362=0,INDEX(Taxonomy_UniqueValues!D:D,MATCH(Q362,Taxonomy_UniqueValues!F:F,0)),INDEX(Taxonomy_UniqueValues!D:D,MATCH(P362,Taxonomy_UniqueValues!E:E,0)))),"#N/C")</f>
        <v>Asilomorpha</v>
      </c>
      <c r="P362" s="41" t="s">
        <v>430</v>
      </c>
      <c r="Q362" s="41" t="s">
        <v>431</v>
      </c>
      <c r="R362" s="41" t="s">
        <v>538</v>
      </c>
      <c r="S362" s="41" t="s">
        <v>539</v>
      </c>
      <c r="T362" s="28" t="s">
        <v>26</v>
      </c>
    </row>
    <row r="363" spans="1:20" hidden="1" x14ac:dyDescent="0.3">
      <c r="A363" s="84">
        <v>362</v>
      </c>
      <c r="B363" s="92">
        <v>44418</v>
      </c>
      <c r="C363" s="85" t="s">
        <v>608</v>
      </c>
      <c r="D363" s="85" t="s">
        <v>608</v>
      </c>
      <c r="E363" s="16">
        <v>44418.850405092591</v>
      </c>
      <c r="F363" s="7">
        <v>44418.850532407407</v>
      </c>
      <c r="G363" s="14">
        <f t="shared" si="5"/>
        <v>1.273148154723458E-4</v>
      </c>
      <c r="H363" s="4" t="s">
        <v>23</v>
      </c>
      <c r="I363" s="4" t="s">
        <v>24</v>
      </c>
      <c r="J363" s="87" t="str">
        <f>IF(ISBLANK(C363),"",IF(C363=D363, "1 video",CONCATENATE((+COUNTIFS(Video_List!$C:$C,"&lt;=" &amp;Monitoring!F363)-COUNTIFS(Video_List!$C:$C,"&lt;=" &amp;Monitoring!E363))+1," videos")))</f>
        <v>1 video</v>
      </c>
      <c r="K363" s="27" t="s">
        <v>35</v>
      </c>
      <c r="L363" s="41" t="s">
        <v>28</v>
      </c>
      <c r="M363" s="41" t="s">
        <v>47</v>
      </c>
      <c r="N363" s="41" t="s">
        <v>26</v>
      </c>
      <c r="O363" s="88" t="str">
        <f>+IFERROR(IF(P363="#N/C","#N/C",IF(Q363=0,INDEX(Taxonomy_UniqueValues!D:D,MATCH(Q363,Taxonomy_UniqueValues!F:F,0)),INDEX(Taxonomy_UniqueValues!D:D,MATCH(P363,Taxonomy_UniqueValues!E:E,0)))),"#N/C")</f>
        <v>#N/C</v>
      </c>
      <c r="P363" s="41" t="s">
        <v>26</v>
      </c>
      <c r="Q363" s="41" t="s">
        <v>26</v>
      </c>
      <c r="R363" s="41" t="s">
        <v>26</v>
      </c>
      <c r="S363" s="41" t="s">
        <v>26</v>
      </c>
      <c r="T363" s="28" t="s">
        <v>26</v>
      </c>
    </row>
    <row r="364" spans="1:20" hidden="1" x14ac:dyDescent="0.3">
      <c r="A364" s="84">
        <v>363</v>
      </c>
      <c r="B364" s="92">
        <v>44418</v>
      </c>
      <c r="C364" s="85" t="s">
        <v>609</v>
      </c>
      <c r="D364" s="85" t="s">
        <v>609</v>
      </c>
      <c r="E364" s="16">
        <v>44418.851041666669</v>
      </c>
      <c r="F364" s="7">
        <v>44418.851261574076</v>
      </c>
      <c r="G364" s="14">
        <f t="shared" si="5"/>
        <v>2.1990740788169205E-4</v>
      </c>
      <c r="H364" s="86" t="s">
        <v>23</v>
      </c>
      <c r="I364" s="86" t="s">
        <v>24</v>
      </c>
      <c r="J364" s="87" t="str">
        <f>IF(ISBLANK(C364),"",IF(C364=D364, "1 video",CONCATENATE((+COUNTIFS(Video_List!$C:$C,"&lt;=" &amp;Monitoring!F364)-COUNTIFS(Video_List!$C:$C,"&lt;=" &amp;Monitoring!E364))+1," videos")))</f>
        <v>1 video</v>
      </c>
      <c r="K364" s="27" t="s">
        <v>35</v>
      </c>
      <c r="L364" s="41" t="s">
        <v>28</v>
      </c>
      <c r="M364" s="41" t="s">
        <v>29</v>
      </c>
      <c r="N364" s="41" t="s">
        <v>30</v>
      </c>
      <c r="O364" s="88" t="str">
        <f>+IFERROR(IF(P364="#N/C","#N/C",IF(Q364=0,INDEX(Taxonomy_UniqueValues!D:D,MATCH(Q364,Taxonomy_UniqueValues!F:F,0)),INDEX(Taxonomy_UniqueValues!D:D,MATCH(P364,Taxonomy_UniqueValues!E:E,0)))),"#N/C")</f>
        <v>Asilomorpha</v>
      </c>
      <c r="P364" s="41" t="s">
        <v>430</v>
      </c>
      <c r="Q364" s="41" t="s">
        <v>431</v>
      </c>
      <c r="R364" s="41" t="s">
        <v>538</v>
      </c>
      <c r="S364" s="41" t="s">
        <v>539</v>
      </c>
      <c r="T364" s="28" t="s">
        <v>26</v>
      </c>
    </row>
    <row r="365" spans="1:20" hidden="1" x14ac:dyDescent="0.3">
      <c r="A365" s="84">
        <v>364</v>
      </c>
      <c r="B365" s="92">
        <v>44418</v>
      </c>
      <c r="C365" s="85" t="s">
        <v>610</v>
      </c>
      <c r="D365" s="85" t="s">
        <v>610</v>
      </c>
      <c r="E365" s="16">
        <v>44418.859293981484</v>
      </c>
      <c r="F365" s="7">
        <v>44418.859386574077</v>
      </c>
      <c r="G365" s="14">
        <f t="shared" si="5"/>
        <v>9.2592592409346253E-5</v>
      </c>
      <c r="H365" s="86" t="s">
        <v>23</v>
      </c>
      <c r="I365" s="86" t="s">
        <v>24</v>
      </c>
      <c r="J365" s="87" t="str">
        <f>IF(ISBLANK(C365),"",IF(C365=D365, "1 video",CONCATENATE((+COUNTIFS(Video_List!$C:$C,"&lt;=" &amp;Monitoring!F365)-COUNTIFS(Video_List!$C:$C,"&lt;=" &amp;Monitoring!E365))+1," videos")))</f>
        <v>1 video</v>
      </c>
      <c r="K365" s="27" t="s">
        <v>35</v>
      </c>
      <c r="L365" s="41" t="s">
        <v>28</v>
      </c>
      <c r="M365" s="41" t="s">
        <v>29</v>
      </c>
      <c r="N365" s="41" t="s">
        <v>30</v>
      </c>
      <c r="O365" s="88" t="str">
        <f>+IFERROR(IF(P365="#N/C","#N/C",IF(Q365=0,INDEX(Taxonomy_UniqueValues!D:D,MATCH(Q365,Taxonomy_UniqueValues!F:F,0)),INDEX(Taxonomy_UniqueValues!D:D,MATCH(P365,Taxonomy_UniqueValues!E:E,0)))),"#N/C")</f>
        <v>Asilomorpha</v>
      </c>
      <c r="P365" s="41" t="s">
        <v>430</v>
      </c>
      <c r="Q365" s="41" t="s">
        <v>431</v>
      </c>
      <c r="R365" s="41" t="s">
        <v>538</v>
      </c>
      <c r="S365" s="41" t="s">
        <v>539</v>
      </c>
      <c r="T365" s="28" t="s">
        <v>26</v>
      </c>
    </row>
    <row r="366" spans="1:20" hidden="1" x14ac:dyDescent="0.3">
      <c r="A366" s="84">
        <v>365</v>
      </c>
      <c r="B366" s="92">
        <v>44418</v>
      </c>
      <c r="C366" s="85" t="s">
        <v>611</v>
      </c>
      <c r="D366" s="85" t="s">
        <v>612</v>
      </c>
      <c r="E366" s="16">
        <v>44418.868969907409</v>
      </c>
      <c r="F366" s="7">
        <v>44418.869976851849</v>
      </c>
      <c r="G366" s="14">
        <f t="shared" si="5"/>
        <v>1.0069444397231564E-3</v>
      </c>
      <c r="H366" s="4" t="s">
        <v>23</v>
      </c>
      <c r="I366" s="4" t="s">
        <v>24</v>
      </c>
      <c r="J366" s="87" t="str">
        <f>IF(ISBLANK(C366),"",IF(C366=D366, "1 video",CONCATENATE((+COUNTIFS(Video_List!$C:$C,"&lt;=" &amp;Monitoring!F366)-COUNTIFS(Video_List!$C:$C,"&lt;=" &amp;Monitoring!E366))+1," videos")))</f>
        <v>2 videos</v>
      </c>
      <c r="K366" s="25" t="s">
        <v>23</v>
      </c>
      <c r="L366" s="41" t="s">
        <v>28</v>
      </c>
      <c r="M366" s="41" t="s">
        <v>47</v>
      </c>
      <c r="N366" s="41" t="s">
        <v>26</v>
      </c>
      <c r="O366" s="88" t="str">
        <f>+IFERROR(IF(P366="#N/C","#N/C",IF(Q366=0,INDEX(Taxonomy_UniqueValues!D:D,MATCH(Q366,Taxonomy_UniqueValues!F:F,0)),INDEX(Taxonomy_UniqueValues!D:D,MATCH(P366,Taxonomy_UniqueValues!E:E,0)))),"#N/C")</f>
        <v>#N/C</v>
      </c>
      <c r="P366" s="41" t="s">
        <v>26</v>
      </c>
      <c r="Q366" s="41" t="s">
        <v>26</v>
      </c>
      <c r="R366" s="41" t="s">
        <v>26</v>
      </c>
      <c r="S366" s="41" t="s">
        <v>26</v>
      </c>
      <c r="T366" s="28" t="s">
        <v>26</v>
      </c>
    </row>
    <row r="367" spans="1:20" hidden="1" x14ac:dyDescent="0.3">
      <c r="A367" s="84">
        <v>366</v>
      </c>
      <c r="B367" s="92">
        <v>44418</v>
      </c>
      <c r="C367" s="85" t="s">
        <v>613</v>
      </c>
      <c r="D367" s="85" t="s">
        <v>613</v>
      </c>
      <c r="E367" s="16">
        <v>44418.874594907407</v>
      </c>
      <c r="F367" s="7">
        <v>44418.874791666669</v>
      </c>
      <c r="G367" s="14">
        <f t="shared" si="5"/>
        <v>1.9675926159834489E-4</v>
      </c>
      <c r="H367" s="4" t="s">
        <v>23</v>
      </c>
      <c r="I367" s="4" t="s">
        <v>24</v>
      </c>
      <c r="J367" s="87" t="str">
        <f>IF(ISBLANK(C367),"",IF(C367=D367, "1 video",CONCATENATE((+COUNTIFS(Video_List!$C:$C,"&lt;=" &amp;Monitoring!F367)-COUNTIFS(Video_List!$C:$C,"&lt;=" &amp;Monitoring!E367))+1," videos")))</f>
        <v>1 video</v>
      </c>
      <c r="K367" s="25" t="s">
        <v>23</v>
      </c>
      <c r="L367" s="41" t="s">
        <v>28</v>
      </c>
      <c r="M367" s="41" t="s">
        <v>29</v>
      </c>
      <c r="N367" s="41" t="s">
        <v>30</v>
      </c>
      <c r="O367" s="88" t="str">
        <f>+IFERROR(IF(P367="#N/C","#N/C",IF(Q367=0,INDEX(Taxonomy_UniqueValues!D:D,MATCH(Q367,Taxonomy_UniqueValues!F:F,0)),INDEX(Taxonomy_UniqueValues!D:D,MATCH(P367,Taxonomy_UniqueValues!E:E,0)))),"#N/C")</f>
        <v>Muscomorpha</v>
      </c>
      <c r="P367" s="41" t="s">
        <v>166</v>
      </c>
      <c r="Q367" s="41" t="s">
        <v>26</v>
      </c>
      <c r="R367" s="41" t="s">
        <v>26</v>
      </c>
      <c r="S367" s="41" t="s">
        <v>26</v>
      </c>
      <c r="T367" s="28" t="s">
        <v>26</v>
      </c>
    </row>
    <row r="368" spans="1:20" hidden="1" x14ac:dyDescent="0.3">
      <c r="A368" s="84">
        <v>367</v>
      </c>
      <c r="B368" s="92">
        <v>44418</v>
      </c>
      <c r="C368" s="85" t="s">
        <v>614</v>
      </c>
      <c r="D368" s="85" t="s">
        <v>614</v>
      </c>
      <c r="E368" s="16">
        <v>44418.877175925925</v>
      </c>
      <c r="F368" s="7">
        <v>44418.877418981479</v>
      </c>
      <c r="G368" s="14">
        <f t="shared" si="5"/>
        <v>2.4305555416503921E-4</v>
      </c>
      <c r="H368" s="86" t="s">
        <v>23</v>
      </c>
      <c r="I368" s="86" t="s">
        <v>24</v>
      </c>
      <c r="J368" s="87" t="str">
        <f>IF(ISBLANK(C368),"",IF(C368=D368, "1 video",CONCATENATE((+COUNTIFS(Video_List!$C:$C,"&lt;=" &amp;Monitoring!F368)-COUNTIFS(Video_List!$C:$C,"&lt;=" &amp;Monitoring!E368))+1," videos")))</f>
        <v>1 video</v>
      </c>
      <c r="K368" s="27" t="s">
        <v>35</v>
      </c>
      <c r="L368" s="41" t="s">
        <v>28</v>
      </c>
      <c r="M368" s="41" t="s">
        <v>29</v>
      </c>
      <c r="N368" s="41" t="s">
        <v>30</v>
      </c>
      <c r="O368" s="88" t="str">
        <f>+IFERROR(IF(P368="#N/C","#N/C",IF(Q368=0,INDEX(Taxonomy_UniqueValues!D:D,MATCH(Q368,Taxonomy_UniqueValues!F:F,0)),INDEX(Taxonomy_UniqueValues!D:D,MATCH(P368,Taxonomy_UniqueValues!E:E,0)))),"#N/C")</f>
        <v>Muscomorpha</v>
      </c>
      <c r="P368" s="41" t="s">
        <v>166</v>
      </c>
      <c r="Q368" s="41" t="s">
        <v>26</v>
      </c>
      <c r="R368" s="41" t="s">
        <v>26</v>
      </c>
      <c r="S368" s="41" t="s">
        <v>26</v>
      </c>
      <c r="T368" s="28" t="s">
        <v>26</v>
      </c>
    </row>
    <row r="369" spans="1:20" hidden="1" x14ac:dyDescent="0.3">
      <c r="A369" s="84">
        <v>368</v>
      </c>
      <c r="B369" s="92">
        <v>44418</v>
      </c>
      <c r="C369" s="85" t="s">
        <v>615</v>
      </c>
      <c r="D369" s="85" t="s">
        <v>615</v>
      </c>
      <c r="E369" s="16">
        <v>44418.878310185188</v>
      </c>
      <c r="F369" s="7">
        <v>44418.878391203703</v>
      </c>
      <c r="G369" s="14">
        <f t="shared" si="5"/>
        <v>8.1018515629693866E-5</v>
      </c>
      <c r="H369" s="4" t="s">
        <v>23</v>
      </c>
      <c r="I369" s="4" t="s">
        <v>24</v>
      </c>
      <c r="J369" s="87" t="str">
        <f>IF(ISBLANK(C369),"",IF(C369=D369, "1 video",CONCATENATE((+COUNTIFS(Video_List!$C:$C,"&lt;=" &amp;Monitoring!F369)-COUNTIFS(Video_List!$C:$C,"&lt;=" &amp;Monitoring!E369))+1," videos")))</f>
        <v>1 video</v>
      </c>
      <c r="K369" s="27" t="s">
        <v>35</v>
      </c>
      <c r="L369" s="41" t="s">
        <v>28</v>
      </c>
      <c r="M369" s="41" t="s">
        <v>29</v>
      </c>
      <c r="N369" s="41" t="s">
        <v>30</v>
      </c>
      <c r="O369" s="88" t="str">
        <f>+IFERROR(IF(P369="#N/C","#N/C",IF(Q369=0,INDEX(Taxonomy_UniqueValues!D:D,MATCH(Q369,Taxonomy_UniqueValues!F:F,0)),INDEX(Taxonomy_UniqueValues!D:D,MATCH(P369,Taxonomy_UniqueValues!E:E,0)))),"#N/C")</f>
        <v>Muscomorpha</v>
      </c>
      <c r="P369" s="41" t="s">
        <v>166</v>
      </c>
      <c r="Q369" s="41" t="s">
        <v>26</v>
      </c>
      <c r="R369" s="41" t="s">
        <v>26</v>
      </c>
      <c r="S369" s="41" t="s">
        <v>26</v>
      </c>
      <c r="T369" s="28" t="s">
        <v>26</v>
      </c>
    </row>
    <row r="370" spans="1:20" hidden="1" x14ac:dyDescent="0.3">
      <c r="A370" s="84">
        <v>369</v>
      </c>
      <c r="B370" s="92">
        <v>44418</v>
      </c>
      <c r="C370" s="85" t="s">
        <v>616</v>
      </c>
      <c r="D370" s="85" t="s">
        <v>616</v>
      </c>
      <c r="E370" s="16">
        <v>44418.879907407405</v>
      </c>
      <c r="F370" s="7">
        <v>44418.881643518522</v>
      </c>
      <c r="G370" s="14">
        <f t="shared" si="5"/>
        <v>1.7361111167701893E-3</v>
      </c>
      <c r="H370" s="4" t="s">
        <v>23</v>
      </c>
      <c r="I370" s="4" t="s">
        <v>24</v>
      </c>
      <c r="J370" s="87" t="str">
        <f>IF(ISBLANK(C370),"",IF(C370=D370, "1 video",CONCATENATE((+COUNTIFS(Video_List!$C:$C,"&lt;=" &amp;Monitoring!F370)-COUNTIFS(Video_List!$C:$C,"&lt;=" &amp;Monitoring!E370))+1," videos")))</f>
        <v>1 video</v>
      </c>
      <c r="K370" s="25" t="s">
        <v>23</v>
      </c>
      <c r="L370" s="41" t="s">
        <v>28</v>
      </c>
      <c r="M370" s="41" t="s">
        <v>29</v>
      </c>
      <c r="N370" s="41" t="s">
        <v>30</v>
      </c>
      <c r="O370" s="88" t="str">
        <f>+IFERROR(IF(P370="#N/C","#N/C",IF(Q370=0,INDEX(Taxonomy_UniqueValues!D:D,MATCH(Q370,Taxonomy_UniqueValues!F:F,0)),INDEX(Taxonomy_UniqueValues!D:D,MATCH(P370,Taxonomy_UniqueValues!E:E,0)))),"#N/C")</f>
        <v>Muscomorpha</v>
      </c>
      <c r="P370" s="41" t="s">
        <v>54</v>
      </c>
      <c r="Q370" s="41" t="s">
        <v>55</v>
      </c>
      <c r="R370" s="41" t="s">
        <v>56</v>
      </c>
      <c r="S370" s="41" t="s">
        <v>617</v>
      </c>
      <c r="T370" s="28" t="s">
        <v>618</v>
      </c>
    </row>
    <row r="371" spans="1:20" hidden="1" x14ac:dyDescent="0.3">
      <c r="A371" s="84">
        <v>370</v>
      </c>
      <c r="B371" s="92">
        <v>44418</v>
      </c>
      <c r="C371" s="85" t="s">
        <v>619</v>
      </c>
      <c r="D371" s="85" t="s">
        <v>619</v>
      </c>
      <c r="E371" s="16">
        <v>44418.881967592592</v>
      </c>
      <c r="F371" s="7">
        <v>44418.882673611108</v>
      </c>
      <c r="G371" s="14">
        <f t="shared" si="5"/>
        <v>7.0601851621177047E-4</v>
      </c>
      <c r="H371" s="86" t="s">
        <v>23</v>
      </c>
      <c r="I371" s="86" t="s">
        <v>24</v>
      </c>
      <c r="J371" s="87" t="str">
        <f>IF(ISBLANK(C371),"",IF(C371=D371, "1 video",CONCATENATE((+COUNTIFS(Video_List!$C:$C,"&lt;=" &amp;Monitoring!F371)-COUNTIFS(Video_List!$C:$C,"&lt;=" &amp;Monitoring!E371))+1," videos")))</f>
        <v>1 video</v>
      </c>
      <c r="K371" s="27" t="s">
        <v>35</v>
      </c>
      <c r="L371" s="41" t="s">
        <v>28</v>
      </c>
      <c r="M371" s="41" t="s">
        <v>29</v>
      </c>
      <c r="N371" s="41" t="s">
        <v>30</v>
      </c>
      <c r="O371" s="88" t="str">
        <f>+IFERROR(IF(P371="#N/C","#N/C",IF(Q371=0,INDEX(Taxonomy_UniqueValues!D:D,MATCH(Q371,Taxonomy_UniqueValues!F:F,0)),INDEX(Taxonomy_UniqueValues!D:D,MATCH(P371,Taxonomy_UniqueValues!E:E,0)))),"#N/C")</f>
        <v>#N/C</v>
      </c>
      <c r="P371" s="41" t="s">
        <v>26</v>
      </c>
      <c r="Q371" s="41" t="s">
        <v>26</v>
      </c>
      <c r="R371" s="41" t="s">
        <v>26</v>
      </c>
      <c r="S371" s="41" t="s">
        <v>26</v>
      </c>
      <c r="T371" s="28" t="s">
        <v>26</v>
      </c>
    </row>
    <row r="372" spans="1:20" hidden="1" x14ac:dyDescent="0.3">
      <c r="A372" s="84">
        <v>371</v>
      </c>
      <c r="B372" s="92">
        <v>44418</v>
      </c>
      <c r="C372" s="85" t="s">
        <v>620</v>
      </c>
      <c r="D372" s="85" t="s">
        <v>620</v>
      </c>
      <c r="E372" s="16">
        <v>44418.883773148147</v>
      </c>
      <c r="F372" s="7">
        <v>44418.883993055555</v>
      </c>
      <c r="G372" s="14">
        <f t="shared" si="5"/>
        <v>2.1990740788169205E-4</v>
      </c>
      <c r="H372" s="86" t="s">
        <v>23</v>
      </c>
      <c r="I372" s="86" t="s">
        <v>24</v>
      </c>
      <c r="J372" s="87" t="str">
        <f>IF(ISBLANK(C372),"",IF(C372=D372, "1 video",CONCATENATE((+COUNTIFS(Video_List!$C:$C,"&lt;=" &amp;Monitoring!F372)-COUNTIFS(Video_List!$C:$C,"&lt;=" &amp;Monitoring!E372))+1," videos")))</f>
        <v>1 video</v>
      </c>
      <c r="K372" s="27" t="s">
        <v>35</v>
      </c>
      <c r="L372" s="41" t="s">
        <v>28</v>
      </c>
      <c r="M372" s="41" t="s">
        <v>29</v>
      </c>
      <c r="N372" s="41" t="s">
        <v>30</v>
      </c>
      <c r="O372" s="88" t="str">
        <f>+IFERROR(IF(P372="#N/C","#N/C",IF(Q372=0,INDEX(Taxonomy_UniqueValues!D:D,MATCH(Q372,Taxonomy_UniqueValues!F:F,0)),INDEX(Taxonomy_UniqueValues!D:D,MATCH(P372,Taxonomy_UniqueValues!E:E,0)))),"#N/C")</f>
        <v>Muscomorpha</v>
      </c>
      <c r="P372" s="41" t="s">
        <v>166</v>
      </c>
      <c r="Q372" s="41" t="s">
        <v>486</v>
      </c>
      <c r="R372" s="41" t="s">
        <v>487</v>
      </c>
      <c r="S372" s="41" t="s">
        <v>621</v>
      </c>
      <c r="T372" s="28" t="s">
        <v>622</v>
      </c>
    </row>
    <row r="373" spans="1:20" hidden="1" x14ac:dyDescent="0.3">
      <c r="A373" s="84">
        <v>372</v>
      </c>
      <c r="B373" s="92">
        <v>44418</v>
      </c>
      <c r="C373" s="85" t="s">
        <v>623</v>
      </c>
      <c r="D373" s="85" t="s">
        <v>623</v>
      </c>
      <c r="E373" s="16">
        <v>44418.88690972222</v>
      </c>
      <c r="F373" s="7">
        <v>44418.887106481481</v>
      </c>
      <c r="G373" s="14">
        <f t="shared" si="5"/>
        <v>1.9675926159834489E-4</v>
      </c>
      <c r="H373" s="86" t="s">
        <v>23</v>
      </c>
      <c r="I373" s="86" t="s">
        <v>24</v>
      </c>
      <c r="J373" s="87" t="str">
        <f>IF(ISBLANK(C373),"",IF(C373=D373, "1 video",CONCATENATE((+COUNTIFS(Video_List!$C:$C,"&lt;=" &amp;Monitoring!F373)-COUNTIFS(Video_List!$C:$C,"&lt;=" &amp;Monitoring!E373))+1," videos")))</f>
        <v>1 video</v>
      </c>
      <c r="K373" s="27" t="s">
        <v>35</v>
      </c>
      <c r="L373" s="41" t="s">
        <v>28</v>
      </c>
      <c r="M373" s="41" t="s">
        <v>29</v>
      </c>
      <c r="N373" s="41" t="s">
        <v>30</v>
      </c>
      <c r="O373" s="88" t="str">
        <f>+IFERROR(IF(P373="#N/C","#N/C",IF(Q373=0,INDEX(Taxonomy_UniqueValues!D:D,MATCH(Q373,Taxonomy_UniqueValues!F:F,0)),INDEX(Taxonomy_UniqueValues!D:D,MATCH(P373,Taxonomy_UniqueValues!E:E,0)))),"#N/C")</f>
        <v>Muscomorpha</v>
      </c>
      <c r="P373" s="41" t="s">
        <v>166</v>
      </c>
      <c r="Q373" s="41" t="s">
        <v>26</v>
      </c>
      <c r="R373" s="41" t="s">
        <v>26</v>
      </c>
      <c r="S373" s="41" t="s">
        <v>26</v>
      </c>
      <c r="T373" s="28" t="s">
        <v>26</v>
      </c>
    </row>
    <row r="374" spans="1:20" hidden="1" x14ac:dyDescent="0.3">
      <c r="A374" s="84">
        <v>373</v>
      </c>
      <c r="B374" s="6">
        <v>44418</v>
      </c>
      <c r="C374" s="85" t="s">
        <v>624</v>
      </c>
      <c r="D374" s="85" t="s">
        <v>624</v>
      </c>
      <c r="E374" s="16">
        <v>44418.888854166667</v>
      </c>
      <c r="F374" s="7">
        <v>44418.88921296296</v>
      </c>
      <c r="G374" s="14">
        <f t="shared" si="5"/>
        <v>3.5879629285773262E-4</v>
      </c>
      <c r="H374" s="4" t="s">
        <v>23</v>
      </c>
      <c r="I374" s="4" t="s">
        <v>24</v>
      </c>
      <c r="J374" s="87" t="str">
        <f>IF(ISBLANK(C374),"",IF(C374=D374, "1 video",CONCATENATE((+COUNTIFS(Video_List!$C:$C,"&lt;=" &amp;Monitoring!F374)-COUNTIFS(Video_List!$C:$C,"&lt;=" &amp;Monitoring!E374))+1," videos")))</f>
        <v>1 video</v>
      </c>
      <c r="K374" s="25" t="s">
        <v>23</v>
      </c>
      <c r="L374" s="41" t="s">
        <v>28</v>
      </c>
      <c r="M374" s="41" t="s">
        <v>351</v>
      </c>
      <c r="N374" s="41" t="s">
        <v>352</v>
      </c>
      <c r="O374" s="88">
        <f>+IFERROR(IF(P374="#N/C","#N/C",IF(Q374=0,INDEX(Taxonomy_UniqueValues!D:D,MATCH(Q374,Taxonomy_UniqueValues!F:F,0)),INDEX(Taxonomy_UniqueValues!D:D,MATCH(P374,Taxonomy_UniqueValues!E:E,0)))),"#N/C")</f>
        <v>0</v>
      </c>
      <c r="P374" s="41" t="s">
        <v>353</v>
      </c>
      <c r="Q374" s="41" t="s">
        <v>625</v>
      </c>
      <c r="R374" s="41" t="s">
        <v>626</v>
      </c>
      <c r="S374" s="41" t="s">
        <v>627</v>
      </c>
      <c r="T374" s="28" t="s">
        <v>628</v>
      </c>
    </row>
    <row r="375" spans="1:20" hidden="1" x14ac:dyDescent="0.3">
      <c r="A375" s="84">
        <v>374</v>
      </c>
      <c r="B375" s="92">
        <v>44418</v>
      </c>
      <c r="C375" s="85" t="s">
        <v>629</v>
      </c>
      <c r="D375" s="85" t="s">
        <v>629</v>
      </c>
      <c r="E375" s="16">
        <v>44418.889548611114</v>
      </c>
      <c r="F375" s="7">
        <v>44418.892245370371</v>
      </c>
      <c r="G375" s="14">
        <f t="shared" si="5"/>
        <v>2.6967592566506937E-3</v>
      </c>
      <c r="H375" s="4" t="s">
        <v>23</v>
      </c>
      <c r="I375" s="4" t="s">
        <v>24</v>
      </c>
      <c r="J375" s="87" t="str">
        <f>IF(ISBLANK(C375),"",IF(C375=D375, "1 video",CONCATENATE((+COUNTIFS(Video_List!$C:$C,"&lt;=" &amp;Monitoring!F375)-COUNTIFS(Video_List!$C:$C,"&lt;=" &amp;Monitoring!E375))+1," videos")))</f>
        <v>1 video</v>
      </c>
      <c r="K375" s="25" t="s">
        <v>23</v>
      </c>
      <c r="L375" s="41" t="s">
        <v>28</v>
      </c>
      <c r="M375" s="41" t="s">
        <v>29</v>
      </c>
      <c r="N375" s="41" t="s">
        <v>30</v>
      </c>
      <c r="O375" s="88" t="str">
        <f>+IFERROR(IF(P375="#N/C","#N/C",IF(Q375=0,INDEX(Taxonomy_UniqueValues!D:D,MATCH(Q375,Taxonomy_UniqueValues!F:F,0)),INDEX(Taxonomy_UniqueValues!D:D,MATCH(P375,Taxonomy_UniqueValues!E:E,0)))),"#N/C")</f>
        <v>Muscomorpha</v>
      </c>
      <c r="P375" s="41" t="s">
        <v>152</v>
      </c>
      <c r="Q375" s="41" t="s">
        <v>630</v>
      </c>
      <c r="R375" s="41" t="s">
        <v>631</v>
      </c>
      <c r="S375" s="41" t="s">
        <v>632</v>
      </c>
      <c r="T375" s="28" t="s">
        <v>26</v>
      </c>
    </row>
    <row r="376" spans="1:20" hidden="1" x14ac:dyDescent="0.3">
      <c r="A376" s="84">
        <v>375</v>
      </c>
      <c r="B376" s="92">
        <v>44418</v>
      </c>
      <c r="C376" s="85" t="s">
        <v>629</v>
      </c>
      <c r="D376" s="85" t="s">
        <v>629</v>
      </c>
      <c r="E376" s="16">
        <v>44418.890752314815</v>
      </c>
      <c r="F376" s="7">
        <v>44418.8909375</v>
      </c>
      <c r="G376" s="14">
        <f t="shared" si="5"/>
        <v>1.8518518481869251E-4</v>
      </c>
      <c r="H376" s="4" t="s">
        <v>23</v>
      </c>
      <c r="I376" s="4" t="s">
        <v>24</v>
      </c>
      <c r="J376" s="87" t="str">
        <f>IF(ISBLANK(C376),"",IF(C376=D376, "1 video",CONCATENATE((+COUNTIFS(Video_List!$C:$C,"&lt;=" &amp;Monitoring!F376)-COUNTIFS(Video_List!$C:$C,"&lt;=" &amp;Monitoring!E376))+1," videos")))</f>
        <v>1 video</v>
      </c>
      <c r="K376" s="25" t="s">
        <v>23</v>
      </c>
      <c r="L376" s="41" t="s">
        <v>28</v>
      </c>
      <c r="M376" s="41" t="s">
        <v>29</v>
      </c>
      <c r="N376" s="41" t="s">
        <v>30</v>
      </c>
      <c r="O376" s="88" t="str">
        <f>+IFERROR(IF(P376="#N/C","#N/C",IF(Q376=0,INDEX(Taxonomy_UniqueValues!D:D,MATCH(Q376,Taxonomy_UniqueValues!F:F,0)),INDEX(Taxonomy_UniqueValues!D:D,MATCH(P376,Taxonomy_UniqueValues!E:E,0)))),"#N/C")</f>
        <v>Tabanomorpha</v>
      </c>
      <c r="P376" s="41" t="s">
        <v>633</v>
      </c>
      <c r="Q376" s="41" t="s">
        <v>634</v>
      </c>
      <c r="R376" s="41" t="s">
        <v>635</v>
      </c>
      <c r="S376" s="41" t="s">
        <v>636</v>
      </c>
      <c r="T376" s="28" t="s">
        <v>637</v>
      </c>
    </row>
    <row r="377" spans="1:20" hidden="1" x14ac:dyDescent="0.3">
      <c r="A377" s="84">
        <v>376</v>
      </c>
      <c r="B377" s="92">
        <v>44418</v>
      </c>
      <c r="C377" s="85" t="s">
        <v>629</v>
      </c>
      <c r="D377" s="85" t="s">
        <v>629</v>
      </c>
      <c r="E377" s="16">
        <v>44418.892372685186</v>
      </c>
      <c r="F377" s="7">
        <v>44418.892777777779</v>
      </c>
      <c r="G377" s="14">
        <f t="shared" si="5"/>
        <v>4.0509259270038456E-4</v>
      </c>
      <c r="H377" s="4" t="s">
        <v>23</v>
      </c>
      <c r="I377" s="4" t="s">
        <v>24</v>
      </c>
      <c r="J377" s="87" t="str">
        <f>IF(ISBLANK(C377),"",IF(C377=D377, "1 video",CONCATENATE((+COUNTIFS(Video_List!$C:$C,"&lt;=" &amp;Monitoring!F377)-COUNTIFS(Video_List!$C:$C,"&lt;=" &amp;Monitoring!E377))+1," videos")))</f>
        <v>1 video</v>
      </c>
      <c r="K377" s="25" t="s">
        <v>23</v>
      </c>
      <c r="L377" s="41" t="s">
        <v>28</v>
      </c>
      <c r="M377" s="41" t="s">
        <v>29</v>
      </c>
      <c r="N377" s="41" t="s">
        <v>30</v>
      </c>
      <c r="O377" s="88" t="str">
        <f>+IFERROR(IF(P377="#N/C","#N/C",IF(Q377=0,INDEX(Taxonomy_UniqueValues!D:D,MATCH(Q377,Taxonomy_UniqueValues!F:F,0)),INDEX(Taxonomy_UniqueValues!D:D,MATCH(P377,Taxonomy_UniqueValues!E:E,0)))),"#N/C")</f>
        <v>Muscomorpha</v>
      </c>
      <c r="P377" s="41" t="s">
        <v>166</v>
      </c>
      <c r="Q377" s="41" t="s">
        <v>486</v>
      </c>
      <c r="R377" s="41" t="s">
        <v>26</v>
      </c>
      <c r="S377" s="41" t="s">
        <v>26</v>
      </c>
      <c r="T377" s="28" t="s">
        <v>26</v>
      </c>
    </row>
    <row r="378" spans="1:20" hidden="1" x14ac:dyDescent="0.3">
      <c r="A378" s="84">
        <v>377</v>
      </c>
      <c r="B378" s="92">
        <v>44418</v>
      </c>
      <c r="C378" s="85" t="s">
        <v>638</v>
      </c>
      <c r="D378" s="85" t="s">
        <v>638</v>
      </c>
      <c r="E378" s="16">
        <v>44418.893148148149</v>
      </c>
      <c r="F378" s="7">
        <v>44418.893831018519</v>
      </c>
      <c r="G378" s="14">
        <f t="shared" si="5"/>
        <v>6.8287036992842332E-4</v>
      </c>
      <c r="H378" s="86" t="s">
        <v>23</v>
      </c>
      <c r="I378" s="86" t="s">
        <v>24</v>
      </c>
      <c r="J378" s="87" t="str">
        <f>IF(ISBLANK(C378),"",IF(C378=D378, "1 video",CONCATENATE((+COUNTIFS(Video_List!$C:$C,"&lt;=" &amp;Monitoring!F378)-COUNTIFS(Video_List!$C:$C,"&lt;=" &amp;Monitoring!E378))+1," videos")))</f>
        <v>1 video</v>
      </c>
      <c r="K378" s="27" t="s">
        <v>35</v>
      </c>
      <c r="L378" s="41" t="s">
        <v>28</v>
      </c>
      <c r="M378" s="41" t="s">
        <v>29</v>
      </c>
      <c r="N378" s="41" t="s">
        <v>30</v>
      </c>
      <c r="O378" s="88" t="str">
        <f>+IFERROR(IF(P378="#N/C","#N/C",IF(Q378=0,INDEX(Taxonomy_UniqueValues!D:D,MATCH(Q378,Taxonomy_UniqueValues!F:F,0)),INDEX(Taxonomy_UniqueValues!D:D,MATCH(P378,Taxonomy_UniqueValues!E:E,0)))),"#N/C")</f>
        <v>Muscomorpha</v>
      </c>
      <c r="P378" s="41" t="s">
        <v>166</v>
      </c>
      <c r="Q378" s="41" t="s">
        <v>486</v>
      </c>
      <c r="R378" s="41" t="s">
        <v>26</v>
      </c>
      <c r="S378" s="41" t="s">
        <v>26</v>
      </c>
      <c r="T378" s="28" t="s">
        <v>26</v>
      </c>
    </row>
    <row r="379" spans="1:20" hidden="1" x14ac:dyDescent="0.3">
      <c r="A379" s="84">
        <v>378</v>
      </c>
      <c r="B379" s="92">
        <v>44418</v>
      </c>
      <c r="C379" s="85" t="s">
        <v>639</v>
      </c>
      <c r="D379" s="85" t="s">
        <v>639</v>
      </c>
      <c r="E379" s="16">
        <v>44418.894652777781</v>
      </c>
      <c r="F379" s="7">
        <v>44418.89471064815</v>
      </c>
      <c r="G379" s="14">
        <f t="shared" si="5"/>
        <v>5.7870369346346706E-5</v>
      </c>
      <c r="H379" s="86" t="s">
        <v>23</v>
      </c>
      <c r="I379" s="86" t="s">
        <v>24</v>
      </c>
      <c r="J379" s="87" t="str">
        <f>IF(ISBLANK(C379),"",IF(C379=D379, "1 video",CONCATENATE((+COUNTIFS(Video_List!$C:$C,"&lt;=" &amp;Monitoring!F379)-COUNTIFS(Video_List!$C:$C,"&lt;=" &amp;Monitoring!E379))+1," videos")))</f>
        <v>1 video</v>
      </c>
      <c r="K379" s="27" t="s">
        <v>35</v>
      </c>
      <c r="L379" s="41" t="s">
        <v>28</v>
      </c>
      <c r="M379" s="41" t="s">
        <v>47</v>
      </c>
      <c r="N379" s="41" t="s">
        <v>26</v>
      </c>
      <c r="O379" s="88" t="str">
        <f>+IFERROR(IF(P379="#N/C","#N/C",IF(Q379=0,INDEX(Taxonomy_UniqueValues!D:D,MATCH(Q379,Taxonomy_UniqueValues!F:F,0)),INDEX(Taxonomy_UniqueValues!D:D,MATCH(P379,Taxonomy_UniqueValues!E:E,0)))),"#N/C")</f>
        <v>#N/C</v>
      </c>
      <c r="P379" s="41" t="s">
        <v>26</v>
      </c>
      <c r="Q379" s="41" t="s">
        <v>26</v>
      </c>
      <c r="R379" s="41" t="s">
        <v>26</v>
      </c>
      <c r="S379" s="41" t="s">
        <v>26</v>
      </c>
      <c r="T379" s="28" t="s">
        <v>26</v>
      </c>
    </row>
    <row r="380" spans="1:20" hidden="1" x14ac:dyDescent="0.3">
      <c r="A380" s="84">
        <v>379</v>
      </c>
      <c r="B380" s="6">
        <v>44418</v>
      </c>
      <c r="C380" s="85" t="s">
        <v>640</v>
      </c>
      <c r="D380" s="85" t="s">
        <v>640</v>
      </c>
      <c r="E380" s="16">
        <v>44418.895914351851</v>
      </c>
      <c r="F380" s="7">
        <v>44418.896168981482</v>
      </c>
      <c r="G380" s="14">
        <f t="shared" si="5"/>
        <v>2.546296309446916E-4</v>
      </c>
      <c r="H380" s="4" t="s">
        <v>23</v>
      </c>
      <c r="I380" s="4" t="s">
        <v>24</v>
      </c>
      <c r="J380" s="87" t="str">
        <f>IF(ISBLANK(C380),"",IF(C380=D380, "1 video",CONCATENATE((+COUNTIFS(Video_List!$C:$C,"&lt;=" &amp;Monitoring!F380)-COUNTIFS(Video_List!$C:$C,"&lt;=" &amp;Monitoring!E380))+1," videos")))</f>
        <v>1 video</v>
      </c>
      <c r="K380" s="25" t="s">
        <v>23</v>
      </c>
      <c r="L380" s="41" t="s">
        <v>28</v>
      </c>
      <c r="M380" s="41" t="s">
        <v>29</v>
      </c>
      <c r="N380" s="41" t="s">
        <v>30</v>
      </c>
      <c r="O380" s="88" t="str">
        <f>+IFERROR(IF(P380="#N/C","#N/C",IF(Q380=0,INDEX(Taxonomy_UniqueValues!D:D,MATCH(Q380,Taxonomy_UniqueValues!F:F,0)),INDEX(Taxonomy_UniqueValues!D:D,MATCH(P380,Taxonomy_UniqueValues!E:E,0)))),"#N/C")</f>
        <v>Tabanomorpha</v>
      </c>
      <c r="P380" s="41" t="s">
        <v>633</v>
      </c>
      <c r="Q380" s="41" t="s">
        <v>634</v>
      </c>
      <c r="R380" s="41" t="s">
        <v>635</v>
      </c>
      <c r="S380" s="41" t="s">
        <v>636</v>
      </c>
      <c r="T380" s="28" t="s">
        <v>637</v>
      </c>
    </row>
    <row r="381" spans="1:20" hidden="1" x14ac:dyDescent="0.3">
      <c r="A381" s="84">
        <v>380</v>
      </c>
      <c r="B381" s="92">
        <v>44418</v>
      </c>
      <c r="C381" s="85" t="s">
        <v>641</v>
      </c>
      <c r="D381" s="85" t="s">
        <v>641</v>
      </c>
      <c r="E381" s="16">
        <v>44418.896585648145</v>
      </c>
      <c r="F381" s="7">
        <v>44418.897696759261</v>
      </c>
      <c r="G381" s="14">
        <f t="shared" si="5"/>
        <v>1.1111111161881126E-3</v>
      </c>
      <c r="H381" s="86" t="s">
        <v>35</v>
      </c>
      <c r="I381" s="86" t="s">
        <v>24</v>
      </c>
      <c r="J381" s="87" t="str">
        <f>IF(ISBLANK(C381),"",IF(C381=D381, "1 video",CONCATENATE((+COUNTIFS(Video_List!$C:$C,"&lt;=" &amp;Monitoring!F381)-COUNTIFS(Video_List!$C:$C,"&lt;=" &amp;Monitoring!E381))+1," videos")))</f>
        <v>1 video</v>
      </c>
      <c r="K381" s="27" t="s">
        <v>35</v>
      </c>
      <c r="L381" s="41" t="s">
        <v>28</v>
      </c>
      <c r="M381" s="41" t="s">
        <v>29</v>
      </c>
      <c r="N381" s="41" t="s">
        <v>30</v>
      </c>
      <c r="O381" s="88" t="str">
        <f>+IFERROR(IF(P381="#N/C","#N/C",IF(Q381=0,INDEX(Taxonomy_UniqueValues!D:D,MATCH(Q381,Taxonomy_UniqueValues!F:F,0)),INDEX(Taxonomy_UniqueValues!D:D,MATCH(P381,Taxonomy_UniqueValues!E:E,0)))),"#N/C")</f>
        <v>Muscomorpha</v>
      </c>
      <c r="P381" s="41" t="s">
        <v>326</v>
      </c>
      <c r="Q381" s="41" t="s">
        <v>366</v>
      </c>
      <c r="R381" s="41" t="s">
        <v>367</v>
      </c>
      <c r="S381" s="41" t="s">
        <v>368</v>
      </c>
      <c r="T381" s="28" t="s">
        <v>26</v>
      </c>
    </row>
    <row r="382" spans="1:20" hidden="1" x14ac:dyDescent="0.3">
      <c r="A382" s="84">
        <v>381</v>
      </c>
      <c r="B382" s="92">
        <v>44418</v>
      </c>
      <c r="C382" s="85" t="s">
        <v>642</v>
      </c>
      <c r="D382" s="85" t="s">
        <v>642</v>
      </c>
      <c r="E382" s="16">
        <v>44418.904664351852</v>
      </c>
      <c r="F382" s="7">
        <v>44418.904780092591</v>
      </c>
      <c r="G382" s="14">
        <f t="shared" si="5"/>
        <v>1.1574073869269341E-4</v>
      </c>
      <c r="H382" s="86" t="s">
        <v>23</v>
      </c>
      <c r="I382" s="86" t="s">
        <v>46</v>
      </c>
      <c r="J382" s="87" t="str">
        <f>IF(ISBLANK(C382),"",IF(C382=D382, "1 video",CONCATENATE((+COUNTIFS(Video_List!$C:$C,"&lt;=" &amp;Monitoring!F382)-COUNTIFS(Video_List!$C:$C,"&lt;=" &amp;Monitoring!E382))+1," videos")))</f>
        <v>1 video</v>
      </c>
      <c r="K382" s="27" t="s">
        <v>35</v>
      </c>
      <c r="L382" s="41" t="s">
        <v>28</v>
      </c>
      <c r="M382" s="41" t="s">
        <v>29</v>
      </c>
      <c r="N382" s="41" t="s">
        <v>176</v>
      </c>
      <c r="O382" s="88" t="str">
        <f>+IFERROR(IF(P382="#N/C","#N/C",IF(Q382=0,INDEX(Taxonomy_UniqueValues!D:D,MATCH(Q382,Taxonomy_UniqueValues!F:F,0)),INDEX(Taxonomy_UniqueValues!D:D,MATCH(P382,Taxonomy_UniqueValues!E:E,0)))),"#N/C")</f>
        <v>#N/C</v>
      </c>
      <c r="P382" s="41" t="s">
        <v>26</v>
      </c>
      <c r="Q382" s="41" t="s">
        <v>26</v>
      </c>
      <c r="R382" s="41" t="s">
        <v>26</v>
      </c>
      <c r="S382" s="41" t="s">
        <v>26</v>
      </c>
      <c r="T382" s="28" t="s">
        <v>26</v>
      </c>
    </row>
    <row r="383" spans="1:20" hidden="1" x14ac:dyDescent="0.3">
      <c r="A383" s="84">
        <v>382</v>
      </c>
      <c r="B383" s="92">
        <v>44418</v>
      </c>
      <c r="C383" s="85" t="s">
        <v>643</v>
      </c>
      <c r="D383" s="85" t="s">
        <v>643</v>
      </c>
      <c r="E383" s="16">
        <v>44418.914085648146</v>
      </c>
      <c r="F383" s="7">
        <v>44418.914178240739</v>
      </c>
      <c r="G383" s="14">
        <f t="shared" si="5"/>
        <v>9.2592592409346253E-5</v>
      </c>
      <c r="H383" s="86" t="s">
        <v>23</v>
      </c>
      <c r="I383" s="86" t="s">
        <v>24</v>
      </c>
      <c r="J383" s="87" t="str">
        <f>IF(ISBLANK(C383),"",IF(C383=D383, "1 video",CONCATENATE((+COUNTIFS(Video_List!$C:$C,"&lt;=" &amp;Monitoring!F383)-COUNTIFS(Video_List!$C:$C,"&lt;=" &amp;Monitoring!E383))+1," videos")))</f>
        <v>1 video</v>
      </c>
      <c r="K383" s="27" t="s">
        <v>35</v>
      </c>
      <c r="L383" s="41" t="s">
        <v>28</v>
      </c>
      <c r="M383" s="41" t="s">
        <v>29</v>
      </c>
      <c r="N383" s="41" t="s">
        <v>30</v>
      </c>
      <c r="O383" s="88" t="str">
        <f>+IFERROR(IF(P383="#N/C","#N/C",IF(Q383=0,INDEX(Taxonomy_UniqueValues!D:D,MATCH(Q383,Taxonomy_UniqueValues!F:F,0)),INDEX(Taxonomy_UniqueValues!D:D,MATCH(P383,Taxonomy_UniqueValues!E:E,0)))),"#N/C")</f>
        <v>Muscomorpha</v>
      </c>
      <c r="P383" s="41" t="s">
        <v>166</v>
      </c>
      <c r="Q383" s="41" t="s">
        <v>486</v>
      </c>
      <c r="R383" s="41" t="s">
        <v>26</v>
      </c>
      <c r="S383" s="41" t="s">
        <v>26</v>
      </c>
      <c r="T383" s="28" t="s">
        <v>26</v>
      </c>
    </row>
    <row r="384" spans="1:20" hidden="1" x14ac:dyDescent="0.3">
      <c r="A384" s="84">
        <v>383</v>
      </c>
      <c r="B384" s="92">
        <v>44418</v>
      </c>
      <c r="C384" s="85" t="s">
        <v>643</v>
      </c>
      <c r="D384" s="85" t="s">
        <v>643</v>
      </c>
      <c r="E384" s="16">
        <v>44418.914085648146</v>
      </c>
      <c r="F384" s="7">
        <v>44418.914212962962</v>
      </c>
      <c r="G384" s="14">
        <f t="shared" si="5"/>
        <v>1.273148154723458E-4</v>
      </c>
      <c r="H384" s="86" t="s">
        <v>23</v>
      </c>
      <c r="I384" s="86" t="s">
        <v>24</v>
      </c>
      <c r="J384" s="87" t="str">
        <f>IF(ISBLANK(C384),"",IF(C384=D384, "1 video",CONCATENATE((+COUNTIFS(Video_List!$C:$C,"&lt;=" &amp;Monitoring!F384)-COUNTIFS(Video_List!$C:$C,"&lt;=" &amp;Monitoring!E384))+1," videos")))</f>
        <v>1 video</v>
      </c>
      <c r="K384" s="27" t="s">
        <v>35</v>
      </c>
      <c r="L384" s="41" t="s">
        <v>28</v>
      </c>
      <c r="M384" s="41" t="s">
        <v>351</v>
      </c>
      <c r="N384" s="41" t="s">
        <v>352</v>
      </c>
      <c r="O384" s="88">
        <f>+IFERROR(IF(P384="#N/C","#N/C",IF(Q384=0,INDEX(Taxonomy_UniqueValues!D:D,MATCH(Q384,Taxonomy_UniqueValues!F:F,0)),INDEX(Taxonomy_UniqueValues!D:D,MATCH(P384,Taxonomy_UniqueValues!E:E,0)))),"#N/C")</f>
        <v>0</v>
      </c>
      <c r="P384" s="41" t="s">
        <v>353</v>
      </c>
      <c r="Q384" s="41" t="s">
        <v>625</v>
      </c>
      <c r="R384" s="41" t="s">
        <v>626</v>
      </c>
      <c r="S384" s="41" t="s">
        <v>627</v>
      </c>
      <c r="T384" s="28" t="s">
        <v>628</v>
      </c>
    </row>
    <row r="385" spans="1:20" hidden="1" x14ac:dyDescent="0.3">
      <c r="A385" s="84">
        <v>384</v>
      </c>
      <c r="B385" s="92">
        <v>44418</v>
      </c>
      <c r="C385" s="85" t="s">
        <v>644</v>
      </c>
      <c r="D385" s="85" t="s">
        <v>644</v>
      </c>
      <c r="E385" s="16">
        <v>44418.915405092594</v>
      </c>
      <c r="F385" s="7">
        <v>44418.916967592595</v>
      </c>
      <c r="G385" s="14">
        <f t="shared" si="5"/>
        <v>1.5625000014551915E-3</v>
      </c>
      <c r="H385" s="86" t="s">
        <v>23</v>
      </c>
      <c r="I385" s="86" t="s">
        <v>24</v>
      </c>
      <c r="J385" s="87" t="str">
        <f>IF(ISBLANK(C385),"",IF(C385=D385, "1 video",CONCATENATE((+COUNTIFS(Video_List!$C:$C,"&lt;=" &amp;Monitoring!F385)-COUNTIFS(Video_List!$C:$C,"&lt;=" &amp;Monitoring!E385))+1," videos")))</f>
        <v>1 video</v>
      </c>
      <c r="K385" s="27" t="s">
        <v>35</v>
      </c>
      <c r="L385" s="41" t="s">
        <v>28</v>
      </c>
      <c r="M385" s="41" t="s">
        <v>29</v>
      </c>
      <c r="N385" s="41" t="s">
        <v>30</v>
      </c>
      <c r="O385" s="88" t="str">
        <f>+IFERROR(IF(P385="#N/C","#N/C",IF(Q385=0,INDEX(Taxonomy_UniqueValues!D:D,MATCH(Q385,Taxonomy_UniqueValues!F:F,0)),INDEX(Taxonomy_UniqueValues!D:D,MATCH(P385,Taxonomy_UniqueValues!E:E,0)))),"#N/C")</f>
        <v>Muscomorpha</v>
      </c>
      <c r="P385" s="41" t="s">
        <v>166</v>
      </c>
      <c r="Q385" s="41" t="s">
        <v>486</v>
      </c>
      <c r="R385" s="41" t="s">
        <v>26</v>
      </c>
      <c r="S385" s="41" t="s">
        <v>26</v>
      </c>
      <c r="T385" s="28" t="s">
        <v>26</v>
      </c>
    </row>
    <row r="386" spans="1:20" hidden="1" x14ac:dyDescent="0.3">
      <c r="A386" s="84">
        <v>385</v>
      </c>
      <c r="B386" s="92">
        <v>44418</v>
      </c>
      <c r="C386" s="85" t="s">
        <v>645</v>
      </c>
      <c r="D386" s="85" t="s">
        <v>645</v>
      </c>
      <c r="E386" s="16">
        <v>44418.91710648148</v>
      </c>
      <c r="F386" s="7">
        <v>44418.917222222219</v>
      </c>
      <c r="G386" s="14">
        <f t="shared" ref="G386:G432" si="6">F386-E386</f>
        <v>1.1574073869269341E-4</v>
      </c>
      <c r="H386" s="86" t="s">
        <v>23</v>
      </c>
      <c r="I386" s="86" t="s">
        <v>24</v>
      </c>
      <c r="J386" s="87" t="str">
        <f>IF(ISBLANK(C386),"",IF(C386=D386, "1 video",CONCATENATE((+COUNTIFS(Video_List!$C:$C,"&lt;=" &amp;Monitoring!F386)-COUNTIFS(Video_List!$C:$C,"&lt;=" &amp;Monitoring!E386))+1," videos")))</f>
        <v>1 video</v>
      </c>
      <c r="K386" s="27" t="s">
        <v>35</v>
      </c>
      <c r="L386" s="41" t="s">
        <v>28</v>
      </c>
      <c r="M386" s="41" t="s">
        <v>29</v>
      </c>
      <c r="N386" s="41" t="s">
        <v>30</v>
      </c>
      <c r="O386" s="88" t="str">
        <f>+IFERROR(IF(P386="#N/C","#N/C",IF(Q386=0,INDEX(Taxonomy_UniqueValues!D:D,MATCH(Q386,Taxonomy_UniqueValues!F:F,0)),INDEX(Taxonomy_UniqueValues!D:D,MATCH(P386,Taxonomy_UniqueValues!E:E,0)))),"#N/C")</f>
        <v>Muscomorpha</v>
      </c>
      <c r="P386" s="41" t="s">
        <v>166</v>
      </c>
      <c r="Q386" s="41" t="s">
        <v>486</v>
      </c>
      <c r="R386" s="41" t="s">
        <v>26</v>
      </c>
      <c r="S386" s="41" t="s">
        <v>26</v>
      </c>
      <c r="T386" s="28" t="s">
        <v>26</v>
      </c>
    </row>
    <row r="387" spans="1:20" hidden="1" x14ac:dyDescent="0.3">
      <c r="A387" s="84">
        <v>386</v>
      </c>
      <c r="B387" s="92">
        <v>44418</v>
      </c>
      <c r="C387" s="85" t="s">
        <v>646</v>
      </c>
      <c r="D387" s="85" t="s">
        <v>646</v>
      </c>
      <c r="E387" s="16">
        <v>44418.918136574073</v>
      </c>
      <c r="F387" s="7">
        <v>44418.918206018519</v>
      </c>
      <c r="G387" s="14">
        <f t="shared" si="6"/>
        <v>6.9444446125999093E-5</v>
      </c>
      <c r="H387" s="86" t="s">
        <v>23</v>
      </c>
      <c r="I387" s="86" t="s">
        <v>24</v>
      </c>
      <c r="J387" s="87" t="str">
        <f>IF(ISBLANK(C387),"",IF(C387=D387, "1 video",CONCATENATE((+COUNTIFS(Video_List!$C:$C,"&lt;=" &amp;Monitoring!F387)-COUNTIFS(Video_List!$C:$C,"&lt;=" &amp;Monitoring!E387))+1," videos")))</f>
        <v>1 video</v>
      </c>
      <c r="K387" s="27" t="s">
        <v>35</v>
      </c>
      <c r="L387" s="41" t="s">
        <v>28</v>
      </c>
      <c r="M387" s="41" t="s">
        <v>29</v>
      </c>
      <c r="N387" s="41" t="s">
        <v>30</v>
      </c>
      <c r="O387" s="88" t="str">
        <f>+IFERROR(IF(P387="#N/C","#N/C",IF(Q387=0,INDEX(Taxonomy_UniqueValues!D:D,MATCH(Q387,Taxonomy_UniqueValues!F:F,0)),INDEX(Taxonomy_UniqueValues!D:D,MATCH(P387,Taxonomy_UniqueValues!E:E,0)))),"#N/C")</f>
        <v>Muscomorpha</v>
      </c>
      <c r="P387" s="41" t="s">
        <v>166</v>
      </c>
      <c r="Q387" s="41" t="s">
        <v>486</v>
      </c>
      <c r="R387" s="41" t="s">
        <v>26</v>
      </c>
      <c r="S387" s="41" t="s">
        <v>26</v>
      </c>
      <c r="T387" s="28" t="s">
        <v>26</v>
      </c>
    </row>
    <row r="388" spans="1:20" hidden="1" x14ac:dyDescent="0.3">
      <c r="A388" s="84">
        <v>387</v>
      </c>
      <c r="B388" s="92">
        <v>44418</v>
      </c>
      <c r="C388" s="85" t="s">
        <v>647</v>
      </c>
      <c r="D388" s="85" t="s">
        <v>647</v>
      </c>
      <c r="E388" s="16">
        <v>44418.994166666664</v>
      </c>
      <c r="F388" s="7">
        <v>44418.994247685187</v>
      </c>
      <c r="G388" s="14">
        <f t="shared" si="6"/>
        <v>8.101852290565148E-5</v>
      </c>
      <c r="H388" s="86" t="s">
        <v>23</v>
      </c>
      <c r="I388" s="86" t="s">
        <v>24</v>
      </c>
      <c r="J388" s="87" t="str">
        <f>IF(ISBLANK(C388),"",IF(C388=D388, "1 video",CONCATENATE((+COUNTIFS(Video_List!$C:$C,"&lt;=" &amp;Monitoring!F388)-COUNTIFS(Video_List!$C:$C,"&lt;=" &amp;Monitoring!E388))+1," videos")))</f>
        <v>1 video</v>
      </c>
      <c r="K388" s="27" t="s">
        <v>35</v>
      </c>
      <c r="L388" s="41" t="s">
        <v>28</v>
      </c>
      <c r="M388" s="41" t="s">
        <v>29</v>
      </c>
      <c r="N388" s="41" t="s">
        <v>176</v>
      </c>
      <c r="O388" s="88" t="str">
        <f>+IFERROR(IF(P388="#N/C","#N/C",IF(Q388=0,INDEX(Taxonomy_UniqueValues!D:D,MATCH(Q388,Taxonomy_UniqueValues!F:F,0)),INDEX(Taxonomy_UniqueValues!D:D,MATCH(P388,Taxonomy_UniqueValues!E:E,0)))),"#N/C")</f>
        <v>Tipulomorpha</v>
      </c>
      <c r="P388" s="41" t="s">
        <v>227</v>
      </c>
      <c r="Q388" s="41" t="s">
        <v>228</v>
      </c>
      <c r="R388" s="41" t="s">
        <v>229</v>
      </c>
      <c r="S388" s="41" t="s">
        <v>230</v>
      </c>
      <c r="T388" s="28" t="s">
        <v>26</v>
      </c>
    </row>
    <row r="389" spans="1:20" hidden="1" x14ac:dyDescent="0.3">
      <c r="A389" s="84">
        <v>388</v>
      </c>
      <c r="B389" s="6">
        <v>44419</v>
      </c>
      <c r="C389" s="85" t="s">
        <v>648</v>
      </c>
      <c r="D389" s="85" t="s">
        <v>648</v>
      </c>
      <c r="E389" s="16">
        <v>44419.021643518521</v>
      </c>
      <c r="F389" s="7">
        <v>44419.021701388891</v>
      </c>
      <c r="G389" s="14">
        <f t="shared" si="6"/>
        <v>5.7870369346346706E-5</v>
      </c>
      <c r="H389" s="4" t="s">
        <v>23</v>
      </c>
      <c r="I389" s="4" t="s">
        <v>24</v>
      </c>
      <c r="J389" s="87" t="str">
        <f>IF(ISBLANK(C389),"",IF(C389=D389, "1 video",CONCATENATE((+COUNTIFS(Video_List!$C:$C,"&lt;=" &amp;Monitoring!F389)-COUNTIFS(Video_List!$C:$C,"&lt;=" &amp;Monitoring!E389))+1," videos")))</f>
        <v>1 video</v>
      </c>
      <c r="K389" s="25" t="s">
        <v>23</v>
      </c>
      <c r="L389" s="41" t="s">
        <v>28</v>
      </c>
      <c r="M389" s="41" t="s">
        <v>47</v>
      </c>
      <c r="N389" s="41" t="s">
        <v>48</v>
      </c>
      <c r="O389" s="88" t="str">
        <f>+IFERROR(IF(P389="#N/C","#N/C",IF(Q389=0,INDEX(Taxonomy_UniqueValues!D:D,MATCH(Q389,Taxonomy_UniqueValues!F:F,0)),INDEX(Taxonomy_UniqueValues!D:D,MATCH(P389,Taxonomy_UniqueValues!E:E,0)))),"#N/C")</f>
        <v>Heterocera</v>
      </c>
      <c r="P389" s="41" t="s">
        <v>248</v>
      </c>
      <c r="Q389" s="41" t="s">
        <v>649</v>
      </c>
      <c r="R389" s="41" t="s">
        <v>650</v>
      </c>
      <c r="S389" s="41" t="s">
        <v>651</v>
      </c>
      <c r="T389" s="28" t="s">
        <v>652</v>
      </c>
    </row>
    <row r="390" spans="1:20" hidden="1" x14ac:dyDescent="0.3">
      <c r="A390" s="84">
        <v>389</v>
      </c>
      <c r="B390" s="6">
        <v>44419</v>
      </c>
      <c r="C390" s="85" t="s">
        <v>653</v>
      </c>
      <c r="D390" s="85" t="s">
        <v>653</v>
      </c>
      <c r="E390" s="16">
        <v>44419.404374999998</v>
      </c>
      <c r="F390" s="7">
        <v>44419.405474537038</v>
      </c>
      <c r="G390" s="14">
        <f t="shared" si="6"/>
        <v>1.0995370394084603E-3</v>
      </c>
      <c r="H390" s="4" t="s">
        <v>35</v>
      </c>
      <c r="I390" s="4" t="s">
        <v>24</v>
      </c>
      <c r="J390" s="87" t="str">
        <f>IF(ISBLANK(C390),"",IF(C390=D390, "1 video",CONCATENATE((+COUNTIFS(Video_List!$C:$C,"&lt;=" &amp;Monitoring!F390)-COUNTIFS(Video_List!$C:$C,"&lt;=" &amp;Monitoring!E390))+1," videos")))</f>
        <v>1 video</v>
      </c>
      <c r="K390" s="25" t="s">
        <v>23</v>
      </c>
      <c r="L390" s="41" t="s">
        <v>28</v>
      </c>
      <c r="M390" s="41" t="s">
        <v>114</v>
      </c>
      <c r="N390" s="41" t="s">
        <v>115</v>
      </c>
      <c r="O390" s="88" t="str">
        <f>+IFERROR(IF(P390="#N/C","#N/C",IF(Q390=0,INDEX(Taxonomy_UniqueValues!D:D,MATCH(Q390,Taxonomy_UniqueValues!F:F,0)),INDEX(Taxonomy_UniqueValues!D:D,MATCH(P390,Taxonomy_UniqueValues!E:E,0)))),"#N/C")</f>
        <v>Acrididea</v>
      </c>
      <c r="P390" s="41" t="s">
        <v>116</v>
      </c>
      <c r="Q390" s="41" t="s">
        <v>117</v>
      </c>
      <c r="R390" s="41" t="s">
        <v>164</v>
      </c>
      <c r="S390" s="41" t="s">
        <v>165</v>
      </c>
      <c r="T390" s="28" t="s">
        <v>654</v>
      </c>
    </row>
    <row r="391" spans="1:20" hidden="1" x14ac:dyDescent="0.3">
      <c r="A391" s="84">
        <v>390</v>
      </c>
      <c r="B391" s="6">
        <v>44419</v>
      </c>
      <c r="C391" s="85" t="s">
        <v>655</v>
      </c>
      <c r="D391" s="85" t="s">
        <v>655</v>
      </c>
      <c r="E391" s="16">
        <v>44419.452349537038</v>
      </c>
      <c r="F391" s="7">
        <v>44419.45275462963</v>
      </c>
      <c r="G391" s="14">
        <f t="shared" si="6"/>
        <v>4.0509259270038456E-4</v>
      </c>
      <c r="H391" s="4" t="s">
        <v>35</v>
      </c>
      <c r="I391" s="4" t="s">
        <v>24</v>
      </c>
      <c r="J391" s="87" t="str">
        <f>IF(ISBLANK(C391),"",IF(C391=D391, "1 video",CONCATENATE((+COUNTIFS(Video_List!$C:$C,"&lt;=" &amp;Monitoring!F391)-COUNTIFS(Video_List!$C:$C,"&lt;=" &amp;Monitoring!E391))+1," videos")))</f>
        <v>1 video</v>
      </c>
      <c r="K391" s="25" t="s">
        <v>23</v>
      </c>
      <c r="L391" s="41" t="s">
        <v>28</v>
      </c>
      <c r="M391" s="41" t="s">
        <v>32</v>
      </c>
      <c r="N391" s="41" t="s">
        <v>33</v>
      </c>
      <c r="O391" s="88" t="str">
        <f>+IFERROR(IF(P391="#N/C","#N/C",IF(Q391=0,INDEX(Taxonomy_UniqueValues!D:D,MATCH(Q391,Taxonomy_UniqueValues!F:F,0)),INDEX(Taxonomy_UniqueValues!D:D,MATCH(P391,Taxonomy_UniqueValues!E:E,0)))),"#N/C")</f>
        <v>Parasitica</v>
      </c>
      <c r="P391" s="41" t="s">
        <v>62</v>
      </c>
      <c r="Q391" s="41" t="s">
        <v>63</v>
      </c>
      <c r="R391" s="41" t="s">
        <v>656</v>
      </c>
      <c r="S391" s="41" t="s">
        <v>26</v>
      </c>
      <c r="T391" s="28" t="s">
        <v>26</v>
      </c>
    </row>
    <row r="392" spans="1:20" hidden="1" x14ac:dyDescent="0.3">
      <c r="A392" s="84">
        <v>391</v>
      </c>
      <c r="B392" s="6">
        <v>44419</v>
      </c>
      <c r="C392" s="85" t="s">
        <v>657</v>
      </c>
      <c r="D392" s="85" t="s">
        <v>657</v>
      </c>
      <c r="E392" s="16">
        <v>44419.470752314817</v>
      </c>
      <c r="F392" s="7">
        <v>44419.470810185187</v>
      </c>
      <c r="G392" s="14">
        <f t="shared" si="6"/>
        <v>5.7870369346346706E-5</v>
      </c>
      <c r="H392" s="4" t="s">
        <v>23</v>
      </c>
      <c r="I392" s="4" t="s">
        <v>24</v>
      </c>
      <c r="J392" s="87" t="str">
        <f>IF(ISBLANK(C392),"",IF(C392=D392, "1 video",CONCATENATE((+COUNTIFS(Video_List!$C:$C,"&lt;=" &amp;Monitoring!F392)-COUNTIFS(Video_List!$C:$C,"&lt;=" &amp;Monitoring!E392))+1," videos")))</f>
        <v>1 video</v>
      </c>
      <c r="K392" s="25" t="s">
        <v>23</v>
      </c>
      <c r="L392" s="41" t="s">
        <v>28</v>
      </c>
      <c r="M392" s="41" t="s">
        <v>29</v>
      </c>
      <c r="N392" s="41" t="s">
        <v>30</v>
      </c>
      <c r="O392" s="88" t="str">
        <f>+IFERROR(IF(P392="#N/C","#N/C",IF(Q392=0,INDEX(Taxonomy_UniqueValues!D:D,MATCH(Q392,Taxonomy_UniqueValues!F:F,0)),INDEX(Taxonomy_UniqueValues!D:D,MATCH(P392,Taxonomy_UniqueValues!E:E,0)))),"#N/C")</f>
        <v>Muscomorpha</v>
      </c>
      <c r="P392" s="41" t="s">
        <v>166</v>
      </c>
      <c r="Q392" s="41" t="s">
        <v>486</v>
      </c>
      <c r="R392" s="41" t="s">
        <v>658</v>
      </c>
      <c r="S392" s="41" t="s">
        <v>659</v>
      </c>
      <c r="T392" s="28" t="s">
        <v>26</v>
      </c>
    </row>
    <row r="393" spans="1:20" hidden="1" x14ac:dyDescent="0.3">
      <c r="A393" s="84">
        <v>392</v>
      </c>
      <c r="B393" s="6">
        <v>44419</v>
      </c>
      <c r="C393" s="85" t="s">
        <v>660</v>
      </c>
      <c r="D393" s="85" t="s">
        <v>660</v>
      </c>
      <c r="E393" s="16">
        <v>44419.473356481481</v>
      </c>
      <c r="F393" s="7">
        <v>44419.473541666666</v>
      </c>
      <c r="G393" s="14">
        <f t="shared" si="6"/>
        <v>1.8518518481869251E-4</v>
      </c>
      <c r="H393" s="4" t="s">
        <v>35</v>
      </c>
      <c r="I393" s="4" t="s">
        <v>24</v>
      </c>
      <c r="J393" s="87" t="str">
        <f>IF(ISBLANK(C393),"",IF(C393=D393, "1 video",CONCATENATE((+COUNTIFS(Video_List!$C:$C,"&lt;=" &amp;Monitoring!F393)-COUNTIFS(Video_List!$C:$C,"&lt;=" &amp;Monitoring!E393))+1," videos")))</f>
        <v>1 video</v>
      </c>
      <c r="K393" s="25" t="s">
        <v>23</v>
      </c>
      <c r="L393" s="41" t="s">
        <v>28</v>
      </c>
      <c r="M393" s="41" t="s">
        <v>114</v>
      </c>
      <c r="N393" s="41" t="s">
        <v>115</v>
      </c>
      <c r="O393" s="88" t="str">
        <f>+IFERROR(IF(P393="#N/C","#N/C",IF(Q393=0,INDEX(Taxonomy_UniqueValues!D:D,MATCH(Q393,Taxonomy_UniqueValues!F:F,0)),INDEX(Taxonomy_UniqueValues!D:D,MATCH(P393,Taxonomy_UniqueValues!E:E,0)))),"#N/C")</f>
        <v>Acrididea</v>
      </c>
      <c r="P393" s="41" t="s">
        <v>116</v>
      </c>
      <c r="Q393" s="41" t="s">
        <v>117</v>
      </c>
      <c r="R393" s="41" t="s">
        <v>164</v>
      </c>
      <c r="S393" s="41" t="s">
        <v>165</v>
      </c>
      <c r="T393" s="28" t="s">
        <v>26</v>
      </c>
    </row>
    <row r="394" spans="1:20" hidden="1" x14ac:dyDescent="0.3">
      <c r="A394" s="84">
        <v>393</v>
      </c>
      <c r="B394" s="6">
        <v>44419</v>
      </c>
      <c r="C394" s="85" t="s">
        <v>661</v>
      </c>
      <c r="D394" s="85" t="s">
        <v>661</v>
      </c>
      <c r="E394" s="16">
        <v>44419.506180555552</v>
      </c>
      <c r="F394" s="7">
        <v>44419.50640046296</v>
      </c>
      <c r="G394" s="14">
        <f t="shared" si="6"/>
        <v>2.1990740788169205E-4</v>
      </c>
      <c r="H394" s="86" t="s">
        <v>23</v>
      </c>
      <c r="I394" s="86" t="s">
        <v>24</v>
      </c>
      <c r="J394" s="87" t="str">
        <f>IF(ISBLANK(C394),"",IF(C394=D394, "1 video",CONCATENATE((+COUNTIFS(Video_List!$C:$C,"&lt;=" &amp;Monitoring!F394)-COUNTIFS(Video_List!$C:$C,"&lt;=" &amp;Monitoring!E394))+1," videos")))</f>
        <v>1 video</v>
      </c>
      <c r="K394" s="27" t="s">
        <v>35</v>
      </c>
      <c r="L394" s="41" t="s">
        <v>28</v>
      </c>
      <c r="M394" s="41" t="s">
        <v>29</v>
      </c>
      <c r="N394" s="41" t="s">
        <v>30</v>
      </c>
      <c r="O394" s="88" t="str">
        <f>+IFERROR(IF(P394="#N/C","#N/C",IF(Q394=0,INDEX(Taxonomy_UniqueValues!D:D,MATCH(Q394,Taxonomy_UniqueValues!F:F,0)),INDEX(Taxonomy_UniqueValues!D:D,MATCH(P394,Taxonomy_UniqueValues!E:E,0)))),"#N/C")</f>
        <v>#N/C</v>
      </c>
      <c r="P394" s="41" t="s">
        <v>26</v>
      </c>
      <c r="Q394" s="41" t="s">
        <v>26</v>
      </c>
      <c r="R394" s="41" t="s">
        <v>26</v>
      </c>
      <c r="S394" s="41" t="s">
        <v>26</v>
      </c>
      <c r="T394" s="28" t="s">
        <v>26</v>
      </c>
    </row>
    <row r="395" spans="1:20" hidden="1" x14ac:dyDescent="0.3">
      <c r="A395" s="84">
        <v>394</v>
      </c>
      <c r="B395" s="6">
        <v>44419</v>
      </c>
      <c r="C395" s="85" t="s">
        <v>662</v>
      </c>
      <c r="D395" s="85" t="s">
        <v>662</v>
      </c>
      <c r="E395" s="16">
        <v>44419.530069444445</v>
      </c>
      <c r="F395" s="7">
        <v>44419.530231481483</v>
      </c>
      <c r="G395" s="14">
        <f t="shared" si="6"/>
        <v>1.6203703853534535E-4</v>
      </c>
      <c r="H395" s="86" t="s">
        <v>35</v>
      </c>
      <c r="I395" s="86" t="s">
        <v>24</v>
      </c>
      <c r="J395" s="87" t="str">
        <f>IF(ISBLANK(C395),"",IF(C395=D395, "1 video",CONCATENATE((+COUNTIFS(Video_List!$C:$C,"&lt;=" &amp;Monitoring!F395)-COUNTIFS(Video_List!$C:$C,"&lt;=" &amp;Monitoring!E395))+1," videos")))</f>
        <v>1 video</v>
      </c>
      <c r="K395" s="27" t="s">
        <v>35</v>
      </c>
      <c r="L395" s="41" t="s">
        <v>28</v>
      </c>
      <c r="M395" s="41" t="s">
        <v>29</v>
      </c>
      <c r="N395" s="41" t="s">
        <v>30</v>
      </c>
      <c r="O395" s="88" t="str">
        <f>+IFERROR(IF(P395="#N/C","#N/C",IF(Q395=0,INDEX(Taxonomy_UniqueValues!D:D,MATCH(Q395,Taxonomy_UniqueValues!F:F,0)),INDEX(Taxonomy_UniqueValues!D:D,MATCH(P395,Taxonomy_UniqueValues!E:E,0)))),"#N/C")</f>
        <v>Muscomorpha</v>
      </c>
      <c r="P395" s="41" t="s">
        <v>326</v>
      </c>
      <c r="Q395" s="41" t="s">
        <v>366</v>
      </c>
      <c r="R395" s="41" t="s">
        <v>367</v>
      </c>
      <c r="S395" s="41" t="s">
        <v>368</v>
      </c>
      <c r="T395" s="28" t="s">
        <v>26</v>
      </c>
    </row>
    <row r="396" spans="1:20" hidden="1" x14ac:dyDescent="0.3">
      <c r="A396" s="84">
        <v>395</v>
      </c>
      <c r="B396" s="6">
        <v>44419</v>
      </c>
      <c r="C396" s="85" t="s">
        <v>663</v>
      </c>
      <c r="D396" s="85" t="s">
        <v>663</v>
      </c>
      <c r="E396" s="16">
        <v>44419.589467592596</v>
      </c>
      <c r="F396" s="7">
        <v>44419.589629629627</v>
      </c>
      <c r="G396" s="14">
        <f t="shared" si="6"/>
        <v>1.6203703125938773E-4</v>
      </c>
      <c r="H396" s="4" t="s">
        <v>23</v>
      </c>
      <c r="I396" s="4" t="s">
        <v>24</v>
      </c>
      <c r="J396" s="87" t="str">
        <f>IF(ISBLANK(C396),"",IF(C396=D396, "1 video",CONCATENATE((+COUNTIFS(Video_List!$C:$C,"&lt;=" &amp;Monitoring!F396)-COUNTIFS(Video_List!$C:$C,"&lt;=" &amp;Monitoring!E396))+1," videos")))</f>
        <v>1 video</v>
      </c>
      <c r="K396" s="25" t="s">
        <v>23</v>
      </c>
      <c r="L396" s="41" t="s">
        <v>28</v>
      </c>
      <c r="M396" s="41" t="s">
        <v>29</v>
      </c>
      <c r="N396" s="41" t="s">
        <v>30</v>
      </c>
      <c r="O396" s="88" t="str">
        <f>+IFERROR(IF(P396="#N/C","#N/C",IF(Q396=0,INDEX(Taxonomy_UniqueValues!D:D,MATCH(Q396,Taxonomy_UniqueValues!F:F,0)),INDEX(Taxonomy_UniqueValues!D:D,MATCH(P396,Taxonomy_UniqueValues!E:E,0)))),"#N/C")</f>
        <v>#N/C</v>
      </c>
      <c r="P396" s="41" t="s">
        <v>26</v>
      </c>
      <c r="Q396" s="41" t="s">
        <v>26</v>
      </c>
      <c r="R396" s="41" t="s">
        <v>26</v>
      </c>
      <c r="S396" s="41" t="s">
        <v>26</v>
      </c>
      <c r="T396" s="28" t="s">
        <v>26</v>
      </c>
    </row>
    <row r="397" spans="1:20" hidden="1" x14ac:dyDescent="0.3">
      <c r="A397" s="84">
        <v>396</v>
      </c>
      <c r="B397" s="6">
        <v>44419</v>
      </c>
      <c r="C397" s="85" t="s">
        <v>664</v>
      </c>
      <c r="D397" s="85" t="s">
        <v>664</v>
      </c>
      <c r="E397" s="16">
        <v>44419.612800925926</v>
      </c>
      <c r="F397" s="7">
        <v>44419.612847222219</v>
      </c>
      <c r="G397" s="14">
        <f t="shared" si="6"/>
        <v>4.6296292566694319E-5</v>
      </c>
      <c r="H397" s="86" t="s">
        <v>23</v>
      </c>
      <c r="I397" s="86" t="s">
        <v>24</v>
      </c>
      <c r="J397" s="87" t="str">
        <f>IF(ISBLANK(C397),"",IF(C397=D397, "1 video",CONCATENATE((+COUNTIFS(Video_List!$C:$C,"&lt;=" &amp;Monitoring!F397)-COUNTIFS(Video_List!$C:$C,"&lt;=" &amp;Monitoring!E397))+1," videos")))</f>
        <v>1 video</v>
      </c>
      <c r="K397" s="27" t="s">
        <v>35</v>
      </c>
      <c r="L397" s="41" t="s">
        <v>28</v>
      </c>
      <c r="M397" s="41" t="s">
        <v>29</v>
      </c>
      <c r="N397" s="41" t="s">
        <v>30</v>
      </c>
      <c r="O397" s="88" t="str">
        <f>+IFERROR(IF(P397="#N/C","#N/C",IF(Q397=0,INDEX(Taxonomy_UniqueValues!D:D,MATCH(Q397,Taxonomy_UniqueValues!F:F,0)),INDEX(Taxonomy_UniqueValues!D:D,MATCH(P397,Taxonomy_UniqueValues!E:E,0)))),"#N/C")</f>
        <v>Asilomorpha</v>
      </c>
      <c r="P397" s="41" t="s">
        <v>430</v>
      </c>
      <c r="Q397" s="41" t="s">
        <v>431</v>
      </c>
      <c r="R397" s="41" t="s">
        <v>26</v>
      </c>
      <c r="S397" s="41" t="s">
        <v>26</v>
      </c>
      <c r="T397" s="28" t="s">
        <v>26</v>
      </c>
    </row>
    <row r="398" spans="1:20" hidden="1" x14ac:dyDescent="0.3">
      <c r="A398" s="84">
        <v>397</v>
      </c>
      <c r="B398" s="6">
        <v>44419</v>
      </c>
      <c r="C398" s="85" t="s">
        <v>665</v>
      </c>
      <c r="D398" s="85" t="s">
        <v>665</v>
      </c>
      <c r="E398" s="16">
        <v>44419.621782407405</v>
      </c>
      <c r="F398" s="7">
        <v>44419.621840277781</v>
      </c>
      <c r="G398" s="14">
        <f t="shared" si="6"/>
        <v>5.787037662230432E-5</v>
      </c>
      <c r="H398" s="86" t="s">
        <v>23</v>
      </c>
      <c r="I398" s="86" t="s">
        <v>24</v>
      </c>
      <c r="J398" s="87" t="str">
        <f>IF(ISBLANK(C398),"",IF(C398=D398, "1 video",CONCATENATE((+COUNTIFS(Video_List!$C:$C,"&lt;=" &amp;Monitoring!F398)-COUNTIFS(Video_List!$C:$C,"&lt;=" &amp;Monitoring!E398))+1," videos")))</f>
        <v>1 video</v>
      </c>
      <c r="K398" s="27" t="s">
        <v>35</v>
      </c>
      <c r="L398" s="41" t="s">
        <v>28</v>
      </c>
      <c r="M398" s="41" t="s">
        <v>29</v>
      </c>
      <c r="N398" s="41" t="s">
        <v>30</v>
      </c>
      <c r="O398" s="88" t="str">
        <f>+IFERROR(IF(P398="#N/C","#N/C",IF(Q398=0,INDEX(Taxonomy_UniqueValues!D:D,MATCH(Q398,Taxonomy_UniqueValues!F:F,0)),INDEX(Taxonomy_UniqueValues!D:D,MATCH(P398,Taxonomy_UniqueValues!E:E,0)))),"#N/C")</f>
        <v>Asilomorpha</v>
      </c>
      <c r="P398" s="41" t="s">
        <v>430</v>
      </c>
      <c r="Q398" s="41" t="s">
        <v>431</v>
      </c>
      <c r="R398" s="41" t="s">
        <v>26</v>
      </c>
      <c r="S398" s="41" t="s">
        <v>26</v>
      </c>
      <c r="T398" s="28" t="s">
        <v>26</v>
      </c>
    </row>
    <row r="399" spans="1:20" hidden="1" x14ac:dyDescent="0.3">
      <c r="A399" s="84">
        <v>398</v>
      </c>
      <c r="B399" s="6">
        <v>44424</v>
      </c>
      <c r="C399" s="85" t="s">
        <v>666</v>
      </c>
      <c r="D399" s="85" t="s">
        <v>666</v>
      </c>
      <c r="E399" s="16">
        <v>44424.509386574071</v>
      </c>
      <c r="F399" s="7">
        <v>44424.516296296293</v>
      </c>
      <c r="G399" s="14">
        <f t="shared" si="6"/>
        <v>6.9097222221898846E-3</v>
      </c>
      <c r="H399" s="86" t="s">
        <v>23</v>
      </c>
      <c r="I399" s="86" t="s">
        <v>24</v>
      </c>
      <c r="J399" s="87" t="str">
        <f>IF(ISBLANK(C399),"",IF(C399=D399, "1 video",CONCATENATE((+COUNTIFS(Video_List!$C:$C,"&lt;=" &amp;Monitoring!F399)-COUNTIFS(Video_List!$C:$C,"&lt;=" &amp;Monitoring!E399))+1," videos")))</f>
        <v>1 video</v>
      </c>
      <c r="K399" s="27" t="s">
        <v>35</v>
      </c>
      <c r="L399" s="41" t="s">
        <v>28</v>
      </c>
      <c r="M399" s="41" t="s">
        <v>29</v>
      </c>
      <c r="N399" s="41" t="s">
        <v>30</v>
      </c>
      <c r="O399" s="88" t="str">
        <f>+IFERROR(IF(P399="#N/C","#N/C",IF(Q399=0,INDEX(Taxonomy_UniqueValues!D:D,MATCH(Q399,Taxonomy_UniqueValues!F:F,0)),INDEX(Taxonomy_UniqueValues!D:D,MATCH(P399,Taxonomy_UniqueValues!E:E,0)))),"#N/C")</f>
        <v>Muscomorpha</v>
      </c>
      <c r="P399" s="41" t="s">
        <v>37</v>
      </c>
      <c r="Q399" s="41" t="s">
        <v>38</v>
      </c>
      <c r="R399" s="41" t="s">
        <v>39</v>
      </c>
      <c r="S399" s="41" t="s">
        <v>40</v>
      </c>
      <c r="T399" s="28" t="s">
        <v>348</v>
      </c>
    </row>
    <row r="400" spans="1:20" hidden="1" x14ac:dyDescent="0.3">
      <c r="A400" s="84">
        <v>399</v>
      </c>
      <c r="B400" s="6">
        <v>44424</v>
      </c>
      <c r="C400" s="85" t="s">
        <v>667</v>
      </c>
      <c r="D400" s="85" t="s">
        <v>667</v>
      </c>
      <c r="E400" s="16">
        <v>44424.540995370371</v>
      </c>
      <c r="F400" s="7">
        <v>44424.54146990741</v>
      </c>
      <c r="G400" s="14">
        <f t="shared" si="6"/>
        <v>4.7453703882638365E-4</v>
      </c>
      <c r="H400" s="4" t="s">
        <v>23</v>
      </c>
      <c r="I400" s="4" t="s">
        <v>24</v>
      </c>
      <c r="J400" s="87" t="str">
        <f>IF(ISBLANK(C400),"",IF(C400=D400, "1 video",CONCATENATE((+COUNTIFS(Video_List!$C:$C,"&lt;=" &amp;Monitoring!F400)-COUNTIFS(Video_List!$C:$C,"&lt;=" &amp;Monitoring!E400))+1," videos")))</f>
        <v>1 video</v>
      </c>
      <c r="K400" s="25" t="s">
        <v>23</v>
      </c>
      <c r="L400" s="41" t="s">
        <v>28</v>
      </c>
      <c r="M400" s="41" t="s">
        <v>29</v>
      </c>
      <c r="N400" s="41" t="s">
        <v>30</v>
      </c>
      <c r="O400" s="88" t="str">
        <f>+IFERROR(IF(P400="#N/C","#N/C",IF(Q400=0,INDEX(Taxonomy_UniqueValues!D:D,MATCH(Q400,Taxonomy_UniqueValues!F:F,0)),INDEX(Taxonomy_UniqueValues!D:D,MATCH(P400,Taxonomy_UniqueValues!E:E,0)))),"#N/C")</f>
        <v>Asilomorpha</v>
      </c>
      <c r="P400" s="41" t="s">
        <v>140</v>
      </c>
      <c r="Q400" s="41" t="s">
        <v>141</v>
      </c>
      <c r="R400" s="41" t="s">
        <v>142</v>
      </c>
      <c r="S400" s="41" t="s">
        <v>25</v>
      </c>
      <c r="T400" s="28" t="s">
        <v>26</v>
      </c>
    </row>
    <row r="401" spans="1:20" hidden="1" x14ac:dyDescent="0.3">
      <c r="A401" s="84">
        <v>400</v>
      </c>
      <c r="B401" s="6">
        <v>44426</v>
      </c>
      <c r="C401" s="85" t="s">
        <v>668</v>
      </c>
      <c r="D401" s="85" t="s">
        <v>668</v>
      </c>
      <c r="E401" s="16">
        <v>44426.770092592589</v>
      </c>
      <c r="F401" s="7">
        <v>44426.770543981482</v>
      </c>
      <c r="G401" s="14">
        <f t="shared" si="6"/>
        <v>4.5138889254303649E-4</v>
      </c>
      <c r="H401" s="4" t="s">
        <v>23</v>
      </c>
      <c r="I401" s="4" t="s">
        <v>24</v>
      </c>
      <c r="J401" s="87" t="str">
        <f>IF(ISBLANK(C401),"",IF(C401=D401, "1 video",CONCATENATE((+COUNTIFS(Video_List!$C:$C,"&lt;=" &amp;Monitoring!F401)-COUNTIFS(Video_List!$C:$C,"&lt;=" &amp;Monitoring!E401))+1," videos")))</f>
        <v>1 video</v>
      </c>
      <c r="K401" s="25" t="s">
        <v>23</v>
      </c>
      <c r="L401" s="41" t="s">
        <v>28</v>
      </c>
      <c r="M401" s="41" t="s">
        <v>47</v>
      </c>
      <c r="N401" s="41" t="s">
        <v>26</v>
      </c>
      <c r="O401" s="88" t="str">
        <f>+IFERROR(IF(P401="#N/C","#N/C",IF(Q401=0,INDEX(Taxonomy_UniqueValues!D:D,MATCH(Q401,Taxonomy_UniqueValues!F:F,0)),INDEX(Taxonomy_UniqueValues!D:D,MATCH(P401,Taxonomy_UniqueValues!E:E,0)))),"#N/C")</f>
        <v>#N/C</v>
      </c>
      <c r="P401" s="41" t="s">
        <v>26</v>
      </c>
      <c r="Q401" s="41" t="s">
        <v>26</v>
      </c>
      <c r="R401" s="41" t="s">
        <v>26</v>
      </c>
      <c r="S401" s="41" t="s">
        <v>26</v>
      </c>
      <c r="T401" s="28" t="s">
        <v>26</v>
      </c>
    </row>
    <row r="402" spans="1:20" hidden="1" x14ac:dyDescent="0.3">
      <c r="A402" s="84">
        <v>401</v>
      </c>
      <c r="B402" s="6">
        <v>44426</v>
      </c>
      <c r="C402" s="85" t="s">
        <v>669</v>
      </c>
      <c r="D402" s="85" t="s">
        <v>669</v>
      </c>
      <c r="E402" s="16">
        <v>44426.807974537034</v>
      </c>
      <c r="F402" s="7">
        <v>44426.808020833334</v>
      </c>
      <c r="G402" s="14">
        <f t="shared" si="6"/>
        <v>4.6296299842651933E-5</v>
      </c>
      <c r="H402" s="86" t="s">
        <v>23</v>
      </c>
      <c r="I402" s="86" t="s">
        <v>24</v>
      </c>
      <c r="J402" s="87" t="str">
        <f>IF(ISBLANK(C402),"",IF(C402=D402, "1 video",CONCATENATE((+COUNTIFS(Video_List!$C:$C,"&lt;=" &amp;Monitoring!F402)-COUNTIFS(Video_List!$C:$C,"&lt;=" &amp;Monitoring!E402))+1," videos")))</f>
        <v>1 video</v>
      </c>
      <c r="K402" s="27" t="s">
        <v>35</v>
      </c>
      <c r="L402" s="41" t="s">
        <v>28</v>
      </c>
      <c r="M402" s="41" t="s">
        <v>29</v>
      </c>
      <c r="N402" s="41" t="s">
        <v>30</v>
      </c>
      <c r="O402" s="88" t="str">
        <f>+IFERROR(IF(P402="#N/C","#N/C",IF(Q402=0,INDEX(Taxonomy_UniqueValues!D:D,MATCH(Q402,Taxonomy_UniqueValues!F:F,0)),INDEX(Taxonomy_UniqueValues!D:D,MATCH(P402,Taxonomy_UniqueValues!E:E,0)))),"#N/C")</f>
        <v>#N/C</v>
      </c>
      <c r="P402" s="41" t="s">
        <v>26</v>
      </c>
      <c r="Q402" s="41" t="s">
        <v>26</v>
      </c>
      <c r="R402" s="41" t="s">
        <v>26</v>
      </c>
      <c r="S402" s="41" t="s">
        <v>26</v>
      </c>
      <c r="T402" s="28" t="s">
        <v>26</v>
      </c>
    </row>
    <row r="403" spans="1:20" hidden="1" x14ac:dyDescent="0.3">
      <c r="A403" s="84">
        <v>402</v>
      </c>
      <c r="B403" s="6">
        <v>44426</v>
      </c>
      <c r="C403" s="85" t="s">
        <v>670</v>
      </c>
      <c r="D403" s="85" t="s">
        <v>670</v>
      </c>
      <c r="E403" s="16">
        <v>44426.810914351852</v>
      </c>
      <c r="F403" s="7">
        <v>44426.810960648145</v>
      </c>
      <c r="G403" s="14">
        <f t="shared" si="6"/>
        <v>4.6296292566694319E-5</v>
      </c>
      <c r="H403" s="86" t="s">
        <v>23</v>
      </c>
      <c r="I403" s="86" t="s">
        <v>24</v>
      </c>
      <c r="J403" s="87" t="str">
        <f>IF(ISBLANK(C403),"",IF(C403=D403, "1 video",CONCATENATE((+COUNTIFS(Video_List!$C:$C,"&lt;=" &amp;Monitoring!F403)-COUNTIFS(Video_List!$C:$C,"&lt;=" &amp;Monitoring!E403))+1," videos")))</f>
        <v>1 video</v>
      </c>
      <c r="K403" s="27" t="s">
        <v>35</v>
      </c>
      <c r="L403" s="41" t="s">
        <v>28</v>
      </c>
      <c r="M403" s="41" t="s">
        <v>29</v>
      </c>
      <c r="N403" s="41" t="s">
        <v>30</v>
      </c>
      <c r="O403" s="88" t="str">
        <f>+IFERROR(IF(P403="#N/C","#N/C",IF(Q403=0,INDEX(Taxonomy_UniqueValues!D:D,MATCH(Q403,Taxonomy_UniqueValues!F:F,0)),INDEX(Taxonomy_UniqueValues!D:D,MATCH(P403,Taxonomy_UniqueValues!E:E,0)))),"#N/C")</f>
        <v>Asilomorpha</v>
      </c>
      <c r="P403" s="41" t="s">
        <v>430</v>
      </c>
      <c r="Q403" s="41" t="s">
        <v>431</v>
      </c>
      <c r="R403" s="41" t="s">
        <v>26</v>
      </c>
      <c r="S403" s="41" t="s">
        <v>26</v>
      </c>
      <c r="T403" s="28" t="s">
        <v>26</v>
      </c>
    </row>
    <row r="404" spans="1:20" hidden="1" x14ac:dyDescent="0.3">
      <c r="A404" s="84">
        <v>403</v>
      </c>
      <c r="B404" s="6">
        <v>44426</v>
      </c>
      <c r="C404" s="85" t="s">
        <v>671</v>
      </c>
      <c r="D404" s="85" t="s">
        <v>671</v>
      </c>
      <c r="E404" s="16">
        <v>44426.831828703704</v>
      </c>
      <c r="F404" s="7">
        <v>44426.832268518519</v>
      </c>
      <c r="G404" s="14">
        <f t="shared" si="6"/>
        <v>4.398148157633841E-4</v>
      </c>
      <c r="H404" s="86" t="s">
        <v>23</v>
      </c>
      <c r="I404" s="86" t="s">
        <v>24</v>
      </c>
      <c r="J404" s="87" t="str">
        <f>IF(ISBLANK(C404),"",IF(C404=D404, "1 video",CONCATENATE((+COUNTIFS(Video_List!$C:$C,"&lt;=" &amp;Monitoring!F404)-COUNTIFS(Video_List!$C:$C,"&lt;=" &amp;Monitoring!E404))+1," videos")))</f>
        <v>1 video</v>
      </c>
      <c r="K404" s="27" t="s">
        <v>35</v>
      </c>
      <c r="L404" s="41" t="s">
        <v>28</v>
      </c>
      <c r="M404" s="41" t="s">
        <v>29</v>
      </c>
      <c r="N404" s="41" t="s">
        <v>30</v>
      </c>
      <c r="O404" s="88" t="str">
        <f>+IFERROR(IF(P404="#N/C","#N/C",IF(Q404=0,INDEX(Taxonomy_UniqueValues!D:D,MATCH(Q404,Taxonomy_UniqueValues!F:F,0)),INDEX(Taxonomy_UniqueValues!D:D,MATCH(P404,Taxonomy_UniqueValues!E:E,0)))),"#N/C")</f>
        <v>Muscomorpha</v>
      </c>
      <c r="P404" s="41" t="s">
        <v>54</v>
      </c>
      <c r="Q404" s="41" t="s">
        <v>55</v>
      </c>
      <c r="R404" s="41" t="s">
        <v>56</v>
      </c>
      <c r="S404" s="41" t="s">
        <v>617</v>
      </c>
      <c r="T404" s="28" t="s">
        <v>26</v>
      </c>
    </row>
    <row r="405" spans="1:20" hidden="1" x14ac:dyDescent="0.3">
      <c r="A405" s="84">
        <v>404</v>
      </c>
      <c r="B405" s="6">
        <v>44426</v>
      </c>
      <c r="C405" s="85" t="s">
        <v>672</v>
      </c>
      <c r="D405" s="85" t="s">
        <v>672</v>
      </c>
      <c r="E405" s="16">
        <v>44426.855219907404</v>
      </c>
      <c r="F405" s="7">
        <v>44426.855266203704</v>
      </c>
      <c r="G405" s="14">
        <f t="shared" si="6"/>
        <v>4.6296299842651933E-5</v>
      </c>
      <c r="H405" s="4" t="s">
        <v>23</v>
      </c>
      <c r="I405" s="4" t="s">
        <v>24</v>
      </c>
      <c r="J405" s="87" t="str">
        <f>IF(ISBLANK(C405),"",IF(C405=D405, "1 video",CONCATENATE((+COUNTIFS(Video_List!$C:$C,"&lt;=" &amp;Monitoring!F405)-COUNTIFS(Video_List!$C:$C,"&lt;=" &amp;Monitoring!E405))+1," videos")))</f>
        <v>1 video</v>
      </c>
      <c r="K405" s="25" t="s">
        <v>23</v>
      </c>
      <c r="L405" s="41" t="s">
        <v>28</v>
      </c>
      <c r="M405" s="41" t="s">
        <v>29</v>
      </c>
      <c r="N405" s="41" t="s">
        <v>30</v>
      </c>
      <c r="O405" s="88" t="str">
        <f>+IFERROR(IF(P405="#N/C","#N/C",IF(Q405=0,INDEX(Taxonomy_UniqueValues!D:D,MATCH(Q405,Taxonomy_UniqueValues!F:F,0)),INDEX(Taxonomy_UniqueValues!D:D,MATCH(P405,Taxonomy_UniqueValues!E:E,0)))),"#N/C")</f>
        <v>#N/C</v>
      </c>
      <c r="P405" s="41" t="s">
        <v>26</v>
      </c>
      <c r="Q405" s="41" t="s">
        <v>26</v>
      </c>
      <c r="R405" s="41" t="s">
        <v>26</v>
      </c>
      <c r="S405" s="41" t="s">
        <v>26</v>
      </c>
      <c r="T405" s="28" t="s">
        <v>26</v>
      </c>
    </row>
    <row r="406" spans="1:20" hidden="1" x14ac:dyDescent="0.3">
      <c r="A406" s="84">
        <v>405</v>
      </c>
      <c r="B406" s="6">
        <v>44426</v>
      </c>
      <c r="C406" s="85" t="s">
        <v>673</v>
      </c>
      <c r="D406" s="85" t="s">
        <v>674</v>
      </c>
      <c r="E406" s="16">
        <v>44426.870925925927</v>
      </c>
      <c r="F406" s="7">
        <v>44426.871168981481</v>
      </c>
      <c r="G406" s="14">
        <f t="shared" si="6"/>
        <v>2.4305555416503921E-4</v>
      </c>
      <c r="H406" s="4" t="s">
        <v>23</v>
      </c>
      <c r="I406" s="4" t="s">
        <v>24</v>
      </c>
      <c r="J406" s="87" t="str">
        <f>IF(ISBLANK(C406),"",IF(C406=D406, "1 video",CONCATENATE((+COUNTIFS(Video_List!$C:$C,"&lt;=" &amp;Monitoring!F406)-COUNTIFS(Video_List!$C:$C,"&lt;=" &amp;Monitoring!E406))+1," videos")))</f>
        <v>2 videos</v>
      </c>
      <c r="K406" s="25" t="s">
        <v>23</v>
      </c>
      <c r="L406" s="41" t="s">
        <v>28</v>
      </c>
      <c r="M406" s="41" t="s">
        <v>32</v>
      </c>
      <c r="N406" s="41" t="s">
        <v>33</v>
      </c>
      <c r="O406" s="88" t="str">
        <f>+IFERROR(IF(P406="#N/C","#N/C",IF(Q406=0,INDEX(Taxonomy_UniqueValues!D:D,MATCH(Q406,Taxonomy_UniqueValues!F:F,0)),INDEX(Taxonomy_UniqueValues!D:D,MATCH(P406,Taxonomy_UniqueValues!E:E,0)))),"#N/C")</f>
        <v>Parasitica</v>
      </c>
      <c r="P406" s="41" t="s">
        <v>62</v>
      </c>
      <c r="Q406" s="41" t="s">
        <v>26</v>
      </c>
      <c r="R406" s="41" t="s">
        <v>26</v>
      </c>
      <c r="S406" s="41" t="s">
        <v>26</v>
      </c>
      <c r="T406" s="28" t="s">
        <v>26</v>
      </c>
    </row>
    <row r="407" spans="1:20" hidden="1" x14ac:dyDescent="0.3">
      <c r="A407" s="84">
        <v>406</v>
      </c>
      <c r="B407" s="6">
        <v>44426</v>
      </c>
      <c r="C407" s="85" t="s">
        <v>675</v>
      </c>
      <c r="D407" s="85" t="s">
        <v>675</v>
      </c>
      <c r="E407" s="16">
        <v>44426.874282407407</v>
      </c>
      <c r="F407" s="7">
        <v>44426.874421296299</v>
      </c>
      <c r="G407" s="14">
        <f t="shared" si="6"/>
        <v>1.3888889225199819E-4</v>
      </c>
      <c r="H407" s="86" t="s">
        <v>23</v>
      </c>
      <c r="I407" s="86" t="s">
        <v>24</v>
      </c>
      <c r="J407" s="87" t="str">
        <f>IF(ISBLANK(C407),"",IF(C407=D407, "1 video",CONCATENATE((+COUNTIFS(Video_List!$C:$C,"&lt;=" &amp;Monitoring!F407)-COUNTIFS(Video_List!$C:$C,"&lt;=" &amp;Monitoring!E407))+1," videos")))</f>
        <v>1 video</v>
      </c>
      <c r="K407" s="27" t="s">
        <v>35</v>
      </c>
      <c r="L407" s="41" t="s">
        <v>28</v>
      </c>
      <c r="M407" s="41" t="s">
        <v>29</v>
      </c>
      <c r="N407" s="41" t="s">
        <v>30</v>
      </c>
      <c r="O407" s="88" t="str">
        <f>+IFERROR(IF(P407="#N/C","#N/C",IF(Q407=0,INDEX(Taxonomy_UniqueValues!D:D,MATCH(Q407,Taxonomy_UniqueValues!F:F,0)),INDEX(Taxonomy_UniqueValues!D:D,MATCH(P407,Taxonomy_UniqueValues!E:E,0)))),"#N/C")</f>
        <v>Asilomorpha</v>
      </c>
      <c r="P407" s="41" t="s">
        <v>430</v>
      </c>
      <c r="Q407" s="41" t="s">
        <v>431</v>
      </c>
      <c r="R407" s="41" t="s">
        <v>26</v>
      </c>
      <c r="S407" s="41" t="s">
        <v>26</v>
      </c>
      <c r="T407" s="28" t="s">
        <v>26</v>
      </c>
    </row>
    <row r="408" spans="1:20" hidden="1" x14ac:dyDescent="0.3">
      <c r="A408" s="84">
        <v>407</v>
      </c>
      <c r="B408" s="6">
        <v>44426</v>
      </c>
      <c r="C408" s="85" t="s">
        <v>676</v>
      </c>
      <c r="D408" s="85" t="s">
        <v>676</v>
      </c>
      <c r="E408" s="16">
        <v>44426.874571759261</v>
      </c>
      <c r="F408" s="7">
        <v>44426.87462962963</v>
      </c>
      <c r="G408" s="14">
        <f t="shared" si="6"/>
        <v>5.7870369346346706E-5</v>
      </c>
      <c r="H408" s="86" t="s">
        <v>23</v>
      </c>
      <c r="I408" s="86" t="s">
        <v>24</v>
      </c>
      <c r="J408" s="87" t="str">
        <f>IF(ISBLANK(C408),"",IF(C408=D408, "1 video",CONCATENATE((+COUNTIFS(Video_List!$C:$C,"&lt;=" &amp;Monitoring!F408)-COUNTIFS(Video_List!$C:$C,"&lt;=" &amp;Monitoring!E408))+1," videos")))</f>
        <v>1 video</v>
      </c>
      <c r="K408" s="27" t="s">
        <v>35</v>
      </c>
      <c r="L408" s="41" t="s">
        <v>28</v>
      </c>
      <c r="M408" s="41" t="s">
        <v>29</v>
      </c>
      <c r="N408" s="41" t="s">
        <v>30</v>
      </c>
      <c r="O408" s="88" t="str">
        <f>+IFERROR(IF(P408="#N/C","#N/C",IF(Q408=0,INDEX(Taxonomy_UniqueValues!D:D,MATCH(Q408,Taxonomy_UniqueValues!F:F,0)),INDEX(Taxonomy_UniqueValues!D:D,MATCH(P408,Taxonomy_UniqueValues!E:E,0)))),"#N/C")</f>
        <v>Asilomorpha</v>
      </c>
      <c r="P408" s="41" t="s">
        <v>430</v>
      </c>
      <c r="Q408" s="41" t="s">
        <v>431</v>
      </c>
      <c r="R408" s="41" t="s">
        <v>26</v>
      </c>
      <c r="S408" s="41" t="s">
        <v>26</v>
      </c>
      <c r="T408" s="28" t="s">
        <v>26</v>
      </c>
    </row>
    <row r="409" spans="1:20" hidden="1" x14ac:dyDescent="0.3">
      <c r="A409" s="84">
        <v>408</v>
      </c>
      <c r="B409" s="6">
        <v>44426</v>
      </c>
      <c r="C409" s="85" t="s">
        <v>677</v>
      </c>
      <c r="D409" s="85" t="s">
        <v>677</v>
      </c>
      <c r="E409" s="16">
        <v>44426.888506944444</v>
      </c>
      <c r="F409" s="7">
        <v>44426.888564814813</v>
      </c>
      <c r="G409" s="14">
        <f t="shared" si="6"/>
        <v>5.7870369346346706E-5</v>
      </c>
      <c r="H409" s="4" t="s">
        <v>23</v>
      </c>
      <c r="I409" s="4" t="s">
        <v>24</v>
      </c>
      <c r="J409" s="87" t="str">
        <f>IF(ISBLANK(C409),"",IF(C409=D409, "1 video",CONCATENATE((+COUNTIFS(Video_List!$C:$C,"&lt;=" &amp;Monitoring!F409)-COUNTIFS(Video_List!$C:$C,"&lt;=" &amp;Monitoring!E409))+1," videos")))</f>
        <v>1 video</v>
      </c>
      <c r="K409" s="25" t="s">
        <v>23</v>
      </c>
      <c r="L409" s="41" t="s">
        <v>28</v>
      </c>
      <c r="M409" s="41" t="s">
        <v>47</v>
      </c>
      <c r="N409" s="41" t="s">
        <v>26</v>
      </c>
      <c r="O409" s="88" t="str">
        <f>+IFERROR(IF(P409="#N/C","#N/C",IF(Q409=0,INDEX(Taxonomy_UniqueValues!D:D,MATCH(Q409,Taxonomy_UniqueValues!F:F,0)),INDEX(Taxonomy_UniqueValues!D:D,MATCH(P409,Taxonomy_UniqueValues!E:E,0)))),"#N/C")</f>
        <v>#N/C</v>
      </c>
      <c r="P409" s="41" t="s">
        <v>26</v>
      </c>
      <c r="Q409" s="41" t="s">
        <v>26</v>
      </c>
      <c r="R409" s="41" t="s">
        <v>26</v>
      </c>
      <c r="S409" s="41" t="s">
        <v>26</v>
      </c>
      <c r="T409" s="28" t="s">
        <v>26</v>
      </c>
    </row>
    <row r="410" spans="1:20" hidden="1" x14ac:dyDescent="0.3">
      <c r="A410" s="84">
        <v>409</v>
      </c>
      <c r="B410" s="6">
        <v>44426</v>
      </c>
      <c r="C410" s="85" t="s">
        <v>678</v>
      </c>
      <c r="D410" s="85" t="s">
        <v>678</v>
      </c>
      <c r="E410" s="16">
        <v>44426.940879629627</v>
      </c>
      <c r="F410" s="7">
        <v>44426.941030092596</v>
      </c>
      <c r="G410" s="14">
        <f t="shared" si="6"/>
        <v>1.5046296903165057E-4</v>
      </c>
      <c r="H410" s="4" t="s">
        <v>23</v>
      </c>
      <c r="I410" s="4" t="s">
        <v>24</v>
      </c>
      <c r="J410" s="87" t="str">
        <f>IF(ISBLANK(C410),"",IF(C410=D410, "1 video",CONCATENATE((+COUNTIFS(Video_List!$C:$C,"&lt;=" &amp;Monitoring!F410)-COUNTIFS(Video_List!$C:$C,"&lt;=" &amp;Monitoring!E410))+1," videos")))</f>
        <v>1 video</v>
      </c>
      <c r="K410" s="25" t="s">
        <v>23</v>
      </c>
      <c r="L410" s="41" t="s">
        <v>28</v>
      </c>
      <c r="M410" s="41" t="s">
        <v>47</v>
      </c>
      <c r="N410" s="41" t="s">
        <v>48</v>
      </c>
      <c r="O410" s="88" t="str">
        <f>+IFERROR(IF(P410="#N/C","#N/C",IF(Q410=0,INDEX(Taxonomy_UniqueValues!D:D,MATCH(Q410,Taxonomy_UniqueValues!F:F,0)),INDEX(Taxonomy_UniqueValues!D:D,MATCH(P410,Taxonomy_UniqueValues!E:E,0)))),"#N/C")</f>
        <v>Heterocera</v>
      </c>
      <c r="P410" s="41" t="s">
        <v>509</v>
      </c>
      <c r="Q410" s="41" t="s">
        <v>510</v>
      </c>
      <c r="R410" s="41" t="s">
        <v>511</v>
      </c>
      <c r="S410" s="41" t="s">
        <v>679</v>
      </c>
      <c r="T410" s="28" t="s">
        <v>680</v>
      </c>
    </row>
    <row r="411" spans="1:20" hidden="1" x14ac:dyDescent="0.3">
      <c r="A411" s="84">
        <v>410</v>
      </c>
      <c r="B411" s="6">
        <v>44427</v>
      </c>
      <c r="C411" s="85" t="s">
        <v>681</v>
      </c>
      <c r="D411" s="85" t="s">
        <v>682</v>
      </c>
      <c r="E411" s="16">
        <v>44427.659560185188</v>
      </c>
      <c r="F411" s="7">
        <v>44427.661689814813</v>
      </c>
      <c r="G411" s="14">
        <f t="shared" si="6"/>
        <v>2.1296296254149638E-3</v>
      </c>
      <c r="H411" s="4" t="s">
        <v>46</v>
      </c>
      <c r="I411" s="4" t="s">
        <v>46</v>
      </c>
      <c r="J411" s="87" t="str">
        <f>IF(ISBLANK(C411),"",IF(C411=D411, "1 video",CONCATENATE((+COUNTIFS(Video_List!$C:$C,"&lt;=" &amp;Monitoring!F411)-COUNTIFS(Video_List!$C:$C,"&lt;=" &amp;Monitoring!E411))+1," videos")))</f>
        <v>2 videos</v>
      </c>
      <c r="K411" s="25" t="s">
        <v>23</v>
      </c>
      <c r="L411" s="41" t="s">
        <v>28</v>
      </c>
      <c r="M411" s="41" t="s">
        <v>29</v>
      </c>
      <c r="N411" s="41" t="s">
        <v>26</v>
      </c>
      <c r="O411" s="88" t="str">
        <f>+IFERROR(IF(P411="#N/C","#N/C",IF(Q411=0,INDEX(Taxonomy_UniqueValues!D:D,MATCH(Q411,Taxonomy_UniqueValues!F:F,0)),INDEX(Taxonomy_UniqueValues!D:D,MATCH(P411,Taxonomy_UniqueValues!E:E,0)))),"#N/C")</f>
        <v>#N/C</v>
      </c>
      <c r="P411" s="41" t="s">
        <v>26</v>
      </c>
      <c r="Q411" s="41" t="s">
        <v>26</v>
      </c>
      <c r="R411" s="41" t="s">
        <v>26</v>
      </c>
      <c r="S411" s="41" t="s">
        <v>26</v>
      </c>
      <c r="T411" s="28" t="s">
        <v>26</v>
      </c>
    </row>
    <row r="412" spans="1:20" hidden="1" x14ac:dyDescent="0.3">
      <c r="A412" s="84">
        <v>411</v>
      </c>
      <c r="B412" s="6">
        <v>44427</v>
      </c>
      <c r="C412" s="85" t="s">
        <v>683</v>
      </c>
      <c r="D412" s="85" t="s">
        <v>683</v>
      </c>
      <c r="E412" s="16">
        <v>44427.819699074076</v>
      </c>
      <c r="F412" s="7">
        <v>44427.819756944446</v>
      </c>
      <c r="G412" s="14">
        <f t="shared" si="6"/>
        <v>5.7870369346346706E-5</v>
      </c>
      <c r="H412" s="86" t="s">
        <v>23</v>
      </c>
      <c r="I412" s="86" t="s">
        <v>24</v>
      </c>
      <c r="J412" s="87" t="str">
        <f>IF(ISBLANK(C412),"",IF(C412=D412, "1 video",CONCATENATE((+COUNTIFS(Video_List!$C:$C,"&lt;=" &amp;Monitoring!F412)-COUNTIFS(Video_List!$C:$C,"&lt;=" &amp;Monitoring!E412))+1," videos")))</f>
        <v>1 video</v>
      </c>
      <c r="K412" s="27" t="s">
        <v>35</v>
      </c>
      <c r="L412" s="41" t="s">
        <v>28</v>
      </c>
      <c r="M412" s="41" t="s">
        <v>29</v>
      </c>
      <c r="N412" s="41" t="s">
        <v>176</v>
      </c>
      <c r="O412" s="88" t="str">
        <f>+IFERROR(IF(P412="#N/C","#N/C",IF(Q412=0,INDEX(Taxonomy_UniqueValues!D:D,MATCH(Q412,Taxonomy_UniqueValues!F:F,0)),INDEX(Taxonomy_UniqueValues!D:D,MATCH(P412,Taxonomy_UniqueValues!E:E,0)))),"#N/C")</f>
        <v>Bibionomorpha</v>
      </c>
      <c r="P412" s="41" t="s">
        <v>177</v>
      </c>
      <c r="Q412" s="41" t="s">
        <v>410</v>
      </c>
      <c r="R412" s="41" t="s">
        <v>26</v>
      </c>
      <c r="S412" s="41" t="s">
        <v>26</v>
      </c>
      <c r="T412" s="28" t="s">
        <v>26</v>
      </c>
    </row>
    <row r="413" spans="1:20" hidden="1" x14ac:dyDescent="0.3">
      <c r="A413" s="84">
        <v>412</v>
      </c>
      <c r="B413" s="6">
        <v>44427</v>
      </c>
      <c r="C413" s="85" t="s">
        <v>684</v>
      </c>
      <c r="D413" s="85" t="s">
        <v>685</v>
      </c>
      <c r="E413" s="16">
        <v>44427.821250000001</v>
      </c>
      <c r="F413" s="7">
        <v>44427.821527777778</v>
      </c>
      <c r="G413" s="14">
        <f t="shared" si="6"/>
        <v>2.7777777722803876E-4</v>
      </c>
      <c r="H413" s="86" t="s">
        <v>23</v>
      </c>
      <c r="I413" s="86" t="s">
        <v>24</v>
      </c>
      <c r="J413" s="87" t="str">
        <f>IF(ISBLANK(C413),"",IF(C413=D413, "1 video",CONCATENATE((+COUNTIFS(Video_List!$C:$C,"&lt;=" &amp;Monitoring!F413)-COUNTIFS(Video_List!$C:$C,"&lt;=" &amp;Monitoring!E413))+1," videos")))</f>
        <v>2 videos</v>
      </c>
      <c r="K413" s="27" t="s">
        <v>35</v>
      </c>
      <c r="L413" s="41" t="s">
        <v>28</v>
      </c>
      <c r="M413" s="41" t="s">
        <v>29</v>
      </c>
      <c r="N413" s="41" t="s">
        <v>30</v>
      </c>
      <c r="O413" s="88" t="str">
        <f>+IFERROR(IF(P413="#N/C","#N/C",IF(Q413=0,INDEX(Taxonomy_UniqueValues!D:D,MATCH(Q413,Taxonomy_UniqueValues!F:F,0)),INDEX(Taxonomy_UniqueValues!D:D,MATCH(P413,Taxonomy_UniqueValues!E:E,0)))),"#N/C")</f>
        <v>Asilomorpha</v>
      </c>
      <c r="P413" s="41" t="s">
        <v>430</v>
      </c>
      <c r="Q413" s="41" t="s">
        <v>431</v>
      </c>
      <c r="R413" s="41" t="s">
        <v>26</v>
      </c>
      <c r="S413" s="41" t="s">
        <v>26</v>
      </c>
      <c r="T413" s="28" t="s">
        <v>26</v>
      </c>
    </row>
    <row r="414" spans="1:20" hidden="1" x14ac:dyDescent="0.3">
      <c r="A414" s="84">
        <v>413</v>
      </c>
      <c r="B414" s="6">
        <v>44427</v>
      </c>
      <c r="C414" s="85" t="s">
        <v>686</v>
      </c>
      <c r="D414" s="85" t="s">
        <v>686</v>
      </c>
      <c r="E414" s="16">
        <v>44427.839675925927</v>
      </c>
      <c r="F414" s="7">
        <v>44427.839791666665</v>
      </c>
      <c r="G414" s="14">
        <f t="shared" si="6"/>
        <v>1.1574073869269341E-4</v>
      </c>
      <c r="H414" s="4" t="s">
        <v>23</v>
      </c>
      <c r="I414" s="4" t="s">
        <v>24</v>
      </c>
      <c r="J414" s="87" t="str">
        <f>IF(ISBLANK(C414),"",IF(C414=D414, "1 video",CONCATENATE((+COUNTIFS(Video_List!$C:$C,"&lt;=" &amp;Monitoring!F414)-COUNTIFS(Video_List!$C:$C,"&lt;=" &amp;Monitoring!E414))+1," videos")))</f>
        <v>1 video</v>
      </c>
      <c r="K414" s="25" t="s">
        <v>23</v>
      </c>
      <c r="L414" s="41" t="s">
        <v>28</v>
      </c>
      <c r="M414" s="41" t="s">
        <v>47</v>
      </c>
      <c r="N414" s="41" t="s">
        <v>48</v>
      </c>
      <c r="O414" s="88" t="str">
        <f>+IFERROR(IF(P414="#N/C","#N/C",IF(Q414=0,INDEX(Taxonomy_UniqueValues!D:D,MATCH(Q414,Taxonomy_UniqueValues!F:F,0)),INDEX(Taxonomy_UniqueValues!D:D,MATCH(P414,Taxonomy_UniqueValues!E:E,0)))),"#N/C")</f>
        <v>Heterocera</v>
      </c>
      <c r="P414" s="41" t="s">
        <v>248</v>
      </c>
      <c r="Q414" s="41" t="s">
        <v>26</v>
      </c>
      <c r="R414" s="41" t="s">
        <v>26</v>
      </c>
      <c r="S414" s="41" t="s">
        <v>26</v>
      </c>
      <c r="T414" s="28" t="s">
        <v>26</v>
      </c>
    </row>
    <row r="415" spans="1:20" hidden="1" x14ac:dyDescent="0.3">
      <c r="A415" s="84">
        <v>414</v>
      </c>
      <c r="B415" s="6">
        <v>44427</v>
      </c>
      <c r="C415" s="85" t="s">
        <v>687</v>
      </c>
      <c r="D415" s="85" t="s">
        <v>687</v>
      </c>
      <c r="E415" s="16">
        <v>44427.86378472222</v>
      </c>
      <c r="F415" s="7">
        <v>44427.872870370367</v>
      </c>
      <c r="G415" s="14">
        <f t="shared" si="6"/>
        <v>9.0856481474475004E-3</v>
      </c>
      <c r="H415" s="4" t="s">
        <v>46</v>
      </c>
      <c r="I415" s="4" t="s">
        <v>46</v>
      </c>
      <c r="J415" s="87" t="str">
        <f>IF(ISBLANK(C415),"",IF(C415=D415, "1 video",CONCATENATE((+COUNTIFS(Video_List!$C:$C,"&lt;=" &amp;Monitoring!F415)-COUNTIFS(Video_List!$C:$C,"&lt;=" &amp;Monitoring!E415))+1," videos")))</f>
        <v>1 video</v>
      </c>
      <c r="K415" s="25" t="s">
        <v>23</v>
      </c>
      <c r="L415" s="41" t="s">
        <v>28</v>
      </c>
      <c r="M415" s="41" t="s">
        <v>29</v>
      </c>
      <c r="N415" s="41" t="s">
        <v>30</v>
      </c>
      <c r="O415" s="88" t="str">
        <f>+IFERROR(IF(P415="#N/C","#N/C",IF(Q415=0,INDEX(Taxonomy_UniqueValues!D:D,MATCH(Q415,Taxonomy_UniqueValues!F:F,0)),INDEX(Taxonomy_UniqueValues!D:D,MATCH(P415,Taxonomy_UniqueValues!E:E,0)))),"#N/C")</f>
        <v>Muscomorpha</v>
      </c>
      <c r="P415" s="41" t="s">
        <v>54</v>
      </c>
      <c r="Q415" s="41" t="s">
        <v>55</v>
      </c>
      <c r="R415" s="41" t="s">
        <v>56</v>
      </c>
      <c r="S415" s="41" t="s">
        <v>254</v>
      </c>
      <c r="T415" s="28" t="s">
        <v>26</v>
      </c>
    </row>
    <row r="416" spans="1:20" hidden="1" x14ac:dyDescent="0.3">
      <c r="A416" s="84">
        <v>415</v>
      </c>
      <c r="B416" s="6">
        <v>44427</v>
      </c>
      <c r="C416" s="85" t="s">
        <v>688</v>
      </c>
      <c r="D416" s="85" t="s">
        <v>688</v>
      </c>
      <c r="E416" s="16">
        <v>44427.937604166669</v>
      </c>
      <c r="F416" s="7">
        <v>44427.93787037037</v>
      </c>
      <c r="G416" s="14">
        <f t="shared" si="6"/>
        <v>2.6620370044838637E-4</v>
      </c>
      <c r="H416" s="4" t="s">
        <v>23</v>
      </c>
      <c r="I416" s="4" t="s">
        <v>109</v>
      </c>
      <c r="J416" s="87" t="str">
        <f>IF(ISBLANK(C416),"",IF(C416=D416, "1 video",CONCATENATE((+COUNTIFS(Video_List!$C:$C,"&lt;=" &amp;Monitoring!F416)-COUNTIFS(Video_List!$C:$C,"&lt;=" &amp;Monitoring!E416))+1," videos")))</f>
        <v>1 video</v>
      </c>
      <c r="K416" s="25" t="s">
        <v>23</v>
      </c>
      <c r="L416" s="41" t="s">
        <v>28</v>
      </c>
      <c r="M416" s="41" t="s">
        <v>47</v>
      </c>
      <c r="N416" s="41" t="s">
        <v>48</v>
      </c>
      <c r="O416" s="88" t="str">
        <f>+IFERROR(IF(P416="#N/C","#N/C",IF(Q416=0,INDEX(Taxonomy_UniqueValues!D:D,MATCH(Q416,Taxonomy_UniqueValues!F:F,0)),INDEX(Taxonomy_UniqueValues!D:D,MATCH(P416,Taxonomy_UniqueValues!E:E,0)))),"#N/C")</f>
        <v>Heterocera</v>
      </c>
      <c r="P416" s="41" t="s">
        <v>689</v>
      </c>
      <c r="Q416" s="41" t="s">
        <v>690</v>
      </c>
      <c r="R416" s="41" t="s">
        <v>691</v>
      </c>
      <c r="S416" s="41" t="s">
        <v>692</v>
      </c>
      <c r="T416" s="28" t="s">
        <v>693</v>
      </c>
    </row>
    <row r="417" spans="1:20" hidden="1" x14ac:dyDescent="0.3">
      <c r="A417" s="84">
        <v>416</v>
      </c>
      <c r="B417" s="6">
        <v>44427</v>
      </c>
      <c r="C417" s="85" t="s">
        <v>694</v>
      </c>
      <c r="D417" s="85" t="s">
        <v>694</v>
      </c>
      <c r="E417" s="16">
        <v>44427.975648148145</v>
      </c>
      <c r="F417" s="7">
        <v>44427.975763888891</v>
      </c>
      <c r="G417" s="14">
        <f t="shared" si="6"/>
        <v>1.1574074596865103E-4</v>
      </c>
      <c r="H417" s="4" t="s">
        <v>35</v>
      </c>
      <c r="I417" s="4" t="s">
        <v>24</v>
      </c>
      <c r="J417" s="87" t="str">
        <f>IF(ISBLANK(C417),"",IF(C417=D417, "1 video",CONCATENATE((+COUNTIFS(Video_List!$C:$C,"&lt;=" &amp;Monitoring!F417)-COUNTIFS(Video_List!$C:$C,"&lt;=" &amp;Monitoring!E417))+1," videos")))</f>
        <v>1 video</v>
      </c>
      <c r="K417" s="25" t="s">
        <v>23</v>
      </c>
      <c r="L417" s="41" t="s">
        <v>28</v>
      </c>
      <c r="M417" s="41" t="s">
        <v>32</v>
      </c>
      <c r="N417" s="41" t="s">
        <v>33</v>
      </c>
      <c r="O417" s="88" t="str">
        <f>+IFERROR(IF(P417="#N/C","#N/C",IF(Q417=0,INDEX(Taxonomy_UniqueValues!D:D,MATCH(Q417,Taxonomy_UniqueValues!F:F,0)),INDEX(Taxonomy_UniqueValues!D:D,MATCH(P417,Taxonomy_UniqueValues!E:E,0)))),"#N/C")</f>
        <v>Parasitica</v>
      </c>
      <c r="P417" s="41" t="s">
        <v>62</v>
      </c>
      <c r="Q417" s="41" t="s">
        <v>695</v>
      </c>
      <c r="R417" s="41" t="s">
        <v>696</v>
      </c>
      <c r="S417" s="41" t="s">
        <v>26</v>
      </c>
      <c r="T417" s="28" t="s">
        <v>26</v>
      </c>
    </row>
    <row r="418" spans="1:20" hidden="1" x14ac:dyDescent="0.3">
      <c r="A418" s="84">
        <v>417</v>
      </c>
      <c r="B418" s="6">
        <v>44428</v>
      </c>
      <c r="C418" s="85" t="s">
        <v>697</v>
      </c>
      <c r="D418" s="85" t="s">
        <v>697</v>
      </c>
      <c r="E418" s="16">
        <v>44428.116678240738</v>
      </c>
      <c r="F418" s="7">
        <v>44428.116712962961</v>
      </c>
      <c r="G418" s="14">
        <f t="shared" si="6"/>
        <v>3.4722223062999547E-5</v>
      </c>
      <c r="H418" s="4" t="s">
        <v>23</v>
      </c>
      <c r="I418" s="4" t="s">
        <v>24</v>
      </c>
      <c r="J418" s="87" t="str">
        <f>IF(ISBLANK(C418),"",IF(C418=D418, "1 video",CONCATENATE((+COUNTIFS(Video_List!$C:$C,"&lt;=" &amp;Monitoring!F418)-COUNTIFS(Video_List!$C:$C,"&lt;=" &amp;Monitoring!E418))+1," videos")))</f>
        <v>1 video</v>
      </c>
      <c r="K418" s="27" t="s">
        <v>35</v>
      </c>
      <c r="L418" s="41" t="s">
        <v>28</v>
      </c>
      <c r="M418" s="41" t="s">
        <v>47</v>
      </c>
      <c r="N418" s="41" t="s">
        <v>26</v>
      </c>
      <c r="O418" s="88" t="str">
        <f>+IFERROR(IF(P418="#N/C","#N/C",IF(Q418=0,INDEX(Taxonomy_UniqueValues!D:D,MATCH(Q418,Taxonomy_UniqueValues!F:F,0)),INDEX(Taxonomy_UniqueValues!D:D,MATCH(P418,Taxonomy_UniqueValues!E:E,0)))),"#N/C")</f>
        <v>#N/C</v>
      </c>
      <c r="P418" s="41" t="s">
        <v>26</v>
      </c>
      <c r="Q418" s="41" t="s">
        <v>26</v>
      </c>
      <c r="R418" s="41" t="s">
        <v>26</v>
      </c>
      <c r="S418" s="41" t="s">
        <v>26</v>
      </c>
      <c r="T418" s="28" t="s">
        <v>26</v>
      </c>
    </row>
    <row r="419" spans="1:20" hidden="1" x14ac:dyDescent="0.3">
      <c r="A419" s="84">
        <v>418</v>
      </c>
      <c r="B419" s="6">
        <v>44428</v>
      </c>
      <c r="C419" s="85" t="s">
        <v>698</v>
      </c>
      <c r="D419" s="85" t="s">
        <v>698</v>
      </c>
      <c r="E419" s="16">
        <v>44428.141053240739</v>
      </c>
      <c r="F419" s="7">
        <v>44428.141134259262</v>
      </c>
      <c r="G419" s="14">
        <f t="shared" si="6"/>
        <v>8.101852290565148E-5</v>
      </c>
      <c r="H419" s="4" t="s">
        <v>23</v>
      </c>
      <c r="I419" s="4" t="s">
        <v>24</v>
      </c>
      <c r="J419" s="87" t="str">
        <f>IF(ISBLANK(C419),"",IF(C419=D419, "1 video",CONCATENATE((+COUNTIFS(Video_List!$C:$C,"&lt;=" &amp;Monitoring!F419)-COUNTIFS(Video_List!$C:$C,"&lt;=" &amp;Monitoring!E419))+1," videos")))</f>
        <v>1 video</v>
      </c>
      <c r="K419" s="25" t="s">
        <v>23</v>
      </c>
      <c r="L419" s="41" t="s">
        <v>28</v>
      </c>
      <c r="M419" s="41" t="s">
        <v>47</v>
      </c>
      <c r="N419" s="41" t="s">
        <v>48</v>
      </c>
      <c r="O419" s="88" t="str">
        <f>+IFERROR(IF(P419="#N/C","#N/C",IF(Q419=0,INDEX(Taxonomy_UniqueValues!D:D,MATCH(Q419,Taxonomy_UniqueValues!F:F,0)),INDEX(Taxonomy_UniqueValues!D:D,MATCH(P419,Taxonomy_UniqueValues!E:E,0)))),"#N/C")</f>
        <v>Heterocera</v>
      </c>
      <c r="P419" s="41" t="s">
        <v>689</v>
      </c>
      <c r="Q419" s="41" t="s">
        <v>690</v>
      </c>
      <c r="R419" s="41" t="s">
        <v>699</v>
      </c>
      <c r="S419" s="41" t="s">
        <v>700</v>
      </c>
      <c r="T419" s="28" t="s">
        <v>701</v>
      </c>
    </row>
    <row r="420" spans="1:20" hidden="1" x14ac:dyDescent="0.3">
      <c r="A420" s="84">
        <v>419</v>
      </c>
      <c r="B420" s="6">
        <v>44428</v>
      </c>
      <c r="C420" s="85" t="s">
        <v>702</v>
      </c>
      <c r="D420" s="85" t="s">
        <v>702</v>
      </c>
      <c r="E420" s="16">
        <v>44428.581793981481</v>
      </c>
      <c r="F420" s="7">
        <v>44428.58185185185</v>
      </c>
      <c r="G420" s="14">
        <f t="shared" si="6"/>
        <v>5.7870369346346706E-5</v>
      </c>
      <c r="H420" s="4" t="s">
        <v>23</v>
      </c>
      <c r="I420" s="4" t="s">
        <v>24</v>
      </c>
      <c r="J420" s="87" t="str">
        <f>IF(ISBLANK(C420),"",IF(C420=D420, "1 video",CONCATENATE((+COUNTIFS(Video_List!$C:$C,"&lt;=" &amp;Monitoring!F420)-COUNTIFS(Video_List!$C:$C,"&lt;=" &amp;Monitoring!E420))+1," videos")))</f>
        <v>1 video</v>
      </c>
      <c r="K420" s="25" t="s">
        <v>23</v>
      </c>
      <c r="L420" s="41" t="s">
        <v>28</v>
      </c>
      <c r="M420" s="41" t="s">
        <v>29</v>
      </c>
      <c r="N420" s="41" t="s">
        <v>30</v>
      </c>
      <c r="O420" s="88" t="str">
        <f>+IFERROR(IF(P420="#N/C","#N/C",IF(Q420=0,INDEX(Taxonomy_UniqueValues!D:D,MATCH(Q420,Taxonomy_UniqueValues!F:F,0)),INDEX(Taxonomy_UniqueValues!D:D,MATCH(P420,Taxonomy_UniqueValues!E:E,0)))),"#N/C")</f>
        <v>Muscomorpha</v>
      </c>
      <c r="P420" s="41" t="s">
        <v>326</v>
      </c>
      <c r="Q420" s="41" t="s">
        <v>516</v>
      </c>
      <c r="R420" s="41" t="s">
        <v>517</v>
      </c>
      <c r="S420" s="41" t="s">
        <v>703</v>
      </c>
      <c r="T420" s="28" t="s">
        <v>26</v>
      </c>
    </row>
    <row r="421" spans="1:20" hidden="1" x14ac:dyDescent="0.3">
      <c r="A421" s="84">
        <v>420</v>
      </c>
      <c r="B421" s="6">
        <v>44428</v>
      </c>
      <c r="C421" s="85" t="s">
        <v>704</v>
      </c>
      <c r="D421" s="85" t="s">
        <v>704</v>
      </c>
      <c r="E421" s="16">
        <v>44428.7266087963</v>
      </c>
      <c r="F421" s="7">
        <v>44428.726782407408</v>
      </c>
      <c r="G421" s="14">
        <f t="shared" si="6"/>
        <v>1.7361110803904012E-4</v>
      </c>
      <c r="H421" s="4" t="s">
        <v>23</v>
      </c>
      <c r="I421" s="4" t="s">
        <v>24</v>
      </c>
      <c r="J421" s="87" t="str">
        <f>IF(ISBLANK(C421),"",IF(C421=D421, "1 video",CONCATENATE((+COUNTIFS(Video_List!$C:$C,"&lt;=" &amp;Monitoring!F421)-COUNTIFS(Video_List!$C:$C,"&lt;=" &amp;Monitoring!E421))+1," videos")))</f>
        <v>1 video</v>
      </c>
      <c r="K421" s="27" t="s">
        <v>35</v>
      </c>
      <c r="L421" s="41" t="s">
        <v>28</v>
      </c>
      <c r="M421" s="41" t="s">
        <v>29</v>
      </c>
      <c r="N421" s="41" t="s">
        <v>30</v>
      </c>
      <c r="O421" s="88" t="str">
        <f>+IFERROR(IF(P421="#N/C","#N/C",IF(Q421=0,INDEX(Taxonomy_UniqueValues!D:D,MATCH(Q421,Taxonomy_UniqueValues!F:F,0)),INDEX(Taxonomy_UniqueValues!D:D,MATCH(P421,Taxonomy_UniqueValues!E:E,0)))),"#N/C")</f>
        <v>Asilomorpha</v>
      </c>
      <c r="P421" s="41" t="s">
        <v>430</v>
      </c>
      <c r="Q421" s="41" t="s">
        <v>431</v>
      </c>
      <c r="R421" s="41" t="s">
        <v>26</v>
      </c>
      <c r="S421" s="41" t="s">
        <v>26</v>
      </c>
      <c r="T421" s="28" t="s">
        <v>26</v>
      </c>
    </row>
    <row r="422" spans="1:20" hidden="1" x14ac:dyDescent="0.3">
      <c r="A422" s="84">
        <v>421</v>
      </c>
      <c r="B422" s="6">
        <v>44428</v>
      </c>
      <c r="C422" s="85" t="s">
        <v>705</v>
      </c>
      <c r="D422" s="85" t="s">
        <v>705</v>
      </c>
      <c r="E422" s="16">
        <v>44428.729849537034</v>
      </c>
      <c r="F422" s="7">
        <v>44428.729953703703</v>
      </c>
      <c r="G422" s="14">
        <f t="shared" si="6"/>
        <v>1.0416666918899864E-4</v>
      </c>
      <c r="H422" s="4" t="s">
        <v>35</v>
      </c>
      <c r="I422" s="4" t="s">
        <v>24</v>
      </c>
      <c r="J422" s="87" t="str">
        <f>IF(ISBLANK(C422),"",IF(C422=D422, "1 video",CONCATENATE((+COUNTIFS(Video_List!$C:$C,"&lt;=" &amp;Monitoring!F422)-COUNTIFS(Video_List!$C:$C,"&lt;=" &amp;Monitoring!E422))+1," videos")))</f>
        <v>1 video</v>
      </c>
      <c r="K422" s="27" t="s">
        <v>35</v>
      </c>
      <c r="L422" s="41" t="s">
        <v>28</v>
      </c>
      <c r="M422" s="41" t="s">
        <v>29</v>
      </c>
      <c r="N422" s="41" t="s">
        <v>176</v>
      </c>
      <c r="O422" s="88" t="str">
        <f>+IFERROR(IF(P422="#N/C","#N/C",IF(Q422=0,INDEX(Taxonomy_UniqueValues!D:D,MATCH(Q422,Taxonomy_UniqueValues!F:F,0)),INDEX(Taxonomy_UniqueValues!D:D,MATCH(P422,Taxonomy_UniqueValues!E:E,0)))),"#N/C")</f>
        <v>Bibionomorpha</v>
      </c>
      <c r="P422" s="41" t="s">
        <v>177</v>
      </c>
      <c r="Q422" s="41" t="s">
        <v>410</v>
      </c>
      <c r="R422" s="41" t="s">
        <v>26</v>
      </c>
      <c r="S422" s="41" t="s">
        <v>26</v>
      </c>
      <c r="T422" s="28" t="s">
        <v>26</v>
      </c>
    </row>
    <row r="423" spans="1:20" hidden="1" x14ac:dyDescent="0.3">
      <c r="A423" s="84">
        <v>422</v>
      </c>
      <c r="B423" s="6">
        <v>44428</v>
      </c>
      <c r="C423" s="85" t="s">
        <v>706</v>
      </c>
      <c r="D423" s="85" t="s">
        <v>706</v>
      </c>
      <c r="E423" s="16">
        <v>44428.732118055559</v>
      </c>
      <c r="F423" s="7">
        <v>44428.732314814813</v>
      </c>
      <c r="G423" s="14">
        <f t="shared" si="6"/>
        <v>1.9675925432238728E-4</v>
      </c>
      <c r="H423" s="4" t="s">
        <v>23</v>
      </c>
      <c r="I423" s="4" t="s">
        <v>24</v>
      </c>
      <c r="J423" s="87" t="str">
        <f>IF(ISBLANK(C423),"",IF(C423=D423, "1 video",CONCATENATE((+COUNTIFS(Video_List!$C:$C,"&lt;=" &amp;Monitoring!F423)-COUNTIFS(Video_List!$C:$C,"&lt;=" &amp;Monitoring!E423))+1," videos")))</f>
        <v>1 video</v>
      </c>
      <c r="K423" s="25" t="s">
        <v>23</v>
      </c>
      <c r="L423" s="41" t="s">
        <v>28</v>
      </c>
      <c r="M423" s="41" t="s">
        <v>29</v>
      </c>
      <c r="N423" s="41" t="s">
        <v>30</v>
      </c>
      <c r="O423" s="88" t="str">
        <f>+IFERROR(IF(P423="#N/C","#N/C",IF(Q423=0,INDEX(Taxonomy_UniqueValues!D:D,MATCH(Q423,Taxonomy_UniqueValues!F:F,0)),INDEX(Taxonomy_UniqueValues!D:D,MATCH(P423,Taxonomy_UniqueValues!E:E,0)))),"#N/C")</f>
        <v>Muscomorpha</v>
      </c>
      <c r="P423" s="41" t="s">
        <v>166</v>
      </c>
      <c r="Q423" s="41" t="s">
        <v>486</v>
      </c>
      <c r="R423" s="41" t="s">
        <v>658</v>
      </c>
      <c r="S423" s="41" t="s">
        <v>659</v>
      </c>
      <c r="T423" s="28" t="s">
        <v>26</v>
      </c>
    </row>
    <row r="424" spans="1:20" hidden="1" x14ac:dyDescent="0.3">
      <c r="A424" s="84">
        <v>423</v>
      </c>
      <c r="B424" s="6">
        <v>44428</v>
      </c>
      <c r="C424" s="85" t="s">
        <v>707</v>
      </c>
      <c r="D424" s="85" t="s">
        <v>707</v>
      </c>
      <c r="E424" s="16">
        <v>44428.762499999997</v>
      </c>
      <c r="F424" s="7">
        <v>44428.762708333335</v>
      </c>
      <c r="G424" s="14">
        <f t="shared" si="6"/>
        <v>2.0833333837799728E-4</v>
      </c>
      <c r="H424" s="4" t="s">
        <v>23</v>
      </c>
      <c r="I424" s="4" t="s">
        <v>24</v>
      </c>
      <c r="J424" s="87" t="str">
        <f>IF(ISBLANK(C424),"",IF(C424=D424, "1 video",CONCATENATE((+COUNTIFS(Video_List!$C:$C,"&lt;=" &amp;Monitoring!F424)-COUNTIFS(Video_List!$C:$C,"&lt;=" &amp;Monitoring!E424))+1," videos")))</f>
        <v>1 video</v>
      </c>
      <c r="K424" s="25" t="s">
        <v>23</v>
      </c>
      <c r="L424" s="41" t="s">
        <v>28</v>
      </c>
      <c r="M424" s="41" t="s">
        <v>29</v>
      </c>
      <c r="N424" s="41" t="s">
        <v>30</v>
      </c>
      <c r="O424" s="88" t="str">
        <f>+IFERROR(IF(P424="#N/C","#N/C",IF(Q424=0,INDEX(Taxonomy_UniqueValues!D:D,MATCH(Q424,Taxonomy_UniqueValues!F:F,0)),INDEX(Taxonomy_UniqueValues!D:D,MATCH(P424,Taxonomy_UniqueValues!E:E,0)))),"#N/C")</f>
        <v>#N/C</v>
      </c>
      <c r="P424" s="41" t="s">
        <v>26</v>
      </c>
      <c r="Q424" s="41" t="s">
        <v>26</v>
      </c>
      <c r="R424" s="41" t="s">
        <v>26</v>
      </c>
      <c r="S424" s="41" t="s">
        <v>26</v>
      </c>
      <c r="T424" s="28" t="s">
        <v>26</v>
      </c>
    </row>
    <row r="425" spans="1:20" hidden="1" x14ac:dyDescent="0.3">
      <c r="A425" s="84">
        <v>424</v>
      </c>
      <c r="B425" s="6">
        <v>44428</v>
      </c>
      <c r="C425" s="85" t="s">
        <v>708</v>
      </c>
      <c r="D425" s="85" t="s">
        <v>708</v>
      </c>
      <c r="E425" s="16">
        <v>44428.798078703701</v>
      </c>
      <c r="F425" s="7">
        <v>44428.798379629632</v>
      </c>
      <c r="G425" s="14">
        <f t="shared" si="6"/>
        <v>3.0092593078734353E-4</v>
      </c>
      <c r="H425" s="4" t="s">
        <v>23</v>
      </c>
      <c r="I425" s="4" t="s">
        <v>24</v>
      </c>
      <c r="J425" s="87" t="str">
        <f>IF(ISBLANK(C425),"",IF(C425=D425, "1 video",CONCATENATE((+COUNTIFS(Video_List!$C:$C,"&lt;=" &amp;Monitoring!F425)-COUNTIFS(Video_List!$C:$C,"&lt;=" &amp;Monitoring!E425))+1," videos")))</f>
        <v>1 video</v>
      </c>
      <c r="K425" s="25" t="s">
        <v>23</v>
      </c>
      <c r="L425" s="41" t="s">
        <v>28</v>
      </c>
      <c r="M425" s="41" t="s">
        <v>29</v>
      </c>
      <c r="N425" s="41" t="s">
        <v>30</v>
      </c>
      <c r="O425" s="88" t="str">
        <f>+IFERROR(IF(P425="#N/C","#N/C",IF(Q425=0,INDEX(Taxonomy_UniqueValues!D:D,MATCH(Q425,Taxonomy_UniqueValues!F:F,0)),INDEX(Taxonomy_UniqueValues!D:D,MATCH(P425,Taxonomy_UniqueValues!E:E,0)))),"#N/C")</f>
        <v>#N/C</v>
      </c>
      <c r="P425" s="41" t="s">
        <v>26</v>
      </c>
      <c r="Q425" s="41" t="s">
        <v>26</v>
      </c>
      <c r="R425" s="41" t="s">
        <v>26</v>
      </c>
      <c r="S425" s="41" t="s">
        <v>26</v>
      </c>
      <c r="T425" s="28" t="s">
        <v>26</v>
      </c>
    </row>
    <row r="426" spans="1:20" hidden="1" x14ac:dyDescent="0.3">
      <c r="A426" s="84">
        <v>425</v>
      </c>
      <c r="B426" s="6">
        <v>44428</v>
      </c>
      <c r="C426" s="85" t="s">
        <v>709</v>
      </c>
      <c r="D426" s="85" t="s">
        <v>709</v>
      </c>
      <c r="E426" s="16">
        <v>44428.805833333332</v>
      </c>
      <c r="F426" s="7">
        <v>44428.805983796294</v>
      </c>
      <c r="G426" s="14">
        <f t="shared" si="6"/>
        <v>1.5046296175569296E-4</v>
      </c>
      <c r="H426" s="4" t="s">
        <v>23</v>
      </c>
      <c r="I426" s="4" t="s">
        <v>24</v>
      </c>
      <c r="J426" s="87" t="str">
        <f>IF(ISBLANK(C426),"",IF(C426=D426, "1 video",CONCATENATE((+COUNTIFS(Video_List!$C:$C,"&lt;=" &amp;Monitoring!F426)-COUNTIFS(Video_List!$C:$C,"&lt;=" &amp;Monitoring!E426))+1," videos")))</f>
        <v>1 video</v>
      </c>
      <c r="K426" s="27" t="s">
        <v>35</v>
      </c>
      <c r="L426" s="41" t="s">
        <v>28</v>
      </c>
      <c r="M426" s="41" t="s">
        <v>29</v>
      </c>
      <c r="N426" s="41" t="s">
        <v>30</v>
      </c>
      <c r="O426" s="88" t="str">
        <f>+IFERROR(IF(P426="#N/C","#N/C",IF(Q426=0,INDEX(Taxonomy_UniqueValues!D:D,MATCH(Q426,Taxonomy_UniqueValues!F:F,0)),INDEX(Taxonomy_UniqueValues!D:D,MATCH(P426,Taxonomy_UniqueValues!E:E,0)))),"#N/C")</f>
        <v>Asilomorpha</v>
      </c>
      <c r="P426" s="41" t="s">
        <v>430</v>
      </c>
      <c r="Q426" s="41" t="s">
        <v>431</v>
      </c>
      <c r="R426" s="41" t="s">
        <v>26</v>
      </c>
      <c r="S426" s="41" t="s">
        <v>26</v>
      </c>
      <c r="T426" s="28" t="s">
        <v>26</v>
      </c>
    </row>
    <row r="427" spans="1:20" hidden="1" x14ac:dyDescent="0.3">
      <c r="A427" s="84">
        <v>426</v>
      </c>
      <c r="B427" s="6">
        <v>44428</v>
      </c>
      <c r="C427" s="85" t="s">
        <v>710</v>
      </c>
      <c r="D427" s="85" t="s">
        <v>710</v>
      </c>
      <c r="E427" s="16">
        <v>44428.82576388889</v>
      </c>
      <c r="F427" s="7">
        <v>44428.826921296299</v>
      </c>
      <c r="G427" s="14">
        <f t="shared" si="6"/>
        <v>1.157407408754807E-3</v>
      </c>
      <c r="H427" s="4" t="s">
        <v>46</v>
      </c>
      <c r="I427" s="4" t="s">
        <v>46</v>
      </c>
      <c r="J427" s="87" t="str">
        <f>IF(ISBLANK(C427),"",IF(C427=D427, "1 video",CONCATENATE((+COUNTIFS(Video_List!$C:$C,"&lt;=" &amp;Monitoring!F427)-COUNTIFS(Video_List!$C:$C,"&lt;=" &amp;Monitoring!E427))+1," videos")))</f>
        <v>1 video</v>
      </c>
      <c r="K427" s="27" t="s">
        <v>35</v>
      </c>
      <c r="L427" s="41" t="s">
        <v>28</v>
      </c>
      <c r="M427" s="41" t="s">
        <v>29</v>
      </c>
      <c r="N427" s="41" t="s">
        <v>30</v>
      </c>
      <c r="O427" s="88" t="str">
        <f>+IFERROR(IF(P427="#N/C","#N/C",IF(Q427=0,INDEX(Taxonomy_UniqueValues!D:D,MATCH(Q427,Taxonomy_UniqueValues!F:F,0)),INDEX(Taxonomy_UniqueValues!D:D,MATCH(P427,Taxonomy_UniqueValues!E:E,0)))),"#N/C")</f>
        <v>Muscomorpha</v>
      </c>
      <c r="P427" s="41" t="s">
        <v>54</v>
      </c>
      <c r="Q427" s="41" t="s">
        <v>55</v>
      </c>
      <c r="R427" s="41" t="s">
        <v>56</v>
      </c>
      <c r="S427" s="41" t="s">
        <v>254</v>
      </c>
      <c r="T427" s="28" t="s">
        <v>26</v>
      </c>
    </row>
    <row r="428" spans="1:20" hidden="1" x14ac:dyDescent="0.3">
      <c r="A428" s="84">
        <v>427</v>
      </c>
      <c r="B428" s="6">
        <v>44428</v>
      </c>
      <c r="C428" s="85" t="s">
        <v>711</v>
      </c>
      <c r="D428" s="85" t="s">
        <v>711</v>
      </c>
      <c r="E428" s="16">
        <v>44428.847928240742</v>
      </c>
      <c r="F428" s="7">
        <v>44428.848182870373</v>
      </c>
      <c r="G428" s="14">
        <f t="shared" si="6"/>
        <v>2.546296309446916E-4</v>
      </c>
      <c r="H428" s="4" t="s">
        <v>23</v>
      </c>
      <c r="I428" s="4" t="s">
        <v>24</v>
      </c>
      <c r="J428" s="87" t="str">
        <f>IF(ISBLANK(C428),"",IF(C428=D428, "1 video",CONCATENATE((+COUNTIFS(Video_List!$C:$C,"&lt;=" &amp;Monitoring!F428)-COUNTIFS(Video_List!$C:$C,"&lt;=" &amp;Monitoring!E428))+1," videos")))</f>
        <v>1 video</v>
      </c>
      <c r="K428" s="25" t="s">
        <v>23</v>
      </c>
      <c r="L428" s="41" t="s">
        <v>28</v>
      </c>
      <c r="M428" s="41" t="s">
        <v>47</v>
      </c>
      <c r="N428" s="41" t="s">
        <v>48</v>
      </c>
      <c r="O428" s="88" t="str">
        <f>+IFERROR(IF(P428="#N/C","#N/C",IF(Q428=0,INDEX(Taxonomy_UniqueValues!D:D,MATCH(Q428,Taxonomy_UniqueValues!F:F,0)),INDEX(Taxonomy_UniqueValues!D:D,MATCH(P428,Taxonomy_UniqueValues!E:E,0)))),"#N/C")</f>
        <v>Heterocera</v>
      </c>
      <c r="P428" s="41" t="s">
        <v>248</v>
      </c>
      <c r="Q428" s="41" t="s">
        <v>26</v>
      </c>
      <c r="R428" s="41" t="s">
        <v>26</v>
      </c>
      <c r="S428" s="41" t="s">
        <v>26</v>
      </c>
      <c r="T428" s="28" t="s">
        <v>26</v>
      </c>
    </row>
    <row r="429" spans="1:20" hidden="1" x14ac:dyDescent="0.3">
      <c r="A429" s="84">
        <v>428</v>
      </c>
      <c r="B429" s="6">
        <v>44428</v>
      </c>
      <c r="C429" s="85" t="s">
        <v>712</v>
      </c>
      <c r="D429" s="85" t="s">
        <v>712</v>
      </c>
      <c r="E429" s="16">
        <v>44428.849166666667</v>
      </c>
      <c r="F429" s="7">
        <v>44428.849270833336</v>
      </c>
      <c r="G429" s="14">
        <f t="shared" si="6"/>
        <v>1.0416666918899864E-4</v>
      </c>
      <c r="H429" s="4" t="s">
        <v>23</v>
      </c>
      <c r="I429" s="4" t="s">
        <v>24</v>
      </c>
      <c r="J429" s="87" t="str">
        <f>IF(ISBLANK(C429),"",IF(C429=D429, "1 video",CONCATENATE((+COUNTIFS(Video_List!$C:$C,"&lt;=" &amp;Monitoring!F429)-COUNTIFS(Video_List!$C:$C,"&lt;=" &amp;Monitoring!E429))+1," videos")))</f>
        <v>1 video</v>
      </c>
      <c r="K429" s="27" t="s">
        <v>35</v>
      </c>
      <c r="L429" s="41" t="s">
        <v>28</v>
      </c>
      <c r="M429" s="41" t="s">
        <v>29</v>
      </c>
      <c r="N429" s="41" t="s">
        <v>30</v>
      </c>
      <c r="O429" s="88" t="str">
        <f>+IFERROR(IF(P429="#N/C","#N/C",IF(Q429=0,INDEX(Taxonomy_UniqueValues!D:D,MATCH(Q429,Taxonomy_UniqueValues!F:F,0)),INDEX(Taxonomy_UniqueValues!D:D,MATCH(P429,Taxonomy_UniqueValues!E:E,0)))),"#N/C")</f>
        <v>Muscomorpha</v>
      </c>
      <c r="P429" s="41" t="s">
        <v>37</v>
      </c>
      <c r="Q429" s="41" t="s">
        <v>469</v>
      </c>
      <c r="R429" s="41" t="s">
        <v>26</v>
      </c>
      <c r="S429" s="41" t="s">
        <v>26</v>
      </c>
      <c r="T429" s="28" t="s">
        <v>26</v>
      </c>
    </row>
    <row r="430" spans="1:20" hidden="1" x14ac:dyDescent="0.3">
      <c r="A430" s="84">
        <v>429</v>
      </c>
      <c r="B430" s="6">
        <v>44428</v>
      </c>
      <c r="C430" s="85" t="s">
        <v>713</v>
      </c>
      <c r="D430" s="85" t="s">
        <v>713</v>
      </c>
      <c r="E430" s="16">
        <v>44428.853356481479</v>
      </c>
      <c r="F430" s="7">
        <v>44428.853761574072</v>
      </c>
      <c r="G430" s="14">
        <f t="shared" si="6"/>
        <v>4.0509259270038456E-4</v>
      </c>
      <c r="H430" s="4" t="s">
        <v>23</v>
      </c>
      <c r="I430" s="4" t="s">
        <v>24</v>
      </c>
      <c r="J430" s="87" t="str">
        <f>IF(ISBLANK(C430),"",IF(C430=D430, "1 video",CONCATENATE((+COUNTIFS(Video_List!$C:$C,"&lt;=" &amp;Monitoring!F430)-COUNTIFS(Video_List!$C:$C,"&lt;=" &amp;Monitoring!E430))+1," videos")))</f>
        <v>1 video</v>
      </c>
      <c r="K430" s="25" t="s">
        <v>23</v>
      </c>
      <c r="L430" s="41" t="s">
        <v>28</v>
      </c>
      <c r="M430" s="41" t="s">
        <v>29</v>
      </c>
      <c r="N430" s="41" t="s">
        <v>30</v>
      </c>
      <c r="O430" s="88" t="str">
        <f>+IFERROR(IF(P430="#N/C","#N/C",IF(Q430=0,INDEX(Taxonomy_UniqueValues!D:D,MATCH(Q430,Taxonomy_UniqueValues!F:F,0)),INDEX(Taxonomy_UniqueValues!D:D,MATCH(P430,Taxonomy_UniqueValues!E:E,0)))),"#N/C")</f>
        <v>#N/C</v>
      </c>
      <c r="P430" s="41" t="s">
        <v>26</v>
      </c>
      <c r="Q430" s="41" t="s">
        <v>26</v>
      </c>
      <c r="R430" s="41" t="s">
        <v>26</v>
      </c>
      <c r="S430" s="41" t="s">
        <v>26</v>
      </c>
      <c r="T430" s="28" t="s">
        <v>26</v>
      </c>
    </row>
    <row r="431" spans="1:20" hidden="1" x14ac:dyDescent="0.3">
      <c r="A431" s="84">
        <v>430</v>
      </c>
      <c r="B431" s="6">
        <v>44428</v>
      </c>
      <c r="C431" s="85" t="s">
        <v>714</v>
      </c>
      <c r="D431" s="85" t="s">
        <v>714</v>
      </c>
      <c r="E431" s="16">
        <v>44428.853946759256</v>
      </c>
      <c r="F431" s="7">
        <v>44428.855821759258</v>
      </c>
      <c r="G431" s="14">
        <f t="shared" si="6"/>
        <v>1.8750000017462298E-3</v>
      </c>
      <c r="H431" s="4" t="s">
        <v>46</v>
      </c>
      <c r="I431" s="4" t="s">
        <v>46</v>
      </c>
      <c r="J431" s="87" t="str">
        <f>IF(ISBLANK(C431),"",IF(C431=D431, "1 video",CONCATENATE((+COUNTIFS(Video_List!$C:$C,"&lt;=" &amp;Monitoring!F431)-COUNTIFS(Video_List!$C:$C,"&lt;=" &amp;Monitoring!E431))+1," videos")))</f>
        <v>1 video</v>
      </c>
      <c r="K431" s="25" t="s">
        <v>23</v>
      </c>
      <c r="L431" s="41" t="s">
        <v>28</v>
      </c>
      <c r="M431" s="41" t="s">
        <v>29</v>
      </c>
      <c r="N431" s="41" t="s">
        <v>30</v>
      </c>
      <c r="O431" s="88" t="str">
        <f>+IFERROR(IF(P431="#N/C","#N/C",IF(Q431=0,INDEX(Taxonomy_UniqueValues!D:D,MATCH(Q431,Taxonomy_UniqueValues!F:F,0)),INDEX(Taxonomy_UniqueValues!D:D,MATCH(P431,Taxonomy_UniqueValues!E:E,0)))),"#N/C")</f>
        <v>#N/C</v>
      </c>
      <c r="P431" s="41" t="s">
        <v>26</v>
      </c>
      <c r="Q431" s="41" t="s">
        <v>26</v>
      </c>
      <c r="R431" s="41" t="s">
        <v>26</v>
      </c>
      <c r="S431" s="41" t="s">
        <v>26</v>
      </c>
      <c r="T431" s="28" t="s">
        <v>26</v>
      </c>
    </row>
    <row r="432" spans="1:20" ht="15" hidden="1" thickBot="1" x14ac:dyDescent="0.35">
      <c r="A432" s="94">
        <v>431</v>
      </c>
      <c r="B432" s="95">
        <v>44428</v>
      </c>
      <c r="C432" s="96" t="s">
        <v>714</v>
      </c>
      <c r="D432" s="96" t="s">
        <v>714</v>
      </c>
      <c r="E432" s="97">
        <v>44428.854328703703</v>
      </c>
      <c r="F432" s="98">
        <v>44428.855821759258</v>
      </c>
      <c r="G432" s="99">
        <f t="shared" si="6"/>
        <v>1.4930555553291924E-3</v>
      </c>
      <c r="H432" s="100" t="s">
        <v>35</v>
      </c>
      <c r="I432" s="100" t="s">
        <v>109</v>
      </c>
      <c r="J432" s="101" t="str">
        <f>IF(ISBLANK(C432),"",IF(C432=D432, "1 video",CONCATENATE((+COUNTIFS(Video_List!$C:$C,"&lt;=" &amp;Monitoring!F432)-COUNTIFS(Video_List!$C:$C,"&lt;=" &amp;Monitoring!E432))+1," videos")))</f>
        <v>1 video</v>
      </c>
      <c r="K432" s="29" t="s">
        <v>35</v>
      </c>
      <c r="L432" s="30" t="s">
        <v>28</v>
      </c>
      <c r="M432" s="30" t="s">
        <v>114</v>
      </c>
      <c r="N432" s="30" t="s">
        <v>278</v>
      </c>
      <c r="O432" s="102" t="str">
        <f>+IFERROR(IF(P432="#N/C","#N/C",IF(Q432=0,INDEX(Taxonomy_UniqueValues!D:D,MATCH(Q432,Taxonomy_UniqueValues!F:F,0)),INDEX(Taxonomy_UniqueValues!D:D,MATCH(P432,Taxonomy_UniqueValues!E:E,0)))),"#N/C")</f>
        <v>Tettigoniidea</v>
      </c>
      <c r="P432" s="30" t="s">
        <v>279</v>
      </c>
      <c r="Q432" s="30" t="s">
        <v>280</v>
      </c>
      <c r="R432" s="30" t="s">
        <v>478</v>
      </c>
      <c r="S432" s="30" t="s">
        <v>479</v>
      </c>
      <c r="T432" s="31" t="s">
        <v>26</v>
      </c>
    </row>
    <row r="433" spans="12:20" x14ac:dyDescent="0.3">
      <c r="L433" s="19"/>
      <c r="M433" s="19"/>
      <c r="N433" s="19"/>
      <c r="O433" s="19"/>
      <c r="P433" s="19"/>
      <c r="Q433" s="19"/>
      <c r="R433" s="19"/>
      <c r="S433" s="19"/>
      <c r="T433" s="19"/>
    </row>
    <row r="434" spans="12:20" x14ac:dyDescent="0.3">
      <c r="L434" s="19"/>
      <c r="M434" s="19"/>
      <c r="N434" s="19"/>
      <c r="O434" s="19"/>
      <c r="P434" s="19"/>
      <c r="Q434" s="19"/>
      <c r="R434" s="19"/>
      <c r="S434" s="19"/>
      <c r="T434" s="19"/>
    </row>
    <row r="435" spans="12:20" x14ac:dyDescent="0.3">
      <c r="L435" s="19"/>
      <c r="M435" s="19"/>
      <c r="N435" s="19"/>
      <c r="O435" s="19"/>
      <c r="P435" s="19"/>
      <c r="Q435" s="19"/>
      <c r="R435" s="19"/>
      <c r="S435" s="19"/>
      <c r="T435" s="19"/>
    </row>
    <row r="436" spans="12:20" x14ac:dyDescent="0.3">
      <c r="L436" s="19"/>
      <c r="M436" s="19"/>
      <c r="N436" s="19"/>
      <c r="O436" s="19"/>
      <c r="P436" s="19"/>
      <c r="Q436" s="19"/>
      <c r="R436" s="19"/>
      <c r="S436" s="19"/>
      <c r="T436" s="19"/>
    </row>
    <row r="437" spans="12:20" x14ac:dyDescent="0.3">
      <c r="L437" s="19"/>
      <c r="M437" s="19"/>
      <c r="N437" s="19"/>
      <c r="O437" s="19"/>
      <c r="P437" s="19"/>
      <c r="Q437" s="19"/>
      <c r="R437" s="19"/>
      <c r="S437" s="19"/>
      <c r="T437" s="19"/>
    </row>
    <row r="438" spans="12:20" x14ac:dyDescent="0.3">
      <c r="L438" s="19"/>
      <c r="M438" s="19"/>
      <c r="N438" s="19"/>
      <c r="O438" s="19"/>
      <c r="P438" s="19"/>
      <c r="Q438" s="19"/>
      <c r="R438" s="19"/>
      <c r="S438" s="19"/>
      <c r="T438" s="19"/>
    </row>
    <row r="439" spans="12:20" x14ac:dyDescent="0.3">
      <c r="L439" s="19"/>
      <c r="M439" s="19"/>
      <c r="N439" s="19"/>
      <c r="O439" s="19"/>
      <c r="P439" s="19"/>
      <c r="Q439" s="19"/>
      <c r="R439" s="19"/>
      <c r="S439" s="19"/>
      <c r="T439" s="19"/>
    </row>
    <row r="440" spans="12:20" x14ac:dyDescent="0.3">
      <c r="L440" s="19"/>
      <c r="M440" s="19"/>
      <c r="N440" s="19"/>
      <c r="O440" s="19"/>
      <c r="P440" s="19"/>
      <c r="Q440" s="19"/>
      <c r="R440" s="19"/>
      <c r="S440" s="19"/>
      <c r="T440" s="19"/>
    </row>
    <row r="441" spans="12:20" x14ac:dyDescent="0.3">
      <c r="L441" s="19"/>
      <c r="M441" s="19"/>
      <c r="N441" s="19"/>
      <c r="O441" s="19"/>
      <c r="P441" s="19"/>
      <c r="Q441" s="19"/>
      <c r="R441" s="19"/>
      <c r="S441" s="19"/>
      <c r="T441" s="19"/>
    </row>
    <row r="442" spans="12:20" x14ac:dyDescent="0.3">
      <c r="L442" s="19"/>
      <c r="M442" s="19"/>
      <c r="N442" s="19"/>
      <c r="O442" s="19"/>
      <c r="P442" s="19"/>
      <c r="Q442" s="19"/>
      <c r="R442" s="19"/>
      <c r="S442" s="19"/>
      <c r="T442" s="19"/>
    </row>
    <row r="443" spans="12:20" x14ac:dyDescent="0.3">
      <c r="L443" s="19"/>
      <c r="M443" s="19"/>
      <c r="N443" s="19"/>
      <c r="O443" s="19"/>
      <c r="P443" s="19"/>
      <c r="Q443" s="19"/>
      <c r="R443" s="19"/>
      <c r="S443" s="19"/>
      <c r="T443" s="19"/>
    </row>
    <row r="444" spans="12:20" x14ac:dyDescent="0.3">
      <c r="L444" s="19"/>
      <c r="M444" s="19"/>
      <c r="N444" s="19"/>
      <c r="O444" s="19"/>
      <c r="P444" s="19"/>
      <c r="Q444" s="106"/>
      <c r="R444" s="19"/>
      <c r="S444" s="19"/>
      <c r="T444" s="19"/>
    </row>
    <row r="445" spans="12:20" x14ac:dyDescent="0.3">
      <c r="L445" s="19"/>
      <c r="M445" s="19"/>
      <c r="N445" s="19"/>
      <c r="O445" s="19"/>
      <c r="P445" s="19"/>
      <c r="Q445" s="19"/>
      <c r="R445" s="19"/>
      <c r="S445" s="19"/>
      <c r="T445" s="19"/>
    </row>
    <row r="446" spans="12:20" x14ac:dyDescent="0.3">
      <c r="L446" s="19"/>
      <c r="M446" s="19"/>
      <c r="N446" s="19"/>
      <c r="O446" s="19"/>
      <c r="P446" s="19"/>
      <c r="Q446" s="19"/>
      <c r="R446" s="19"/>
      <c r="S446" s="19"/>
      <c r="T446" s="19"/>
    </row>
    <row r="447" spans="12:20" x14ac:dyDescent="0.3">
      <c r="L447" s="19"/>
      <c r="M447" s="19"/>
      <c r="N447" s="19"/>
      <c r="O447" s="19"/>
      <c r="P447" s="19"/>
      <c r="Q447" s="19"/>
      <c r="R447" s="19"/>
      <c r="S447" s="19"/>
      <c r="T447" s="19"/>
    </row>
    <row r="448" spans="12:20" x14ac:dyDescent="0.3">
      <c r="L448" s="19"/>
      <c r="M448" s="19"/>
      <c r="N448" s="19"/>
      <c r="O448" s="19"/>
      <c r="P448" s="19"/>
      <c r="Q448" s="19"/>
      <c r="R448" s="19"/>
      <c r="S448" s="19"/>
      <c r="T448" s="19"/>
    </row>
    <row r="449" spans="12:20" x14ac:dyDescent="0.3">
      <c r="L449" s="19"/>
      <c r="M449" s="19"/>
      <c r="N449" s="19"/>
      <c r="O449" s="19"/>
      <c r="P449" s="19"/>
      <c r="Q449" s="19"/>
      <c r="R449" s="19"/>
      <c r="S449" s="19"/>
      <c r="T449" s="19"/>
    </row>
    <row r="450" spans="12:20" x14ac:dyDescent="0.3">
      <c r="L450" s="19"/>
      <c r="M450" s="19"/>
      <c r="N450" s="19"/>
      <c r="O450" s="19"/>
      <c r="P450" s="19"/>
      <c r="Q450" s="19"/>
      <c r="R450" s="19"/>
      <c r="S450" s="19"/>
      <c r="T450" s="19"/>
    </row>
    <row r="451" spans="12:20" x14ac:dyDescent="0.3">
      <c r="L451" s="19"/>
      <c r="M451" s="19"/>
      <c r="N451" s="19"/>
      <c r="O451" s="19"/>
      <c r="P451" s="19"/>
      <c r="Q451" s="19"/>
      <c r="R451" s="19"/>
      <c r="S451" s="19"/>
      <c r="T451" s="19"/>
    </row>
    <row r="452" spans="12:20" x14ac:dyDescent="0.3">
      <c r="L452" s="19"/>
      <c r="M452" s="19"/>
      <c r="N452" s="19"/>
      <c r="O452" s="19"/>
      <c r="P452" s="19"/>
      <c r="Q452" s="19"/>
      <c r="R452" s="19"/>
      <c r="S452" s="19"/>
      <c r="T452" s="19"/>
    </row>
    <row r="453" spans="12:20" x14ac:dyDescent="0.3">
      <c r="L453" s="19"/>
      <c r="M453" s="19"/>
      <c r="N453" s="19"/>
      <c r="O453" s="19"/>
      <c r="P453" s="19"/>
      <c r="Q453" s="19"/>
      <c r="R453" s="19"/>
      <c r="S453" s="19"/>
      <c r="T453" s="19"/>
    </row>
    <row r="454" spans="12:20" x14ac:dyDescent="0.3">
      <c r="L454" s="19"/>
      <c r="M454" s="19"/>
      <c r="N454" s="19"/>
      <c r="O454" s="19"/>
      <c r="P454" s="19"/>
      <c r="Q454" s="19"/>
      <c r="R454" s="19"/>
      <c r="S454" s="19"/>
      <c r="T454" s="19"/>
    </row>
    <row r="455" spans="12:20" x14ac:dyDescent="0.3">
      <c r="L455" s="19"/>
      <c r="M455" s="19"/>
      <c r="N455" s="19"/>
      <c r="O455" s="19"/>
      <c r="P455" s="19"/>
      <c r="Q455" s="19"/>
      <c r="R455" s="19"/>
      <c r="S455" s="19"/>
      <c r="T455" s="19"/>
    </row>
    <row r="456" spans="12:20" x14ac:dyDescent="0.3">
      <c r="L456" s="19"/>
      <c r="M456" s="19"/>
      <c r="N456" s="19"/>
      <c r="O456" s="19"/>
      <c r="P456" s="19"/>
      <c r="Q456" s="19"/>
      <c r="R456" s="19"/>
      <c r="S456" s="19"/>
      <c r="T456" s="19"/>
    </row>
    <row r="457" spans="12:20" x14ac:dyDescent="0.3">
      <c r="L457" s="19"/>
      <c r="M457" s="19"/>
      <c r="N457" s="19"/>
      <c r="O457" s="19"/>
      <c r="P457" s="19"/>
      <c r="Q457" s="19"/>
      <c r="R457" s="19"/>
      <c r="S457" s="19"/>
      <c r="T457" s="19"/>
    </row>
    <row r="458" spans="12:20" x14ac:dyDescent="0.3">
      <c r="L458" s="19"/>
      <c r="M458" s="19"/>
      <c r="N458" s="19"/>
      <c r="O458" s="19"/>
      <c r="P458" s="19"/>
      <c r="Q458" s="19"/>
      <c r="R458" s="19"/>
      <c r="S458" s="19"/>
      <c r="T458" s="19"/>
    </row>
    <row r="459" spans="12:20" x14ac:dyDescent="0.3">
      <c r="L459" s="19"/>
      <c r="M459" s="19"/>
      <c r="N459" s="19"/>
      <c r="O459" s="19"/>
      <c r="P459" s="19"/>
      <c r="Q459" s="19"/>
      <c r="R459" s="19"/>
      <c r="S459" s="19"/>
      <c r="T459" s="19"/>
    </row>
    <row r="460" spans="12:20" x14ac:dyDescent="0.3">
      <c r="L460" s="19"/>
      <c r="M460" s="19"/>
      <c r="N460" s="19"/>
      <c r="O460" s="19"/>
      <c r="P460" s="19"/>
      <c r="Q460" s="19"/>
      <c r="R460" s="19"/>
      <c r="S460" s="19"/>
      <c r="T460" s="19"/>
    </row>
    <row r="461" spans="12:20" x14ac:dyDescent="0.3">
      <c r="L461" s="19"/>
      <c r="M461" s="19"/>
      <c r="N461" s="19"/>
      <c r="O461" s="19"/>
      <c r="P461" s="19"/>
      <c r="Q461" s="19"/>
      <c r="R461" s="19"/>
      <c r="S461" s="19"/>
      <c r="T461" s="19"/>
    </row>
    <row r="462" spans="12:20" x14ac:dyDescent="0.3">
      <c r="L462" s="19"/>
      <c r="M462" s="19"/>
      <c r="N462" s="19"/>
      <c r="O462" s="19"/>
      <c r="P462" s="19"/>
      <c r="Q462" s="19"/>
      <c r="R462" s="19"/>
      <c r="S462" s="19"/>
      <c r="T462" s="19"/>
    </row>
    <row r="463" spans="12:20" x14ac:dyDescent="0.3">
      <c r="L463" s="19"/>
      <c r="M463" s="19"/>
      <c r="N463" s="19"/>
      <c r="O463" s="19"/>
      <c r="P463" s="19"/>
      <c r="Q463" s="19"/>
      <c r="R463" s="19"/>
      <c r="S463" s="19"/>
      <c r="T463" s="19"/>
    </row>
    <row r="464" spans="12:20" x14ac:dyDescent="0.3">
      <c r="L464" s="19"/>
      <c r="M464" s="19"/>
      <c r="N464" s="19"/>
      <c r="O464" s="19"/>
      <c r="P464" s="19"/>
      <c r="Q464" s="19"/>
      <c r="R464" s="19"/>
      <c r="S464" s="19"/>
      <c r="T464" s="19"/>
    </row>
    <row r="465" spans="12:20" x14ac:dyDescent="0.3">
      <c r="L465" s="19"/>
      <c r="M465" s="19"/>
      <c r="N465" s="19"/>
      <c r="O465" s="19"/>
      <c r="P465" s="19"/>
      <c r="Q465" s="19"/>
      <c r="R465" s="19"/>
      <c r="S465" s="19"/>
      <c r="T465" s="19"/>
    </row>
    <row r="466" spans="12:20" x14ac:dyDescent="0.3">
      <c r="L466" s="19"/>
      <c r="M466" s="19"/>
      <c r="N466" s="19"/>
      <c r="O466" s="19"/>
      <c r="P466" s="19"/>
      <c r="Q466" s="19"/>
      <c r="R466" s="19"/>
      <c r="S466" s="19"/>
      <c r="T466" s="19"/>
    </row>
    <row r="467" spans="12:20" x14ac:dyDescent="0.3">
      <c r="L467" s="19"/>
      <c r="M467" s="19"/>
      <c r="N467" s="19"/>
      <c r="O467" s="19"/>
      <c r="P467" s="19"/>
      <c r="Q467" s="19"/>
      <c r="R467" s="19"/>
      <c r="S467" s="19"/>
      <c r="T467" s="19"/>
    </row>
    <row r="468" spans="12:20" x14ac:dyDescent="0.3">
      <c r="L468" s="19"/>
      <c r="M468" s="19"/>
      <c r="N468" s="19"/>
      <c r="O468" s="19"/>
      <c r="P468" s="19"/>
      <c r="Q468" s="19"/>
      <c r="R468" s="19"/>
      <c r="S468" s="19"/>
      <c r="T468" s="19"/>
    </row>
    <row r="469" spans="12:20" x14ac:dyDescent="0.3">
      <c r="L469" s="19"/>
      <c r="M469" s="19"/>
      <c r="N469" s="19"/>
      <c r="O469" s="19"/>
      <c r="P469" s="19"/>
      <c r="Q469" s="19"/>
      <c r="R469" s="19"/>
      <c r="S469" s="19"/>
      <c r="T469" s="19"/>
    </row>
    <row r="470" spans="12:20" x14ac:dyDescent="0.3">
      <c r="L470" s="19"/>
      <c r="M470" s="19"/>
      <c r="N470" s="19"/>
      <c r="O470" s="19"/>
      <c r="P470" s="19"/>
      <c r="Q470" s="19"/>
      <c r="R470" s="19"/>
      <c r="S470" s="19"/>
      <c r="T470" s="19"/>
    </row>
    <row r="471" spans="12:20" x14ac:dyDescent="0.3">
      <c r="L471" s="19"/>
      <c r="M471" s="19"/>
      <c r="N471" s="19"/>
      <c r="O471" s="19"/>
      <c r="P471" s="19"/>
      <c r="Q471" s="19"/>
      <c r="R471" s="19"/>
      <c r="S471" s="19"/>
      <c r="T471" s="19"/>
    </row>
    <row r="472" spans="12:20" x14ac:dyDescent="0.3">
      <c r="L472" s="19"/>
      <c r="M472" s="19"/>
      <c r="N472" s="19"/>
      <c r="O472" s="19"/>
      <c r="P472" s="19"/>
      <c r="Q472" s="19"/>
      <c r="R472" s="19"/>
      <c r="S472" s="19"/>
      <c r="T472" s="19"/>
    </row>
    <row r="473" spans="12:20" x14ac:dyDescent="0.3">
      <c r="L473" s="19"/>
      <c r="M473" s="19"/>
      <c r="N473" s="19"/>
      <c r="O473" s="19"/>
      <c r="P473" s="19"/>
      <c r="Q473" s="19"/>
      <c r="R473" s="19"/>
      <c r="S473" s="19"/>
      <c r="T473" s="19"/>
    </row>
    <row r="474" spans="12:20" x14ac:dyDescent="0.3">
      <c r="L474" s="19"/>
      <c r="M474" s="19"/>
      <c r="N474" s="19"/>
      <c r="O474" s="19"/>
      <c r="P474" s="19"/>
      <c r="Q474" s="19"/>
      <c r="R474" s="19"/>
      <c r="S474" s="19"/>
      <c r="T474" s="19"/>
    </row>
    <row r="475" spans="12:20" x14ac:dyDescent="0.3">
      <c r="L475" s="19"/>
      <c r="M475" s="19"/>
      <c r="N475" s="19"/>
      <c r="O475" s="19"/>
      <c r="P475" s="19"/>
      <c r="Q475" s="19"/>
      <c r="R475" s="19"/>
      <c r="S475" s="19"/>
      <c r="T475" s="19"/>
    </row>
    <row r="476" spans="12:20" x14ac:dyDescent="0.3">
      <c r="L476" s="19"/>
      <c r="M476" s="19"/>
      <c r="N476" s="19"/>
      <c r="O476" s="19"/>
      <c r="P476" s="19"/>
      <c r="Q476" s="19"/>
      <c r="R476" s="19"/>
      <c r="S476" s="19"/>
      <c r="T476" s="19"/>
    </row>
    <row r="477" spans="12:20" x14ac:dyDescent="0.3">
      <c r="L477" s="19"/>
      <c r="M477" s="19"/>
      <c r="N477" s="19"/>
      <c r="O477" s="19"/>
      <c r="P477" s="19"/>
      <c r="Q477" s="19"/>
      <c r="R477" s="19"/>
      <c r="S477" s="19"/>
      <c r="T477" s="19"/>
    </row>
    <row r="478" spans="12:20" x14ac:dyDescent="0.3">
      <c r="L478" s="19"/>
      <c r="M478" s="19"/>
      <c r="N478" s="19"/>
      <c r="O478" s="19"/>
      <c r="P478" s="19"/>
      <c r="Q478" s="19"/>
      <c r="R478" s="19"/>
      <c r="S478" s="19"/>
      <c r="T478" s="19"/>
    </row>
    <row r="479" spans="12:20" x14ac:dyDescent="0.3">
      <c r="L479" s="19"/>
      <c r="M479" s="19"/>
      <c r="N479" s="19"/>
      <c r="O479" s="19"/>
      <c r="P479" s="19"/>
      <c r="Q479" s="19"/>
      <c r="R479" s="19"/>
      <c r="S479" s="19"/>
      <c r="T479" s="19"/>
    </row>
    <row r="480" spans="12:20" x14ac:dyDescent="0.3">
      <c r="L480" s="19"/>
      <c r="M480" s="19"/>
      <c r="N480" s="19"/>
      <c r="O480" s="19"/>
      <c r="P480" s="19"/>
      <c r="Q480" s="19"/>
      <c r="R480" s="19"/>
      <c r="S480" s="19"/>
      <c r="T480" s="19"/>
    </row>
    <row r="481" spans="12:20" x14ac:dyDescent="0.3">
      <c r="L481" s="19"/>
      <c r="M481" s="19"/>
      <c r="N481" s="19"/>
      <c r="O481" s="19"/>
      <c r="P481" s="19"/>
      <c r="Q481" s="19"/>
      <c r="R481" s="19"/>
      <c r="S481" s="19"/>
      <c r="T481" s="19"/>
    </row>
    <row r="482" spans="12:20" x14ac:dyDescent="0.3">
      <c r="L482" s="19"/>
      <c r="M482" s="19"/>
      <c r="N482" s="19"/>
      <c r="O482" s="19"/>
      <c r="P482" s="19"/>
      <c r="Q482" s="19"/>
      <c r="R482" s="19"/>
      <c r="S482" s="19"/>
      <c r="T482" s="19"/>
    </row>
    <row r="483" spans="12:20" x14ac:dyDescent="0.3">
      <c r="L483" s="19"/>
      <c r="M483" s="19"/>
      <c r="N483" s="19"/>
      <c r="O483" s="19"/>
      <c r="P483" s="19"/>
      <c r="Q483" s="19"/>
      <c r="R483" s="19"/>
      <c r="S483" s="19"/>
      <c r="T483" s="19"/>
    </row>
    <row r="484" spans="12:20" x14ac:dyDescent="0.3">
      <c r="L484" s="19"/>
      <c r="M484" s="19"/>
      <c r="N484" s="19"/>
      <c r="O484" s="19"/>
      <c r="P484" s="19"/>
      <c r="Q484" s="19"/>
      <c r="R484" s="19"/>
      <c r="S484" s="19"/>
      <c r="T484" s="19"/>
    </row>
    <row r="485" spans="12:20" x14ac:dyDescent="0.3">
      <c r="L485" s="19"/>
      <c r="M485" s="19"/>
      <c r="N485" s="19"/>
      <c r="O485" s="19"/>
      <c r="P485" s="19"/>
      <c r="Q485" s="19"/>
      <c r="R485" s="19"/>
      <c r="S485" s="19"/>
      <c r="T485" s="19"/>
    </row>
    <row r="486" spans="12:20" x14ac:dyDescent="0.3">
      <c r="L486" s="19"/>
      <c r="M486" s="19"/>
      <c r="N486" s="19"/>
      <c r="O486" s="19"/>
      <c r="P486" s="19"/>
      <c r="Q486" s="19"/>
      <c r="R486" s="19"/>
      <c r="S486" s="19"/>
      <c r="T486" s="19"/>
    </row>
    <row r="487" spans="12:20" x14ac:dyDescent="0.3">
      <c r="L487" s="19"/>
      <c r="M487" s="19"/>
      <c r="N487" s="19"/>
      <c r="O487" s="19"/>
      <c r="P487" s="19"/>
      <c r="Q487" s="19"/>
      <c r="R487" s="19"/>
      <c r="S487" s="19"/>
      <c r="T487" s="19"/>
    </row>
    <row r="488" spans="12:20" x14ac:dyDescent="0.3">
      <c r="L488" s="19"/>
      <c r="M488" s="19"/>
      <c r="N488" s="19"/>
      <c r="O488" s="19"/>
      <c r="P488" s="19"/>
      <c r="Q488" s="19"/>
      <c r="R488" s="19"/>
      <c r="S488" s="19"/>
      <c r="T488" s="19"/>
    </row>
    <row r="489" spans="12:20" x14ac:dyDescent="0.3">
      <c r="L489" s="19"/>
      <c r="M489" s="19"/>
      <c r="N489" s="19"/>
      <c r="O489" s="19"/>
      <c r="P489" s="19"/>
      <c r="Q489" s="19"/>
      <c r="R489" s="19"/>
      <c r="S489" s="19"/>
      <c r="T489" s="19"/>
    </row>
    <row r="490" spans="12:20" x14ac:dyDescent="0.3">
      <c r="L490" s="19"/>
      <c r="M490" s="19"/>
      <c r="N490" s="19"/>
      <c r="O490" s="19"/>
      <c r="P490" s="19"/>
      <c r="Q490" s="19"/>
      <c r="R490" s="19"/>
      <c r="S490" s="19"/>
      <c r="T490" s="19"/>
    </row>
    <row r="491" spans="12:20" x14ac:dyDescent="0.3">
      <c r="L491" s="19"/>
      <c r="M491" s="19"/>
      <c r="N491" s="19"/>
      <c r="O491" s="19"/>
      <c r="P491" s="19"/>
      <c r="Q491" s="19"/>
      <c r="R491" s="19"/>
      <c r="S491" s="19"/>
      <c r="T491" s="19"/>
    </row>
    <row r="492" spans="12:20" x14ac:dyDescent="0.3">
      <c r="L492" s="19"/>
      <c r="M492" s="19"/>
      <c r="N492" s="19"/>
      <c r="O492" s="19"/>
      <c r="P492" s="19"/>
      <c r="Q492" s="19"/>
      <c r="R492" s="19"/>
      <c r="S492" s="19"/>
      <c r="T492" s="19"/>
    </row>
    <row r="493" spans="12:20" x14ac:dyDescent="0.3">
      <c r="L493" s="19"/>
      <c r="M493" s="19"/>
      <c r="N493" s="19"/>
      <c r="O493" s="19"/>
      <c r="P493" s="19"/>
      <c r="Q493" s="19"/>
      <c r="R493" s="19"/>
      <c r="S493" s="19"/>
      <c r="T493" s="19"/>
    </row>
    <row r="494" spans="12:20" x14ac:dyDescent="0.3">
      <c r="L494" s="19"/>
      <c r="M494" s="19"/>
      <c r="N494" s="19"/>
      <c r="O494" s="19"/>
      <c r="P494" s="19"/>
      <c r="Q494" s="19"/>
      <c r="R494" s="19"/>
      <c r="S494" s="19"/>
      <c r="T494" s="19"/>
    </row>
    <row r="495" spans="12:20" x14ac:dyDescent="0.3">
      <c r="L495" s="19"/>
      <c r="M495" s="19"/>
      <c r="N495" s="19"/>
      <c r="O495" s="19"/>
      <c r="P495" s="19"/>
      <c r="Q495" s="19"/>
      <c r="R495" s="19"/>
      <c r="S495" s="19"/>
      <c r="T495" s="19"/>
    </row>
    <row r="496" spans="12:20" x14ac:dyDescent="0.3">
      <c r="L496" s="19"/>
      <c r="M496" s="19"/>
      <c r="N496" s="19"/>
      <c r="O496" s="19"/>
      <c r="P496" s="19"/>
      <c r="Q496" s="19"/>
      <c r="R496" s="19"/>
      <c r="S496" s="19"/>
      <c r="T496" s="19"/>
    </row>
    <row r="497" spans="12:20" x14ac:dyDescent="0.3">
      <c r="L497" s="19"/>
      <c r="M497" s="19"/>
      <c r="N497" s="19"/>
      <c r="O497" s="19"/>
      <c r="P497" s="19"/>
      <c r="Q497" s="19"/>
      <c r="R497" s="19"/>
      <c r="S497" s="19"/>
      <c r="T497" s="19"/>
    </row>
    <row r="498" spans="12:20" x14ac:dyDescent="0.3">
      <c r="L498" s="19"/>
      <c r="M498" s="19"/>
      <c r="N498" s="19"/>
      <c r="O498" s="19"/>
      <c r="P498" s="19"/>
      <c r="Q498" s="19"/>
      <c r="R498" s="19"/>
      <c r="S498" s="19"/>
      <c r="T498" s="19"/>
    </row>
    <row r="499" spans="12:20" x14ac:dyDescent="0.3">
      <c r="L499" s="19"/>
      <c r="M499" s="19"/>
      <c r="N499" s="19"/>
      <c r="O499" s="19"/>
      <c r="P499" s="19"/>
      <c r="Q499" s="19"/>
      <c r="R499" s="19"/>
      <c r="S499" s="19"/>
      <c r="T499" s="19"/>
    </row>
    <row r="500" spans="12:20" x14ac:dyDescent="0.3">
      <c r="L500" s="19"/>
      <c r="M500" s="19"/>
      <c r="N500" s="19"/>
      <c r="O500" s="19"/>
      <c r="P500" s="19"/>
      <c r="Q500" s="19"/>
      <c r="R500" s="19"/>
      <c r="S500" s="19"/>
      <c r="T500" s="19"/>
    </row>
    <row r="501" spans="12:20" x14ac:dyDescent="0.3">
      <c r="L501" s="19"/>
      <c r="M501" s="19"/>
      <c r="N501" s="19"/>
      <c r="O501" s="19"/>
      <c r="P501" s="19"/>
      <c r="Q501" s="19"/>
      <c r="R501" s="19"/>
      <c r="S501" s="19"/>
      <c r="T501" s="19"/>
    </row>
    <row r="502" spans="12:20" x14ac:dyDescent="0.3">
      <c r="L502" s="19"/>
      <c r="M502" s="19"/>
      <c r="N502" s="19"/>
      <c r="O502" s="19"/>
      <c r="P502" s="19"/>
      <c r="Q502" s="19"/>
      <c r="R502" s="19"/>
      <c r="S502" s="19"/>
      <c r="T502" s="19"/>
    </row>
    <row r="503" spans="12:20" x14ac:dyDescent="0.3">
      <c r="L503" s="19"/>
      <c r="M503" s="19"/>
      <c r="N503" s="19"/>
      <c r="O503" s="19"/>
      <c r="P503" s="19"/>
      <c r="Q503" s="19"/>
      <c r="R503" s="19"/>
      <c r="S503" s="19"/>
      <c r="T503" s="19"/>
    </row>
    <row r="504" spans="12:20" x14ac:dyDescent="0.3">
      <c r="L504" s="19"/>
      <c r="M504" s="19"/>
      <c r="N504" s="19"/>
      <c r="O504" s="19"/>
      <c r="P504" s="19"/>
      <c r="Q504" s="19"/>
      <c r="R504" s="19"/>
      <c r="S504" s="19"/>
      <c r="T504" s="19"/>
    </row>
    <row r="505" spans="12:20" x14ac:dyDescent="0.3">
      <c r="L505" s="19"/>
      <c r="M505" s="19"/>
      <c r="N505" s="19"/>
      <c r="O505" s="19"/>
      <c r="P505" s="19"/>
      <c r="Q505" s="19"/>
      <c r="R505" s="19"/>
      <c r="S505" s="19"/>
      <c r="T505" s="19"/>
    </row>
    <row r="506" spans="12:20" x14ac:dyDescent="0.3">
      <c r="L506" s="19"/>
      <c r="M506" s="19"/>
      <c r="N506" s="19"/>
      <c r="O506" s="19"/>
      <c r="P506" s="19"/>
      <c r="Q506" s="19"/>
      <c r="R506" s="19"/>
      <c r="S506" s="19"/>
      <c r="T506" s="19"/>
    </row>
    <row r="507" spans="12:20" x14ac:dyDescent="0.3">
      <c r="L507" s="19"/>
      <c r="M507" s="19"/>
      <c r="N507" s="19"/>
      <c r="O507" s="19"/>
      <c r="P507" s="19"/>
      <c r="Q507" s="19"/>
      <c r="R507" s="19"/>
      <c r="S507" s="19"/>
      <c r="T507" s="19"/>
    </row>
    <row r="508" spans="12:20" x14ac:dyDescent="0.3">
      <c r="L508" s="19"/>
      <c r="M508" s="19"/>
      <c r="N508" s="19"/>
      <c r="O508" s="19"/>
      <c r="P508" s="19"/>
      <c r="Q508" s="19"/>
      <c r="R508" s="19"/>
      <c r="S508" s="19"/>
      <c r="T508" s="19"/>
    </row>
    <row r="509" spans="12:20" x14ac:dyDescent="0.3">
      <c r="L509" s="19"/>
      <c r="M509" s="19"/>
      <c r="N509" s="19"/>
      <c r="O509" s="19"/>
      <c r="P509" s="19"/>
      <c r="Q509" s="19"/>
      <c r="R509" s="19"/>
      <c r="S509" s="19"/>
      <c r="T509" s="19"/>
    </row>
    <row r="510" spans="12:20" x14ac:dyDescent="0.3">
      <c r="L510" s="19"/>
      <c r="M510" s="19"/>
      <c r="N510" s="19"/>
      <c r="O510" s="19"/>
      <c r="P510" s="19"/>
      <c r="Q510" s="19"/>
      <c r="R510" s="19"/>
      <c r="S510" s="19"/>
      <c r="T510" s="19"/>
    </row>
    <row r="511" spans="12:20" x14ac:dyDescent="0.3">
      <c r="L511" s="19"/>
      <c r="M511" s="19"/>
      <c r="N511" s="19"/>
      <c r="O511" s="19"/>
      <c r="P511" s="19"/>
      <c r="Q511" s="19"/>
      <c r="R511" s="19"/>
      <c r="S511" s="19"/>
      <c r="T511" s="19"/>
    </row>
    <row r="512" spans="12:20" x14ac:dyDescent="0.3">
      <c r="L512" s="19"/>
      <c r="M512" s="19"/>
      <c r="N512" s="19"/>
      <c r="O512" s="19"/>
      <c r="P512" s="19"/>
      <c r="Q512" s="19"/>
      <c r="R512" s="19"/>
      <c r="S512" s="19"/>
      <c r="T512" s="19"/>
    </row>
    <row r="513" spans="12:20" x14ac:dyDescent="0.3">
      <c r="L513" s="19"/>
      <c r="M513" s="19"/>
      <c r="N513" s="19"/>
      <c r="O513" s="19"/>
      <c r="P513" s="19"/>
      <c r="Q513" s="19"/>
      <c r="R513" s="19"/>
      <c r="S513" s="19"/>
      <c r="T513" s="19"/>
    </row>
    <row r="514" spans="12:20" x14ac:dyDescent="0.3">
      <c r="L514" s="19"/>
      <c r="M514" s="19"/>
      <c r="N514" s="19"/>
      <c r="O514" s="19"/>
      <c r="P514" s="19"/>
      <c r="Q514" s="19"/>
      <c r="R514" s="19"/>
      <c r="S514" s="19"/>
      <c r="T514" s="19"/>
    </row>
    <row r="515" spans="12:20" x14ac:dyDescent="0.3">
      <c r="L515" s="19"/>
      <c r="M515" s="19"/>
      <c r="N515" s="19"/>
      <c r="O515" s="19"/>
      <c r="P515" s="19"/>
      <c r="Q515" s="19"/>
      <c r="R515" s="19"/>
      <c r="S515" s="19"/>
      <c r="T515" s="19"/>
    </row>
    <row r="516" spans="12:20" x14ac:dyDescent="0.3">
      <c r="L516" s="19"/>
      <c r="M516" s="19"/>
      <c r="N516" s="19"/>
      <c r="O516" s="19"/>
      <c r="P516" s="19"/>
      <c r="Q516" s="19"/>
      <c r="R516" s="19"/>
      <c r="S516" s="19"/>
      <c r="T516" s="19"/>
    </row>
    <row r="517" spans="12:20" x14ac:dyDescent="0.3">
      <c r="L517" s="19"/>
      <c r="M517" s="19"/>
      <c r="N517" s="19"/>
      <c r="O517" s="19"/>
      <c r="P517" s="19"/>
      <c r="Q517" s="19"/>
      <c r="R517" s="19"/>
      <c r="S517" s="19"/>
      <c r="T517" s="19"/>
    </row>
    <row r="518" spans="12:20" x14ac:dyDescent="0.3">
      <c r="L518" s="19"/>
      <c r="M518" s="19"/>
      <c r="N518" s="19"/>
      <c r="O518" s="19"/>
      <c r="P518" s="19"/>
      <c r="Q518" s="19"/>
      <c r="R518" s="19"/>
      <c r="S518" s="19"/>
      <c r="T518" s="19"/>
    </row>
    <row r="519" spans="12:20" x14ac:dyDescent="0.3">
      <c r="L519" s="19"/>
      <c r="M519" s="19"/>
      <c r="N519" s="19"/>
      <c r="O519" s="19"/>
      <c r="P519" s="19"/>
      <c r="Q519" s="19"/>
      <c r="R519" s="19"/>
      <c r="S519" s="19"/>
      <c r="T519" s="19"/>
    </row>
    <row r="520" spans="12:20" x14ac:dyDescent="0.3">
      <c r="L520" s="19"/>
      <c r="M520" s="19"/>
      <c r="N520" s="19"/>
      <c r="O520" s="19"/>
      <c r="P520" s="19"/>
      <c r="Q520" s="19"/>
      <c r="R520" s="19"/>
      <c r="S520" s="19"/>
      <c r="T520" s="19"/>
    </row>
    <row r="521" spans="12:20" x14ac:dyDescent="0.3">
      <c r="L521" s="19"/>
      <c r="M521" s="19"/>
      <c r="N521" s="19"/>
      <c r="O521" s="19"/>
      <c r="P521" s="19"/>
      <c r="Q521" s="19"/>
      <c r="R521" s="19"/>
      <c r="S521" s="19"/>
      <c r="T521" s="19"/>
    </row>
    <row r="522" spans="12:20" x14ac:dyDescent="0.3">
      <c r="L522" s="19"/>
      <c r="M522" s="19"/>
      <c r="N522" s="19"/>
      <c r="O522" s="19"/>
      <c r="P522" s="19"/>
      <c r="Q522" s="19"/>
      <c r="R522" s="19"/>
      <c r="S522" s="19"/>
      <c r="T522" s="19"/>
    </row>
    <row r="523" spans="12:20" x14ac:dyDescent="0.3">
      <c r="L523" s="19"/>
      <c r="M523" s="19"/>
      <c r="N523" s="19"/>
      <c r="O523" s="19"/>
      <c r="P523" s="19"/>
      <c r="Q523" s="19"/>
      <c r="R523" s="19"/>
      <c r="S523" s="19"/>
      <c r="T523" s="19"/>
    </row>
    <row r="524" spans="12:20" x14ac:dyDescent="0.3">
      <c r="L524" s="19"/>
      <c r="M524" s="19"/>
      <c r="N524" s="19"/>
      <c r="O524" s="19"/>
      <c r="P524" s="19"/>
      <c r="Q524" s="19"/>
      <c r="R524" s="19"/>
      <c r="S524" s="19"/>
      <c r="T524" s="19"/>
    </row>
    <row r="525" spans="12:20" x14ac:dyDescent="0.3">
      <c r="L525" s="19"/>
      <c r="M525" s="19"/>
      <c r="N525" s="19"/>
      <c r="O525" s="19"/>
      <c r="P525" s="19"/>
      <c r="Q525" s="19"/>
      <c r="R525" s="19"/>
      <c r="S525" s="19"/>
      <c r="T525" s="19"/>
    </row>
    <row r="526" spans="12:20" x14ac:dyDescent="0.3">
      <c r="L526" s="19"/>
      <c r="M526" s="19"/>
      <c r="N526" s="19"/>
      <c r="O526" s="19"/>
      <c r="P526" s="19"/>
      <c r="Q526" s="19"/>
      <c r="R526" s="19"/>
      <c r="S526" s="19"/>
      <c r="T526" s="19"/>
    </row>
    <row r="527" spans="12:20" x14ac:dyDescent="0.3">
      <c r="L527" s="19"/>
      <c r="M527" s="19"/>
      <c r="N527" s="19"/>
      <c r="O527" s="19"/>
      <c r="P527" s="19"/>
      <c r="Q527" s="19"/>
      <c r="R527" s="19"/>
      <c r="S527" s="19"/>
      <c r="T527" s="19"/>
    </row>
    <row r="528" spans="12:20" x14ac:dyDescent="0.3">
      <c r="L528" s="19"/>
      <c r="M528" s="19"/>
      <c r="N528" s="19"/>
      <c r="O528" s="19"/>
      <c r="P528" s="19"/>
      <c r="Q528" s="19"/>
      <c r="R528" s="19"/>
      <c r="S528" s="19"/>
      <c r="T528" s="19"/>
    </row>
    <row r="529" spans="12:20" x14ac:dyDescent="0.3">
      <c r="L529" s="19"/>
      <c r="M529" s="19"/>
      <c r="N529" s="19"/>
      <c r="O529" s="19"/>
      <c r="P529" s="19"/>
      <c r="Q529" s="19"/>
      <c r="R529" s="19"/>
      <c r="S529" s="19"/>
      <c r="T529" s="19"/>
    </row>
    <row r="530" spans="12:20" x14ac:dyDescent="0.3">
      <c r="L530" s="19"/>
      <c r="M530" s="19"/>
      <c r="N530" s="19"/>
      <c r="O530" s="19"/>
      <c r="P530" s="19"/>
      <c r="Q530" s="19"/>
      <c r="R530" s="19"/>
      <c r="S530" s="19"/>
      <c r="T530" s="19"/>
    </row>
    <row r="531" spans="12:20" x14ac:dyDescent="0.3">
      <c r="L531" s="19"/>
      <c r="M531" s="19"/>
      <c r="N531" s="19"/>
      <c r="O531" s="19"/>
      <c r="P531" s="19"/>
      <c r="Q531" s="19"/>
      <c r="R531" s="19"/>
      <c r="S531" s="19"/>
      <c r="T531" s="19"/>
    </row>
    <row r="532" spans="12:20" x14ac:dyDescent="0.3">
      <c r="L532" s="19"/>
      <c r="M532" s="19"/>
      <c r="N532" s="19"/>
      <c r="O532" s="19"/>
      <c r="P532" s="19"/>
      <c r="Q532" s="19"/>
      <c r="R532" s="19"/>
      <c r="S532" s="19"/>
      <c r="T532" s="19"/>
    </row>
    <row r="533" spans="12:20" x14ac:dyDescent="0.3">
      <c r="L533" s="19"/>
      <c r="M533" s="19"/>
      <c r="N533" s="19"/>
      <c r="O533" s="19"/>
      <c r="P533" s="19"/>
      <c r="Q533" s="19"/>
      <c r="R533" s="19"/>
      <c r="S533" s="19"/>
      <c r="T533" s="19"/>
    </row>
    <row r="534" spans="12:20" x14ac:dyDescent="0.3">
      <c r="L534" s="19"/>
      <c r="M534" s="19"/>
      <c r="N534" s="19"/>
      <c r="O534" s="19"/>
      <c r="P534" s="19"/>
      <c r="Q534" s="19"/>
      <c r="R534" s="19"/>
      <c r="S534" s="19"/>
      <c r="T534" s="19"/>
    </row>
    <row r="535" spans="12:20" x14ac:dyDescent="0.3">
      <c r="L535" s="19"/>
      <c r="M535" s="19"/>
      <c r="N535" s="19"/>
      <c r="O535" s="19"/>
      <c r="P535" s="19"/>
      <c r="Q535" s="19"/>
      <c r="R535" s="19"/>
      <c r="S535" s="19"/>
      <c r="T535" s="19"/>
    </row>
    <row r="536" spans="12:20" x14ac:dyDescent="0.3">
      <c r="L536" s="19"/>
      <c r="M536" s="19"/>
      <c r="N536" s="19"/>
      <c r="O536" s="19"/>
      <c r="P536" s="19"/>
      <c r="Q536" s="19"/>
      <c r="R536" s="19"/>
      <c r="S536" s="19"/>
      <c r="T536" s="19"/>
    </row>
    <row r="537" spans="12:20" x14ac:dyDescent="0.3">
      <c r="L537" s="19"/>
      <c r="M537" s="19"/>
      <c r="N537" s="19"/>
      <c r="O537" s="19"/>
      <c r="P537" s="19"/>
      <c r="Q537" s="19"/>
      <c r="R537" s="19"/>
      <c r="S537" s="19"/>
      <c r="T537" s="19"/>
    </row>
    <row r="538" spans="12:20" x14ac:dyDescent="0.3">
      <c r="L538" s="19"/>
      <c r="M538" s="19"/>
      <c r="N538" s="19"/>
      <c r="O538" s="19"/>
      <c r="P538" s="19"/>
      <c r="Q538" s="19"/>
      <c r="R538" s="19"/>
      <c r="S538" s="19"/>
      <c r="T538" s="19"/>
    </row>
    <row r="539" spans="12:20" x14ac:dyDescent="0.3">
      <c r="L539" s="19"/>
      <c r="M539" s="19"/>
      <c r="N539" s="19"/>
      <c r="O539" s="19"/>
      <c r="P539" s="19"/>
      <c r="Q539" s="19"/>
      <c r="R539" s="19"/>
      <c r="S539" s="19"/>
      <c r="T539" s="19"/>
    </row>
    <row r="540" spans="12:20" x14ac:dyDescent="0.3">
      <c r="L540" s="19"/>
      <c r="M540" s="19"/>
      <c r="N540" s="19"/>
      <c r="O540" s="19"/>
      <c r="P540" s="19"/>
      <c r="Q540" s="19"/>
      <c r="R540" s="19"/>
      <c r="S540" s="19"/>
      <c r="T540" s="19"/>
    </row>
    <row r="541" spans="12:20" x14ac:dyDescent="0.3">
      <c r="L541" s="19"/>
      <c r="M541" s="19"/>
      <c r="N541" s="19"/>
      <c r="O541" s="19"/>
      <c r="P541" s="19"/>
      <c r="Q541" s="19"/>
      <c r="R541" s="19"/>
      <c r="S541" s="19"/>
      <c r="T541" s="19"/>
    </row>
    <row r="542" spans="12:20" x14ac:dyDescent="0.3">
      <c r="L542" s="19"/>
      <c r="M542" s="19"/>
      <c r="N542" s="19"/>
      <c r="O542" s="19"/>
      <c r="P542" s="19"/>
      <c r="Q542" s="19"/>
      <c r="R542" s="19"/>
      <c r="S542" s="19"/>
      <c r="T542" s="19"/>
    </row>
    <row r="543" spans="12:20" x14ac:dyDescent="0.3">
      <c r="L543" s="19"/>
      <c r="M543" s="19"/>
      <c r="N543" s="19"/>
      <c r="O543" s="19"/>
      <c r="P543" s="19"/>
      <c r="Q543" s="19"/>
      <c r="R543" s="19"/>
      <c r="S543" s="19"/>
      <c r="T543" s="19"/>
    </row>
    <row r="544" spans="12:20" x14ac:dyDescent="0.3">
      <c r="L544" s="19"/>
      <c r="M544" s="19"/>
      <c r="N544" s="19"/>
      <c r="O544" s="19"/>
      <c r="P544" s="19"/>
      <c r="Q544" s="19"/>
      <c r="R544" s="19"/>
      <c r="S544" s="19"/>
      <c r="T544" s="19"/>
    </row>
    <row r="545" spans="12:20" x14ac:dyDescent="0.3">
      <c r="L545" s="19"/>
      <c r="M545" s="19"/>
      <c r="N545" s="19"/>
      <c r="O545" s="19"/>
      <c r="P545" s="19"/>
      <c r="Q545" s="19"/>
      <c r="R545" s="19"/>
      <c r="S545" s="19"/>
      <c r="T545" s="19"/>
    </row>
    <row r="546" spans="12:20" x14ac:dyDescent="0.3">
      <c r="L546" s="19"/>
      <c r="M546" s="19"/>
      <c r="N546" s="19"/>
      <c r="O546" s="19"/>
      <c r="P546" s="19"/>
      <c r="Q546" s="19"/>
      <c r="R546" s="19"/>
      <c r="S546" s="19"/>
      <c r="T546" s="19"/>
    </row>
    <row r="547" spans="12:20" x14ac:dyDescent="0.3">
      <c r="L547" s="19"/>
      <c r="M547" s="19"/>
      <c r="N547" s="19"/>
      <c r="O547" s="19"/>
      <c r="P547" s="19"/>
      <c r="Q547" s="19"/>
      <c r="R547" s="19"/>
      <c r="S547" s="19"/>
      <c r="T547" s="19"/>
    </row>
    <row r="548" spans="12:20" x14ac:dyDescent="0.3">
      <c r="L548" s="19"/>
      <c r="M548" s="19"/>
      <c r="N548" s="19"/>
      <c r="O548" s="19"/>
      <c r="P548" s="19"/>
      <c r="Q548" s="19"/>
      <c r="R548" s="19"/>
      <c r="S548" s="19"/>
      <c r="T548" s="19"/>
    </row>
    <row r="549" spans="12:20" x14ac:dyDescent="0.3">
      <c r="L549" s="19"/>
      <c r="M549" s="19"/>
      <c r="N549" s="19"/>
      <c r="O549" s="19"/>
      <c r="P549" s="19"/>
      <c r="Q549" s="19"/>
      <c r="R549" s="19"/>
      <c r="S549" s="19"/>
      <c r="T549" s="19"/>
    </row>
    <row r="550" spans="12:20" x14ac:dyDescent="0.3">
      <c r="L550" s="19"/>
      <c r="M550" s="19"/>
      <c r="N550" s="19"/>
      <c r="O550" s="19"/>
      <c r="P550" s="19"/>
      <c r="Q550" s="19"/>
      <c r="R550" s="19"/>
      <c r="S550" s="19"/>
      <c r="T550" s="19"/>
    </row>
    <row r="551" spans="12:20" x14ac:dyDescent="0.3">
      <c r="L551" s="19"/>
      <c r="M551" s="19"/>
      <c r="N551" s="19"/>
      <c r="O551" s="19"/>
      <c r="P551" s="19"/>
      <c r="Q551" s="19"/>
      <c r="R551" s="19"/>
      <c r="S551" s="19"/>
      <c r="T551" s="19"/>
    </row>
    <row r="552" spans="12:20" x14ac:dyDescent="0.3">
      <c r="L552" s="19"/>
      <c r="M552" s="19"/>
      <c r="N552" s="19"/>
      <c r="O552" s="19"/>
      <c r="P552" s="19"/>
      <c r="Q552" s="19"/>
      <c r="R552" s="19"/>
      <c r="S552" s="19"/>
      <c r="T552" s="19"/>
    </row>
    <row r="553" spans="12:20" x14ac:dyDescent="0.3">
      <c r="L553" s="19"/>
      <c r="M553" s="19"/>
      <c r="N553" s="19"/>
      <c r="O553" s="19"/>
      <c r="P553" s="19"/>
      <c r="Q553" s="19"/>
      <c r="R553" s="19"/>
      <c r="S553" s="19"/>
      <c r="T553" s="19"/>
    </row>
    <row r="554" spans="12:20" x14ac:dyDescent="0.3">
      <c r="L554" s="19"/>
      <c r="M554" s="19"/>
      <c r="N554" s="19"/>
      <c r="O554" s="19"/>
      <c r="P554" s="19"/>
      <c r="Q554" s="19"/>
      <c r="R554" s="19"/>
      <c r="S554" s="19"/>
      <c r="T554" s="19"/>
    </row>
    <row r="555" spans="12:20" x14ac:dyDescent="0.3">
      <c r="L555" s="19"/>
      <c r="M555" s="19"/>
      <c r="N555" s="19"/>
      <c r="O555" s="19"/>
      <c r="P555" s="19"/>
      <c r="Q555" s="19"/>
      <c r="R555" s="19"/>
      <c r="S555" s="19"/>
      <c r="T555" s="19"/>
    </row>
    <row r="556" spans="12:20" x14ac:dyDescent="0.3">
      <c r="L556" s="19"/>
      <c r="M556" s="19"/>
      <c r="N556" s="19"/>
      <c r="O556" s="19"/>
      <c r="P556" s="19"/>
      <c r="Q556" s="19"/>
      <c r="R556" s="19"/>
      <c r="S556" s="19"/>
      <c r="T556" s="19"/>
    </row>
    <row r="557" spans="12:20" x14ac:dyDescent="0.3">
      <c r="L557" s="19"/>
      <c r="M557" s="19"/>
      <c r="N557" s="19"/>
      <c r="O557" s="19"/>
      <c r="P557" s="19"/>
      <c r="Q557" s="19"/>
      <c r="R557" s="19"/>
      <c r="S557" s="19"/>
      <c r="T557" s="19"/>
    </row>
    <row r="558" spans="12:20" x14ac:dyDescent="0.3">
      <c r="L558" s="19"/>
      <c r="M558" s="19"/>
      <c r="N558" s="19"/>
      <c r="O558" s="19"/>
      <c r="P558" s="19"/>
      <c r="Q558" s="19"/>
      <c r="R558" s="19"/>
      <c r="S558" s="19"/>
      <c r="T558" s="19"/>
    </row>
    <row r="559" spans="12:20" x14ac:dyDescent="0.3">
      <c r="L559" s="19"/>
      <c r="M559" s="19"/>
      <c r="N559" s="19"/>
      <c r="O559" s="19"/>
      <c r="P559" s="19"/>
      <c r="Q559" s="19"/>
      <c r="R559" s="19"/>
      <c r="S559" s="19"/>
      <c r="T559" s="19"/>
    </row>
    <row r="560" spans="12:20" x14ac:dyDescent="0.3">
      <c r="L560" s="19"/>
      <c r="M560" s="19"/>
      <c r="N560" s="19"/>
      <c r="O560" s="19"/>
      <c r="P560" s="19"/>
      <c r="Q560" s="19"/>
      <c r="R560" s="19"/>
      <c r="S560" s="19"/>
      <c r="T560" s="19"/>
    </row>
    <row r="561" spans="12:20" x14ac:dyDescent="0.3">
      <c r="L561" s="19"/>
      <c r="M561" s="19"/>
      <c r="N561" s="19"/>
      <c r="O561" s="19"/>
      <c r="P561" s="19"/>
      <c r="Q561" s="19"/>
      <c r="R561" s="19"/>
      <c r="S561" s="19"/>
      <c r="T561" s="19"/>
    </row>
    <row r="562" spans="12:20" x14ac:dyDescent="0.3">
      <c r="L562" s="19"/>
      <c r="M562" s="19"/>
      <c r="N562" s="19"/>
      <c r="O562" s="19"/>
      <c r="P562" s="19"/>
      <c r="Q562" s="19"/>
      <c r="R562" s="19"/>
      <c r="S562" s="19"/>
      <c r="T562" s="19"/>
    </row>
    <row r="563" spans="12:20" x14ac:dyDescent="0.3">
      <c r="L563" s="19"/>
      <c r="M563" s="19"/>
      <c r="N563" s="19"/>
      <c r="O563" s="19"/>
      <c r="P563" s="19"/>
      <c r="Q563" s="19"/>
      <c r="R563" s="19"/>
      <c r="S563" s="19"/>
      <c r="T563" s="19"/>
    </row>
    <row r="564" spans="12:20" x14ac:dyDescent="0.3">
      <c r="L564" s="19"/>
      <c r="M564" s="19"/>
      <c r="N564" s="19"/>
      <c r="O564" s="19"/>
      <c r="P564" s="19"/>
      <c r="Q564" s="19"/>
      <c r="R564" s="19"/>
      <c r="S564" s="19"/>
      <c r="T564" s="19"/>
    </row>
    <row r="565" spans="12:20" x14ac:dyDescent="0.3">
      <c r="L565" s="19"/>
      <c r="M565" s="19"/>
      <c r="N565" s="19"/>
      <c r="O565" s="19"/>
      <c r="P565" s="19"/>
      <c r="Q565" s="19"/>
      <c r="R565" s="19"/>
      <c r="S565" s="19"/>
      <c r="T565" s="19"/>
    </row>
    <row r="566" spans="12:20" x14ac:dyDescent="0.3">
      <c r="L566" s="19"/>
      <c r="M566" s="19"/>
      <c r="N566" s="19"/>
      <c r="O566" s="19"/>
      <c r="P566" s="19"/>
      <c r="Q566" s="19"/>
      <c r="R566" s="19"/>
      <c r="S566" s="19"/>
      <c r="T566" s="19"/>
    </row>
    <row r="567" spans="12:20" x14ac:dyDescent="0.3">
      <c r="L567" s="19"/>
      <c r="M567" s="19"/>
      <c r="N567" s="19"/>
      <c r="O567" s="19"/>
      <c r="P567" s="19"/>
      <c r="Q567" s="19"/>
      <c r="R567" s="19"/>
      <c r="S567" s="19"/>
      <c r="T567" s="19"/>
    </row>
    <row r="568" spans="12:20" x14ac:dyDescent="0.3">
      <c r="L568" s="19"/>
      <c r="M568" s="19"/>
      <c r="N568" s="19"/>
      <c r="O568" s="19"/>
      <c r="P568" s="19"/>
      <c r="Q568" s="19"/>
      <c r="R568" s="19"/>
      <c r="S568" s="19"/>
      <c r="T568" s="19"/>
    </row>
    <row r="569" spans="12:20" x14ac:dyDescent="0.3">
      <c r="L569" s="19"/>
      <c r="M569" s="19"/>
      <c r="N569" s="19"/>
      <c r="O569" s="19"/>
      <c r="P569" s="19"/>
      <c r="Q569" s="19"/>
      <c r="R569" s="19"/>
      <c r="S569" s="19"/>
      <c r="T569" s="19"/>
    </row>
    <row r="570" spans="12:20" x14ac:dyDescent="0.3">
      <c r="L570" s="19"/>
      <c r="M570" s="19"/>
      <c r="N570" s="19"/>
      <c r="O570" s="19"/>
      <c r="P570" s="19"/>
      <c r="Q570" s="19"/>
      <c r="R570" s="19"/>
      <c r="S570" s="19"/>
      <c r="T570" s="19"/>
    </row>
    <row r="571" spans="12:20" x14ac:dyDescent="0.3">
      <c r="L571" s="19"/>
      <c r="M571" s="19"/>
      <c r="N571" s="19"/>
      <c r="O571" s="19"/>
      <c r="P571" s="19"/>
      <c r="Q571" s="19"/>
      <c r="R571" s="19"/>
      <c r="S571" s="19"/>
      <c r="T571" s="19"/>
    </row>
    <row r="572" spans="12:20" x14ac:dyDescent="0.3">
      <c r="L572" s="19"/>
      <c r="M572" s="19"/>
      <c r="N572" s="19"/>
      <c r="O572" s="19"/>
      <c r="P572" s="19"/>
      <c r="Q572" s="19"/>
      <c r="R572" s="19"/>
      <c r="S572" s="19"/>
      <c r="T572" s="19"/>
    </row>
    <row r="573" spans="12:20" x14ac:dyDescent="0.3">
      <c r="L573" s="19"/>
      <c r="M573" s="19"/>
      <c r="N573" s="19"/>
      <c r="O573" s="19"/>
      <c r="P573" s="19"/>
      <c r="Q573" s="19"/>
      <c r="R573" s="19"/>
      <c r="S573" s="19"/>
      <c r="T573" s="19"/>
    </row>
    <row r="574" spans="12:20" x14ac:dyDescent="0.3">
      <c r="L574" s="19"/>
      <c r="M574" s="19"/>
      <c r="N574" s="19"/>
      <c r="O574" s="19"/>
      <c r="P574" s="19"/>
      <c r="Q574" s="19"/>
      <c r="R574" s="19"/>
      <c r="S574" s="19"/>
      <c r="T574" s="19"/>
    </row>
    <row r="575" spans="12:20" x14ac:dyDescent="0.3">
      <c r="L575" s="19"/>
      <c r="M575" s="19"/>
      <c r="N575" s="19"/>
      <c r="O575" s="19"/>
      <c r="P575" s="19"/>
      <c r="Q575" s="19"/>
      <c r="R575" s="19"/>
      <c r="S575" s="19"/>
      <c r="T575" s="19"/>
    </row>
    <row r="576" spans="12:20" x14ac:dyDescent="0.3">
      <c r="L576" s="19"/>
      <c r="M576" s="19"/>
      <c r="N576" s="19"/>
      <c r="O576" s="19"/>
      <c r="P576" s="19"/>
      <c r="Q576" s="19"/>
      <c r="R576" s="19"/>
      <c r="S576" s="19"/>
      <c r="T576" s="19"/>
    </row>
    <row r="577" spans="12:20" x14ac:dyDescent="0.3">
      <c r="L577" s="19"/>
      <c r="M577" s="19"/>
      <c r="N577" s="19"/>
      <c r="O577" s="19"/>
      <c r="P577" s="19"/>
      <c r="Q577" s="19"/>
      <c r="R577" s="19"/>
      <c r="S577" s="19"/>
      <c r="T577" s="19"/>
    </row>
    <row r="578" spans="12:20" x14ac:dyDescent="0.3">
      <c r="L578" s="19"/>
      <c r="M578" s="19"/>
      <c r="N578" s="19"/>
      <c r="O578" s="19"/>
      <c r="P578" s="19"/>
      <c r="Q578" s="19"/>
      <c r="R578" s="19"/>
      <c r="S578" s="19"/>
      <c r="T578" s="19"/>
    </row>
    <row r="579" spans="12:20" x14ac:dyDescent="0.3">
      <c r="L579" s="19"/>
      <c r="M579" s="19"/>
      <c r="N579" s="19"/>
      <c r="O579" s="19"/>
      <c r="P579" s="19"/>
      <c r="Q579" s="19"/>
      <c r="R579" s="19"/>
      <c r="S579" s="19"/>
      <c r="T579" s="19"/>
    </row>
    <row r="580" spans="12:20" x14ac:dyDescent="0.3">
      <c r="L580" s="19"/>
      <c r="M580" s="19"/>
      <c r="N580" s="19"/>
      <c r="O580" s="19"/>
      <c r="P580" s="19"/>
      <c r="Q580" s="19"/>
      <c r="R580" s="19"/>
      <c r="S580" s="19"/>
      <c r="T580" s="19"/>
    </row>
    <row r="581" spans="12:20" x14ac:dyDescent="0.3">
      <c r="L581" s="19"/>
      <c r="M581" s="19"/>
      <c r="N581" s="19"/>
      <c r="O581" s="19"/>
      <c r="P581" s="19"/>
      <c r="Q581" s="19"/>
      <c r="R581" s="19"/>
      <c r="S581" s="19"/>
      <c r="T581" s="19"/>
    </row>
    <row r="582" spans="12:20" x14ac:dyDescent="0.3">
      <c r="L582" s="19"/>
      <c r="M582" s="19"/>
      <c r="N582" s="19"/>
      <c r="O582" s="19"/>
      <c r="P582" s="19"/>
      <c r="Q582" s="19"/>
      <c r="R582" s="19"/>
      <c r="S582" s="19"/>
      <c r="T582" s="19"/>
    </row>
    <row r="583" spans="12:20" x14ac:dyDescent="0.3">
      <c r="L583" s="19"/>
      <c r="M583" s="19"/>
      <c r="N583" s="19"/>
      <c r="O583" s="19"/>
      <c r="P583" s="19"/>
      <c r="Q583" s="19"/>
      <c r="R583" s="19"/>
      <c r="S583" s="19"/>
      <c r="T583" s="19"/>
    </row>
    <row r="584" spans="12:20" x14ac:dyDescent="0.3">
      <c r="L584" s="19"/>
      <c r="M584" s="19"/>
      <c r="N584" s="19"/>
      <c r="O584" s="19"/>
      <c r="P584" s="19"/>
      <c r="Q584" s="19"/>
      <c r="R584" s="19"/>
      <c r="S584" s="19"/>
      <c r="T584" s="19"/>
    </row>
    <row r="585" spans="12:20" x14ac:dyDescent="0.3">
      <c r="L585" s="19"/>
      <c r="M585" s="19"/>
      <c r="N585" s="19"/>
      <c r="O585" s="19"/>
      <c r="P585" s="19"/>
      <c r="Q585" s="19"/>
      <c r="R585" s="19"/>
      <c r="S585" s="19"/>
      <c r="T585" s="19"/>
    </row>
    <row r="586" spans="12:20" x14ac:dyDescent="0.3">
      <c r="L586" s="19"/>
      <c r="M586" s="19"/>
      <c r="N586" s="19"/>
      <c r="O586" s="19"/>
      <c r="P586" s="19"/>
      <c r="Q586" s="19"/>
      <c r="R586" s="19"/>
      <c r="S586" s="19"/>
      <c r="T586" s="19"/>
    </row>
    <row r="587" spans="12:20" x14ac:dyDescent="0.3">
      <c r="L587" s="19"/>
      <c r="M587" s="19"/>
      <c r="N587" s="19"/>
      <c r="O587" s="19"/>
      <c r="P587" s="19"/>
      <c r="Q587" s="19"/>
      <c r="R587" s="19"/>
      <c r="S587" s="19"/>
      <c r="T587" s="19"/>
    </row>
    <row r="588" spans="12:20" x14ac:dyDescent="0.3">
      <c r="L588" s="19"/>
      <c r="M588" s="19"/>
      <c r="N588" s="19"/>
      <c r="O588" s="19"/>
      <c r="P588" s="19"/>
      <c r="Q588" s="19"/>
      <c r="R588" s="19"/>
      <c r="S588" s="19"/>
      <c r="T588" s="19"/>
    </row>
    <row r="589" spans="12:20" x14ac:dyDescent="0.3">
      <c r="L589" s="19"/>
      <c r="M589" s="19"/>
      <c r="N589" s="19"/>
      <c r="O589" s="19"/>
      <c r="P589" s="19"/>
      <c r="Q589" s="19"/>
      <c r="R589" s="19"/>
      <c r="S589" s="19"/>
      <c r="T589" s="19"/>
    </row>
    <row r="590" spans="12:20" x14ac:dyDescent="0.3">
      <c r="L590" s="19"/>
      <c r="M590" s="19"/>
      <c r="N590" s="19"/>
      <c r="O590" s="19"/>
      <c r="P590" s="19"/>
      <c r="Q590" s="19"/>
      <c r="R590" s="19"/>
      <c r="S590" s="19"/>
      <c r="T590" s="19"/>
    </row>
    <row r="591" spans="12:20" x14ac:dyDescent="0.3">
      <c r="L591" s="19"/>
      <c r="M591" s="19"/>
      <c r="N591" s="19"/>
      <c r="O591" s="19"/>
      <c r="P591" s="19"/>
      <c r="Q591" s="19"/>
      <c r="R591" s="19"/>
      <c r="S591" s="19"/>
      <c r="T591" s="19"/>
    </row>
    <row r="592" spans="12:20" x14ac:dyDescent="0.3">
      <c r="L592" s="19"/>
      <c r="M592" s="19"/>
      <c r="N592" s="19"/>
      <c r="O592" s="19"/>
      <c r="P592" s="19"/>
      <c r="Q592" s="19"/>
      <c r="R592" s="19"/>
      <c r="S592" s="19"/>
      <c r="T592" s="19"/>
    </row>
    <row r="593" spans="12:20" x14ac:dyDescent="0.3">
      <c r="L593" s="19"/>
      <c r="M593" s="19"/>
      <c r="N593" s="19"/>
      <c r="O593" s="19"/>
      <c r="P593" s="19"/>
      <c r="Q593" s="19"/>
      <c r="R593" s="19"/>
      <c r="S593" s="19"/>
      <c r="T593" s="19"/>
    </row>
    <row r="594" spans="12:20" x14ac:dyDescent="0.3">
      <c r="L594" s="19"/>
      <c r="M594" s="19"/>
      <c r="N594" s="19"/>
      <c r="O594" s="19"/>
      <c r="P594" s="19"/>
      <c r="Q594" s="19"/>
      <c r="R594" s="19"/>
      <c r="S594" s="19"/>
      <c r="T594" s="19"/>
    </row>
    <row r="595" spans="12:20" x14ac:dyDescent="0.3">
      <c r="L595" s="19"/>
      <c r="M595" s="19"/>
      <c r="N595" s="19"/>
      <c r="O595" s="19"/>
      <c r="P595" s="19"/>
      <c r="Q595" s="19"/>
      <c r="R595" s="19"/>
      <c r="S595" s="19"/>
      <c r="T595" s="19"/>
    </row>
    <row r="596" spans="12:20" x14ac:dyDescent="0.3">
      <c r="L596" s="19"/>
      <c r="M596" s="19"/>
      <c r="N596" s="19"/>
      <c r="O596" s="19"/>
      <c r="P596" s="19"/>
      <c r="Q596" s="19"/>
      <c r="R596" s="19"/>
      <c r="S596" s="19"/>
      <c r="T596" s="19"/>
    </row>
    <row r="597" spans="12:20" x14ac:dyDescent="0.3">
      <c r="L597" s="19"/>
      <c r="M597" s="19"/>
      <c r="N597" s="19"/>
      <c r="O597" s="19"/>
      <c r="P597" s="19"/>
      <c r="Q597" s="19"/>
      <c r="R597" s="19"/>
      <c r="S597" s="19"/>
      <c r="T597" s="19"/>
    </row>
    <row r="598" spans="12:20" x14ac:dyDescent="0.3">
      <c r="L598" s="19"/>
      <c r="M598" s="19"/>
      <c r="N598" s="19"/>
      <c r="O598" s="19"/>
      <c r="P598" s="19"/>
      <c r="Q598" s="19"/>
      <c r="R598" s="19"/>
      <c r="S598" s="19"/>
      <c r="T598" s="19"/>
    </row>
    <row r="599" spans="12:20" x14ac:dyDescent="0.3">
      <c r="L599" s="19"/>
      <c r="M599" s="19"/>
      <c r="N599" s="19"/>
      <c r="O599" s="19"/>
      <c r="P599" s="19"/>
      <c r="Q599" s="19"/>
      <c r="R599" s="19"/>
      <c r="S599" s="19"/>
      <c r="T599" s="19"/>
    </row>
    <row r="600" spans="12:20" x14ac:dyDescent="0.3">
      <c r="L600" s="19"/>
      <c r="M600" s="19"/>
      <c r="N600" s="19"/>
      <c r="O600" s="19"/>
      <c r="P600" s="19"/>
      <c r="Q600" s="19"/>
      <c r="R600" s="19"/>
      <c r="S600" s="19"/>
      <c r="T600" s="19"/>
    </row>
    <row r="601" spans="12:20" x14ac:dyDescent="0.3">
      <c r="L601" s="19"/>
      <c r="M601" s="19"/>
      <c r="N601" s="19"/>
      <c r="O601" s="19"/>
      <c r="P601" s="19"/>
      <c r="Q601" s="19"/>
      <c r="R601" s="19"/>
      <c r="S601" s="19"/>
      <c r="T601" s="19"/>
    </row>
    <row r="602" spans="12:20" x14ac:dyDescent="0.3">
      <c r="L602" s="19"/>
      <c r="M602" s="19"/>
      <c r="N602" s="19"/>
      <c r="O602" s="19"/>
      <c r="P602" s="19"/>
      <c r="Q602" s="19"/>
      <c r="R602" s="19"/>
      <c r="S602" s="19"/>
      <c r="T602" s="19"/>
    </row>
    <row r="603" spans="12:20" x14ac:dyDescent="0.3">
      <c r="L603" s="19"/>
      <c r="M603" s="19"/>
      <c r="N603" s="19"/>
      <c r="O603" s="19"/>
      <c r="P603" s="19"/>
      <c r="Q603" s="19"/>
      <c r="R603" s="19"/>
      <c r="S603" s="19"/>
      <c r="T603" s="19"/>
    </row>
    <row r="604" spans="12:20" x14ac:dyDescent="0.3">
      <c r="L604" s="19"/>
      <c r="M604" s="19"/>
      <c r="N604" s="19"/>
      <c r="O604" s="19"/>
      <c r="P604" s="19"/>
      <c r="Q604" s="19"/>
      <c r="R604" s="19"/>
      <c r="S604" s="19"/>
      <c r="T604" s="19"/>
    </row>
    <row r="605" spans="12:20" x14ac:dyDescent="0.3">
      <c r="L605" s="19"/>
      <c r="M605" s="19"/>
      <c r="N605" s="19"/>
      <c r="O605" s="19"/>
      <c r="P605" s="19"/>
      <c r="Q605" s="19"/>
      <c r="R605" s="19"/>
      <c r="S605" s="19"/>
      <c r="T605" s="19"/>
    </row>
    <row r="606" spans="12:20" x14ac:dyDescent="0.3">
      <c r="L606" s="19"/>
      <c r="M606" s="19"/>
      <c r="N606" s="19"/>
      <c r="O606" s="19"/>
      <c r="P606" s="19"/>
      <c r="Q606" s="19"/>
      <c r="R606" s="19"/>
      <c r="S606" s="19"/>
      <c r="T606" s="19"/>
    </row>
    <row r="607" spans="12:20" x14ac:dyDescent="0.3">
      <c r="L607" s="19"/>
      <c r="M607" s="19"/>
      <c r="N607" s="19"/>
      <c r="O607" s="19"/>
      <c r="P607" s="19"/>
      <c r="Q607" s="19"/>
      <c r="R607" s="19"/>
      <c r="S607" s="19"/>
      <c r="T607" s="19"/>
    </row>
    <row r="608" spans="12:20" x14ac:dyDescent="0.3">
      <c r="L608" s="19"/>
      <c r="M608" s="19"/>
      <c r="N608" s="19"/>
      <c r="O608" s="19"/>
      <c r="P608" s="19"/>
      <c r="Q608" s="19"/>
      <c r="R608" s="19"/>
      <c r="S608" s="19"/>
      <c r="T608" s="19"/>
    </row>
    <row r="609" spans="12:20" x14ac:dyDescent="0.3">
      <c r="L609" s="19"/>
      <c r="M609" s="19"/>
      <c r="N609" s="19"/>
      <c r="O609" s="19"/>
      <c r="P609" s="19"/>
      <c r="Q609" s="19"/>
      <c r="R609" s="19"/>
      <c r="S609" s="19"/>
      <c r="T609" s="19"/>
    </row>
    <row r="610" spans="12:20" x14ac:dyDescent="0.3">
      <c r="L610" s="19"/>
      <c r="M610" s="19"/>
      <c r="N610" s="19"/>
      <c r="O610" s="19"/>
      <c r="P610" s="19"/>
      <c r="Q610" s="19"/>
      <c r="R610" s="19"/>
      <c r="S610" s="19"/>
      <c r="T610" s="19"/>
    </row>
    <row r="611" spans="12:20" x14ac:dyDescent="0.3">
      <c r="L611" s="19"/>
      <c r="M611" s="19"/>
      <c r="N611" s="19"/>
      <c r="O611" s="19"/>
      <c r="P611" s="19"/>
      <c r="Q611" s="19"/>
      <c r="R611" s="19"/>
      <c r="S611" s="19"/>
      <c r="T611" s="19"/>
    </row>
    <row r="612" spans="12:20" x14ac:dyDescent="0.3">
      <c r="L612" s="19"/>
      <c r="M612" s="19"/>
      <c r="N612" s="19"/>
      <c r="O612" s="19"/>
      <c r="P612" s="19"/>
      <c r="Q612" s="19"/>
      <c r="R612" s="19"/>
      <c r="S612" s="19"/>
      <c r="T612" s="19"/>
    </row>
    <row r="613" spans="12:20" x14ac:dyDescent="0.3">
      <c r="L613" s="19"/>
      <c r="M613" s="19"/>
      <c r="N613" s="19"/>
      <c r="O613" s="19"/>
      <c r="P613" s="19"/>
      <c r="Q613" s="19"/>
      <c r="R613" s="19"/>
      <c r="S613" s="19"/>
      <c r="T613" s="19"/>
    </row>
    <row r="614" spans="12:20" x14ac:dyDescent="0.3">
      <c r="L614" s="19"/>
      <c r="M614" s="19"/>
      <c r="N614" s="19"/>
      <c r="O614" s="19"/>
      <c r="P614" s="19"/>
      <c r="Q614" s="19"/>
      <c r="R614" s="19"/>
      <c r="S614" s="19"/>
      <c r="T614" s="19"/>
    </row>
    <row r="615" spans="12:20" x14ac:dyDescent="0.3">
      <c r="L615" s="19"/>
      <c r="M615" s="19"/>
      <c r="N615" s="19"/>
      <c r="O615" s="19"/>
      <c r="P615" s="19"/>
      <c r="Q615" s="19"/>
      <c r="R615" s="19"/>
      <c r="S615" s="19"/>
      <c r="T615" s="19"/>
    </row>
    <row r="616" spans="12:20" x14ac:dyDescent="0.3">
      <c r="L616" s="19"/>
      <c r="M616" s="19"/>
      <c r="N616" s="19"/>
      <c r="O616" s="19"/>
      <c r="P616" s="19"/>
      <c r="Q616" s="19"/>
      <c r="R616" s="19"/>
      <c r="S616" s="19"/>
      <c r="T616" s="19"/>
    </row>
    <row r="617" spans="12:20" x14ac:dyDescent="0.3">
      <c r="L617" s="19"/>
      <c r="M617" s="19"/>
      <c r="N617" s="19"/>
      <c r="O617" s="19"/>
      <c r="P617" s="19"/>
      <c r="Q617" s="19"/>
      <c r="R617" s="19"/>
      <c r="S617" s="19"/>
      <c r="T617" s="19"/>
    </row>
    <row r="618" spans="12:20" x14ac:dyDescent="0.3">
      <c r="L618" s="19"/>
      <c r="M618" s="19"/>
      <c r="N618" s="19"/>
      <c r="O618" s="19"/>
      <c r="P618" s="19"/>
      <c r="Q618" s="19"/>
      <c r="R618" s="19"/>
      <c r="S618" s="19"/>
      <c r="T618" s="19"/>
    </row>
    <row r="619" spans="12:20" x14ac:dyDescent="0.3">
      <c r="L619" s="19"/>
      <c r="M619" s="19"/>
      <c r="N619" s="19"/>
      <c r="O619" s="19"/>
      <c r="P619" s="19"/>
      <c r="Q619" s="19"/>
      <c r="R619" s="19"/>
      <c r="S619" s="19"/>
      <c r="T619" s="19"/>
    </row>
    <row r="620" spans="12:20" x14ac:dyDescent="0.3">
      <c r="L620" s="19"/>
      <c r="M620" s="19"/>
      <c r="N620" s="19"/>
      <c r="O620" s="19"/>
      <c r="P620" s="19"/>
      <c r="Q620" s="19"/>
      <c r="R620" s="19"/>
      <c r="S620" s="19"/>
      <c r="T620" s="19"/>
    </row>
    <row r="621" spans="12:20" x14ac:dyDescent="0.3">
      <c r="L621" s="19"/>
      <c r="M621" s="19"/>
      <c r="N621" s="19"/>
      <c r="O621" s="19"/>
      <c r="P621" s="19"/>
      <c r="Q621" s="19"/>
      <c r="R621" s="19"/>
      <c r="S621" s="19"/>
      <c r="T621" s="19"/>
    </row>
    <row r="622" spans="12:20" x14ac:dyDescent="0.3">
      <c r="L622" s="19"/>
      <c r="M622" s="19"/>
      <c r="N622" s="19"/>
      <c r="O622" s="19"/>
      <c r="P622" s="19"/>
      <c r="Q622" s="19"/>
      <c r="R622" s="19"/>
      <c r="S622" s="19"/>
      <c r="T622" s="19"/>
    </row>
    <row r="623" spans="12:20" x14ac:dyDescent="0.3">
      <c r="L623" s="19"/>
      <c r="M623" s="19"/>
      <c r="N623" s="19"/>
      <c r="O623" s="19"/>
      <c r="P623" s="19"/>
      <c r="Q623" s="19"/>
      <c r="R623" s="19"/>
      <c r="S623" s="19"/>
      <c r="T623" s="19"/>
    </row>
    <row r="624" spans="12:20" x14ac:dyDescent="0.3">
      <c r="L624" s="19"/>
      <c r="M624" s="19"/>
      <c r="N624" s="19"/>
      <c r="O624" s="19"/>
      <c r="P624" s="19"/>
      <c r="Q624" s="19"/>
      <c r="R624" s="19"/>
      <c r="S624" s="19"/>
      <c r="T624" s="19"/>
    </row>
    <row r="625" spans="12:20" x14ac:dyDescent="0.3">
      <c r="L625" s="19"/>
      <c r="M625" s="19"/>
      <c r="N625" s="19"/>
      <c r="O625" s="19"/>
      <c r="P625" s="19"/>
      <c r="Q625" s="19"/>
      <c r="R625" s="19"/>
      <c r="S625" s="19"/>
      <c r="T625" s="19"/>
    </row>
    <row r="626" spans="12:20" x14ac:dyDescent="0.3">
      <c r="L626" s="19"/>
      <c r="M626" s="19"/>
      <c r="N626" s="19"/>
      <c r="O626" s="19"/>
      <c r="P626" s="19"/>
      <c r="Q626" s="19"/>
      <c r="R626" s="19"/>
      <c r="S626" s="19"/>
      <c r="T626" s="19"/>
    </row>
    <row r="627" spans="12:20" x14ac:dyDescent="0.3">
      <c r="L627" s="19"/>
      <c r="M627" s="19"/>
      <c r="N627" s="19"/>
      <c r="O627" s="19"/>
      <c r="P627" s="19"/>
      <c r="Q627" s="19"/>
      <c r="R627" s="19"/>
      <c r="S627" s="19"/>
      <c r="T627" s="19"/>
    </row>
    <row r="628" spans="12:20" x14ac:dyDescent="0.3">
      <c r="L628" s="19"/>
      <c r="M628" s="19"/>
      <c r="N628" s="19"/>
      <c r="O628" s="19"/>
      <c r="P628" s="19"/>
      <c r="Q628" s="19"/>
      <c r="R628" s="19"/>
      <c r="S628" s="19"/>
      <c r="T628" s="19"/>
    </row>
    <row r="629" spans="12:20" x14ac:dyDescent="0.3">
      <c r="L629" s="19"/>
      <c r="M629" s="19"/>
      <c r="N629" s="19"/>
      <c r="O629" s="19"/>
      <c r="P629" s="19"/>
      <c r="Q629" s="19"/>
      <c r="R629" s="19"/>
      <c r="S629" s="19"/>
      <c r="T629" s="19"/>
    </row>
    <row r="630" spans="12:20" x14ac:dyDescent="0.3">
      <c r="L630" s="19"/>
      <c r="M630" s="19"/>
      <c r="N630" s="19"/>
      <c r="O630" s="19"/>
      <c r="P630" s="19"/>
      <c r="Q630" s="19"/>
      <c r="R630" s="19"/>
      <c r="S630" s="19"/>
      <c r="T630" s="19"/>
    </row>
    <row r="631" spans="12:20" x14ac:dyDescent="0.3">
      <c r="L631" s="19"/>
      <c r="M631" s="19"/>
      <c r="N631" s="19"/>
      <c r="O631" s="19"/>
      <c r="P631" s="19"/>
      <c r="Q631" s="19"/>
      <c r="R631" s="19"/>
      <c r="S631" s="19"/>
      <c r="T631" s="19"/>
    </row>
    <row r="632" spans="12:20" x14ac:dyDescent="0.3">
      <c r="L632" s="19"/>
      <c r="M632" s="19"/>
      <c r="N632" s="19"/>
      <c r="O632" s="19"/>
      <c r="P632" s="19"/>
      <c r="Q632" s="19"/>
      <c r="R632" s="19"/>
      <c r="S632" s="19"/>
      <c r="T632" s="19"/>
    </row>
    <row r="633" spans="12:20" x14ac:dyDescent="0.3">
      <c r="L633" s="19"/>
      <c r="M633" s="19"/>
      <c r="N633" s="19"/>
      <c r="O633" s="19"/>
      <c r="P633" s="19"/>
      <c r="Q633" s="19"/>
      <c r="R633" s="19"/>
      <c r="S633" s="19"/>
      <c r="T633" s="19"/>
    </row>
    <row r="634" spans="12:20" x14ac:dyDescent="0.3">
      <c r="L634" s="19"/>
      <c r="M634" s="19"/>
      <c r="N634" s="19"/>
      <c r="O634" s="19"/>
      <c r="P634" s="19"/>
      <c r="Q634" s="19"/>
      <c r="R634" s="19"/>
      <c r="S634" s="19"/>
      <c r="T634" s="19"/>
    </row>
    <row r="635" spans="12:20" x14ac:dyDescent="0.3">
      <c r="L635" s="19"/>
      <c r="M635" s="19"/>
      <c r="N635" s="19"/>
      <c r="O635" s="19"/>
      <c r="P635" s="19"/>
      <c r="Q635" s="19"/>
      <c r="R635" s="19"/>
      <c r="S635" s="19"/>
      <c r="T635" s="19"/>
    </row>
    <row r="636" spans="12:20" x14ac:dyDescent="0.3">
      <c r="L636" s="19"/>
      <c r="M636" s="19"/>
      <c r="N636" s="19"/>
      <c r="O636" s="19"/>
      <c r="P636" s="19"/>
      <c r="Q636" s="19"/>
      <c r="R636" s="19"/>
      <c r="S636" s="19"/>
      <c r="T636" s="19"/>
    </row>
    <row r="637" spans="12:20" x14ac:dyDescent="0.3">
      <c r="L637" s="19"/>
      <c r="M637" s="19"/>
      <c r="N637" s="19"/>
      <c r="O637" s="19"/>
      <c r="P637" s="19"/>
      <c r="Q637" s="19"/>
      <c r="R637" s="19"/>
      <c r="S637" s="19"/>
      <c r="T637" s="19"/>
    </row>
    <row r="638" spans="12:20" x14ac:dyDescent="0.3">
      <c r="L638" s="19"/>
      <c r="M638" s="19"/>
      <c r="N638" s="19"/>
      <c r="O638" s="19"/>
      <c r="P638" s="19"/>
      <c r="Q638" s="19"/>
      <c r="R638" s="19"/>
      <c r="S638" s="19"/>
      <c r="T638" s="19"/>
    </row>
    <row r="639" spans="12:20" x14ac:dyDescent="0.3">
      <c r="L639" s="19"/>
      <c r="M639" s="19"/>
      <c r="N639" s="19"/>
      <c r="O639" s="19"/>
      <c r="P639" s="19"/>
      <c r="Q639" s="19"/>
      <c r="R639" s="19"/>
      <c r="S639" s="19"/>
      <c r="T639" s="19"/>
    </row>
    <row r="640" spans="12:20" x14ac:dyDescent="0.3">
      <c r="L640" s="19"/>
      <c r="M640" s="19"/>
      <c r="N640" s="19"/>
      <c r="O640" s="19"/>
      <c r="P640" s="19"/>
      <c r="Q640" s="19"/>
      <c r="R640" s="19"/>
      <c r="S640" s="19"/>
      <c r="T640" s="19"/>
    </row>
    <row r="641" spans="12:20" x14ac:dyDescent="0.3">
      <c r="L641" s="19"/>
      <c r="M641" s="19"/>
      <c r="N641" s="19"/>
      <c r="O641" s="19"/>
      <c r="P641" s="19"/>
      <c r="Q641" s="19"/>
      <c r="R641" s="19"/>
      <c r="S641" s="19"/>
      <c r="T641" s="19"/>
    </row>
    <row r="642" spans="12:20" x14ac:dyDescent="0.3">
      <c r="L642" s="19"/>
      <c r="M642" s="19"/>
      <c r="N642" s="19"/>
      <c r="O642" s="19"/>
      <c r="P642" s="19"/>
      <c r="Q642" s="19"/>
      <c r="R642" s="19"/>
      <c r="S642" s="19"/>
      <c r="T642" s="19"/>
    </row>
    <row r="643" spans="12:20" x14ac:dyDescent="0.3">
      <c r="L643" s="19"/>
      <c r="M643" s="19"/>
      <c r="N643" s="19"/>
      <c r="O643" s="19"/>
      <c r="P643" s="19"/>
      <c r="Q643" s="19"/>
      <c r="R643" s="19"/>
      <c r="S643" s="19"/>
      <c r="T643" s="19"/>
    </row>
    <row r="644" spans="12:20" x14ac:dyDescent="0.3">
      <c r="L644" s="19"/>
      <c r="M644" s="19"/>
      <c r="N644" s="19"/>
      <c r="O644" s="19"/>
      <c r="P644" s="19"/>
      <c r="Q644" s="19"/>
      <c r="R644" s="19"/>
      <c r="S644" s="19"/>
      <c r="T644" s="19"/>
    </row>
    <row r="645" spans="12:20" x14ac:dyDescent="0.3">
      <c r="L645" s="19"/>
      <c r="M645" s="19"/>
      <c r="N645" s="19"/>
      <c r="O645" s="19"/>
      <c r="P645" s="19"/>
      <c r="Q645" s="19"/>
      <c r="R645" s="19"/>
      <c r="S645" s="19"/>
      <c r="T645" s="19"/>
    </row>
    <row r="646" spans="12:20" x14ac:dyDescent="0.3">
      <c r="L646" s="19"/>
      <c r="M646" s="19"/>
      <c r="N646" s="19"/>
      <c r="O646" s="19"/>
      <c r="P646" s="19"/>
      <c r="Q646" s="19"/>
      <c r="R646" s="19"/>
      <c r="S646" s="19"/>
      <c r="T646" s="19"/>
    </row>
    <row r="647" spans="12:20" x14ac:dyDescent="0.3">
      <c r="L647" s="19"/>
      <c r="M647" s="19"/>
      <c r="N647" s="19"/>
      <c r="O647" s="19"/>
      <c r="P647" s="19"/>
      <c r="Q647" s="19"/>
      <c r="R647" s="19"/>
      <c r="S647" s="19"/>
      <c r="T647" s="19"/>
    </row>
    <row r="648" spans="12:20" x14ac:dyDescent="0.3">
      <c r="L648" s="19"/>
      <c r="M648" s="19"/>
      <c r="N648" s="19"/>
      <c r="O648" s="19"/>
      <c r="P648" s="19"/>
      <c r="Q648" s="19"/>
      <c r="R648" s="19"/>
      <c r="S648" s="19"/>
      <c r="T648" s="19"/>
    </row>
    <row r="649" spans="12:20" x14ac:dyDescent="0.3">
      <c r="L649" s="19"/>
      <c r="M649" s="19"/>
      <c r="N649" s="19"/>
      <c r="O649" s="19"/>
      <c r="P649" s="19"/>
      <c r="Q649" s="19"/>
      <c r="R649" s="19"/>
      <c r="S649" s="19"/>
      <c r="T649" s="19"/>
    </row>
    <row r="650" spans="12:20" x14ac:dyDescent="0.3">
      <c r="L650" s="19"/>
      <c r="M650" s="19"/>
      <c r="N650" s="19"/>
      <c r="O650" s="19"/>
      <c r="P650" s="19"/>
      <c r="Q650" s="19"/>
      <c r="R650" s="19"/>
      <c r="S650" s="19"/>
      <c r="T650" s="19"/>
    </row>
    <row r="651" spans="12:20" x14ac:dyDescent="0.3">
      <c r="L651" s="19"/>
      <c r="M651" s="19"/>
      <c r="N651" s="19"/>
      <c r="O651" s="19"/>
      <c r="P651" s="19"/>
      <c r="Q651" s="19"/>
      <c r="R651" s="19"/>
      <c r="S651" s="19"/>
      <c r="T651" s="19"/>
    </row>
    <row r="652" spans="12:20" x14ac:dyDescent="0.3">
      <c r="L652" s="19"/>
      <c r="M652" s="19"/>
      <c r="N652" s="19"/>
      <c r="O652" s="19"/>
      <c r="P652" s="19"/>
      <c r="Q652" s="19"/>
      <c r="R652" s="19"/>
      <c r="S652" s="19"/>
      <c r="T652" s="19"/>
    </row>
    <row r="653" spans="12:20" x14ac:dyDescent="0.3">
      <c r="L653" s="19"/>
      <c r="M653" s="19"/>
      <c r="N653" s="19"/>
      <c r="O653" s="19"/>
      <c r="P653" s="19"/>
      <c r="Q653" s="19"/>
      <c r="R653" s="19"/>
      <c r="S653" s="19"/>
      <c r="T653" s="19"/>
    </row>
    <row r="654" spans="12:20" x14ac:dyDescent="0.3">
      <c r="L654" s="19"/>
      <c r="M654" s="19"/>
      <c r="N654" s="19"/>
      <c r="O654" s="19"/>
      <c r="P654" s="19"/>
      <c r="Q654" s="19"/>
      <c r="R654" s="19"/>
      <c r="S654" s="19"/>
      <c r="T654" s="19"/>
    </row>
    <row r="655" spans="12:20" x14ac:dyDescent="0.3">
      <c r="L655" s="19"/>
      <c r="M655" s="19"/>
      <c r="N655" s="19"/>
      <c r="O655" s="19"/>
      <c r="P655" s="19"/>
      <c r="Q655" s="19"/>
      <c r="R655" s="19"/>
      <c r="S655" s="19"/>
      <c r="T655" s="19"/>
    </row>
    <row r="656" spans="12:20" x14ac:dyDescent="0.3">
      <c r="L656" s="19"/>
      <c r="M656" s="19"/>
      <c r="N656" s="19"/>
      <c r="O656" s="19"/>
      <c r="P656" s="19"/>
      <c r="Q656" s="19"/>
      <c r="R656" s="19"/>
      <c r="S656" s="19"/>
      <c r="T656" s="19"/>
    </row>
    <row r="657" spans="12:20" x14ac:dyDescent="0.3">
      <c r="L657" s="19"/>
      <c r="M657" s="19"/>
      <c r="N657" s="19"/>
      <c r="O657" s="19"/>
      <c r="P657" s="19"/>
      <c r="Q657" s="19"/>
      <c r="R657" s="19"/>
      <c r="S657" s="19"/>
      <c r="T657" s="19"/>
    </row>
    <row r="658" spans="12:20" x14ac:dyDescent="0.3">
      <c r="L658" s="19"/>
      <c r="M658" s="19"/>
      <c r="N658" s="19"/>
      <c r="O658" s="19"/>
      <c r="P658" s="19"/>
      <c r="Q658" s="19"/>
      <c r="R658" s="19"/>
      <c r="S658" s="19"/>
      <c r="T658" s="19"/>
    </row>
    <row r="659" spans="12:20" x14ac:dyDescent="0.3">
      <c r="L659" s="19"/>
      <c r="M659" s="19"/>
      <c r="N659" s="19"/>
      <c r="O659" s="19"/>
      <c r="P659" s="19"/>
      <c r="Q659" s="19"/>
      <c r="R659" s="19"/>
      <c r="S659" s="19"/>
      <c r="T659" s="19"/>
    </row>
    <row r="660" spans="12:20" x14ac:dyDescent="0.3">
      <c r="L660" s="19"/>
      <c r="M660" s="19"/>
      <c r="N660" s="19"/>
      <c r="O660" s="19"/>
      <c r="P660" s="19"/>
      <c r="Q660" s="19"/>
      <c r="R660" s="19"/>
      <c r="S660" s="19"/>
      <c r="T660" s="19"/>
    </row>
    <row r="661" spans="12:20" x14ac:dyDescent="0.3">
      <c r="L661" s="19"/>
      <c r="M661" s="19"/>
      <c r="N661" s="19"/>
      <c r="O661" s="19"/>
      <c r="P661" s="19"/>
      <c r="Q661" s="19"/>
      <c r="R661" s="19"/>
      <c r="S661" s="19"/>
      <c r="T661" s="19"/>
    </row>
    <row r="662" spans="12:20" x14ac:dyDescent="0.3">
      <c r="L662" s="19"/>
      <c r="M662" s="19"/>
      <c r="N662" s="19"/>
      <c r="O662" s="19"/>
      <c r="P662" s="19"/>
      <c r="Q662" s="19"/>
      <c r="R662" s="19"/>
      <c r="S662" s="19"/>
      <c r="T662" s="19"/>
    </row>
    <row r="663" spans="12:20" x14ac:dyDescent="0.3">
      <c r="L663" s="19"/>
      <c r="M663" s="19"/>
      <c r="N663" s="19"/>
      <c r="O663" s="19"/>
      <c r="P663" s="19"/>
      <c r="Q663" s="19"/>
      <c r="R663" s="19"/>
      <c r="S663" s="19"/>
      <c r="T663" s="19"/>
    </row>
    <row r="664" spans="12:20" x14ac:dyDescent="0.3">
      <c r="L664" s="19"/>
      <c r="M664" s="19"/>
      <c r="N664" s="19"/>
      <c r="O664" s="19"/>
      <c r="P664" s="19"/>
      <c r="Q664" s="19"/>
      <c r="R664" s="19"/>
      <c r="S664" s="19"/>
      <c r="T664" s="19"/>
    </row>
    <row r="665" spans="12:20" x14ac:dyDescent="0.3">
      <c r="L665" s="19"/>
      <c r="M665" s="19"/>
      <c r="N665" s="19"/>
      <c r="O665" s="19"/>
      <c r="P665" s="19"/>
      <c r="Q665" s="19"/>
      <c r="R665" s="19"/>
      <c r="S665" s="19"/>
      <c r="T665" s="19"/>
    </row>
    <row r="666" spans="12:20" x14ac:dyDescent="0.3">
      <c r="L666" s="19"/>
      <c r="M666" s="19"/>
      <c r="N666" s="19"/>
      <c r="O666" s="19"/>
      <c r="P666" s="19"/>
      <c r="Q666" s="19"/>
      <c r="R666" s="19"/>
      <c r="S666" s="19"/>
      <c r="T666" s="19"/>
    </row>
    <row r="667" spans="12:20" x14ac:dyDescent="0.3">
      <c r="L667" s="19"/>
      <c r="M667" s="19"/>
      <c r="N667" s="19"/>
      <c r="O667" s="19"/>
      <c r="P667" s="19"/>
      <c r="Q667" s="19"/>
      <c r="R667" s="19"/>
      <c r="S667" s="19"/>
      <c r="T667" s="19"/>
    </row>
    <row r="668" spans="12:20" x14ac:dyDescent="0.3">
      <c r="L668" s="19"/>
      <c r="M668" s="19"/>
      <c r="N668" s="19"/>
      <c r="O668" s="19"/>
      <c r="P668" s="19"/>
      <c r="Q668" s="19"/>
      <c r="R668" s="19"/>
      <c r="S668" s="19"/>
      <c r="T668" s="19"/>
    </row>
    <row r="669" spans="12:20" x14ac:dyDescent="0.3">
      <c r="L669" s="19"/>
      <c r="M669" s="19"/>
      <c r="N669" s="19"/>
      <c r="O669" s="19"/>
      <c r="P669" s="19"/>
      <c r="Q669" s="19"/>
      <c r="R669" s="19"/>
      <c r="S669" s="19"/>
      <c r="T669" s="19"/>
    </row>
    <row r="670" spans="12:20" x14ac:dyDescent="0.3">
      <c r="L670" s="19"/>
      <c r="M670" s="19"/>
      <c r="N670" s="19"/>
      <c r="O670" s="19"/>
      <c r="P670" s="19"/>
      <c r="Q670" s="19"/>
      <c r="R670" s="19"/>
      <c r="S670" s="19"/>
      <c r="T670" s="19"/>
    </row>
    <row r="671" spans="12:20" x14ac:dyDescent="0.3">
      <c r="L671" s="19"/>
      <c r="M671" s="19"/>
      <c r="N671" s="19"/>
      <c r="O671" s="19"/>
      <c r="P671" s="19"/>
      <c r="Q671" s="19"/>
      <c r="R671" s="19"/>
      <c r="S671" s="19"/>
      <c r="T671" s="19"/>
    </row>
    <row r="672" spans="12:20" x14ac:dyDescent="0.3">
      <c r="L672" s="19"/>
      <c r="M672" s="19"/>
      <c r="N672" s="19"/>
      <c r="O672" s="19"/>
      <c r="P672" s="19"/>
      <c r="Q672" s="19"/>
      <c r="R672" s="19"/>
      <c r="S672" s="19"/>
      <c r="T672" s="19"/>
    </row>
    <row r="673" spans="12:20" x14ac:dyDescent="0.3">
      <c r="L673" s="19"/>
      <c r="M673" s="19"/>
      <c r="N673" s="19"/>
      <c r="O673" s="19"/>
      <c r="P673" s="19"/>
      <c r="Q673" s="19"/>
      <c r="R673" s="19"/>
      <c r="S673" s="19"/>
      <c r="T673" s="19"/>
    </row>
    <row r="674" spans="12:20" x14ac:dyDescent="0.3">
      <c r="L674" s="19"/>
      <c r="M674" s="19"/>
      <c r="N674" s="19"/>
      <c r="O674" s="19"/>
      <c r="P674" s="19"/>
      <c r="Q674" s="19"/>
      <c r="R674" s="19"/>
      <c r="S674" s="19"/>
      <c r="T674" s="19"/>
    </row>
    <row r="675" spans="12:20" x14ac:dyDescent="0.3">
      <c r="L675" s="19"/>
      <c r="M675" s="19"/>
      <c r="N675" s="19"/>
      <c r="O675" s="19"/>
      <c r="P675" s="19"/>
      <c r="Q675" s="19"/>
      <c r="R675" s="19"/>
      <c r="S675" s="19"/>
      <c r="T675" s="19"/>
    </row>
    <row r="676" spans="12:20" x14ac:dyDescent="0.3">
      <c r="L676" s="19"/>
      <c r="M676" s="19"/>
      <c r="N676" s="19"/>
      <c r="O676" s="19"/>
      <c r="P676" s="19"/>
      <c r="Q676" s="19"/>
      <c r="R676" s="19"/>
      <c r="S676" s="19"/>
      <c r="T676" s="19"/>
    </row>
    <row r="677" spans="12:20" x14ac:dyDescent="0.3">
      <c r="L677" s="19"/>
      <c r="M677" s="19"/>
      <c r="N677" s="19"/>
      <c r="O677" s="19"/>
      <c r="P677" s="19"/>
      <c r="Q677" s="19"/>
      <c r="R677" s="19"/>
      <c r="S677" s="19"/>
      <c r="T677" s="19"/>
    </row>
    <row r="678" spans="12:20" x14ac:dyDescent="0.3">
      <c r="L678" s="19"/>
      <c r="M678" s="19"/>
      <c r="N678" s="19"/>
      <c r="O678" s="19"/>
      <c r="P678" s="19"/>
      <c r="Q678" s="19"/>
      <c r="R678" s="19"/>
      <c r="S678" s="19"/>
      <c r="T678" s="19"/>
    </row>
    <row r="679" spans="12:20" x14ac:dyDescent="0.3">
      <c r="L679" s="19"/>
      <c r="M679" s="19"/>
      <c r="N679" s="19"/>
      <c r="O679" s="19"/>
      <c r="P679" s="19"/>
      <c r="Q679" s="19"/>
      <c r="R679" s="19"/>
      <c r="S679" s="19"/>
      <c r="T679" s="19"/>
    </row>
    <row r="680" spans="12:20" x14ac:dyDescent="0.3">
      <c r="L680" s="19"/>
      <c r="M680" s="19"/>
      <c r="N680" s="19"/>
      <c r="O680" s="19"/>
      <c r="P680" s="19"/>
      <c r="Q680" s="19"/>
      <c r="R680" s="19"/>
      <c r="S680" s="19"/>
      <c r="T680" s="19"/>
    </row>
    <row r="681" spans="12:20" x14ac:dyDescent="0.3">
      <c r="L681" s="19"/>
      <c r="M681" s="19"/>
      <c r="N681" s="19"/>
      <c r="O681" s="19"/>
      <c r="P681" s="19"/>
      <c r="Q681" s="19"/>
      <c r="R681" s="19"/>
      <c r="S681" s="19"/>
      <c r="T681" s="19"/>
    </row>
    <row r="682" spans="12:20" x14ac:dyDescent="0.3">
      <c r="L682" s="19"/>
      <c r="M682" s="19"/>
      <c r="N682" s="19"/>
      <c r="O682" s="19"/>
      <c r="P682" s="19"/>
      <c r="Q682" s="19"/>
      <c r="R682" s="19"/>
      <c r="S682" s="19"/>
      <c r="T682" s="19"/>
    </row>
    <row r="683" spans="12:20" x14ac:dyDescent="0.3">
      <c r="L683" s="19"/>
      <c r="M683" s="19"/>
      <c r="N683" s="19"/>
      <c r="O683" s="19"/>
      <c r="P683" s="19"/>
      <c r="Q683" s="19"/>
      <c r="R683" s="19"/>
      <c r="S683" s="19"/>
      <c r="T683" s="19"/>
    </row>
    <row r="684" spans="12:20" x14ac:dyDescent="0.3">
      <c r="L684" s="19"/>
      <c r="M684" s="19"/>
      <c r="N684" s="19"/>
      <c r="O684" s="19"/>
      <c r="P684" s="19"/>
      <c r="Q684" s="19"/>
      <c r="R684" s="19"/>
      <c r="S684" s="19"/>
      <c r="T684" s="19"/>
    </row>
    <row r="685" spans="12:20" x14ac:dyDescent="0.3">
      <c r="L685" s="19"/>
      <c r="M685" s="19"/>
      <c r="N685" s="19"/>
      <c r="O685" s="19"/>
      <c r="P685" s="19"/>
      <c r="Q685" s="19"/>
      <c r="R685" s="19"/>
      <c r="S685" s="19"/>
      <c r="T685" s="19"/>
    </row>
    <row r="686" spans="12:20" x14ac:dyDescent="0.3">
      <c r="L686" s="19"/>
      <c r="M686" s="19"/>
      <c r="N686" s="19"/>
      <c r="O686" s="19"/>
      <c r="P686" s="19"/>
      <c r="Q686" s="19"/>
      <c r="R686" s="19"/>
      <c r="S686" s="19"/>
      <c r="T686" s="19"/>
    </row>
    <row r="687" spans="12:20" x14ac:dyDescent="0.3">
      <c r="L687" s="19"/>
      <c r="M687" s="19"/>
      <c r="N687" s="19"/>
      <c r="O687" s="19"/>
      <c r="P687" s="19"/>
      <c r="Q687" s="19"/>
      <c r="R687" s="19"/>
      <c r="S687" s="19"/>
      <c r="T687" s="19"/>
    </row>
    <row r="688" spans="12:20" x14ac:dyDescent="0.3">
      <c r="L688" s="19"/>
      <c r="M688" s="19"/>
      <c r="N688" s="19"/>
      <c r="O688" s="19"/>
      <c r="P688" s="19"/>
      <c r="Q688" s="19"/>
      <c r="R688" s="19"/>
      <c r="S688" s="19"/>
      <c r="T688" s="19"/>
    </row>
    <row r="689" spans="12:20" x14ac:dyDescent="0.3">
      <c r="L689" s="19"/>
      <c r="M689" s="19"/>
      <c r="N689" s="19"/>
      <c r="O689" s="19"/>
      <c r="P689" s="19"/>
      <c r="Q689" s="19"/>
      <c r="R689" s="19"/>
      <c r="S689" s="19"/>
      <c r="T689" s="19"/>
    </row>
    <row r="690" spans="12:20" x14ac:dyDescent="0.3">
      <c r="L690" s="19"/>
      <c r="M690" s="19"/>
      <c r="N690" s="19"/>
      <c r="O690" s="19"/>
      <c r="P690" s="19"/>
      <c r="Q690" s="19"/>
      <c r="R690" s="19"/>
      <c r="S690" s="19"/>
      <c r="T690" s="19"/>
    </row>
    <row r="691" spans="12:20" x14ac:dyDescent="0.3">
      <c r="L691" s="19"/>
      <c r="M691" s="19"/>
      <c r="N691" s="19"/>
      <c r="O691" s="19"/>
      <c r="P691" s="19"/>
      <c r="Q691" s="19"/>
      <c r="R691" s="19"/>
      <c r="S691" s="19"/>
      <c r="T691" s="19"/>
    </row>
    <row r="692" spans="12:20" x14ac:dyDescent="0.3">
      <c r="L692" s="19"/>
      <c r="M692" s="19"/>
      <c r="N692" s="19"/>
      <c r="O692" s="19"/>
      <c r="P692" s="19"/>
      <c r="Q692" s="19"/>
      <c r="R692" s="19"/>
      <c r="S692" s="19"/>
      <c r="T692" s="19"/>
    </row>
    <row r="693" spans="12:20" x14ac:dyDescent="0.3">
      <c r="L693" s="19"/>
      <c r="M693" s="19"/>
      <c r="N693" s="19"/>
      <c r="O693" s="19"/>
      <c r="P693" s="19"/>
      <c r="Q693" s="19"/>
      <c r="R693" s="19"/>
      <c r="S693" s="19"/>
      <c r="T693" s="19"/>
    </row>
    <row r="694" spans="12:20" x14ac:dyDescent="0.3">
      <c r="L694" s="19"/>
      <c r="M694" s="19"/>
      <c r="N694" s="19"/>
      <c r="O694" s="19"/>
      <c r="P694" s="19"/>
      <c r="Q694" s="19"/>
      <c r="R694" s="19"/>
      <c r="S694" s="19"/>
      <c r="T694" s="19"/>
    </row>
    <row r="695" spans="12:20" x14ac:dyDescent="0.3">
      <c r="L695" s="19"/>
      <c r="M695" s="19"/>
      <c r="N695" s="19"/>
      <c r="O695" s="19"/>
      <c r="P695" s="19"/>
      <c r="Q695" s="19"/>
      <c r="R695" s="19"/>
      <c r="S695" s="19"/>
      <c r="T695" s="19"/>
    </row>
    <row r="696" spans="12:20" x14ac:dyDescent="0.3">
      <c r="L696" s="19"/>
      <c r="M696" s="19"/>
      <c r="N696" s="19"/>
      <c r="O696" s="19"/>
      <c r="P696" s="19"/>
      <c r="Q696" s="19"/>
      <c r="R696" s="19"/>
      <c r="S696" s="19"/>
      <c r="T696" s="19"/>
    </row>
    <row r="697" spans="12:20" x14ac:dyDescent="0.3">
      <c r="L697" s="19"/>
      <c r="M697" s="19"/>
      <c r="N697" s="19"/>
      <c r="O697" s="19"/>
      <c r="P697" s="19"/>
      <c r="Q697" s="19"/>
      <c r="R697" s="19"/>
      <c r="S697" s="19"/>
      <c r="T697" s="19"/>
    </row>
    <row r="698" spans="12:20" x14ac:dyDescent="0.3">
      <c r="L698" s="19"/>
      <c r="M698" s="19"/>
      <c r="N698" s="19"/>
      <c r="O698" s="19"/>
      <c r="P698" s="19"/>
      <c r="Q698" s="19"/>
      <c r="R698" s="19"/>
      <c r="S698" s="19"/>
      <c r="T698" s="19"/>
    </row>
    <row r="699" spans="12:20" x14ac:dyDescent="0.3">
      <c r="L699" s="19"/>
      <c r="M699" s="19"/>
      <c r="N699" s="19"/>
      <c r="O699" s="19"/>
      <c r="P699" s="19"/>
      <c r="Q699" s="19"/>
      <c r="R699" s="19"/>
      <c r="S699" s="19"/>
      <c r="T699" s="19"/>
    </row>
    <row r="700" spans="12:20" x14ac:dyDescent="0.3">
      <c r="L700" s="19"/>
      <c r="M700" s="19"/>
      <c r="N700" s="19"/>
      <c r="O700" s="19"/>
      <c r="P700" s="19"/>
      <c r="Q700" s="19"/>
      <c r="R700" s="19"/>
      <c r="S700" s="19"/>
      <c r="T700" s="19"/>
    </row>
    <row r="701" spans="12:20" x14ac:dyDescent="0.3">
      <c r="L701" s="19"/>
      <c r="M701" s="19"/>
      <c r="N701" s="19"/>
      <c r="O701" s="19"/>
      <c r="P701" s="19"/>
      <c r="Q701" s="19"/>
      <c r="R701" s="19"/>
      <c r="S701" s="19"/>
      <c r="T701" s="19"/>
    </row>
    <row r="702" spans="12:20" x14ac:dyDescent="0.3">
      <c r="L702" s="19"/>
      <c r="M702" s="19"/>
      <c r="N702" s="19"/>
      <c r="O702" s="19"/>
      <c r="P702" s="19"/>
      <c r="Q702" s="19"/>
      <c r="R702" s="19"/>
      <c r="S702" s="19"/>
      <c r="T702" s="19"/>
    </row>
    <row r="703" spans="12:20" x14ac:dyDescent="0.3">
      <c r="L703" s="19"/>
      <c r="M703" s="19"/>
      <c r="N703" s="19"/>
      <c r="O703" s="19"/>
      <c r="P703" s="19"/>
      <c r="Q703" s="19"/>
      <c r="R703" s="19"/>
      <c r="S703" s="19"/>
      <c r="T703" s="19"/>
    </row>
    <row r="704" spans="12:20" x14ac:dyDescent="0.3">
      <c r="L704" s="19"/>
      <c r="M704" s="19"/>
      <c r="N704" s="19"/>
      <c r="O704" s="19"/>
      <c r="P704" s="19"/>
      <c r="Q704" s="19"/>
      <c r="R704" s="19"/>
      <c r="S704" s="19"/>
      <c r="T704" s="19"/>
    </row>
    <row r="705" spans="12:20" x14ac:dyDescent="0.3">
      <c r="L705" s="19"/>
      <c r="M705" s="19"/>
      <c r="N705" s="19"/>
      <c r="O705" s="19"/>
      <c r="P705" s="19"/>
      <c r="Q705" s="19"/>
      <c r="R705" s="19"/>
      <c r="S705" s="19"/>
      <c r="T705" s="19"/>
    </row>
    <row r="706" spans="12:20" x14ac:dyDescent="0.3">
      <c r="L706" s="19"/>
      <c r="M706" s="19"/>
      <c r="N706" s="19"/>
      <c r="O706" s="19"/>
      <c r="P706" s="19"/>
      <c r="Q706" s="19"/>
      <c r="R706" s="19"/>
      <c r="S706" s="19"/>
      <c r="T706" s="19"/>
    </row>
    <row r="707" spans="12:20" x14ac:dyDescent="0.3">
      <c r="L707" s="19"/>
      <c r="M707" s="19"/>
      <c r="N707" s="19"/>
      <c r="O707" s="19"/>
      <c r="P707" s="19"/>
      <c r="Q707" s="19"/>
      <c r="R707" s="19"/>
      <c r="S707" s="19"/>
      <c r="T707" s="19"/>
    </row>
    <row r="708" spans="12:20" x14ac:dyDescent="0.3">
      <c r="L708" s="19"/>
      <c r="M708" s="19"/>
      <c r="N708" s="19"/>
      <c r="O708" s="19"/>
      <c r="P708" s="19"/>
      <c r="Q708" s="19"/>
      <c r="R708" s="19"/>
      <c r="S708" s="19"/>
      <c r="T708" s="19"/>
    </row>
    <row r="709" spans="12:20" x14ac:dyDescent="0.3">
      <c r="L709" s="19"/>
      <c r="M709" s="19"/>
      <c r="N709" s="19"/>
      <c r="O709" s="19"/>
      <c r="P709" s="19"/>
      <c r="Q709" s="19"/>
      <c r="R709" s="19"/>
      <c r="S709" s="19"/>
      <c r="T709" s="19"/>
    </row>
    <row r="710" spans="12:20" x14ac:dyDescent="0.3">
      <c r="L710" s="19"/>
      <c r="M710" s="19"/>
      <c r="N710" s="19"/>
      <c r="O710" s="19"/>
      <c r="P710" s="19"/>
      <c r="Q710" s="19"/>
      <c r="R710" s="19"/>
      <c r="S710" s="19"/>
      <c r="T710" s="19"/>
    </row>
    <row r="711" spans="12:20" x14ac:dyDescent="0.3">
      <c r="L711" s="19"/>
      <c r="M711" s="19"/>
      <c r="N711" s="19"/>
      <c r="O711" s="19"/>
      <c r="P711" s="19"/>
      <c r="Q711" s="19"/>
      <c r="R711" s="19"/>
      <c r="S711" s="19"/>
      <c r="T711" s="19"/>
    </row>
    <row r="712" spans="12:20" x14ac:dyDescent="0.3">
      <c r="L712" s="19"/>
      <c r="M712" s="19"/>
      <c r="N712" s="19"/>
      <c r="O712" s="19"/>
      <c r="P712" s="19"/>
      <c r="Q712" s="19"/>
      <c r="R712" s="19"/>
      <c r="S712" s="19"/>
      <c r="T712" s="19"/>
    </row>
    <row r="713" spans="12:20" x14ac:dyDescent="0.3">
      <c r="L713" s="19"/>
      <c r="M713" s="19"/>
      <c r="N713" s="19"/>
      <c r="O713" s="19"/>
      <c r="P713" s="19"/>
      <c r="Q713" s="19"/>
      <c r="R713" s="19"/>
      <c r="S713" s="19"/>
      <c r="T713" s="19"/>
    </row>
    <row r="714" spans="12:20" x14ac:dyDescent="0.3">
      <c r="L714" s="19"/>
      <c r="M714" s="19"/>
      <c r="N714" s="19"/>
      <c r="O714" s="19"/>
      <c r="P714" s="19"/>
      <c r="Q714" s="19"/>
      <c r="R714" s="19"/>
      <c r="S714" s="19"/>
      <c r="T714" s="19"/>
    </row>
    <row r="715" spans="12:20" x14ac:dyDescent="0.3">
      <c r="L715" s="19"/>
      <c r="M715" s="19"/>
      <c r="N715" s="19"/>
      <c r="O715" s="19"/>
      <c r="P715" s="19"/>
      <c r="Q715" s="19"/>
      <c r="R715" s="19"/>
      <c r="S715" s="19"/>
      <c r="T715" s="19"/>
    </row>
    <row r="716" spans="12:20" x14ac:dyDescent="0.3">
      <c r="L716" s="19"/>
      <c r="M716" s="19"/>
      <c r="N716" s="19"/>
      <c r="O716" s="19"/>
      <c r="P716" s="19"/>
      <c r="Q716" s="19"/>
      <c r="R716" s="19"/>
      <c r="S716" s="19"/>
      <c r="T716" s="19"/>
    </row>
    <row r="717" spans="12:20" x14ac:dyDescent="0.3">
      <c r="L717" s="19"/>
      <c r="M717" s="19"/>
      <c r="N717" s="19"/>
      <c r="O717" s="19"/>
      <c r="P717" s="19"/>
      <c r="Q717" s="19"/>
      <c r="R717" s="19"/>
      <c r="S717" s="19"/>
      <c r="T717" s="19"/>
    </row>
    <row r="718" spans="12:20" x14ac:dyDescent="0.3">
      <c r="L718" s="19"/>
      <c r="M718" s="19"/>
      <c r="N718" s="19"/>
      <c r="O718" s="19"/>
      <c r="P718" s="19"/>
      <c r="Q718" s="19"/>
      <c r="R718" s="19"/>
      <c r="S718" s="19"/>
      <c r="T718" s="19"/>
    </row>
    <row r="719" spans="12:20" x14ac:dyDescent="0.3">
      <c r="L719" s="19"/>
      <c r="M719" s="19"/>
      <c r="N719" s="19"/>
      <c r="O719" s="19"/>
      <c r="P719" s="19"/>
      <c r="Q719" s="19"/>
      <c r="R719" s="19"/>
      <c r="S719" s="19"/>
      <c r="T719" s="19"/>
    </row>
    <row r="720" spans="12:20" x14ac:dyDescent="0.3">
      <c r="L720" s="19"/>
      <c r="M720" s="19"/>
      <c r="N720" s="19"/>
      <c r="O720" s="19"/>
      <c r="P720" s="19"/>
      <c r="Q720" s="19"/>
      <c r="R720" s="19"/>
      <c r="S720" s="19"/>
      <c r="T720" s="19"/>
    </row>
    <row r="721" spans="12:20" x14ac:dyDescent="0.3">
      <c r="L721" s="19"/>
      <c r="M721" s="19"/>
      <c r="N721" s="19"/>
      <c r="O721" s="19"/>
      <c r="P721" s="19"/>
      <c r="Q721" s="19"/>
      <c r="R721" s="19"/>
      <c r="S721" s="19"/>
      <c r="T721" s="19"/>
    </row>
    <row r="722" spans="12:20" x14ac:dyDescent="0.3">
      <c r="L722" s="19"/>
      <c r="M722" s="19"/>
      <c r="N722" s="19"/>
      <c r="O722" s="19"/>
      <c r="P722" s="19"/>
      <c r="Q722" s="19"/>
      <c r="R722" s="19"/>
      <c r="S722" s="19"/>
      <c r="T722" s="19"/>
    </row>
    <row r="723" spans="12:20" x14ac:dyDescent="0.3">
      <c r="L723" s="19"/>
      <c r="M723" s="19"/>
      <c r="N723" s="19"/>
      <c r="O723" s="19"/>
      <c r="P723" s="19"/>
      <c r="Q723" s="19"/>
      <c r="R723" s="19"/>
      <c r="S723" s="19"/>
      <c r="T723" s="19"/>
    </row>
    <row r="724" spans="12:20" x14ac:dyDescent="0.3">
      <c r="L724" s="19"/>
      <c r="M724" s="19"/>
      <c r="N724" s="19"/>
      <c r="O724" s="19"/>
      <c r="P724" s="19"/>
      <c r="Q724" s="19"/>
      <c r="R724" s="19"/>
      <c r="S724" s="19"/>
      <c r="T724" s="19"/>
    </row>
    <row r="725" spans="12:20" x14ac:dyDescent="0.3">
      <c r="L725" s="19"/>
      <c r="M725" s="19"/>
      <c r="N725" s="19"/>
      <c r="O725" s="19"/>
      <c r="P725" s="19"/>
      <c r="Q725" s="19"/>
      <c r="R725" s="19"/>
      <c r="S725" s="19"/>
      <c r="T725" s="19"/>
    </row>
    <row r="726" spans="12:20" x14ac:dyDescent="0.3">
      <c r="L726" s="19"/>
      <c r="M726" s="19"/>
      <c r="N726" s="19"/>
      <c r="O726" s="19"/>
      <c r="P726" s="19"/>
      <c r="Q726" s="19"/>
      <c r="R726" s="19"/>
      <c r="S726" s="19"/>
      <c r="T726" s="19"/>
    </row>
    <row r="727" spans="12:20" x14ac:dyDescent="0.3">
      <c r="L727" s="19"/>
      <c r="M727" s="19"/>
      <c r="N727" s="19"/>
      <c r="O727" s="19"/>
      <c r="P727" s="19"/>
      <c r="Q727" s="19"/>
      <c r="R727" s="19"/>
      <c r="S727" s="19"/>
      <c r="T727" s="19"/>
    </row>
    <row r="728" spans="12:20" x14ac:dyDescent="0.3">
      <c r="L728" s="19"/>
      <c r="M728" s="19"/>
      <c r="N728" s="19"/>
      <c r="O728" s="19"/>
      <c r="P728" s="19"/>
      <c r="Q728" s="19"/>
      <c r="R728" s="19"/>
      <c r="S728" s="19"/>
      <c r="T728" s="19"/>
    </row>
    <row r="729" spans="12:20" x14ac:dyDescent="0.3">
      <c r="L729" s="19"/>
      <c r="M729" s="19"/>
      <c r="N729" s="19"/>
      <c r="O729" s="19"/>
      <c r="P729" s="19"/>
      <c r="Q729" s="19"/>
      <c r="R729" s="19"/>
      <c r="S729" s="19"/>
      <c r="T729" s="19"/>
    </row>
    <row r="730" spans="12:20" x14ac:dyDescent="0.3">
      <c r="L730" s="19"/>
      <c r="M730" s="19"/>
      <c r="N730" s="19"/>
      <c r="O730" s="19"/>
      <c r="P730" s="19"/>
      <c r="Q730" s="19"/>
      <c r="R730" s="19"/>
      <c r="S730" s="19"/>
      <c r="T730" s="19"/>
    </row>
    <row r="731" spans="12:20" x14ac:dyDescent="0.3">
      <c r="L731" s="19"/>
      <c r="M731" s="19"/>
      <c r="N731" s="19"/>
      <c r="O731" s="19"/>
      <c r="P731" s="19"/>
      <c r="Q731" s="19"/>
      <c r="R731" s="19"/>
      <c r="S731" s="19"/>
      <c r="T731" s="19"/>
    </row>
    <row r="732" spans="12:20" x14ac:dyDescent="0.3">
      <c r="L732" s="19"/>
      <c r="M732" s="19"/>
      <c r="N732" s="19"/>
      <c r="O732" s="19"/>
      <c r="P732" s="19"/>
      <c r="Q732" s="19"/>
      <c r="R732" s="19"/>
      <c r="S732" s="19"/>
      <c r="T732" s="19"/>
    </row>
    <row r="733" spans="12:20" x14ac:dyDescent="0.3">
      <c r="L733" s="19"/>
      <c r="M733" s="19"/>
      <c r="N733" s="19"/>
      <c r="O733" s="19"/>
      <c r="P733" s="19"/>
      <c r="Q733" s="19"/>
      <c r="R733" s="19"/>
      <c r="S733" s="19"/>
      <c r="T733" s="19"/>
    </row>
    <row r="734" spans="12:20" x14ac:dyDescent="0.3">
      <c r="L734" s="19"/>
      <c r="M734" s="19"/>
      <c r="N734" s="19"/>
      <c r="O734" s="19"/>
      <c r="P734" s="19"/>
      <c r="Q734" s="19"/>
      <c r="R734" s="19"/>
      <c r="S734" s="19"/>
      <c r="T734" s="19"/>
    </row>
    <row r="735" spans="12:20" x14ac:dyDescent="0.3">
      <c r="L735" s="19"/>
      <c r="M735" s="19"/>
      <c r="N735" s="19"/>
      <c r="O735" s="19"/>
      <c r="P735" s="19"/>
      <c r="Q735" s="19"/>
      <c r="R735" s="19"/>
      <c r="S735" s="19"/>
      <c r="T735" s="19"/>
    </row>
    <row r="736" spans="12:20" x14ac:dyDescent="0.3">
      <c r="L736" s="19"/>
      <c r="M736" s="19"/>
      <c r="N736" s="19"/>
      <c r="O736" s="19"/>
      <c r="P736" s="19"/>
      <c r="Q736" s="19"/>
      <c r="R736" s="19"/>
      <c r="S736" s="19"/>
      <c r="T736" s="19"/>
    </row>
    <row r="737" spans="12:20" x14ac:dyDescent="0.3">
      <c r="L737" s="19"/>
      <c r="M737" s="19"/>
      <c r="N737" s="19"/>
      <c r="O737" s="19"/>
      <c r="P737" s="19"/>
      <c r="Q737" s="19"/>
      <c r="R737" s="19"/>
      <c r="S737" s="19"/>
      <c r="T737" s="19"/>
    </row>
    <row r="738" spans="12:20" x14ac:dyDescent="0.3">
      <c r="L738" s="19"/>
      <c r="M738" s="19"/>
      <c r="N738" s="19"/>
      <c r="O738" s="19"/>
      <c r="P738" s="19"/>
      <c r="Q738" s="19"/>
      <c r="R738" s="19"/>
      <c r="S738" s="19"/>
      <c r="T738" s="19"/>
    </row>
    <row r="739" spans="12:20" x14ac:dyDescent="0.3">
      <c r="L739" s="19"/>
      <c r="M739" s="19"/>
      <c r="N739" s="19"/>
      <c r="O739" s="19"/>
      <c r="P739" s="19"/>
      <c r="Q739" s="19"/>
      <c r="R739" s="19"/>
      <c r="S739" s="19"/>
      <c r="T739" s="19"/>
    </row>
    <row r="740" spans="12:20" x14ac:dyDescent="0.3">
      <c r="L740" s="19"/>
      <c r="M740" s="19"/>
      <c r="N740" s="19"/>
      <c r="O740" s="19"/>
      <c r="P740" s="19"/>
      <c r="Q740" s="19"/>
      <c r="R740" s="19"/>
      <c r="S740" s="19"/>
      <c r="T740" s="19"/>
    </row>
    <row r="741" spans="12:20" x14ac:dyDescent="0.3">
      <c r="L741" s="19"/>
      <c r="M741" s="19"/>
      <c r="N741" s="19"/>
      <c r="O741" s="19"/>
      <c r="P741" s="19"/>
      <c r="Q741" s="19"/>
      <c r="R741" s="19"/>
      <c r="S741" s="19"/>
      <c r="T741" s="19"/>
    </row>
    <row r="742" spans="12:20" x14ac:dyDescent="0.3">
      <c r="L742" s="19"/>
      <c r="M742" s="19"/>
      <c r="N742" s="19"/>
      <c r="O742" s="19"/>
      <c r="P742" s="19"/>
      <c r="Q742" s="19"/>
      <c r="R742" s="19"/>
      <c r="S742" s="19"/>
      <c r="T742" s="19"/>
    </row>
    <row r="743" spans="12:20" x14ac:dyDescent="0.3">
      <c r="L743" s="19"/>
      <c r="M743" s="19"/>
      <c r="N743" s="19"/>
      <c r="O743" s="19"/>
      <c r="P743" s="19"/>
      <c r="Q743" s="19"/>
      <c r="R743" s="19"/>
      <c r="S743" s="19"/>
      <c r="T743" s="19"/>
    </row>
    <row r="744" spans="12:20" x14ac:dyDescent="0.3">
      <c r="L744" s="19"/>
      <c r="M744" s="19"/>
      <c r="N744" s="19"/>
      <c r="O744" s="19"/>
      <c r="P744" s="19"/>
      <c r="Q744" s="19"/>
      <c r="R744" s="19"/>
      <c r="S744" s="19"/>
      <c r="T744" s="19"/>
    </row>
    <row r="745" spans="12:20" x14ac:dyDescent="0.3">
      <c r="L745" s="19"/>
      <c r="M745" s="19"/>
      <c r="N745" s="19"/>
      <c r="O745" s="19"/>
      <c r="P745" s="19"/>
      <c r="Q745" s="19"/>
      <c r="R745" s="19"/>
      <c r="S745" s="19"/>
      <c r="T745" s="19"/>
    </row>
    <row r="746" spans="12:20" x14ac:dyDescent="0.3">
      <c r="L746" s="19"/>
      <c r="M746" s="19"/>
      <c r="N746" s="19"/>
      <c r="O746" s="19"/>
      <c r="P746" s="19"/>
      <c r="Q746" s="19"/>
      <c r="R746" s="19"/>
      <c r="S746" s="19"/>
      <c r="T746" s="19"/>
    </row>
    <row r="747" spans="12:20" x14ac:dyDescent="0.3">
      <c r="L747" s="19"/>
      <c r="M747" s="19"/>
      <c r="N747" s="19"/>
      <c r="O747" s="19"/>
      <c r="P747" s="19"/>
      <c r="Q747" s="19"/>
      <c r="R747" s="19"/>
      <c r="S747" s="19"/>
      <c r="T747" s="19"/>
    </row>
    <row r="748" spans="12:20" x14ac:dyDescent="0.3">
      <c r="L748" s="19"/>
      <c r="M748" s="19"/>
      <c r="N748" s="19"/>
      <c r="O748" s="19"/>
      <c r="P748" s="19"/>
      <c r="Q748" s="19"/>
      <c r="R748" s="19"/>
      <c r="S748" s="19"/>
      <c r="T748" s="19"/>
    </row>
    <row r="749" spans="12:20" x14ac:dyDescent="0.3">
      <c r="L749" s="19"/>
      <c r="M749" s="19"/>
      <c r="N749" s="19"/>
      <c r="O749" s="19"/>
      <c r="P749" s="19"/>
      <c r="Q749" s="19"/>
      <c r="R749" s="19"/>
      <c r="S749" s="19"/>
      <c r="T749" s="19"/>
    </row>
    <row r="750" spans="12:20" x14ac:dyDescent="0.3">
      <c r="L750" s="19"/>
      <c r="M750" s="19"/>
      <c r="N750" s="19"/>
      <c r="O750" s="19"/>
      <c r="P750" s="19"/>
      <c r="Q750" s="19"/>
      <c r="R750" s="19"/>
      <c r="S750" s="19"/>
      <c r="T750" s="19"/>
    </row>
    <row r="751" spans="12:20" x14ac:dyDescent="0.3">
      <c r="L751" s="19"/>
      <c r="M751" s="19"/>
      <c r="N751" s="19"/>
      <c r="O751" s="19"/>
      <c r="P751" s="19"/>
      <c r="Q751" s="19"/>
      <c r="R751" s="19"/>
      <c r="S751" s="19"/>
      <c r="T751" s="19"/>
    </row>
    <row r="752" spans="12:20" x14ac:dyDescent="0.3">
      <c r="L752" s="19"/>
      <c r="M752" s="19"/>
      <c r="N752" s="19"/>
      <c r="O752" s="19"/>
      <c r="P752" s="19"/>
      <c r="Q752" s="19"/>
      <c r="R752" s="19"/>
      <c r="S752" s="19"/>
      <c r="T752" s="19"/>
    </row>
    <row r="753" spans="12:20" x14ac:dyDescent="0.3">
      <c r="L753" s="19"/>
      <c r="M753" s="19"/>
      <c r="N753" s="19"/>
      <c r="O753" s="19"/>
      <c r="P753" s="19"/>
      <c r="Q753" s="19"/>
      <c r="R753" s="19"/>
      <c r="S753" s="19"/>
      <c r="T753" s="19"/>
    </row>
    <row r="754" spans="12:20" x14ac:dyDescent="0.3">
      <c r="L754" s="19"/>
      <c r="M754" s="19"/>
      <c r="N754" s="19"/>
      <c r="O754" s="19"/>
      <c r="P754" s="19"/>
      <c r="Q754" s="19"/>
      <c r="R754" s="19"/>
      <c r="S754" s="19"/>
      <c r="T754" s="19"/>
    </row>
    <row r="755" spans="12:20" x14ac:dyDescent="0.3">
      <c r="L755" s="19"/>
      <c r="M755" s="19"/>
      <c r="N755" s="19"/>
      <c r="O755" s="19"/>
      <c r="P755" s="19"/>
      <c r="Q755" s="19"/>
      <c r="R755" s="19"/>
      <c r="S755" s="19"/>
      <c r="T755" s="19"/>
    </row>
    <row r="756" spans="12:20" x14ac:dyDescent="0.3">
      <c r="L756" s="19"/>
      <c r="M756" s="19"/>
      <c r="N756" s="19"/>
      <c r="O756" s="19"/>
      <c r="P756" s="19"/>
      <c r="Q756" s="19"/>
      <c r="R756" s="19"/>
      <c r="S756" s="19"/>
      <c r="T756" s="19"/>
    </row>
    <row r="757" spans="12:20" x14ac:dyDescent="0.3">
      <c r="L757" s="19"/>
      <c r="M757" s="19"/>
      <c r="N757" s="19"/>
      <c r="O757" s="19"/>
      <c r="P757" s="19"/>
      <c r="Q757" s="19"/>
      <c r="R757" s="19"/>
      <c r="S757" s="19"/>
      <c r="T757" s="19"/>
    </row>
    <row r="758" spans="12:20" x14ac:dyDescent="0.3">
      <c r="L758" s="19"/>
      <c r="M758" s="19"/>
      <c r="N758" s="19"/>
      <c r="O758" s="19"/>
      <c r="P758" s="19"/>
      <c r="Q758" s="19"/>
      <c r="R758" s="19"/>
      <c r="S758" s="19"/>
      <c r="T758" s="19"/>
    </row>
    <row r="759" spans="12:20" x14ac:dyDescent="0.3">
      <c r="L759" s="19"/>
      <c r="M759" s="19"/>
      <c r="N759" s="19"/>
      <c r="O759" s="19"/>
      <c r="P759" s="19"/>
      <c r="Q759" s="19"/>
      <c r="R759" s="19"/>
      <c r="S759" s="19"/>
      <c r="T759" s="19"/>
    </row>
    <row r="760" spans="12:20" x14ac:dyDescent="0.3">
      <c r="L760" s="19"/>
      <c r="M760" s="19"/>
      <c r="N760" s="19"/>
      <c r="O760" s="19"/>
      <c r="P760" s="19"/>
      <c r="Q760" s="19"/>
      <c r="R760" s="19"/>
      <c r="S760" s="19"/>
      <c r="T760" s="19"/>
    </row>
    <row r="761" spans="12:20" x14ac:dyDescent="0.3">
      <c r="L761" s="19"/>
      <c r="M761" s="19"/>
      <c r="N761" s="19"/>
      <c r="O761" s="19"/>
      <c r="P761" s="19"/>
      <c r="Q761" s="19"/>
      <c r="R761" s="19"/>
      <c r="S761" s="19"/>
      <c r="T761" s="19"/>
    </row>
    <row r="762" spans="12:20" x14ac:dyDescent="0.3">
      <c r="L762" s="19"/>
      <c r="M762" s="19"/>
      <c r="N762" s="19"/>
      <c r="O762" s="19"/>
      <c r="P762" s="19"/>
      <c r="Q762" s="19"/>
      <c r="R762" s="19"/>
      <c r="S762" s="19"/>
      <c r="T762" s="19"/>
    </row>
    <row r="763" spans="12:20" x14ac:dyDescent="0.3">
      <c r="L763" s="20"/>
      <c r="M763" s="20"/>
      <c r="N763" s="20"/>
      <c r="O763" s="20"/>
      <c r="P763" s="20"/>
      <c r="Q763" s="20"/>
      <c r="R763" s="20"/>
      <c r="S763" s="20"/>
      <c r="T763" s="20"/>
    </row>
    <row r="764" spans="12:20" x14ac:dyDescent="0.3">
      <c r="L764" s="19"/>
      <c r="M764" s="19"/>
      <c r="N764" s="19"/>
      <c r="O764" s="19"/>
      <c r="P764" s="19"/>
      <c r="Q764" s="19"/>
      <c r="R764" s="19"/>
      <c r="S764" s="19"/>
      <c r="T764" s="19"/>
    </row>
    <row r="765" spans="12:20" x14ac:dyDescent="0.3">
      <c r="L765" s="19"/>
      <c r="M765" s="19"/>
      <c r="N765" s="19"/>
      <c r="O765" s="19"/>
      <c r="P765" s="19"/>
      <c r="Q765" s="19"/>
      <c r="R765" s="19"/>
      <c r="S765" s="19"/>
      <c r="T765" s="19"/>
    </row>
    <row r="766" spans="12:20" x14ac:dyDescent="0.3">
      <c r="L766" s="19"/>
      <c r="M766" s="19"/>
      <c r="N766" s="19"/>
      <c r="O766" s="19"/>
      <c r="P766" s="19"/>
      <c r="Q766" s="19"/>
      <c r="R766" s="19"/>
      <c r="S766" s="19"/>
      <c r="T766" s="19"/>
    </row>
    <row r="767" spans="12:20" x14ac:dyDescent="0.3">
      <c r="L767" s="19"/>
      <c r="M767" s="19"/>
      <c r="N767" s="19"/>
      <c r="O767" s="19"/>
      <c r="P767" s="19"/>
      <c r="Q767" s="19"/>
      <c r="R767" s="19"/>
      <c r="S767" s="19"/>
      <c r="T767" s="19"/>
    </row>
    <row r="768" spans="12:20" x14ac:dyDescent="0.3">
      <c r="L768" s="19"/>
      <c r="M768" s="19"/>
      <c r="N768" s="19"/>
      <c r="O768" s="19"/>
      <c r="P768" s="19"/>
      <c r="Q768" s="19"/>
      <c r="R768" s="19"/>
      <c r="S768" s="19"/>
      <c r="T768" s="19"/>
    </row>
    <row r="769" spans="12:20" x14ac:dyDescent="0.3">
      <c r="L769" s="19"/>
      <c r="M769" s="19"/>
      <c r="N769" s="19"/>
      <c r="O769" s="19"/>
      <c r="P769" s="19"/>
      <c r="Q769" s="19"/>
      <c r="R769" s="19"/>
      <c r="S769" s="19"/>
      <c r="T769" s="19"/>
    </row>
    <row r="770" spans="12:20" x14ac:dyDescent="0.3">
      <c r="L770" s="19"/>
      <c r="M770" s="19"/>
      <c r="N770" s="19"/>
      <c r="O770" s="19"/>
      <c r="P770" s="19"/>
      <c r="Q770" s="19"/>
      <c r="R770" s="19"/>
      <c r="S770" s="19"/>
      <c r="T770" s="19"/>
    </row>
    <row r="771" spans="12:20" x14ac:dyDescent="0.3">
      <c r="L771" s="19"/>
      <c r="M771" s="19"/>
      <c r="N771" s="19"/>
      <c r="O771" s="19"/>
      <c r="P771" s="19"/>
      <c r="Q771" s="19"/>
      <c r="R771" s="19"/>
      <c r="S771" s="19"/>
      <c r="T771" s="19"/>
    </row>
    <row r="772" spans="12:20" x14ac:dyDescent="0.3">
      <c r="L772" s="19"/>
      <c r="M772" s="19"/>
      <c r="N772" s="19"/>
      <c r="O772" s="19"/>
      <c r="P772" s="19"/>
      <c r="Q772" s="19"/>
      <c r="R772" s="19"/>
      <c r="S772" s="19"/>
      <c r="T772" s="19"/>
    </row>
    <row r="773" spans="12:20" x14ac:dyDescent="0.3">
      <c r="L773" s="19"/>
      <c r="M773" s="19"/>
      <c r="N773" s="19"/>
      <c r="O773" s="19"/>
      <c r="P773" s="19"/>
      <c r="Q773" s="19"/>
      <c r="R773" s="19"/>
      <c r="S773" s="19"/>
      <c r="T773" s="19"/>
    </row>
    <row r="774" spans="12:20" x14ac:dyDescent="0.3">
      <c r="L774" s="19"/>
      <c r="M774" s="19"/>
      <c r="N774" s="19"/>
      <c r="O774" s="19"/>
      <c r="P774" s="19"/>
      <c r="Q774" s="19"/>
      <c r="R774" s="19"/>
      <c r="S774" s="19"/>
      <c r="T774" s="19"/>
    </row>
    <row r="775" spans="12:20" x14ac:dyDescent="0.3">
      <c r="L775" s="19"/>
      <c r="M775" s="19"/>
      <c r="N775" s="19"/>
      <c r="O775" s="19"/>
      <c r="P775" s="19"/>
      <c r="Q775" s="19"/>
      <c r="R775" s="19"/>
      <c r="S775" s="19"/>
      <c r="T775" s="19"/>
    </row>
    <row r="776" spans="12:20" x14ac:dyDescent="0.3">
      <c r="L776" s="19"/>
      <c r="M776" s="19"/>
      <c r="N776" s="19"/>
      <c r="O776" s="19"/>
      <c r="P776" s="19"/>
      <c r="Q776" s="19"/>
      <c r="R776" s="19"/>
      <c r="S776" s="19"/>
      <c r="T776" s="19"/>
    </row>
    <row r="777" spans="12:20" x14ac:dyDescent="0.3">
      <c r="L777" s="19"/>
      <c r="M777" s="19"/>
      <c r="N777" s="19"/>
      <c r="O777" s="19"/>
      <c r="P777" s="19"/>
      <c r="Q777" s="19"/>
      <c r="R777" s="19"/>
      <c r="S777" s="19"/>
      <c r="T777" s="19"/>
    </row>
    <row r="778" spans="12:20" x14ac:dyDescent="0.3">
      <c r="L778" s="19"/>
      <c r="M778" s="19"/>
      <c r="N778" s="19"/>
      <c r="O778" s="19"/>
      <c r="P778" s="19"/>
      <c r="Q778" s="19"/>
      <c r="R778" s="19"/>
      <c r="S778" s="19"/>
      <c r="T778" s="19"/>
    </row>
    <row r="779" spans="12:20" x14ac:dyDescent="0.3">
      <c r="L779" s="19"/>
      <c r="M779" s="19"/>
      <c r="N779" s="19"/>
      <c r="O779" s="19"/>
      <c r="P779" s="19"/>
      <c r="Q779" s="19"/>
      <c r="R779" s="19"/>
      <c r="S779" s="19"/>
      <c r="T779" s="19"/>
    </row>
    <row r="780" spans="12:20" x14ac:dyDescent="0.3">
      <c r="L780" s="19"/>
      <c r="M780" s="19"/>
      <c r="N780" s="19"/>
      <c r="O780" s="19"/>
      <c r="P780" s="19"/>
      <c r="Q780" s="19"/>
      <c r="R780" s="19"/>
      <c r="S780" s="19"/>
      <c r="T780" s="19"/>
    </row>
    <row r="781" spans="12:20" x14ac:dyDescent="0.3">
      <c r="L781" s="19"/>
      <c r="M781" s="19"/>
      <c r="N781" s="19"/>
      <c r="O781" s="19"/>
      <c r="P781" s="19"/>
      <c r="Q781" s="19"/>
      <c r="R781" s="19"/>
      <c r="S781" s="19"/>
      <c r="T781" s="19"/>
    </row>
    <row r="782" spans="12:20" x14ac:dyDescent="0.3">
      <c r="L782" s="19"/>
      <c r="M782" s="19"/>
      <c r="N782" s="19"/>
      <c r="O782" s="19"/>
      <c r="P782" s="19"/>
      <c r="Q782" s="19"/>
      <c r="R782" s="19"/>
      <c r="S782" s="19"/>
      <c r="T782" s="19"/>
    </row>
    <row r="783" spans="12:20" x14ac:dyDescent="0.3">
      <c r="L783" s="19"/>
      <c r="M783" s="19"/>
      <c r="N783" s="19"/>
      <c r="O783" s="19"/>
      <c r="P783" s="19"/>
      <c r="Q783" s="19"/>
      <c r="R783" s="19"/>
      <c r="S783" s="19"/>
      <c r="T783" s="19"/>
    </row>
    <row r="784" spans="12:20" x14ac:dyDescent="0.3">
      <c r="L784" s="19"/>
      <c r="M784" s="19"/>
      <c r="N784" s="19"/>
      <c r="O784" s="19"/>
      <c r="P784" s="19"/>
      <c r="Q784" s="19"/>
      <c r="R784" s="19"/>
      <c r="S784" s="19"/>
      <c r="T784" s="19"/>
    </row>
    <row r="785" spans="12:20" x14ac:dyDescent="0.3">
      <c r="L785" s="19"/>
      <c r="M785" s="19"/>
      <c r="N785" s="19"/>
      <c r="O785" s="19"/>
      <c r="P785" s="19"/>
      <c r="Q785" s="19"/>
      <c r="R785" s="19"/>
      <c r="S785" s="19"/>
      <c r="T785" s="19"/>
    </row>
    <row r="786" spans="12:20" x14ac:dyDescent="0.3">
      <c r="L786" s="19"/>
      <c r="M786" s="19"/>
      <c r="N786" s="19"/>
      <c r="O786" s="19"/>
      <c r="P786" s="19"/>
      <c r="Q786" s="19"/>
      <c r="R786" s="19"/>
      <c r="S786" s="19"/>
      <c r="T786" s="19"/>
    </row>
    <row r="787" spans="12:20" x14ac:dyDescent="0.3">
      <c r="L787" s="19"/>
      <c r="M787" s="19"/>
      <c r="N787" s="19"/>
      <c r="O787" s="19"/>
      <c r="P787" s="19"/>
      <c r="Q787" s="19"/>
      <c r="R787" s="19"/>
      <c r="S787" s="19"/>
      <c r="T787" s="19"/>
    </row>
    <row r="788" spans="12:20" x14ac:dyDescent="0.3">
      <c r="L788" s="19"/>
      <c r="M788" s="19"/>
      <c r="N788" s="19"/>
      <c r="O788" s="19"/>
      <c r="P788" s="19"/>
      <c r="Q788" s="19"/>
      <c r="R788" s="19"/>
      <c r="S788" s="19"/>
      <c r="T788" s="19"/>
    </row>
    <row r="789" spans="12:20" x14ac:dyDescent="0.3">
      <c r="L789" s="19"/>
      <c r="M789" s="19"/>
      <c r="N789" s="19"/>
      <c r="O789" s="19"/>
      <c r="P789" s="19"/>
      <c r="Q789" s="19"/>
      <c r="R789" s="19"/>
      <c r="S789" s="19"/>
      <c r="T789" s="19"/>
    </row>
    <row r="790" spans="12:20" x14ac:dyDescent="0.3">
      <c r="L790" s="19"/>
      <c r="M790" s="19"/>
      <c r="N790" s="19"/>
      <c r="O790" s="19"/>
      <c r="P790" s="19"/>
      <c r="Q790" s="19"/>
      <c r="R790" s="19"/>
      <c r="S790" s="19"/>
      <c r="T790" s="19"/>
    </row>
    <row r="791" spans="12:20" x14ac:dyDescent="0.3">
      <c r="L791" s="19"/>
      <c r="M791" s="19"/>
      <c r="N791" s="19"/>
      <c r="O791" s="19"/>
      <c r="P791" s="19"/>
      <c r="Q791" s="19"/>
      <c r="R791" s="19"/>
      <c r="S791" s="19"/>
      <c r="T791" s="19"/>
    </row>
    <row r="792" spans="12:20" x14ac:dyDescent="0.3">
      <c r="L792" s="21"/>
      <c r="M792" s="21"/>
      <c r="N792" s="21"/>
      <c r="O792" s="21"/>
      <c r="P792" s="21"/>
      <c r="Q792" s="21"/>
      <c r="R792" s="21"/>
      <c r="S792" s="21"/>
      <c r="T792" s="21"/>
    </row>
    <row r="793" spans="12:20" x14ac:dyDescent="0.3">
      <c r="L793" s="19"/>
      <c r="M793" s="19"/>
      <c r="N793" s="19"/>
      <c r="O793" s="19"/>
      <c r="P793" s="19"/>
      <c r="Q793" s="19"/>
      <c r="R793" s="19"/>
      <c r="S793" s="19"/>
      <c r="T793" s="19"/>
    </row>
    <row r="794" spans="12:20" x14ac:dyDescent="0.3">
      <c r="L794" s="19"/>
      <c r="M794" s="19"/>
      <c r="N794" s="19"/>
      <c r="O794" s="19"/>
      <c r="P794" s="19"/>
      <c r="Q794" s="19"/>
      <c r="R794" s="19"/>
      <c r="S794" s="19"/>
      <c r="T794" s="19"/>
    </row>
    <row r="795" spans="12:20" x14ac:dyDescent="0.3">
      <c r="L795" s="19"/>
      <c r="M795" s="19"/>
      <c r="N795" s="19"/>
      <c r="O795" s="19"/>
      <c r="P795" s="19"/>
      <c r="Q795" s="19"/>
      <c r="R795" s="19"/>
      <c r="S795" s="19"/>
      <c r="T795" s="19"/>
    </row>
    <row r="796" spans="12:20" x14ac:dyDescent="0.3">
      <c r="L796" s="19"/>
      <c r="M796" s="19"/>
      <c r="N796" s="19"/>
      <c r="O796" s="19"/>
      <c r="P796" s="19"/>
      <c r="Q796" s="19"/>
      <c r="R796" s="19"/>
      <c r="S796" s="19"/>
      <c r="T796" s="19"/>
    </row>
    <row r="797" spans="12:20" x14ac:dyDescent="0.3">
      <c r="L797" s="19"/>
      <c r="M797" s="19"/>
      <c r="N797" s="19"/>
      <c r="O797" s="19"/>
      <c r="P797" s="19"/>
      <c r="Q797" s="19"/>
      <c r="R797" s="19"/>
      <c r="S797" s="19"/>
      <c r="T797" s="19"/>
    </row>
    <row r="798" spans="12:20" x14ac:dyDescent="0.3">
      <c r="L798" s="19"/>
      <c r="M798" s="19"/>
      <c r="N798" s="19"/>
      <c r="O798" s="19"/>
      <c r="P798" s="19"/>
      <c r="Q798" s="19"/>
      <c r="R798" s="19"/>
      <c r="S798" s="19"/>
      <c r="T798" s="19"/>
    </row>
    <row r="799" spans="12:20" x14ac:dyDescent="0.3">
      <c r="L799" s="19"/>
      <c r="M799" s="19"/>
      <c r="N799" s="19"/>
      <c r="O799" s="19"/>
      <c r="P799" s="19"/>
      <c r="Q799" s="19"/>
      <c r="R799" s="19"/>
      <c r="S799" s="19"/>
      <c r="T799" s="19"/>
    </row>
    <row r="800" spans="12:20" x14ac:dyDescent="0.3">
      <c r="L800" s="19"/>
      <c r="M800" s="19"/>
      <c r="N800" s="19"/>
      <c r="O800" s="19"/>
      <c r="P800" s="19"/>
      <c r="Q800" s="19"/>
      <c r="R800" s="19"/>
      <c r="S800" s="19"/>
      <c r="T800" s="19"/>
    </row>
    <row r="801" spans="12:20" x14ac:dyDescent="0.3">
      <c r="L801" s="19"/>
      <c r="M801" s="19"/>
      <c r="N801" s="19"/>
      <c r="O801" s="19"/>
      <c r="P801" s="19"/>
      <c r="Q801" s="19"/>
      <c r="R801" s="19"/>
      <c r="S801" s="19"/>
      <c r="T801" s="19"/>
    </row>
    <row r="802" spans="12:20" x14ac:dyDescent="0.3">
      <c r="L802" s="19"/>
      <c r="M802" s="19"/>
      <c r="N802" s="19"/>
      <c r="O802" s="19"/>
      <c r="P802" s="19"/>
      <c r="Q802" s="19"/>
      <c r="R802" s="19"/>
      <c r="S802" s="19"/>
      <c r="T802" s="19"/>
    </row>
    <row r="803" spans="12:20" x14ac:dyDescent="0.3">
      <c r="L803" s="19"/>
      <c r="M803" s="19"/>
      <c r="N803" s="19"/>
      <c r="O803" s="19"/>
      <c r="P803" s="19"/>
      <c r="Q803" s="19"/>
      <c r="R803" s="19"/>
      <c r="S803" s="19"/>
      <c r="T803" s="19"/>
    </row>
    <row r="804" spans="12:20" x14ac:dyDescent="0.3">
      <c r="L804" s="19"/>
      <c r="M804" s="19"/>
      <c r="N804" s="19"/>
      <c r="O804" s="19"/>
      <c r="P804" s="19"/>
      <c r="Q804" s="19"/>
      <c r="R804" s="19"/>
      <c r="S804" s="19"/>
      <c r="T804" s="19"/>
    </row>
    <row r="805" spans="12:20" x14ac:dyDescent="0.3">
      <c r="L805" s="19"/>
      <c r="M805" s="19"/>
      <c r="N805" s="19"/>
      <c r="O805" s="19"/>
      <c r="P805" s="19"/>
      <c r="Q805" s="19"/>
      <c r="R805" s="19"/>
      <c r="S805" s="19"/>
      <c r="T805" s="19"/>
    </row>
    <row r="806" spans="12:20" x14ac:dyDescent="0.3">
      <c r="L806" s="19"/>
      <c r="M806" s="19"/>
      <c r="N806" s="19"/>
      <c r="O806" s="19"/>
      <c r="P806" s="19"/>
      <c r="Q806" s="19"/>
      <c r="R806" s="19"/>
      <c r="S806" s="19"/>
      <c r="T806" s="19"/>
    </row>
    <row r="807" spans="12:20" x14ac:dyDescent="0.3">
      <c r="L807" s="19"/>
      <c r="M807" s="19"/>
      <c r="N807" s="19"/>
      <c r="O807" s="19"/>
      <c r="P807" s="19"/>
      <c r="Q807" s="19"/>
      <c r="R807" s="19"/>
      <c r="S807" s="19"/>
      <c r="T807" s="19"/>
    </row>
    <row r="808" spans="12:20" x14ac:dyDescent="0.3">
      <c r="L808" s="19"/>
      <c r="M808" s="19"/>
      <c r="N808" s="19"/>
      <c r="O808" s="19"/>
      <c r="P808" s="19"/>
      <c r="Q808" s="19"/>
      <c r="R808" s="19"/>
      <c r="S808" s="19"/>
      <c r="T808" s="19"/>
    </row>
    <row r="809" spans="12:20" x14ac:dyDescent="0.3">
      <c r="L809" s="19"/>
      <c r="M809" s="19"/>
      <c r="N809" s="19"/>
      <c r="O809" s="19"/>
      <c r="P809" s="19"/>
      <c r="Q809" s="19"/>
      <c r="R809" s="19"/>
      <c r="S809" s="19"/>
      <c r="T809" s="19"/>
    </row>
    <row r="810" spans="12:20" x14ac:dyDescent="0.3">
      <c r="L810" s="19"/>
      <c r="M810" s="19"/>
      <c r="N810" s="19"/>
      <c r="O810" s="19"/>
      <c r="P810" s="19"/>
      <c r="Q810" s="19"/>
      <c r="R810" s="19"/>
      <c r="S810" s="19"/>
      <c r="T810" s="19"/>
    </row>
    <row r="811" spans="12:20" x14ac:dyDescent="0.3">
      <c r="L811" s="19"/>
      <c r="M811" s="19"/>
      <c r="N811" s="19"/>
      <c r="O811" s="19"/>
      <c r="P811" s="19"/>
      <c r="Q811" s="19"/>
      <c r="R811" s="19"/>
      <c r="S811" s="19"/>
      <c r="T811" s="19"/>
    </row>
    <row r="812" spans="12:20" x14ac:dyDescent="0.3">
      <c r="L812" s="19"/>
      <c r="M812" s="19"/>
      <c r="N812" s="19"/>
      <c r="O812" s="19"/>
      <c r="P812" s="19"/>
      <c r="Q812" s="19"/>
      <c r="R812" s="19"/>
      <c r="S812" s="19"/>
      <c r="T812" s="19"/>
    </row>
    <row r="813" spans="12:20" x14ac:dyDescent="0.3">
      <c r="L813" s="19"/>
      <c r="M813" s="19"/>
      <c r="N813" s="19"/>
      <c r="O813" s="19"/>
      <c r="P813" s="19"/>
      <c r="Q813" s="19"/>
      <c r="R813" s="19"/>
      <c r="S813" s="19"/>
      <c r="T813" s="19"/>
    </row>
    <row r="814" spans="12:20" x14ac:dyDescent="0.3">
      <c r="L814" s="19"/>
      <c r="M814" s="19"/>
      <c r="N814" s="19"/>
      <c r="O814" s="19"/>
      <c r="P814" s="19"/>
      <c r="Q814" s="19"/>
      <c r="R814" s="19"/>
      <c r="S814" s="19"/>
      <c r="T814" s="19"/>
    </row>
    <row r="815" spans="12:20" x14ac:dyDescent="0.3">
      <c r="L815" s="19"/>
      <c r="M815" s="19"/>
      <c r="N815" s="19"/>
      <c r="O815" s="19"/>
      <c r="P815" s="19"/>
      <c r="Q815" s="19"/>
      <c r="R815" s="19"/>
      <c r="S815" s="19"/>
      <c r="T815" s="19"/>
    </row>
    <row r="816" spans="12:20" x14ac:dyDescent="0.3">
      <c r="L816" s="19"/>
      <c r="M816" s="19"/>
      <c r="N816" s="19"/>
      <c r="O816" s="19"/>
      <c r="P816" s="19"/>
      <c r="Q816" s="19"/>
      <c r="R816" s="19"/>
      <c r="S816" s="19"/>
      <c r="T816" s="19"/>
    </row>
    <row r="817" spans="12:20" x14ac:dyDescent="0.3">
      <c r="L817" s="19"/>
      <c r="M817" s="19"/>
      <c r="N817" s="19"/>
      <c r="O817" s="19"/>
      <c r="P817" s="19"/>
      <c r="Q817" s="19"/>
      <c r="R817" s="19"/>
      <c r="S817" s="19"/>
      <c r="T817" s="19"/>
    </row>
    <row r="818" spans="12:20" x14ac:dyDescent="0.3">
      <c r="L818" s="19"/>
      <c r="M818" s="19"/>
      <c r="N818" s="19"/>
      <c r="O818" s="19"/>
      <c r="P818" s="19"/>
      <c r="Q818" s="19"/>
      <c r="R818" s="19"/>
      <c r="S818" s="19"/>
      <c r="T818" s="19"/>
    </row>
    <row r="819" spans="12:20" x14ac:dyDescent="0.3">
      <c r="L819" s="19"/>
      <c r="M819" s="19"/>
      <c r="N819" s="19"/>
      <c r="O819" s="19"/>
      <c r="P819" s="19"/>
      <c r="Q819" s="19"/>
      <c r="R819" s="19"/>
      <c r="S819" s="19"/>
      <c r="T819" s="19"/>
    </row>
    <row r="820" spans="12:20" x14ac:dyDescent="0.3">
      <c r="L820" s="19"/>
      <c r="M820" s="19"/>
      <c r="N820" s="19"/>
      <c r="O820" s="19"/>
      <c r="P820" s="19"/>
      <c r="Q820" s="19"/>
      <c r="R820" s="19"/>
      <c r="S820" s="19"/>
      <c r="T820" s="19"/>
    </row>
    <row r="821" spans="12:20" x14ac:dyDescent="0.3">
      <c r="L821" s="19"/>
      <c r="M821" s="19"/>
      <c r="N821" s="19"/>
      <c r="O821" s="19"/>
      <c r="P821" s="19"/>
      <c r="Q821" s="19"/>
      <c r="R821" s="19"/>
      <c r="S821" s="19"/>
      <c r="T821" s="19"/>
    </row>
    <row r="822" spans="12:20" x14ac:dyDescent="0.3">
      <c r="L822" s="19"/>
      <c r="M822" s="19"/>
      <c r="N822" s="19"/>
      <c r="O822" s="19"/>
      <c r="P822" s="19"/>
      <c r="Q822" s="19"/>
      <c r="R822" s="19"/>
      <c r="S822" s="19"/>
      <c r="T822" s="19"/>
    </row>
    <row r="823" spans="12:20" x14ac:dyDescent="0.3">
      <c r="L823" s="19"/>
      <c r="M823" s="19"/>
      <c r="N823" s="19"/>
      <c r="O823" s="19"/>
      <c r="P823" s="19"/>
      <c r="Q823" s="19"/>
      <c r="R823" s="19"/>
      <c r="S823" s="19"/>
      <c r="T823" s="19"/>
    </row>
    <row r="824" spans="12:20" x14ac:dyDescent="0.3">
      <c r="L824" s="19"/>
      <c r="M824" s="19"/>
      <c r="N824" s="19"/>
      <c r="O824" s="19"/>
      <c r="P824" s="19"/>
      <c r="Q824" s="19"/>
      <c r="R824" s="19"/>
      <c r="S824" s="19"/>
      <c r="T824" s="19"/>
    </row>
    <row r="825" spans="12:20" x14ac:dyDescent="0.3">
      <c r="L825" s="19"/>
      <c r="M825" s="19"/>
      <c r="N825" s="19"/>
      <c r="O825" s="19"/>
      <c r="P825" s="19"/>
      <c r="Q825" s="19"/>
      <c r="R825" s="19"/>
      <c r="S825" s="19"/>
      <c r="T825" s="19"/>
    </row>
    <row r="826" spans="12:20" x14ac:dyDescent="0.3">
      <c r="L826" s="19"/>
      <c r="M826" s="19"/>
      <c r="N826" s="19"/>
      <c r="O826" s="19"/>
      <c r="P826" s="19"/>
      <c r="Q826" s="19"/>
      <c r="R826" s="19"/>
      <c r="S826" s="19"/>
      <c r="T826" s="19"/>
    </row>
    <row r="827" spans="12:20" x14ac:dyDescent="0.3">
      <c r="L827" s="19"/>
      <c r="M827" s="19"/>
      <c r="N827" s="19"/>
      <c r="O827" s="19"/>
      <c r="P827" s="19"/>
      <c r="Q827" s="19"/>
      <c r="R827" s="19"/>
      <c r="S827" s="19"/>
      <c r="T827" s="19"/>
    </row>
    <row r="828" spans="12:20" x14ac:dyDescent="0.3">
      <c r="L828" s="19"/>
      <c r="M828" s="19"/>
      <c r="N828" s="19"/>
      <c r="O828" s="19"/>
      <c r="P828" s="19"/>
      <c r="Q828" s="19"/>
      <c r="R828" s="19"/>
      <c r="S828" s="19"/>
      <c r="T828" s="19"/>
    </row>
    <row r="829" spans="12:20" x14ac:dyDescent="0.3">
      <c r="L829" s="19"/>
      <c r="M829" s="19"/>
      <c r="N829" s="19"/>
      <c r="O829" s="19"/>
      <c r="P829" s="19"/>
      <c r="Q829" s="19"/>
      <c r="R829" s="19"/>
      <c r="S829" s="19"/>
      <c r="T829" s="19"/>
    </row>
    <row r="830" spans="12:20" x14ac:dyDescent="0.3">
      <c r="L830" s="19"/>
      <c r="M830" s="19"/>
      <c r="N830" s="19"/>
      <c r="O830" s="19"/>
      <c r="P830" s="19"/>
      <c r="Q830" s="19"/>
      <c r="R830" s="19"/>
      <c r="S830" s="19"/>
      <c r="T830" s="19"/>
    </row>
    <row r="831" spans="12:20" x14ac:dyDescent="0.3">
      <c r="L831" s="19"/>
      <c r="M831" s="19"/>
      <c r="N831" s="19"/>
      <c r="O831" s="19"/>
      <c r="P831" s="19"/>
      <c r="Q831" s="19"/>
      <c r="R831" s="19"/>
      <c r="S831" s="19"/>
      <c r="T831" s="19"/>
    </row>
    <row r="832" spans="12:20" x14ac:dyDescent="0.3">
      <c r="L832" s="19"/>
      <c r="M832" s="19"/>
      <c r="N832" s="19"/>
      <c r="O832" s="19"/>
      <c r="P832" s="19"/>
      <c r="Q832" s="19"/>
      <c r="R832" s="19"/>
      <c r="S832" s="19"/>
      <c r="T832" s="19"/>
    </row>
    <row r="833" spans="12:20" x14ac:dyDescent="0.3">
      <c r="L833" s="19"/>
      <c r="M833" s="19"/>
      <c r="N833" s="19"/>
      <c r="O833" s="19"/>
      <c r="P833" s="19"/>
      <c r="Q833" s="19"/>
      <c r="R833" s="19"/>
      <c r="S833" s="19"/>
      <c r="T833" s="19"/>
    </row>
    <row r="834" spans="12:20" x14ac:dyDescent="0.3">
      <c r="L834" s="19"/>
      <c r="M834" s="19"/>
      <c r="N834" s="19"/>
      <c r="O834" s="19"/>
      <c r="P834" s="19"/>
      <c r="Q834" s="19"/>
      <c r="R834" s="19"/>
      <c r="S834" s="19"/>
      <c r="T834" s="19"/>
    </row>
    <row r="835" spans="12:20" x14ac:dyDescent="0.3">
      <c r="L835" s="19"/>
      <c r="M835" s="19"/>
      <c r="N835" s="19"/>
      <c r="O835" s="19"/>
      <c r="P835" s="19"/>
      <c r="Q835" s="19"/>
      <c r="R835" s="19"/>
      <c r="S835" s="19"/>
      <c r="T835" s="19"/>
    </row>
    <row r="836" spans="12:20" x14ac:dyDescent="0.3">
      <c r="L836" s="19"/>
      <c r="M836" s="19"/>
      <c r="N836" s="19"/>
      <c r="O836" s="19"/>
      <c r="P836" s="19"/>
      <c r="Q836" s="19"/>
      <c r="R836" s="19"/>
      <c r="S836" s="19"/>
      <c r="T836" s="19"/>
    </row>
    <row r="837" spans="12:20" x14ac:dyDescent="0.3">
      <c r="L837" s="19"/>
      <c r="M837" s="19"/>
      <c r="N837" s="19"/>
      <c r="O837" s="19"/>
      <c r="P837" s="19"/>
      <c r="Q837" s="19"/>
      <c r="R837" s="19"/>
      <c r="S837" s="19"/>
      <c r="T837" s="19"/>
    </row>
    <row r="838" spans="12:20" x14ac:dyDescent="0.3">
      <c r="L838" s="19"/>
      <c r="M838" s="19"/>
      <c r="N838" s="19"/>
      <c r="O838" s="19"/>
      <c r="P838" s="19"/>
      <c r="Q838" s="19"/>
      <c r="R838" s="19"/>
      <c r="S838" s="19"/>
      <c r="T838" s="19"/>
    </row>
    <row r="839" spans="12:20" x14ac:dyDescent="0.3">
      <c r="L839" s="19"/>
      <c r="M839" s="19"/>
      <c r="N839" s="19"/>
      <c r="O839" s="19"/>
      <c r="P839" s="19"/>
      <c r="Q839" s="19"/>
      <c r="R839" s="19"/>
      <c r="S839" s="19"/>
      <c r="T839" s="19"/>
    </row>
    <row r="840" spans="12:20" x14ac:dyDescent="0.3">
      <c r="L840" s="19"/>
      <c r="M840" s="19"/>
      <c r="N840" s="19"/>
      <c r="O840" s="19"/>
      <c r="P840" s="19"/>
      <c r="Q840" s="19"/>
      <c r="R840" s="19"/>
      <c r="S840" s="19"/>
      <c r="T840" s="19"/>
    </row>
    <row r="841" spans="12:20" x14ac:dyDescent="0.3">
      <c r="L841" s="19"/>
      <c r="M841" s="19"/>
      <c r="N841" s="19"/>
      <c r="O841" s="19"/>
      <c r="P841" s="19"/>
      <c r="Q841" s="19"/>
      <c r="R841" s="19"/>
      <c r="S841" s="19"/>
      <c r="T841" s="19"/>
    </row>
    <row r="842" spans="12:20" x14ac:dyDescent="0.3">
      <c r="L842" s="19"/>
      <c r="M842" s="19"/>
      <c r="N842" s="19"/>
      <c r="O842" s="19"/>
      <c r="P842" s="19"/>
      <c r="Q842" s="19"/>
      <c r="R842" s="19"/>
      <c r="S842" s="19"/>
      <c r="T842" s="19"/>
    </row>
    <row r="843" spans="12:20" x14ac:dyDescent="0.3">
      <c r="L843" s="19"/>
      <c r="M843" s="19"/>
      <c r="N843" s="19"/>
      <c r="O843" s="19"/>
      <c r="P843" s="19"/>
      <c r="Q843" s="19"/>
      <c r="R843" s="19"/>
      <c r="S843" s="19"/>
      <c r="T843" s="19"/>
    </row>
    <row r="844" spans="12:20" x14ac:dyDescent="0.3">
      <c r="L844" s="19"/>
      <c r="M844" s="19"/>
      <c r="N844" s="19"/>
      <c r="O844" s="19"/>
      <c r="P844" s="19"/>
      <c r="Q844" s="19"/>
      <c r="R844" s="19"/>
      <c r="S844" s="19"/>
      <c r="T844" s="19"/>
    </row>
    <row r="845" spans="12:20" x14ac:dyDescent="0.3">
      <c r="L845" s="19"/>
      <c r="M845" s="19"/>
      <c r="N845" s="19"/>
      <c r="O845" s="19"/>
      <c r="P845" s="19"/>
      <c r="Q845" s="19"/>
      <c r="R845" s="19"/>
      <c r="S845" s="19"/>
      <c r="T845" s="19"/>
    </row>
    <row r="846" spans="12:20" x14ac:dyDescent="0.3">
      <c r="L846" s="19"/>
      <c r="M846" s="19"/>
      <c r="N846" s="19"/>
      <c r="O846" s="19"/>
      <c r="P846" s="19"/>
      <c r="Q846" s="19"/>
      <c r="R846" s="19"/>
      <c r="S846" s="19"/>
      <c r="T846" s="19"/>
    </row>
    <row r="847" spans="12:20" x14ac:dyDescent="0.3">
      <c r="L847" s="19"/>
      <c r="M847" s="19"/>
      <c r="N847" s="19"/>
      <c r="O847" s="19"/>
      <c r="P847" s="19"/>
      <c r="Q847" s="19"/>
      <c r="R847" s="19"/>
      <c r="S847" s="19"/>
      <c r="T847" s="19"/>
    </row>
    <row r="848" spans="12:20" x14ac:dyDescent="0.3">
      <c r="L848" s="19"/>
      <c r="M848" s="19"/>
      <c r="N848" s="19"/>
      <c r="O848" s="19"/>
      <c r="P848" s="19"/>
      <c r="Q848" s="19"/>
      <c r="R848" s="19"/>
      <c r="S848" s="19"/>
      <c r="T848" s="19"/>
    </row>
    <row r="849" spans="12:20" x14ac:dyDescent="0.3">
      <c r="L849" s="19"/>
      <c r="M849" s="19"/>
      <c r="N849" s="19"/>
      <c r="O849" s="19"/>
      <c r="P849" s="19"/>
      <c r="Q849" s="19"/>
      <c r="R849" s="19"/>
      <c r="S849" s="19"/>
      <c r="T849" s="19"/>
    </row>
    <row r="850" spans="12:20" x14ac:dyDescent="0.3">
      <c r="L850" s="19"/>
      <c r="M850" s="19"/>
      <c r="N850" s="19"/>
      <c r="O850" s="19"/>
      <c r="P850" s="19"/>
      <c r="Q850" s="19"/>
      <c r="R850" s="19"/>
      <c r="S850" s="19"/>
      <c r="T850" s="19"/>
    </row>
    <row r="851" spans="12:20" x14ac:dyDescent="0.3">
      <c r="L851" s="19"/>
      <c r="M851" s="19"/>
      <c r="N851" s="19"/>
      <c r="O851" s="19"/>
      <c r="P851" s="19"/>
      <c r="Q851" s="19"/>
      <c r="R851" s="19"/>
      <c r="S851" s="19"/>
      <c r="T851" s="19"/>
    </row>
    <row r="852" spans="12:20" x14ac:dyDescent="0.3">
      <c r="L852" s="19"/>
      <c r="M852" s="19"/>
      <c r="N852" s="19"/>
      <c r="O852" s="19"/>
      <c r="P852" s="19"/>
      <c r="Q852" s="19"/>
      <c r="R852" s="19"/>
      <c r="S852" s="19"/>
      <c r="T852" s="19"/>
    </row>
    <row r="853" spans="12:20" x14ac:dyDescent="0.3">
      <c r="L853" s="19"/>
      <c r="M853" s="19"/>
      <c r="N853" s="19"/>
      <c r="O853" s="19"/>
      <c r="P853" s="19"/>
      <c r="Q853" s="19"/>
      <c r="R853" s="19"/>
      <c r="S853" s="19"/>
      <c r="T853" s="19"/>
    </row>
    <row r="854" spans="12:20" x14ac:dyDescent="0.3">
      <c r="L854" s="19"/>
      <c r="M854" s="19"/>
      <c r="N854" s="19"/>
      <c r="O854" s="19"/>
      <c r="P854" s="19"/>
      <c r="Q854" s="19"/>
      <c r="R854" s="19"/>
      <c r="S854" s="19"/>
      <c r="T854" s="19"/>
    </row>
    <row r="855" spans="12:20" x14ac:dyDescent="0.3">
      <c r="L855" s="19"/>
      <c r="M855" s="19"/>
      <c r="N855" s="19"/>
      <c r="O855" s="19"/>
      <c r="P855" s="19"/>
      <c r="Q855" s="19"/>
      <c r="R855" s="19"/>
      <c r="S855" s="19"/>
      <c r="T855" s="19"/>
    </row>
    <row r="856" spans="12:20" x14ac:dyDescent="0.3">
      <c r="L856" s="19"/>
      <c r="M856" s="19"/>
      <c r="N856" s="19"/>
      <c r="O856" s="19"/>
      <c r="P856" s="19"/>
      <c r="Q856" s="19"/>
      <c r="R856" s="19"/>
      <c r="S856" s="19"/>
      <c r="T856" s="19"/>
    </row>
    <row r="857" spans="12:20" x14ac:dyDescent="0.3">
      <c r="L857" s="19"/>
      <c r="M857" s="19"/>
      <c r="N857" s="19"/>
      <c r="O857" s="19"/>
      <c r="P857" s="19"/>
      <c r="Q857" s="19"/>
      <c r="R857" s="19"/>
      <c r="S857" s="19"/>
      <c r="T857" s="19"/>
    </row>
    <row r="858" spans="12:20" x14ac:dyDescent="0.3">
      <c r="L858" s="19"/>
      <c r="M858" s="19"/>
      <c r="N858" s="19"/>
      <c r="O858" s="19"/>
      <c r="P858" s="19"/>
      <c r="Q858" s="19"/>
      <c r="R858" s="19"/>
      <c r="S858" s="19"/>
      <c r="T858" s="19"/>
    </row>
    <row r="859" spans="12:20" x14ac:dyDescent="0.3">
      <c r="L859" s="19"/>
      <c r="M859" s="19"/>
      <c r="N859" s="19"/>
      <c r="O859" s="19"/>
      <c r="P859" s="19"/>
      <c r="Q859" s="19"/>
      <c r="R859" s="19"/>
      <c r="S859" s="19"/>
      <c r="T859" s="19"/>
    </row>
    <row r="860" spans="12:20" x14ac:dyDescent="0.3">
      <c r="L860" s="19"/>
      <c r="M860" s="19"/>
      <c r="N860" s="19"/>
      <c r="O860" s="19"/>
      <c r="P860" s="19"/>
      <c r="Q860" s="19"/>
      <c r="R860" s="19"/>
      <c r="S860" s="19"/>
      <c r="T860" s="19"/>
    </row>
    <row r="861" spans="12:20" x14ac:dyDescent="0.3">
      <c r="L861" s="19"/>
      <c r="M861" s="19"/>
      <c r="N861" s="19"/>
      <c r="O861" s="19"/>
      <c r="P861" s="19"/>
      <c r="Q861" s="19"/>
      <c r="R861" s="19"/>
      <c r="S861" s="19"/>
      <c r="T861" s="19"/>
    </row>
    <row r="862" spans="12:20" x14ac:dyDescent="0.3">
      <c r="L862" s="19"/>
      <c r="M862" s="19"/>
      <c r="N862" s="19"/>
      <c r="O862" s="19"/>
      <c r="P862" s="19"/>
      <c r="Q862" s="19"/>
      <c r="R862" s="19"/>
      <c r="S862" s="19"/>
      <c r="T862" s="19"/>
    </row>
    <row r="863" spans="12:20" x14ac:dyDescent="0.3">
      <c r="L863" s="19"/>
      <c r="M863" s="19"/>
      <c r="N863" s="19"/>
      <c r="O863" s="19"/>
      <c r="P863" s="19"/>
      <c r="Q863" s="19"/>
      <c r="R863" s="19"/>
      <c r="S863" s="19"/>
      <c r="T863" s="19"/>
    </row>
    <row r="864" spans="12:20" x14ac:dyDescent="0.3">
      <c r="L864" s="19"/>
      <c r="M864" s="19"/>
      <c r="N864" s="19"/>
      <c r="O864" s="19"/>
      <c r="P864" s="19"/>
      <c r="Q864" s="19"/>
      <c r="R864" s="19"/>
      <c r="S864" s="19"/>
      <c r="T864" s="19"/>
    </row>
    <row r="865" spans="12:20" x14ac:dyDescent="0.3">
      <c r="L865" s="19"/>
      <c r="M865" s="19"/>
      <c r="N865" s="19"/>
      <c r="O865" s="19"/>
      <c r="P865" s="19"/>
      <c r="Q865" s="19"/>
      <c r="R865" s="19"/>
      <c r="S865" s="19"/>
      <c r="T865" s="19"/>
    </row>
    <row r="866" spans="12:20" x14ac:dyDescent="0.3">
      <c r="L866" s="19"/>
      <c r="M866" s="19"/>
      <c r="N866" s="19"/>
      <c r="O866" s="19"/>
      <c r="P866" s="19"/>
      <c r="Q866" s="19"/>
      <c r="R866" s="19"/>
      <c r="S866" s="19"/>
      <c r="T866" s="19"/>
    </row>
    <row r="867" spans="12:20" x14ac:dyDescent="0.3">
      <c r="L867" s="19"/>
      <c r="M867" s="19"/>
      <c r="N867" s="19"/>
      <c r="O867" s="19"/>
      <c r="P867" s="19"/>
      <c r="Q867" s="19"/>
      <c r="R867" s="19"/>
      <c r="S867" s="19"/>
      <c r="T867" s="19"/>
    </row>
    <row r="868" spans="12:20" x14ac:dyDescent="0.3">
      <c r="L868" s="19"/>
      <c r="M868" s="19"/>
      <c r="N868" s="19"/>
      <c r="O868" s="19"/>
      <c r="P868" s="19"/>
      <c r="Q868" s="19"/>
      <c r="R868" s="19"/>
      <c r="S868" s="19"/>
      <c r="T868" s="19"/>
    </row>
    <row r="869" spans="12:20" x14ac:dyDescent="0.3">
      <c r="L869" s="19"/>
      <c r="M869" s="19"/>
      <c r="N869" s="19"/>
      <c r="O869" s="19"/>
      <c r="P869" s="19"/>
      <c r="Q869" s="19"/>
      <c r="R869" s="19"/>
      <c r="S869" s="19"/>
      <c r="T869" s="19"/>
    </row>
    <row r="870" spans="12:20" x14ac:dyDescent="0.3">
      <c r="L870" s="19"/>
      <c r="M870" s="19"/>
      <c r="N870" s="19"/>
      <c r="O870" s="19"/>
      <c r="P870" s="19"/>
      <c r="Q870" s="19"/>
      <c r="R870" s="19"/>
      <c r="S870" s="19"/>
      <c r="T870" s="19"/>
    </row>
    <row r="871" spans="12:20" x14ac:dyDescent="0.3">
      <c r="L871" s="19"/>
      <c r="M871" s="19"/>
      <c r="N871" s="19"/>
      <c r="O871" s="19"/>
      <c r="P871" s="19"/>
      <c r="Q871" s="19"/>
      <c r="R871" s="19"/>
      <c r="S871" s="19"/>
      <c r="T871" s="19"/>
    </row>
    <row r="872" spans="12:20" x14ac:dyDescent="0.3">
      <c r="L872" s="19"/>
      <c r="M872" s="19"/>
      <c r="N872" s="19"/>
      <c r="O872" s="19"/>
      <c r="P872" s="19"/>
      <c r="Q872" s="19"/>
      <c r="R872" s="19"/>
      <c r="S872" s="19"/>
      <c r="T872" s="19"/>
    </row>
    <row r="873" spans="12:20" x14ac:dyDescent="0.3">
      <c r="L873" s="19"/>
      <c r="M873" s="19"/>
      <c r="N873" s="19"/>
      <c r="O873" s="19"/>
      <c r="P873" s="19"/>
      <c r="Q873" s="19"/>
      <c r="R873" s="19"/>
      <c r="S873" s="19"/>
      <c r="T873" s="19"/>
    </row>
    <row r="874" spans="12:20" x14ac:dyDescent="0.3">
      <c r="L874" s="19"/>
      <c r="M874" s="19"/>
      <c r="N874" s="19"/>
      <c r="O874" s="19"/>
      <c r="P874" s="19"/>
      <c r="Q874" s="19"/>
      <c r="R874" s="19"/>
      <c r="S874" s="19"/>
      <c r="T874" s="19"/>
    </row>
    <row r="875" spans="12:20" x14ac:dyDescent="0.3">
      <c r="L875" s="19"/>
      <c r="M875" s="19"/>
      <c r="N875" s="19"/>
      <c r="O875" s="19"/>
      <c r="P875" s="19"/>
      <c r="Q875" s="19"/>
      <c r="R875" s="19"/>
      <c r="S875" s="19"/>
      <c r="T875" s="19"/>
    </row>
    <row r="876" spans="12:20" x14ac:dyDescent="0.3">
      <c r="L876" s="19"/>
      <c r="M876" s="19"/>
      <c r="N876" s="19"/>
      <c r="O876" s="19"/>
      <c r="P876" s="19"/>
      <c r="Q876" s="19"/>
      <c r="R876" s="19"/>
      <c r="S876" s="19"/>
      <c r="T876" s="19"/>
    </row>
    <row r="877" spans="12:20" x14ac:dyDescent="0.3">
      <c r="L877" s="19"/>
      <c r="M877" s="19"/>
      <c r="N877" s="19"/>
      <c r="O877" s="19"/>
      <c r="P877" s="19"/>
      <c r="Q877" s="19"/>
      <c r="R877" s="19"/>
      <c r="S877" s="19"/>
      <c r="T877" s="19"/>
    </row>
    <row r="878" spans="12:20" x14ac:dyDescent="0.3">
      <c r="L878" s="19"/>
      <c r="M878" s="19"/>
      <c r="N878" s="19"/>
      <c r="O878" s="19"/>
      <c r="P878" s="19"/>
      <c r="Q878" s="19"/>
      <c r="R878" s="19"/>
      <c r="S878" s="19"/>
      <c r="T878" s="19"/>
    </row>
    <row r="879" spans="12:20" x14ac:dyDescent="0.3">
      <c r="L879" s="19"/>
      <c r="M879" s="19"/>
      <c r="N879" s="19"/>
      <c r="O879" s="19"/>
      <c r="P879" s="19"/>
      <c r="Q879" s="19"/>
      <c r="R879" s="19"/>
      <c r="S879" s="19"/>
      <c r="T879" s="19"/>
    </row>
    <row r="880" spans="12:20" x14ac:dyDescent="0.3">
      <c r="L880" s="19"/>
      <c r="M880" s="19"/>
      <c r="N880" s="19"/>
      <c r="O880" s="19"/>
      <c r="P880" s="19"/>
      <c r="Q880" s="19"/>
      <c r="R880" s="19"/>
      <c r="S880" s="19"/>
      <c r="T880" s="19"/>
    </row>
    <row r="881" spans="12:20" x14ac:dyDescent="0.3">
      <c r="L881" s="19"/>
      <c r="M881" s="19"/>
      <c r="N881" s="19"/>
      <c r="O881" s="19"/>
      <c r="P881" s="19"/>
      <c r="Q881" s="19"/>
      <c r="R881" s="19"/>
      <c r="S881" s="19"/>
      <c r="T881" s="19"/>
    </row>
    <row r="882" spans="12:20" x14ac:dyDescent="0.3">
      <c r="L882" s="19"/>
      <c r="M882" s="19"/>
      <c r="N882" s="19"/>
      <c r="O882" s="19"/>
      <c r="P882" s="19"/>
      <c r="Q882" s="19"/>
      <c r="R882" s="19"/>
      <c r="S882" s="19"/>
      <c r="T882" s="19"/>
    </row>
    <row r="883" spans="12:20" x14ac:dyDescent="0.3">
      <c r="L883" s="19"/>
      <c r="M883" s="19"/>
      <c r="N883" s="19"/>
      <c r="O883" s="19"/>
      <c r="P883" s="19"/>
      <c r="Q883" s="19"/>
      <c r="R883" s="19"/>
      <c r="S883" s="19"/>
      <c r="T883" s="19"/>
    </row>
    <row r="884" spans="12:20" x14ac:dyDescent="0.3">
      <c r="L884" s="19"/>
      <c r="M884" s="19"/>
      <c r="N884" s="19"/>
      <c r="O884" s="19"/>
      <c r="P884" s="19"/>
      <c r="Q884" s="19"/>
      <c r="R884" s="19"/>
      <c r="S884" s="19"/>
      <c r="T884" s="19"/>
    </row>
    <row r="885" spans="12:20" x14ac:dyDescent="0.3">
      <c r="L885" s="19"/>
      <c r="M885" s="19"/>
      <c r="N885" s="19"/>
      <c r="O885" s="19"/>
      <c r="P885" s="19"/>
      <c r="Q885" s="19"/>
      <c r="R885" s="19"/>
      <c r="S885" s="19"/>
      <c r="T885" s="19"/>
    </row>
    <row r="886" spans="12:20" x14ac:dyDescent="0.3">
      <c r="L886" s="19"/>
      <c r="M886" s="19"/>
      <c r="N886" s="19"/>
      <c r="O886" s="19"/>
      <c r="P886" s="19"/>
      <c r="Q886" s="19"/>
      <c r="R886" s="19"/>
      <c r="S886" s="19"/>
      <c r="T886" s="19"/>
    </row>
    <row r="887" spans="12:20" x14ac:dyDescent="0.3">
      <c r="L887" s="19"/>
      <c r="M887" s="19"/>
      <c r="N887" s="19"/>
      <c r="O887" s="19"/>
      <c r="P887" s="19"/>
      <c r="Q887" s="19"/>
      <c r="R887" s="19"/>
      <c r="S887" s="19"/>
      <c r="T887" s="19"/>
    </row>
    <row r="888" spans="12:20" x14ac:dyDescent="0.3">
      <c r="L888" s="19"/>
      <c r="M888" s="19"/>
      <c r="N888" s="19"/>
      <c r="O888" s="19"/>
      <c r="P888" s="19"/>
      <c r="Q888" s="19"/>
      <c r="R888" s="19"/>
      <c r="S888" s="19"/>
      <c r="T888" s="19"/>
    </row>
    <row r="889" spans="12:20" x14ac:dyDescent="0.3">
      <c r="L889" s="19"/>
      <c r="M889" s="19"/>
      <c r="N889" s="19"/>
      <c r="O889" s="19"/>
      <c r="P889" s="19"/>
      <c r="Q889" s="19"/>
      <c r="R889" s="19"/>
      <c r="S889" s="19"/>
      <c r="T889" s="19"/>
    </row>
    <row r="890" spans="12:20" x14ac:dyDescent="0.3">
      <c r="L890" s="19"/>
      <c r="M890" s="19"/>
      <c r="N890" s="19"/>
      <c r="O890" s="19"/>
      <c r="P890" s="19"/>
      <c r="Q890" s="19"/>
      <c r="R890" s="19"/>
      <c r="S890" s="19"/>
      <c r="T890" s="19"/>
    </row>
    <row r="891" spans="12:20" x14ac:dyDescent="0.3">
      <c r="L891" s="19"/>
      <c r="M891" s="19"/>
      <c r="N891" s="19"/>
      <c r="O891" s="19"/>
      <c r="P891" s="19"/>
      <c r="Q891" s="19"/>
      <c r="R891" s="19"/>
      <c r="S891" s="19"/>
      <c r="T891" s="19"/>
    </row>
    <row r="892" spans="12:20" x14ac:dyDescent="0.3">
      <c r="L892" s="19"/>
      <c r="M892" s="19"/>
      <c r="N892" s="19"/>
      <c r="O892" s="19"/>
      <c r="P892" s="19"/>
      <c r="Q892" s="19"/>
      <c r="R892" s="19"/>
      <c r="S892" s="19"/>
      <c r="T892" s="19"/>
    </row>
    <row r="893" spans="12:20" x14ac:dyDescent="0.3">
      <c r="L893" s="19"/>
      <c r="M893" s="19"/>
      <c r="N893" s="19"/>
      <c r="O893" s="19"/>
      <c r="P893" s="19"/>
      <c r="Q893" s="19"/>
      <c r="R893" s="19"/>
      <c r="S893" s="19"/>
      <c r="T893" s="19"/>
    </row>
    <row r="894" spans="12:20" x14ac:dyDescent="0.3">
      <c r="L894" s="19"/>
      <c r="M894" s="19"/>
      <c r="N894" s="19"/>
      <c r="O894" s="19"/>
      <c r="P894" s="19"/>
      <c r="Q894" s="19"/>
      <c r="R894" s="19"/>
      <c r="S894" s="19"/>
      <c r="T894" s="19"/>
    </row>
    <row r="895" spans="12:20" x14ac:dyDescent="0.3">
      <c r="L895" s="19"/>
      <c r="M895" s="19"/>
      <c r="N895" s="19"/>
      <c r="O895" s="19"/>
      <c r="P895" s="19"/>
      <c r="Q895" s="19"/>
      <c r="R895" s="19"/>
      <c r="S895" s="19"/>
      <c r="T895" s="19"/>
    </row>
    <row r="896" spans="12:20" x14ac:dyDescent="0.3">
      <c r="L896" s="19"/>
      <c r="M896" s="19"/>
      <c r="N896" s="19"/>
      <c r="O896" s="19"/>
      <c r="P896" s="19"/>
      <c r="Q896" s="19"/>
      <c r="R896" s="19"/>
      <c r="S896" s="19"/>
      <c r="T896" s="19"/>
    </row>
    <row r="897" spans="12:20" x14ac:dyDescent="0.3">
      <c r="L897" s="19"/>
      <c r="M897" s="19"/>
      <c r="N897" s="19"/>
      <c r="O897" s="19"/>
      <c r="P897" s="19"/>
      <c r="Q897" s="19"/>
      <c r="R897" s="19"/>
      <c r="S897" s="19"/>
      <c r="T897" s="19"/>
    </row>
    <row r="898" spans="12:20" x14ac:dyDescent="0.3">
      <c r="L898" s="19"/>
      <c r="M898" s="19"/>
      <c r="N898" s="19"/>
      <c r="O898" s="19"/>
      <c r="P898" s="19"/>
      <c r="Q898" s="19"/>
      <c r="R898" s="19"/>
      <c r="S898" s="19"/>
      <c r="T898" s="19"/>
    </row>
    <row r="899" spans="12:20" x14ac:dyDescent="0.3">
      <c r="L899" s="19"/>
      <c r="M899" s="19"/>
      <c r="N899" s="19"/>
      <c r="O899" s="19"/>
      <c r="P899" s="19"/>
      <c r="Q899" s="19"/>
      <c r="R899" s="19"/>
      <c r="S899" s="19"/>
      <c r="T899" s="19"/>
    </row>
    <row r="900" spans="12:20" x14ac:dyDescent="0.3">
      <c r="L900" s="19"/>
      <c r="M900" s="19"/>
      <c r="N900" s="19"/>
      <c r="O900" s="19"/>
      <c r="P900" s="19"/>
      <c r="Q900" s="19"/>
      <c r="R900" s="19"/>
      <c r="S900" s="19"/>
      <c r="T900" s="19"/>
    </row>
    <row r="901" spans="12:20" x14ac:dyDescent="0.3">
      <c r="L901" s="19"/>
      <c r="M901" s="19"/>
      <c r="N901" s="19"/>
      <c r="O901" s="19"/>
      <c r="P901" s="19"/>
      <c r="Q901" s="19"/>
      <c r="R901" s="19"/>
      <c r="S901" s="19"/>
      <c r="T901" s="19"/>
    </row>
    <row r="902" spans="12:20" x14ac:dyDescent="0.3">
      <c r="L902" s="19"/>
      <c r="M902" s="19"/>
      <c r="N902" s="19"/>
      <c r="O902" s="19"/>
      <c r="P902" s="19"/>
      <c r="Q902" s="19"/>
      <c r="R902" s="19"/>
      <c r="S902" s="19"/>
      <c r="T902" s="19"/>
    </row>
    <row r="903" spans="12:20" x14ac:dyDescent="0.3">
      <c r="L903" s="19"/>
      <c r="M903" s="19"/>
      <c r="N903" s="19"/>
      <c r="O903" s="19"/>
      <c r="P903" s="19"/>
      <c r="Q903" s="19"/>
      <c r="R903" s="19"/>
      <c r="S903" s="19"/>
      <c r="T903" s="19"/>
    </row>
    <row r="904" spans="12:20" x14ac:dyDescent="0.3">
      <c r="L904" s="19"/>
      <c r="M904" s="19"/>
      <c r="N904" s="19"/>
      <c r="O904" s="19"/>
      <c r="P904" s="19"/>
      <c r="Q904" s="19"/>
      <c r="R904" s="19"/>
      <c r="S904" s="19"/>
      <c r="T904" s="19"/>
    </row>
    <row r="905" spans="12:20" x14ac:dyDescent="0.3">
      <c r="L905" s="19"/>
      <c r="M905" s="19"/>
      <c r="N905" s="19"/>
      <c r="O905" s="19"/>
      <c r="P905" s="19"/>
      <c r="Q905" s="19"/>
      <c r="R905" s="19"/>
      <c r="S905" s="19"/>
      <c r="T905" s="19"/>
    </row>
    <row r="906" spans="12:20" x14ac:dyDescent="0.3">
      <c r="L906" s="19"/>
      <c r="M906" s="19"/>
      <c r="N906" s="19"/>
      <c r="O906" s="19"/>
      <c r="P906" s="19"/>
      <c r="Q906" s="19"/>
      <c r="R906" s="19"/>
      <c r="S906" s="19"/>
      <c r="T906" s="19"/>
    </row>
    <row r="907" spans="12:20" x14ac:dyDescent="0.3">
      <c r="L907" s="19"/>
      <c r="M907" s="19"/>
      <c r="N907" s="19"/>
      <c r="O907" s="19"/>
      <c r="P907" s="19"/>
      <c r="Q907" s="19"/>
      <c r="R907" s="19"/>
      <c r="S907" s="19"/>
      <c r="T907" s="19"/>
    </row>
    <row r="908" spans="12:20" x14ac:dyDescent="0.3">
      <c r="L908" s="19"/>
      <c r="M908" s="19"/>
      <c r="N908" s="19"/>
      <c r="O908" s="19"/>
      <c r="P908" s="19"/>
      <c r="Q908" s="19"/>
      <c r="R908" s="19"/>
      <c r="S908" s="19"/>
      <c r="T908" s="19"/>
    </row>
    <row r="909" spans="12:20" x14ac:dyDescent="0.3">
      <c r="L909" s="19"/>
      <c r="M909" s="19"/>
      <c r="N909" s="19"/>
      <c r="O909" s="19"/>
      <c r="P909" s="19"/>
      <c r="Q909" s="19"/>
      <c r="R909" s="19"/>
      <c r="S909" s="19"/>
      <c r="T909" s="19"/>
    </row>
    <row r="910" spans="12:20" x14ac:dyDescent="0.3">
      <c r="L910" s="19"/>
      <c r="M910" s="19"/>
      <c r="N910" s="19"/>
      <c r="O910" s="19"/>
      <c r="P910" s="19"/>
      <c r="Q910" s="19"/>
      <c r="R910" s="19"/>
      <c r="S910" s="19"/>
      <c r="T910" s="19"/>
    </row>
    <row r="911" spans="12:20" x14ac:dyDescent="0.3">
      <c r="L911" s="19"/>
      <c r="M911" s="19"/>
      <c r="N911" s="19"/>
      <c r="O911" s="19"/>
      <c r="P911" s="19"/>
      <c r="Q911" s="19"/>
      <c r="R911" s="19"/>
      <c r="S911" s="19"/>
      <c r="T911" s="19"/>
    </row>
    <row r="912" spans="12:20" x14ac:dyDescent="0.3">
      <c r="L912" s="19"/>
      <c r="M912" s="19"/>
      <c r="N912" s="19"/>
      <c r="O912" s="19"/>
      <c r="P912" s="19"/>
      <c r="Q912" s="19"/>
      <c r="R912" s="19"/>
      <c r="S912" s="19"/>
      <c r="T912" s="19"/>
    </row>
    <row r="913" spans="12:20" x14ac:dyDescent="0.3">
      <c r="L913" s="19"/>
      <c r="M913" s="19"/>
      <c r="N913" s="19"/>
      <c r="O913" s="19"/>
      <c r="P913" s="19"/>
      <c r="Q913" s="19"/>
      <c r="R913" s="19"/>
      <c r="S913" s="19"/>
      <c r="T913" s="19"/>
    </row>
    <row r="914" spans="12:20" x14ac:dyDescent="0.3">
      <c r="L914" s="19"/>
      <c r="M914" s="19"/>
      <c r="N914" s="19"/>
      <c r="O914" s="19"/>
      <c r="P914" s="19"/>
      <c r="Q914" s="19"/>
      <c r="R914" s="19"/>
      <c r="S914" s="19"/>
      <c r="T914" s="19"/>
    </row>
    <row r="915" spans="12:20" x14ac:dyDescent="0.3">
      <c r="L915" s="19"/>
      <c r="M915" s="19"/>
      <c r="N915" s="19"/>
      <c r="O915" s="19"/>
      <c r="P915" s="19"/>
      <c r="Q915" s="19"/>
      <c r="R915" s="19"/>
      <c r="S915" s="19"/>
      <c r="T915" s="19"/>
    </row>
    <row r="916" spans="12:20" x14ac:dyDescent="0.3">
      <c r="L916" s="19"/>
      <c r="M916" s="19"/>
      <c r="N916" s="19"/>
      <c r="O916" s="19"/>
      <c r="P916" s="19"/>
      <c r="Q916" s="19"/>
      <c r="R916" s="19"/>
      <c r="S916" s="19"/>
      <c r="T916" s="19"/>
    </row>
    <row r="917" spans="12:20" x14ac:dyDescent="0.3">
      <c r="L917" s="19"/>
      <c r="M917" s="19"/>
      <c r="N917" s="19"/>
      <c r="O917" s="19"/>
      <c r="P917" s="19"/>
      <c r="Q917" s="19"/>
      <c r="R917" s="19"/>
      <c r="S917" s="19"/>
      <c r="T917" s="19"/>
    </row>
    <row r="918" spans="12:20" x14ac:dyDescent="0.3">
      <c r="L918" s="19"/>
      <c r="M918" s="19"/>
      <c r="N918" s="19"/>
      <c r="O918" s="19"/>
      <c r="P918" s="19"/>
      <c r="Q918" s="19"/>
      <c r="R918" s="19"/>
      <c r="S918" s="19"/>
      <c r="T918" s="19"/>
    </row>
    <row r="919" spans="12:20" x14ac:dyDescent="0.3">
      <c r="L919" s="19"/>
      <c r="M919" s="19"/>
      <c r="N919" s="19"/>
      <c r="O919" s="19"/>
      <c r="P919" s="19"/>
      <c r="Q919" s="19"/>
      <c r="R919" s="19"/>
      <c r="S919" s="19"/>
      <c r="T919" s="19"/>
    </row>
    <row r="920" spans="12:20" x14ac:dyDescent="0.3">
      <c r="L920" s="19"/>
      <c r="M920" s="19"/>
      <c r="N920" s="19"/>
      <c r="O920" s="19"/>
      <c r="P920" s="19"/>
      <c r="Q920" s="19"/>
      <c r="R920" s="19"/>
      <c r="S920" s="19"/>
      <c r="T920" s="19"/>
    </row>
    <row r="921" spans="12:20" x14ac:dyDescent="0.3">
      <c r="L921" s="19"/>
      <c r="M921" s="19"/>
      <c r="N921" s="19"/>
      <c r="O921" s="19"/>
      <c r="P921" s="19"/>
      <c r="Q921" s="19"/>
      <c r="R921" s="19"/>
      <c r="S921" s="19"/>
      <c r="T921" s="19"/>
    </row>
    <row r="922" spans="12:20" x14ac:dyDescent="0.3">
      <c r="L922" s="19"/>
      <c r="M922" s="19"/>
      <c r="N922" s="19"/>
      <c r="O922" s="19"/>
      <c r="P922" s="19"/>
      <c r="Q922" s="19"/>
      <c r="R922" s="19"/>
      <c r="S922" s="19"/>
      <c r="T922" s="19"/>
    </row>
    <row r="923" spans="12:20" x14ac:dyDescent="0.3">
      <c r="L923" s="19"/>
      <c r="M923" s="19"/>
      <c r="N923" s="19"/>
      <c r="O923" s="19"/>
      <c r="P923" s="19"/>
      <c r="Q923" s="19"/>
      <c r="R923" s="19"/>
      <c r="S923" s="19"/>
      <c r="T923" s="19"/>
    </row>
    <row r="924" spans="12:20" x14ac:dyDescent="0.3">
      <c r="L924" s="19"/>
      <c r="M924" s="19"/>
      <c r="N924" s="19"/>
      <c r="O924" s="19"/>
      <c r="P924" s="19"/>
      <c r="Q924" s="19"/>
      <c r="R924" s="19"/>
      <c r="S924" s="19"/>
      <c r="T924" s="19"/>
    </row>
    <row r="925" spans="12:20" x14ac:dyDescent="0.3">
      <c r="L925" s="19"/>
      <c r="M925" s="19"/>
      <c r="N925" s="19"/>
      <c r="O925" s="19"/>
      <c r="P925" s="19"/>
      <c r="Q925" s="19"/>
      <c r="R925" s="19"/>
      <c r="S925" s="19"/>
      <c r="T925" s="19"/>
    </row>
    <row r="926" spans="12:20" x14ac:dyDescent="0.3">
      <c r="L926" s="19"/>
      <c r="M926" s="19"/>
      <c r="N926" s="19"/>
      <c r="O926" s="19"/>
      <c r="P926" s="19"/>
      <c r="Q926" s="19"/>
      <c r="R926" s="19"/>
      <c r="S926" s="19"/>
      <c r="T926" s="19"/>
    </row>
    <row r="927" spans="12:20" x14ac:dyDescent="0.3">
      <c r="L927" s="19"/>
      <c r="M927" s="19"/>
      <c r="N927" s="19"/>
      <c r="O927" s="19"/>
      <c r="P927" s="19"/>
      <c r="Q927" s="19"/>
      <c r="R927" s="19"/>
      <c r="S927" s="19"/>
      <c r="T927" s="19"/>
    </row>
    <row r="928" spans="12:20" x14ac:dyDescent="0.3">
      <c r="L928" s="19"/>
      <c r="M928" s="19"/>
      <c r="N928" s="19"/>
      <c r="O928" s="19"/>
      <c r="P928" s="19"/>
      <c r="Q928" s="19"/>
      <c r="R928" s="19"/>
      <c r="S928" s="19"/>
      <c r="T928" s="19"/>
    </row>
    <row r="929" spans="12:20" x14ac:dyDescent="0.3">
      <c r="L929" s="19"/>
      <c r="M929" s="19"/>
      <c r="N929" s="19"/>
      <c r="O929" s="19"/>
      <c r="P929" s="19"/>
      <c r="Q929" s="19"/>
      <c r="R929" s="19"/>
      <c r="S929" s="19"/>
      <c r="T929" s="19"/>
    </row>
    <row r="930" spans="12:20" x14ac:dyDescent="0.3">
      <c r="L930" s="19"/>
      <c r="M930" s="19"/>
      <c r="N930" s="19"/>
      <c r="O930" s="19"/>
      <c r="P930" s="19"/>
      <c r="Q930" s="19"/>
      <c r="R930" s="19"/>
      <c r="S930" s="19"/>
      <c r="T930" s="19"/>
    </row>
    <row r="931" spans="12:20" x14ac:dyDescent="0.3">
      <c r="L931" s="19"/>
      <c r="M931" s="19"/>
      <c r="N931" s="19"/>
      <c r="O931" s="19"/>
      <c r="P931" s="19"/>
      <c r="Q931" s="19"/>
      <c r="R931" s="19"/>
      <c r="S931" s="19"/>
      <c r="T931" s="19"/>
    </row>
    <row r="932" spans="12:20" x14ac:dyDescent="0.3">
      <c r="L932" s="19"/>
      <c r="M932" s="19"/>
      <c r="N932" s="19"/>
      <c r="O932" s="19"/>
      <c r="P932" s="19"/>
      <c r="Q932" s="19"/>
      <c r="R932" s="19"/>
      <c r="S932" s="19"/>
      <c r="T932" s="19"/>
    </row>
    <row r="933" spans="12:20" x14ac:dyDescent="0.3">
      <c r="L933" s="19"/>
      <c r="M933" s="19"/>
      <c r="N933" s="19"/>
      <c r="O933" s="19"/>
      <c r="P933" s="19"/>
      <c r="Q933" s="19"/>
      <c r="R933" s="19"/>
      <c r="S933" s="19"/>
      <c r="T933" s="19"/>
    </row>
    <row r="934" spans="12:20" x14ac:dyDescent="0.3">
      <c r="L934" s="19"/>
      <c r="M934" s="19"/>
      <c r="N934" s="19"/>
      <c r="O934" s="19"/>
      <c r="P934" s="19"/>
      <c r="Q934" s="19"/>
      <c r="R934" s="19"/>
      <c r="S934" s="19"/>
      <c r="T934" s="19"/>
    </row>
    <row r="935" spans="12:20" x14ac:dyDescent="0.3">
      <c r="L935" s="19"/>
      <c r="M935" s="19"/>
      <c r="N935" s="19"/>
      <c r="O935" s="19"/>
      <c r="P935" s="19"/>
      <c r="Q935" s="19"/>
      <c r="R935" s="19"/>
      <c r="S935" s="19"/>
      <c r="T935" s="19"/>
    </row>
    <row r="936" spans="12:20" x14ac:dyDescent="0.3">
      <c r="L936" s="19"/>
      <c r="M936" s="19"/>
      <c r="N936" s="19"/>
      <c r="O936" s="19"/>
      <c r="P936" s="19"/>
      <c r="Q936" s="19"/>
      <c r="R936" s="19"/>
      <c r="S936" s="19"/>
      <c r="T936" s="19"/>
    </row>
    <row r="937" spans="12:20" x14ac:dyDescent="0.3">
      <c r="L937" s="19"/>
      <c r="M937" s="19"/>
      <c r="N937" s="19"/>
      <c r="O937" s="19"/>
      <c r="P937" s="19"/>
      <c r="Q937" s="19"/>
      <c r="R937" s="19"/>
      <c r="S937" s="19"/>
      <c r="T937" s="19"/>
    </row>
    <row r="938" spans="12:20" x14ac:dyDescent="0.3">
      <c r="L938" s="19"/>
      <c r="M938" s="19"/>
      <c r="N938" s="19"/>
      <c r="O938" s="19"/>
      <c r="P938" s="19"/>
      <c r="Q938" s="19"/>
      <c r="R938" s="19"/>
      <c r="S938" s="19"/>
      <c r="T938" s="19"/>
    </row>
    <row r="939" spans="12:20" x14ac:dyDescent="0.3">
      <c r="L939" s="19"/>
      <c r="M939" s="19"/>
      <c r="N939" s="19"/>
      <c r="O939" s="19"/>
      <c r="P939" s="19"/>
      <c r="Q939" s="19"/>
      <c r="R939" s="19"/>
      <c r="S939" s="19"/>
      <c r="T939" s="19"/>
    </row>
    <row r="940" spans="12:20" x14ac:dyDescent="0.3">
      <c r="L940" s="19"/>
      <c r="M940" s="19"/>
      <c r="N940" s="19"/>
      <c r="O940" s="19"/>
      <c r="P940" s="19"/>
      <c r="Q940" s="19"/>
      <c r="R940" s="19"/>
      <c r="S940" s="19"/>
      <c r="T940" s="19"/>
    </row>
    <row r="941" spans="12:20" x14ac:dyDescent="0.3">
      <c r="L941" s="19"/>
      <c r="M941" s="19"/>
      <c r="N941" s="19"/>
      <c r="O941" s="19"/>
      <c r="P941" s="19"/>
      <c r="Q941" s="19"/>
      <c r="R941" s="19"/>
      <c r="S941" s="19"/>
      <c r="T941" s="19"/>
    </row>
    <row r="942" spans="12:20" x14ac:dyDescent="0.3">
      <c r="L942" s="19"/>
      <c r="M942" s="19"/>
      <c r="N942" s="19"/>
      <c r="O942" s="19"/>
      <c r="P942" s="19"/>
      <c r="Q942" s="19"/>
      <c r="R942" s="19"/>
      <c r="S942" s="19"/>
      <c r="T942" s="19"/>
    </row>
    <row r="943" spans="12:20" x14ac:dyDescent="0.3">
      <c r="L943" s="19"/>
      <c r="M943" s="19"/>
      <c r="N943" s="19"/>
      <c r="O943" s="19"/>
      <c r="P943" s="19"/>
      <c r="Q943" s="19"/>
      <c r="R943" s="19"/>
      <c r="S943" s="19"/>
      <c r="T943" s="19"/>
    </row>
    <row r="944" spans="12:20" x14ac:dyDescent="0.3">
      <c r="L944" s="19"/>
      <c r="M944" s="19"/>
      <c r="N944" s="19"/>
      <c r="O944" s="19"/>
      <c r="P944" s="19"/>
      <c r="Q944" s="19"/>
      <c r="R944" s="19"/>
      <c r="S944" s="19"/>
      <c r="T944" s="19"/>
    </row>
    <row r="945" spans="12:20" x14ac:dyDescent="0.3">
      <c r="L945" s="19"/>
      <c r="M945" s="19"/>
      <c r="N945" s="19"/>
      <c r="O945" s="19"/>
      <c r="P945" s="19"/>
      <c r="Q945" s="19"/>
      <c r="R945" s="19"/>
      <c r="S945" s="19"/>
      <c r="T945" s="19"/>
    </row>
    <row r="946" spans="12:20" x14ac:dyDescent="0.3">
      <c r="L946" s="19"/>
      <c r="M946" s="19"/>
      <c r="N946" s="19"/>
      <c r="O946" s="19"/>
      <c r="P946" s="19"/>
      <c r="Q946" s="19"/>
      <c r="R946" s="19"/>
      <c r="S946" s="19"/>
      <c r="T946" s="19"/>
    </row>
    <row r="947" spans="12:20" x14ac:dyDescent="0.3">
      <c r="L947" s="19"/>
      <c r="M947" s="19"/>
      <c r="N947" s="19"/>
      <c r="O947" s="19"/>
      <c r="P947" s="19"/>
      <c r="Q947" s="19"/>
      <c r="R947" s="19"/>
      <c r="S947" s="19"/>
      <c r="T947" s="19"/>
    </row>
    <row r="948" spans="12:20" x14ac:dyDescent="0.3">
      <c r="L948" s="19"/>
      <c r="M948" s="19"/>
      <c r="N948" s="19"/>
      <c r="O948" s="19"/>
      <c r="P948" s="19"/>
      <c r="Q948" s="19"/>
      <c r="R948" s="19"/>
      <c r="S948" s="19"/>
      <c r="T948" s="19"/>
    </row>
    <row r="949" spans="12:20" x14ac:dyDescent="0.3">
      <c r="L949" s="19"/>
      <c r="M949" s="19"/>
      <c r="N949" s="19"/>
      <c r="O949" s="19"/>
      <c r="P949" s="19"/>
      <c r="Q949" s="19"/>
      <c r="R949" s="19"/>
      <c r="S949" s="19"/>
      <c r="T949" s="19"/>
    </row>
    <row r="950" spans="12:20" x14ac:dyDescent="0.3">
      <c r="L950" s="19"/>
      <c r="M950" s="19"/>
      <c r="N950" s="19"/>
      <c r="O950" s="19"/>
      <c r="P950" s="19"/>
      <c r="Q950" s="19"/>
      <c r="R950" s="19"/>
      <c r="S950" s="19"/>
      <c r="T950" s="19"/>
    </row>
    <row r="951" spans="12:20" x14ac:dyDescent="0.3">
      <c r="L951" s="19"/>
      <c r="M951" s="19"/>
      <c r="N951" s="19"/>
      <c r="O951" s="19"/>
      <c r="P951" s="19"/>
      <c r="Q951" s="19"/>
      <c r="R951" s="19"/>
      <c r="S951" s="19"/>
      <c r="T951" s="19"/>
    </row>
    <row r="952" spans="12:20" x14ac:dyDescent="0.3">
      <c r="L952" s="19"/>
      <c r="M952" s="19"/>
      <c r="N952" s="19"/>
      <c r="O952" s="19"/>
      <c r="P952" s="19"/>
      <c r="Q952" s="19"/>
      <c r="R952" s="19"/>
      <c r="S952" s="19"/>
      <c r="T952" s="19"/>
    </row>
    <row r="953" spans="12:20" x14ac:dyDescent="0.3">
      <c r="L953" s="19"/>
      <c r="M953" s="19"/>
      <c r="N953" s="19"/>
      <c r="O953" s="19"/>
      <c r="P953" s="19"/>
      <c r="Q953" s="19"/>
      <c r="R953" s="19"/>
      <c r="S953" s="19"/>
      <c r="T953" s="19"/>
    </row>
    <row r="954" spans="12:20" x14ac:dyDescent="0.3">
      <c r="L954" s="19"/>
      <c r="M954" s="19"/>
      <c r="N954" s="19"/>
      <c r="O954" s="19"/>
      <c r="P954" s="19"/>
      <c r="Q954" s="19"/>
      <c r="R954" s="19"/>
      <c r="S954" s="19"/>
      <c r="T954" s="19"/>
    </row>
    <row r="955" spans="12:20" x14ac:dyDescent="0.3">
      <c r="L955" s="19"/>
      <c r="M955" s="19"/>
      <c r="N955" s="19"/>
      <c r="O955" s="19"/>
      <c r="P955" s="19"/>
      <c r="Q955" s="19"/>
      <c r="R955" s="19"/>
      <c r="S955" s="19"/>
      <c r="T955" s="19"/>
    </row>
    <row r="956" spans="12:20" x14ac:dyDescent="0.3">
      <c r="L956" s="19"/>
      <c r="M956" s="19"/>
      <c r="N956" s="19"/>
      <c r="O956" s="19"/>
      <c r="P956" s="19"/>
      <c r="Q956" s="19"/>
      <c r="R956" s="19"/>
      <c r="S956" s="19"/>
      <c r="T956" s="19"/>
    </row>
    <row r="957" spans="12:20" x14ac:dyDescent="0.3">
      <c r="L957" s="19"/>
      <c r="M957" s="19"/>
      <c r="N957" s="19"/>
      <c r="O957" s="19"/>
      <c r="P957" s="19"/>
      <c r="Q957" s="19"/>
      <c r="R957" s="19"/>
      <c r="S957" s="19"/>
      <c r="T957" s="19"/>
    </row>
    <row r="958" spans="12:20" x14ac:dyDescent="0.3">
      <c r="L958" s="19"/>
      <c r="M958" s="19"/>
      <c r="N958" s="19"/>
      <c r="O958" s="19"/>
      <c r="P958" s="19"/>
      <c r="Q958" s="19"/>
      <c r="R958" s="19"/>
      <c r="S958" s="19"/>
      <c r="T958" s="19"/>
    </row>
    <row r="959" spans="12:20" x14ac:dyDescent="0.3">
      <c r="L959" s="19"/>
      <c r="M959" s="19"/>
      <c r="N959" s="19"/>
      <c r="O959" s="19"/>
      <c r="P959" s="19"/>
      <c r="Q959" s="19"/>
      <c r="R959" s="19"/>
      <c r="S959" s="19"/>
      <c r="T959" s="19"/>
    </row>
    <row r="960" spans="12:20" x14ac:dyDescent="0.3">
      <c r="L960" s="19"/>
      <c r="M960" s="19"/>
      <c r="N960" s="19"/>
      <c r="O960" s="19"/>
      <c r="P960" s="19"/>
      <c r="Q960" s="19"/>
      <c r="R960" s="19"/>
      <c r="S960" s="19"/>
      <c r="T960" s="19"/>
    </row>
    <row r="961" spans="12:20" x14ac:dyDescent="0.3">
      <c r="L961" s="19"/>
      <c r="M961" s="19"/>
      <c r="N961" s="19"/>
      <c r="O961" s="19"/>
      <c r="P961" s="19"/>
      <c r="Q961" s="19"/>
      <c r="R961" s="19"/>
      <c r="S961" s="19"/>
      <c r="T961" s="19"/>
    </row>
    <row r="962" spans="12:20" x14ac:dyDescent="0.3">
      <c r="L962" s="19"/>
      <c r="M962" s="19"/>
      <c r="N962" s="19"/>
      <c r="O962" s="19"/>
      <c r="P962" s="19"/>
      <c r="Q962" s="19"/>
      <c r="R962" s="19"/>
      <c r="S962" s="19"/>
      <c r="T962" s="19"/>
    </row>
    <row r="963" spans="12:20" x14ac:dyDescent="0.3">
      <c r="L963" s="19"/>
      <c r="M963" s="19"/>
      <c r="N963" s="19"/>
      <c r="O963" s="19"/>
      <c r="P963" s="19"/>
      <c r="Q963" s="19"/>
      <c r="R963" s="19"/>
      <c r="S963" s="19"/>
      <c r="T963" s="19"/>
    </row>
    <row r="964" spans="12:20" x14ac:dyDescent="0.3">
      <c r="L964" s="19"/>
      <c r="M964" s="19"/>
      <c r="N964" s="19"/>
      <c r="O964" s="19"/>
      <c r="P964" s="19"/>
      <c r="Q964" s="19"/>
      <c r="R964" s="19"/>
      <c r="S964" s="19"/>
      <c r="T964" s="19"/>
    </row>
    <row r="965" spans="12:20" x14ac:dyDescent="0.3">
      <c r="L965" s="19"/>
      <c r="M965" s="19"/>
      <c r="N965" s="19"/>
      <c r="O965" s="19"/>
      <c r="P965" s="19"/>
      <c r="Q965" s="19"/>
      <c r="R965" s="19"/>
      <c r="S965" s="19"/>
      <c r="T965" s="19"/>
    </row>
    <row r="966" spans="12:20" x14ac:dyDescent="0.3">
      <c r="L966" s="19"/>
      <c r="M966" s="19"/>
      <c r="N966" s="19"/>
      <c r="O966" s="19"/>
      <c r="P966" s="19"/>
      <c r="Q966" s="19"/>
      <c r="R966" s="19"/>
      <c r="S966" s="19"/>
      <c r="T966" s="19"/>
    </row>
    <row r="967" spans="12:20" x14ac:dyDescent="0.3">
      <c r="L967" s="19"/>
      <c r="M967" s="19"/>
      <c r="N967" s="19"/>
      <c r="O967" s="19"/>
      <c r="P967" s="19"/>
      <c r="Q967" s="19"/>
      <c r="R967" s="19"/>
      <c r="S967" s="19"/>
      <c r="T967" s="19"/>
    </row>
    <row r="968" spans="12:20" x14ac:dyDescent="0.3">
      <c r="L968" s="19"/>
      <c r="M968" s="19"/>
      <c r="N968" s="19"/>
      <c r="O968" s="19"/>
      <c r="P968" s="19"/>
      <c r="Q968" s="19"/>
      <c r="R968" s="19"/>
      <c r="S968" s="19"/>
      <c r="T968" s="19"/>
    </row>
    <row r="969" spans="12:20" x14ac:dyDescent="0.3">
      <c r="L969" s="19"/>
      <c r="M969" s="19"/>
      <c r="N969" s="19"/>
      <c r="O969" s="19"/>
      <c r="P969" s="19"/>
      <c r="Q969" s="19"/>
      <c r="R969" s="19"/>
      <c r="S969" s="19"/>
      <c r="T969" s="19"/>
    </row>
    <row r="970" spans="12:20" x14ac:dyDescent="0.3">
      <c r="L970" s="19"/>
      <c r="M970" s="19"/>
      <c r="N970" s="19"/>
      <c r="O970" s="19"/>
      <c r="P970" s="19"/>
      <c r="Q970" s="19"/>
      <c r="R970" s="19"/>
      <c r="S970" s="19"/>
      <c r="T970" s="19"/>
    </row>
    <row r="971" spans="12:20" x14ac:dyDescent="0.3">
      <c r="L971" s="19"/>
      <c r="M971" s="19"/>
      <c r="N971" s="19"/>
      <c r="O971" s="19"/>
      <c r="P971" s="19"/>
      <c r="Q971" s="19"/>
      <c r="R971" s="19"/>
      <c r="S971" s="19"/>
      <c r="T971" s="19"/>
    </row>
    <row r="972" spans="12:20" x14ac:dyDescent="0.3">
      <c r="L972" s="19"/>
      <c r="M972" s="19"/>
      <c r="N972" s="19"/>
      <c r="O972" s="19"/>
      <c r="P972" s="19"/>
      <c r="Q972" s="19"/>
      <c r="R972" s="19"/>
      <c r="S972" s="19"/>
      <c r="T972" s="19"/>
    </row>
    <row r="973" spans="12:20" x14ac:dyDescent="0.3">
      <c r="L973" s="19"/>
      <c r="M973" s="19"/>
      <c r="N973" s="19"/>
      <c r="O973" s="19"/>
      <c r="P973" s="19"/>
      <c r="Q973" s="19"/>
      <c r="R973" s="19"/>
      <c r="S973" s="19"/>
      <c r="T973" s="19"/>
    </row>
    <row r="974" spans="12:20" x14ac:dyDescent="0.3">
      <c r="L974" s="19"/>
      <c r="M974" s="19"/>
      <c r="N974" s="19"/>
      <c r="O974" s="19"/>
      <c r="P974" s="19"/>
      <c r="Q974" s="19"/>
      <c r="R974" s="19"/>
      <c r="S974" s="19"/>
      <c r="T974" s="19"/>
    </row>
    <row r="975" spans="12:20" x14ac:dyDescent="0.3">
      <c r="L975" s="19"/>
      <c r="M975" s="19"/>
      <c r="N975" s="19"/>
      <c r="O975" s="19"/>
      <c r="P975" s="19"/>
      <c r="Q975" s="19"/>
      <c r="R975" s="19"/>
      <c r="S975" s="19"/>
      <c r="T975" s="19"/>
    </row>
    <row r="976" spans="12:20" x14ac:dyDescent="0.3">
      <c r="L976" s="19"/>
      <c r="M976" s="19"/>
      <c r="N976" s="19"/>
      <c r="O976" s="19"/>
      <c r="P976" s="19"/>
      <c r="Q976" s="19"/>
      <c r="R976" s="19"/>
      <c r="S976" s="19"/>
      <c r="T976" s="19"/>
    </row>
    <row r="977" spans="12:20" x14ac:dyDescent="0.3">
      <c r="L977" s="19"/>
      <c r="M977" s="19"/>
      <c r="N977" s="19"/>
      <c r="O977" s="19"/>
      <c r="P977" s="19"/>
      <c r="Q977" s="19"/>
      <c r="R977" s="19"/>
      <c r="S977" s="19"/>
      <c r="T977" s="19"/>
    </row>
    <row r="978" spans="12:20" x14ac:dyDescent="0.3">
      <c r="L978" s="19"/>
      <c r="M978" s="19"/>
      <c r="N978" s="19"/>
      <c r="O978" s="19"/>
      <c r="P978" s="19"/>
      <c r="Q978" s="19"/>
      <c r="R978" s="19"/>
      <c r="S978" s="19"/>
      <c r="T978" s="19"/>
    </row>
    <row r="979" spans="12:20" x14ac:dyDescent="0.3">
      <c r="L979" s="19"/>
      <c r="M979" s="19"/>
      <c r="N979" s="19"/>
      <c r="O979" s="19"/>
      <c r="P979" s="19"/>
      <c r="Q979" s="19"/>
      <c r="R979" s="19"/>
      <c r="S979" s="19"/>
      <c r="T979" s="19"/>
    </row>
    <row r="980" spans="12:20" x14ac:dyDescent="0.3">
      <c r="L980" s="19"/>
      <c r="M980" s="19"/>
      <c r="N980" s="19"/>
      <c r="O980" s="19"/>
      <c r="P980" s="19"/>
      <c r="Q980" s="19"/>
      <c r="R980" s="19"/>
      <c r="S980" s="19"/>
      <c r="T980" s="19"/>
    </row>
    <row r="981" spans="12:20" x14ac:dyDescent="0.3">
      <c r="L981" s="19"/>
      <c r="M981" s="19"/>
      <c r="N981" s="19"/>
      <c r="O981" s="19"/>
      <c r="P981" s="19"/>
      <c r="Q981" s="19"/>
      <c r="R981" s="19"/>
      <c r="S981" s="19"/>
      <c r="T981" s="19"/>
    </row>
    <row r="982" spans="12:20" x14ac:dyDescent="0.3">
      <c r="L982" s="19"/>
      <c r="M982" s="19"/>
      <c r="N982" s="19"/>
      <c r="O982" s="19"/>
      <c r="P982" s="19"/>
      <c r="Q982" s="19"/>
      <c r="R982" s="19"/>
      <c r="S982" s="19"/>
      <c r="T982" s="19"/>
    </row>
    <row r="983" spans="12:20" x14ac:dyDescent="0.3">
      <c r="L983" s="19"/>
      <c r="M983" s="19"/>
      <c r="N983" s="19"/>
      <c r="O983" s="19"/>
      <c r="P983" s="19"/>
      <c r="Q983" s="19"/>
      <c r="R983" s="19"/>
      <c r="S983" s="19"/>
      <c r="T983" s="19"/>
    </row>
    <row r="984" spans="12:20" x14ac:dyDescent="0.3">
      <c r="L984" s="19"/>
      <c r="M984" s="19"/>
      <c r="N984" s="19"/>
      <c r="O984" s="19"/>
      <c r="P984" s="19"/>
      <c r="Q984" s="19"/>
      <c r="R984" s="19"/>
      <c r="S984" s="19"/>
      <c r="T984" s="19"/>
    </row>
    <row r="985" spans="12:20" x14ac:dyDescent="0.3">
      <c r="L985" s="19"/>
      <c r="M985" s="19"/>
      <c r="N985" s="19"/>
      <c r="O985" s="19"/>
      <c r="P985" s="19"/>
      <c r="Q985" s="19"/>
      <c r="R985" s="19"/>
      <c r="S985" s="19"/>
      <c r="T985" s="19"/>
    </row>
    <row r="986" spans="12:20" x14ac:dyDescent="0.3">
      <c r="L986" s="19"/>
      <c r="M986" s="19"/>
      <c r="N986" s="19"/>
      <c r="O986" s="19"/>
      <c r="P986" s="19"/>
      <c r="Q986" s="19"/>
      <c r="R986" s="19"/>
      <c r="S986" s="19"/>
      <c r="T986" s="19"/>
    </row>
    <row r="987" spans="12:20" x14ac:dyDescent="0.3">
      <c r="L987" s="19"/>
      <c r="M987" s="19"/>
      <c r="N987" s="19"/>
      <c r="O987" s="19"/>
      <c r="P987" s="19"/>
      <c r="Q987" s="19"/>
      <c r="R987" s="19"/>
      <c r="S987" s="19"/>
      <c r="T987" s="19"/>
    </row>
    <row r="988" spans="12:20" x14ac:dyDescent="0.3">
      <c r="L988" s="19"/>
      <c r="M988" s="19"/>
      <c r="N988" s="19"/>
      <c r="O988" s="19"/>
      <c r="P988" s="19"/>
      <c r="Q988" s="19"/>
      <c r="R988" s="19"/>
      <c r="S988" s="19"/>
      <c r="T988" s="19"/>
    </row>
    <row r="989" spans="12:20" x14ac:dyDescent="0.3">
      <c r="L989" s="19"/>
      <c r="M989" s="19"/>
      <c r="N989" s="19"/>
      <c r="O989" s="19"/>
      <c r="P989" s="19"/>
      <c r="Q989" s="19"/>
      <c r="R989" s="19"/>
      <c r="S989" s="19"/>
      <c r="T989" s="19"/>
    </row>
    <row r="990" spans="12:20" x14ac:dyDescent="0.3">
      <c r="L990" s="19"/>
      <c r="M990" s="19"/>
      <c r="N990" s="19"/>
      <c r="O990" s="19"/>
      <c r="P990" s="19"/>
      <c r="Q990" s="19"/>
      <c r="R990" s="19"/>
      <c r="S990" s="19"/>
      <c r="T990" s="19"/>
    </row>
    <row r="991" spans="12:20" x14ac:dyDescent="0.3">
      <c r="L991" s="19"/>
      <c r="M991" s="19"/>
      <c r="N991" s="19"/>
      <c r="O991" s="19"/>
      <c r="P991" s="19"/>
      <c r="Q991" s="19"/>
      <c r="R991" s="19"/>
      <c r="S991" s="19"/>
      <c r="T991" s="19"/>
    </row>
    <row r="992" spans="12:20" x14ac:dyDescent="0.3">
      <c r="L992" s="19"/>
      <c r="M992" s="19"/>
      <c r="N992" s="19"/>
      <c r="O992" s="19"/>
      <c r="P992" s="19"/>
      <c r="Q992" s="19"/>
      <c r="R992" s="19"/>
      <c r="S992" s="19"/>
      <c r="T992" s="19"/>
    </row>
    <row r="993" spans="12:20" x14ac:dyDescent="0.3">
      <c r="L993" s="19"/>
      <c r="M993" s="19"/>
      <c r="N993" s="19"/>
      <c r="O993" s="19"/>
      <c r="P993" s="19"/>
      <c r="Q993" s="19"/>
      <c r="R993" s="19"/>
      <c r="S993" s="19"/>
      <c r="T993" s="19"/>
    </row>
    <row r="994" spans="12:20" x14ac:dyDescent="0.3">
      <c r="L994" s="19"/>
      <c r="M994" s="19"/>
      <c r="N994" s="19"/>
      <c r="O994" s="19"/>
      <c r="P994" s="19"/>
      <c r="Q994" s="19"/>
      <c r="R994" s="19"/>
      <c r="S994" s="19"/>
      <c r="T994" s="19"/>
    </row>
    <row r="995" spans="12:20" x14ac:dyDescent="0.3">
      <c r="L995" s="19"/>
      <c r="M995" s="19"/>
      <c r="N995" s="19"/>
      <c r="O995" s="19"/>
      <c r="P995" s="19"/>
      <c r="Q995" s="19"/>
      <c r="R995" s="19"/>
      <c r="S995" s="19"/>
      <c r="T995" s="19"/>
    </row>
    <row r="996" spans="12:20" x14ac:dyDescent="0.3">
      <c r="L996" s="19"/>
      <c r="M996" s="19"/>
      <c r="N996" s="19"/>
      <c r="O996" s="19"/>
      <c r="P996" s="19"/>
      <c r="Q996" s="19"/>
      <c r="R996" s="19"/>
      <c r="S996" s="19"/>
      <c r="T996" s="19"/>
    </row>
    <row r="997" spans="12:20" x14ac:dyDescent="0.3">
      <c r="L997" s="19"/>
      <c r="M997" s="19"/>
      <c r="N997" s="19"/>
      <c r="O997" s="19"/>
      <c r="P997" s="19"/>
      <c r="Q997" s="19"/>
      <c r="R997" s="19"/>
      <c r="S997" s="19"/>
      <c r="T997" s="19"/>
    </row>
    <row r="998" spans="12:20" x14ac:dyDescent="0.3">
      <c r="L998" s="19"/>
      <c r="M998" s="19"/>
      <c r="N998" s="19"/>
      <c r="O998" s="19"/>
      <c r="P998" s="19"/>
      <c r="Q998" s="19"/>
      <c r="R998" s="19"/>
      <c r="S998" s="19"/>
      <c r="T998" s="19"/>
    </row>
    <row r="999" spans="12:20" x14ac:dyDescent="0.3">
      <c r="L999" s="19"/>
      <c r="M999" s="19"/>
      <c r="N999" s="19"/>
      <c r="O999" s="19"/>
      <c r="P999" s="19"/>
      <c r="Q999" s="19"/>
      <c r="R999" s="19"/>
      <c r="S999" s="19"/>
      <c r="T999" s="19"/>
    </row>
    <row r="1000" spans="12:20" x14ac:dyDescent="0.3">
      <c r="L1000" s="19"/>
      <c r="M1000" s="19"/>
      <c r="N1000" s="19"/>
      <c r="O1000" s="19"/>
      <c r="P1000" s="19"/>
      <c r="Q1000" s="19"/>
      <c r="R1000" s="19"/>
      <c r="S1000" s="19"/>
      <c r="T1000" s="19"/>
    </row>
    <row r="1001" spans="12:20" x14ac:dyDescent="0.3">
      <c r="L1001" s="19"/>
      <c r="M1001" s="19"/>
      <c r="N1001" s="19"/>
      <c r="O1001" s="19"/>
      <c r="P1001" s="19"/>
      <c r="Q1001" s="19"/>
      <c r="R1001" s="19"/>
      <c r="S1001" s="19"/>
      <c r="T1001" s="19"/>
    </row>
    <row r="1002" spans="12:20" x14ac:dyDescent="0.3">
      <c r="L1002" s="19"/>
      <c r="M1002" s="19"/>
      <c r="N1002" s="19"/>
      <c r="O1002" s="19"/>
      <c r="P1002" s="19"/>
      <c r="Q1002" s="19"/>
      <c r="R1002" s="19"/>
      <c r="S1002" s="19"/>
      <c r="T1002" s="19"/>
    </row>
    <row r="1003" spans="12:20" x14ac:dyDescent="0.3">
      <c r="L1003" s="19"/>
      <c r="M1003" s="19"/>
      <c r="N1003" s="19"/>
      <c r="O1003" s="19"/>
      <c r="P1003" s="19"/>
      <c r="Q1003" s="19"/>
      <c r="R1003" s="19"/>
      <c r="S1003" s="19"/>
      <c r="T1003" s="19"/>
    </row>
    <row r="1004" spans="12:20" x14ac:dyDescent="0.3">
      <c r="L1004" s="19"/>
      <c r="M1004" s="19"/>
      <c r="N1004" s="19"/>
      <c r="O1004" s="19"/>
      <c r="P1004" s="19"/>
      <c r="Q1004" s="19"/>
      <c r="R1004" s="19"/>
      <c r="S1004" s="19"/>
      <c r="T1004" s="19"/>
    </row>
    <row r="1005" spans="12:20" x14ac:dyDescent="0.3">
      <c r="L1005" s="19"/>
      <c r="M1005" s="19"/>
      <c r="N1005" s="19"/>
      <c r="O1005" s="19"/>
      <c r="P1005" s="19"/>
      <c r="Q1005" s="19"/>
      <c r="R1005" s="19"/>
      <c r="S1005" s="19"/>
      <c r="T1005" s="19"/>
    </row>
    <row r="1006" spans="12:20" x14ac:dyDescent="0.3">
      <c r="L1006" s="19"/>
      <c r="M1006" s="19"/>
      <c r="N1006" s="19"/>
      <c r="O1006" s="19"/>
      <c r="P1006" s="19"/>
      <c r="Q1006" s="19"/>
      <c r="R1006" s="19"/>
      <c r="S1006" s="19"/>
      <c r="T1006" s="19"/>
    </row>
    <row r="1007" spans="12:20" x14ac:dyDescent="0.3">
      <c r="L1007" s="19"/>
      <c r="M1007" s="19"/>
      <c r="N1007" s="19"/>
      <c r="O1007" s="19"/>
      <c r="P1007" s="19"/>
      <c r="Q1007" s="19"/>
      <c r="R1007" s="19"/>
      <c r="S1007" s="19"/>
      <c r="T1007" s="19"/>
    </row>
    <row r="1008" spans="12:20" x14ac:dyDescent="0.3">
      <c r="L1008" s="19"/>
      <c r="M1008" s="19"/>
      <c r="N1008" s="19"/>
      <c r="O1008" s="19"/>
      <c r="P1008" s="19"/>
      <c r="Q1008" s="19"/>
      <c r="R1008" s="19"/>
      <c r="S1008" s="19"/>
      <c r="T1008" s="19"/>
    </row>
    <row r="1009" spans="12:20" x14ac:dyDescent="0.3">
      <c r="L1009" s="19"/>
      <c r="M1009" s="19"/>
      <c r="N1009" s="19"/>
      <c r="O1009" s="19"/>
      <c r="P1009" s="19"/>
      <c r="Q1009" s="19"/>
      <c r="R1009" s="19"/>
      <c r="S1009" s="19"/>
      <c r="T1009" s="19"/>
    </row>
    <row r="1010" spans="12:20" x14ac:dyDescent="0.3">
      <c r="L1010" s="19"/>
      <c r="M1010" s="19"/>
      <c r="N1010" s="19"/>
      <c r="O1010" s="19"/>
      <c r="P1010" s="19"/>
      <c r="Q1010" s="19"/>
      <c r="R1010" s="19"/>
      <c r="S1010" s="19"/>
      <c r="T1010" s="19"/>
    </row>
    <row r="1011" spans="12:20" x14ac:dyDescent="0.3">
      <c r="L1011" s="19"/>
      <c r="M1011" s="19"/>
      <c r="N1011" s="19"/>
      <c r="O1011" s="19"/>
      <c r="P1011" s="19"/>
      <c r="Q1011" s="19"/>
      <c r="R1011" s="19"/>
      <c r="S1011" s="19"/>
      <c r="T1011" s="19"/>
    </row>
    <row r="1012" spans="12:20" x14ac:dyDescent="0.3">
      <c r="L1012" s="19"/>
      <c r="M1012" s="19"/>
      <c r="N1012" s="19"/>
      <c r="O1012" s="19"/>
      <c r="P1012" s="19"/>
      <c r="Q1012" s="19"/>
      <c r="R1012" s="19"/>
      <c r="S1012" s="19"/>
      <c r="T1012" s="19"/>
    </row>
    <row r="1013" spans="12:20" x14ac:dyDescent="0.3">
      <c r="L1013" s="19"/>
      <c r="M1013" s="19"/>
      <c r="N1013" s="19"/>
      <c r="O1013" s="19"/>
      <c r="P1013" s="19"/>
      <c r="Q1013" s="19"/>
      <c r="R1013" s="19"/>
      <c r="S1013" s="19"/>
      <c r="T1013" s="19"/>
    </row>
    <row r="1014" spans="12:20" x14ac:dyDescent="0.3">
      <c r="L1014" s="19"/>
      <c r="M1014" s="19"/>
      <c r="N1014" s="19"/>
      <c r="O1014" s="19"/>
      <c r="P1014" s="19"/>
      <c r="Q1014" s="19"/>
      <c r="R1014" s="19"/>
      <c r="S1014" s="19"/>
      <c r="T1014" s="19"/>
    </row>
    <row r="1015" spans="12:20" x14ac:dyDescent="0.3">
      <c r="L1015" s="19"/>
      <c r="M1015" s="19"/>
      <c r="N1015" s="19"/>
      <c r="O1015" s="19"/>
      <c r="P1015" s="19"/>
      <c r="Q1015" s="19"/>
      <c r="R1015" s="19"/>
      <c r="S1015" s="19"/>
      <c r="T1015" s="19"/>
    </row>
    <row r="1016" spans="12:20" x14ac:dyDescent="0.3">
      <c r="L1016" s="19"/>
      <c r="M1016" s="19"/>
      <c r="N1016" s="19"/>
      <c r="O1016" s="19"/>
      <c r="P1016" s="19"/>
      <c r="Q1016" s="19"/>
      <c r="R1016" s="19"/>
      <c r="S1016" s="19"/>
      <c r="T1016" s="19"/>
    </row>
    <row r="1017" spans="12:20" x14ac:dyDescent="0.3">
      <c r="L1017" s="19"/>
      <c r="M1017" s="19"/>
      <c r="N1017" s="19"/>
      <c r="O1017" s="19"/>
      <c r="P1017" s="19"/>
      <c r="Q1017" s="19"/>
      <c r="R1017" s="19"/>
      <c r="S1017" s="19"/>
      <c r="T1017" s="19"/>
    </row>
    <row r="1018" spans="12:20" x14ac:dyDescent="0.3">
      <c r="L1018" s="19"/>
      <c r="M1018" s="19"/>
      <c r="N1018" s="19"/>
      <c r="O1018" s="19"/>
      <c r="P1018" s="19"/>
      <c r="Q1018" s="19"/>
      <c r="R1018" s="19"/>
      <c r="S1018" s="19"/>
      <c r="T1018" s="19"/>
    </row>
    <row r="1019" spans="12:20" x14ac:dyDescent="0.3">
      <c r="L1019" s="19"/>
      <c r="M1019" s="19"/>
      <c r="N1019" s="19"/>
      <c r="O1019" s="19"/>
      <c r="P1019" s="19"/>
      <c r="Q1019" s="19"/>
      <c r="R1019" s="19"/>
      <c r="S1019" s="19"/>
      <c r="T1019" s="19"/>
    </row>
    <row r="1020" spans="12:20" x14ac:dyDescent="0.3">
      <c r="L1020" s="19"/>
      <c r="M1020" s="19"/>
      <c r="N1020" s="19"/>
      <c r="O1020" s="19"/>
      <c r="P1020" s="19"/>
      <c r="Q1020" s="19"/>
      <c r="R1020" s="19"/>
      <c r="S1020" s="19"/>
      <c r="T1020" s="19"/>
    </row>
    <row r="1021" spans="12:20" x14ac:dyDescent="0.3">
      <c r="L1021" s="19"/>
      <c r="M1021" s="19"/>
      <c r="N1021" s="19"/>
      <c r="O1021" s="19"/>
      <c r="P1021" s="19"/>
      <c r="Q1021" s="19"/>
      <c r="R1021" s="19"/>
      <c r="S1021" s="19"/>
      <c r="T1021" s="19"/>
    </row>
    <row r="1022" spans="12:20" x14ac:dyDescent="0.3">
      <c r="L1022" s="19"/>
      <c r="M1022" s="19"/>
      <c r="N1022" s="19"/>
      <c r="O1022" s="19"/>
      <c r="P1022" s="19"/>
      <c r="Q1022" s="19"/>
      <c r="R1022" s="19"/>
      <c r="S1022" s="19"/>
      <c r="T1022" s="19"/>
    </row>
    <row r="1023" spans="12:20" x14ac:dyDescent="0.3">
      <c r="L1023" s="19"/>
      <c r="M1023" s="19"/>
      <c r="N1023" s="19"/>
      <c r="O1023" s="19"/>
      <c r="P1023" s="19"/>
      <c r="Q1023" s="19"/>
      <c r="R1023" s="19"/>
      <c r="S1023" s="19"/>
      <c r="T1023" s="19"/>
    </row>
    <row r="1024" spans="12:20" x14ac:dyDescent="0.3">
      <c r="L1024" s="19"/>
      <c r="M1024" s="19"/>
      <c r="N1024" s="19"/>
      <c r="O1024" s="19"/>
      <c r="P1024" s="19"/>
      <c r="Q1024" s="19"/>
      <c r="R1024" s="19"/>
      <c r="S1024" s="19"/>
      <c r="T1024" s="19"/>
    </row>
    <row r="1025" spans="12:20" x14ac:dyDescent="0.3">
      <c r="L1025" s="19"/>
      <c r="M1025" s="19"/>
      <c r="N1025" s="19"/>
      <c r="O1025" s="19"/>
      <c r="P1025" s="19"/>
      <c r="Q1025" s="19"/>
      <c r="R1025" s="19"/>
      <c r="S1025" s="19"/>
      <c r="T1025" s="19"/>
    </row>
    <row r="1026" spans="12:20" x14ac:dyDescent="0.3">
      <c r="L1026" s="19"/>
      <c r="M1026" s="19"/>
      <c r="N1026" s="19"/>
      <c r="O1026" s="19"/>
      <c r="P1026" s="19"/>
      <c r="Q1026" s="19"/>
      <c r="R1026" s="19"/>
      <c r="S1026" s="19"/>
      <c r="T1026" s="19"/>
    </row>
    <row r="1027" spans="12:20" x14ac:dyDescent="0.3">
      <c r="L1027" s="19"/>
      <c r="M1027" s="19"/>
      <c r="N1027" s="19"/>
      <c r="O1027" s="19"/>
      <c r="P1027" s="19"/>
      <c r="Q1027" s="19"/>
      <c r="R1027" s="19"/>
      <c r="S1027" s="19"/>
      <c r="T1027" s="19"/>
    </row>
    <row r="1028" spans="12:20" x14ac:dyDescent="0.3">
      <c r="L1028" s="19"/>
      <c r="M1028" s="19"/>
      <c r="N1028" s="19"/>
      <c r="O1028" s="19"/>
      <c r="P1028" s="19"/>
      <c r="Q1028" s="19"/>
      <c r="R1028" s="19"/>
      <c r="S1028" s="19"/>
      <c r="T1028" s="19"/>
    </row>
    <row r="1029" spans="12:20" x14ac:dyDescent="0.3">
      <c r="L1029" s="19"/>
      <c r="M1029" s="19"/>
      <c r="N1029" s="19"/>
      <c r="O1029" s="19"/>
      <c r="P1029" s="19"/>
      <c r="Q1029" s="19"/>
      <c r="R1029" s="19"/>
      <c r="S1029" s="19"/>
      <c r="T1029" s="19"/>
    </row>
    <row r="1030" spans="12:20" x14ac:dyDescent="0.3">
      <c r="L1030" s="19"/>
      <c r="M1030" s="19"/>
      <c r="N1030" s="19"/>
      <c r="O1030" s="19"/>
      <c r="P1030" s="19"/>
      <c r="Q1030" s="19"/>
      <c r="R1030" s="19"/>
      <c r="S1030" s="19"/>
      <c r="T1030" s="19"/>
    </row>
    <row r="1031" spans="12:20" x14ac:dyDescent="0.3">
      <c r="L1031" s="19"/>
      <c r="M1031" s="19"/>
      <c r="N1031" s="19"/>
      <c r="O1031" s="19"/>
      <c r="P1031" s="19"/>
      <c r="Q1031" s="19"/>
      <c r="R1031" s="19"/>
      <c r="S1031" s="19"/>
      <c r="T1031" s="19"/>
    </row>
    <row r="1032" spans="12:20" x14ac:dyDescent="0.3">
      <c r="L1032" s="19"/>
      <c r="M1032" s="19"/>
      <c r="N1032" s="19"/>
      <c r="O1032" s="19"/>
      <c r="P1032" s="19"/>
      <c r="Q1032" s="19"/>
      <c r="R1032" s="19"/>
      <c r="S1032" s="19"/>
      <c r="T1032" s="19"/>
    </row>
    <row r="1033" spans="12:20" x14ac:dyDescent="0.3">
      <c r="L1033" s="19"/>
      <c r="M1033" s="19"/>
      <c r="N1033" s="19"/>
      <c r="O1033" s="19"/>
      <c r="P1033" s="19"/>
      <c r="Q1033" s="19"/>
      <c r="R1033" s="19"/>
      <c r="S1033" s="19"/>
      <c r="T1033" s="19"/>
    </row>
    <row r="1034" spans="12:20" x14ac:dyDescent="0.3">
      <c r="L1034" s="19"/>
      <c r="M1034" s="19"/>
      <c r="N1034" s="19"/>
      <c r="O1034" s="19"/>
      <c r="P1034" s="19"/>
      <c r="Q1034" s="19"/>
      <c r="R1034" s="19"/>
      <c r="S1034" s="19"/>
      <c r="T1034" s="19"/>
    </row>
    <row r="1035" spans="12:20" x14ac:dyDescent="0.3">
      <c r="L1035" s="19"/>
      <c r="M1035" s="19"/>
      <c r="N1035" s="19"/>
      <c r="O1035" s="19"/>
      <c r="P1035" s="19"/>
      <c r="Q1035" s="19"/>
      <c r="R1035" s="19"/>
      <c r="S1035" s="19"/>
      <c r="T1035" s="19"/>
    </row>
    <row r="1036" spans="12:20" x14ac:dyDescent="0.3">
      <c r="L1036" s="19"/>
      <c r="M1036" s="19"/>
      <c r="N1036" s="19"/>
      <c r="O1036" s="19"/>
      <c r="P1036" s="19"/>
      <c r="Q1036" s="19"/>
      <c r="R1036" s="19"/>
      <c r="S1036" s="19"/>
      <c r="T1036" s="19"/>
    </row>
    <row r="1037" spans="12:20" x14ac:dyDescent="0.3">
      <c r="L1037" s="19"/>
      <c r="M1037" s="19"/>
      <c r="N1037" s="19"/>
      <c r="O1037" s="19"/>
      <c r="P1037" s="19"/>
      <c r="Q1037" s="19"/>
      <c r="R1037" s="19"/>
      <c r="S1037" s="19"/>
      <c r="T1037" s="19"/>
    </row>
    <row r="1038" spans="12:20" x14ac:dyDescent="0.3">
      <c r="L1038" s="19"/>
      <c r="M1038" s="19"/>
      <c r="N1038" s="19"/>
      <c r="O1038" s="19"/>
      <c r="P1038" s="19"/>
      <c r="Q1038" s="19"/>
      <c r="R1038" s="19"/>
      <c r="S1038" s="19"/>
      <c r="T1038" s="19"/>
    </row>
    <row r="1039" spans="12:20" x14ac:dyDescent="0.3">
      <c r="L1039" s="19"/>
      <c r="M1039" s="19"/>
      <c r="N1039" s="19"/>
      <c r="O1039" s="19"/>
      <c r="P1039" s="19"/>
      <c r="Q1039" s="19"/>
      <c r="R1039" s="19"/>
      <c r="S1039" s="19"/>
      <c r="T1039" s="19"/>
    </row>
    <row r="1040" spans="12:20" x14ac:dyDescent="0.3">
      <c r="L1040" s="19"/>
      <c r="M1040" s="19"/>
      <c r="N1040" s="19"/>
      <c r="O1040" s="19"/>
      <c r="P1040" s="19"/>
      <c r="Q1040" s="19"/>
      <c r="R1040" s="19"/>
      <c r="S1040" s="19"/>
      <c r="T1040" s="19"/>
    </row>
    <row r="1041" spans="12:20" x14ac:dyDescent="0.3">
      <c r="L1041" s="19"/>
      <c r="M1041" s="19"/>
      <c r="N1041" s="19"/>
      <c r="O1041" s="19"/>
      <c r="P1041" s="19"/>
      <c r="Q1041" s="19"/>
      <c r="R1041" s="19"/>
      <c r="S1041" s="19"/>
      <c r="T1041" s="19"/>
    </row>
    <row r="1042" spans="12:20" x14ac:dyDescent="0.3">
      <c r="L1042" s="19"/>
      <c r="M1042" s="19"/>
      <c r="N1042" s="19"/>
      <c r="O1042" s="19"/>
      <c r="P1042" s="19"/>
      <c r="Q1042" s="19"/>
      <c r="R1042" s="19"/>
      <c r="S1042" s="19"/>
      <c r="T1042" s="19"/>
    </row>
    <row r="1043" spans="12:20" x14ac:dyDescent="0.3">
      <c r="L1043" s="19"/>
      <c r="M1043" s="19"/>
      <c r="N1043" s="19"/>
      <c r="O1043" s="19"/>
      <c r="P1043" s="19"/>
      <c r="Q1043" s="19"/>
      <c r="R1043" s="19"/>
      <c r="S1043" s="19"/>
      <c r="T1043" s="19"/>
    </row>
    <row r="1044" spans="12:20" x14ac:dyDescent="0.3">
      <c r="L1044" s="19"/>
      <c r="M1044" s="19"/>
      <c r="N1044" s="19"/>
      <c r="O1044" s="19"/>
      <c r="P1044" s="19"/>
      <c r="Q1044" s="19"/>
      <c r="R1044" s="19"/>
      <c r="S1044" s="19"/>
      <c r="T1044" s="19"/>
    </row>
    <row r="1045" spans="12:20" x14ac:dyDescent="0.3">
      <c r="L1045" s="19"/>
      <c r="M1045" s="19"/>
      <c r="N1045" s="19"/>
      <c r="O1045" s="19"/>
      <c r="P1045" s="19"/>
      <c r="Q1045" s="19"/>
      <c r="R1045" s="19"/>
      <c r="S1045" s="19"/>
      <c r="T1045" s="19"/>
    </row>
    <row r="1046" spans="12:20" x14ac:dyDescent="0.3">
      <c r="L1046" s="19"/>
      <c r="M1046" s="19"/>
      <c r="N1046" s="19"/>
      <c r="O1046" s="19"/>
      <c r="P1046" s="19"/>
      <c r="Q1046" s="19"/>
      <c r="R1046" s="19"/>
      <c r="S1046" s="19"/>
      <c r="T1046" s="19"/>
    </row>
    <row r="1047" spans="12:20" x14ac:dyDescent="0.3">
      <c r="L1047" s="19"/>
      <c r="M1047" s="19"/>
      <c r="N1047" s="19"/>
      <c r="O1047" s="19"/>
      <c r="P1047" s="19"/>
      <c r="Q1047" s="19"/>
      <c r="R1047" s="19"/>
      <c r="S1047" s="19"/>
      <c r="T1047" s="19"/>
    </row>
    <row r="1048" spans="12:20" x14ac:dyDescent="0.3">
      <c r="L1048" s="19"/>
      <c r="M1048" s="19"/>
      <c r="N1048" s="19"/>
      <c r="O1048" s="19"/>
      <c r="P1048" s="19"/>
      <c r="Q1048" s="19"/>
      <c r="R1048" s="19"/>
      <c r="S1048" s="19"/>
      <c r="T1048" s="19"/>
    </row>
    <row r="1049" spans="12:20" x14ac:dyDescent="0.3">
      <c r="L1049" s="19"/>
      <c r="M1049" s="19"/>
      <c r="N1049" s="19"/>
      <c r="O1049" s="19"/>
      <c r="P1049" s="19"/>
      <c r="Q1049" s="19"/>
      <c r="R1049" s="19"/>
      <c r="S1049" s="19"/>
      <c r="T1049" s="19"/>
    </row>
    <row r="1050" spans="12:20" x14ac:dyDescent="0.3">
      <c r="L1050" s="19"/>
      <c r="M1050" s="19"/>
      <c r="N1050" s="19"/>
      <c r="O1050" s="19"/>
      <c r="P1050" s="19"/>
      <c r="Q1050" s="19"/>
      <c r="R1050" s="19"/>
      <c r="S1050" s="19"/>
      <c r="T1050" s="19"/>
    </row>
    <row r="1051" spans="12:20" x14ac:dyDescent="0.3">
      <c r="L1051" s="19"/>
      <c r="M1051" s="19"/>
      <c r="N1051" s="19"/>
      <c r="O1051" s="19"/>
      <c r="P1051" s="19"/>
      <c r="Q1051" s="19"/>
      <c r="R1051" s="19"/>
      <c r="S1051" s="19"/>
      <c r="T1051" s="19"/>
    </row>
    <row r="1052" spans="12:20" x14ac:dyDescent="0.3">
      <c r="L1052" s="19"/>
      <c r="M1052" s="19"/>
      <c r="N1052" s="19"/>
      <c r="O1052" s="19"/>
      <c r="P1052" s="19"/>
      <c r="Q1052" s="19"/>
      <c r="R1052" s="19"/>
      <c r="S1052" s="19"/>
      <c r="T1052" s="19"/>
    </row>
    <row r="1053" spans="12:20" x14ac:dyDescent="0.3">
      <c r="L1053" s="19"/>
      <c r="M1053" s="19"/>
      <c r="N1053" s="19"/>
      <c r="O1053" s="19"/>
      <c r="P1053" s="19"/>
      <c r="Q1053" s="19"/>
      <c r="R1053" s="19"/>
      <c r="S1053" s="19"/>
      <c r="T1053" s="19"/>
    </row>
    <row r="1054" spans="12:20" x14ac:dyDescent="0.3">
      <c r="L1054" s="19"/>
      <c r="M1054" s="19"/>
      <c r="N1054" s="19"/>
      <c r="O1054" s="19"/>
      <c r="P1054" s="19"/>
      <c r="Q1054" s="19"/>
      <c r="R1054" s="19"/>
      <c r="S1054" s="19"/>
      <c r="T1054" s="19"/>
    </row>
    <row r="1055" spans="12:20" x14ac:dyDescent="0.3">
      <c r="L1055" s="19"/>
      <c r="M1055" s="19"/>
      <c r="N1055" s="19"/>
      <c r="O1055" s="19"/>
      <c r="P1055" s="19"/>
      <c r="Q1055" s="19"/>
      <c r="R1055" s="19"/>
      <c r="S1055" s="19"/>
      <c r="T1055" s="19"/>
    </row>
    <row r="1056" spans="12:20" x14ac:dyDescent="0.3">
      <c r="L1056" s="19"/>
      <c r="M1056" s="19"/>
      <c r="N1056" s="19"/>
      <c r="O1056" s="19"/>
      <c r="P1056" s="19"/>
      <c r="Q1056" s="19"/>
      <c r="R1056" s="19"/>
      <c r="S1056" s="19"/>
      <c r="T1056" s="19"/>
    </row>
    <row r="1057" spans="12:20" x14ac:dyDescent="0.3">
      <c r="L1057" s="19"/>
      <c r="M1057" s="19"/>
      <c r="N1057" s="19"/>
      <c r="O1057" s="19"/>
      <c r="P1057" s="19"/>
      <c r="Q1057" s="19"/>
      <c r="R1057" s="19"/>
      <c r="S1057" s="19"/>
      <c r="T1057" s="19"/>
    </row>
    <row r="1058" spans="12:20" x14ac:dyDescent="0.3">
      <c r="L1058" s="19"/>
      <c r="M1058" s="19"/>
      <c r="N1058" s="19"/>
      <c r="O1058" s="19"/>
      <c r="P1058" s="19"/>
      <c r="Q1058" s="19"/>
      <c r="R1058" s="19"/>
      <c r="S1058" s="19"/>
      <c r="T1058" s="19"/>
    </row>
    <row r="1059" spans="12:20" x14ac:dyDescent="0.3">
      <c r="L1059" s="19"/>
      <c r="M1059" s="19"/>
      <c r="N1059" s="19"/>
      <c r="O1059" s="19"/>
      <c r="P1059" s="19"/>
      <c r="Q1059" s="19"/>
      <c r="R1059" s="19"/>
      <c r="S1059" s="19"/>
      <c r="T1059" s="19"/>
    </row>
    <row r="1060" spans="12:20" x14ac:dyDescent="0.3">
      <c r="L1060" s="19"/>
      <c r="M1060" s="19"/>
      <c r="N1060" s="19"/>
      <c r="O1060" s="19"/>
      <c r="P1060" s="19"/>
      <c r="Q1060" s="19"/>
      <c r="R1060" s="19"/>
      <c r="S1060" s="19"/>
      <c r="T1060" s="19"/>
    </row>
    <row r="1061" spans="12:20" x14ac:dyDescent="0.3">
      <c r="L1061" s="19"/>
      <c r="M1061" s="19"/>
      <c r="N1061" s="19"/>
      <c r="O1061" s="19"/>
      <c r="P1061" s="19"/>
      <c r="Q1061" s="19"/>
      <c r="R1061" s="19"/>
      <c r="S1061" s="19"/>
      <c r="T1061" s="19"/>
    </row>
    <row r="1062" spans="12:20" x14ac:dyDescent="0.3">
      <c r="L1062" s="19"/>
      <c r="M1062" s="19"/>
      <c r="N1062" s="19"/>
      <c r="O1062" s="19"/>
      <c r="P1062" s="19"/>
      <c r="Q1062" s="19"/>
      <c r="R1062" s="19"/>
      <c r="S1062" s="19"/>
      <c r="T1062" s="19"/>
    </row>
    <row r="1063" spans="12:20" x14ac:dyDescent="0.3">
      <c r="L1063" s="19"/>
      <c r="M1063" s="19"/>
      <c r="N1063" s="19"/>
      <c r="O1063" s="19"/>
      <c r="P1063" s="19"/>
      <c r="Q1063" s="19"/>
      <c r="R1063" s="19"/>
      <c r="S1063" s="19"/>
      <c r="T1063" s="19"/>
    </row>
    <row r="1064" spans="12:20" x14ac:dyDescent="0.3">
      <c r="L1064" s="19"/>
      <c r="M1064" s="19"/>
      <c r="N1064" s="19"/>
      <c r="O1064" s="19"/>
      <c r="P1064" s="19"/>
      <c r="Q1064" s="19"/>
      <c r="R1064" s="19"/>
      <c r="S1064" s="19"/>
      <c r="T1064" s="19"/>
    </row>
    <row r="1065" spans="12:20" x14ac:dyDescent="0.3">
      <c r="L1065" s="19"/>
      <c r="M1065" s="19"/>
      <c r="N1065" s="19"/>
      <c r="O1065" s="19"/>
      <c r="P1065" s="19"/>
      <c r="Q1065" s="19"/>
      <c r="R1065" s="19"/>
      <c r="S1065" s="19"/>
      <c r="T1065" s="19"/>
    </row>
    <row r="1066" spans="12:20" x14ac:dyDescent="0.3">
      <c r="L1066" s="19"/>
      <c r="M1066" s="19"/>
      <c r="N1066" s="19"/>
      <c r="O1066" s="19"/>
      <c r="P1066" s="19"/>
      <c r="Q1066" s="19"/>
      <c r="R1066" s="19"/>
      <c r="S1066" s="19"/>
      <c r="T1066" s="19"/>
    </row>
    <row r="1067" spans="12:20" x14ac:dyDescent="0.3">
      <c r="L1067" s="19"/>
      <c r="M1067" s="19"/>
      <c r="N1067" s="19"/>
      <c r="O1067" s="19"/>
      <c r="P1067" s="19"/>
      <c r="Q1067" s="19"/>
      <c r="R1067" s="19"/>
      <c r="S1067" s="19"/>
      <c r="T1067" s="19"/>
    </row>
    <row r="1068" spans="12:20" x14ac:dyDescent="0.3">
      <c r="L1068" s="19"/>
      <c r="M1068" s="19"/>
      <c r="N1068" s="19"/>
      <c r="O1068" s="19"/>
      <c r="P1068" s="19"/>
      <c r="Q1068" s="19"/>
      <c r="R1068" s="19"/>
      <c r="S1068" s="19"/>
      <c r="T1068" s="19"/>
    </row>
    <row r="1069" spans="12:20" x14ac:dyDescent="0.3">
      <c r="L1069" s="19"/>
      <c r="M1069" s="19"/>
      <c r="N1069" s="19"/>
      <c r="O1069" s="19"/>
      <c r="P1069" s="19"/>
      <c r="Q1069" s="19"/>
      <c r="R1069" s="19"/>
      <c r="S1069" s="19"/>
      <c r="T1069" s="19"/>
    </row>
    <row r="1070" spans="12:20" x14ac:dyDescent="0.3">
      <c r="L1070" s="19"/>
      <c r="M1070" s="19"/>
      <c r="N1070" s="19"/>
      <c r="O1070" s="19"/>
      <c r="P1070" s="19"/>
      <c r="Q1070" s="19"/>
      <c r="R1070" s="19"/>
      <c r="S1070" s="19"/>
      <c r="T1070" s="19"/>
    </row>
    <row r="1071" spans="12:20" x14ac:dyDescent="0.3">
      <c r="L1071" s="19"/>
      <c r="M1071" s="19"/>
      <c r="N1071" s="19"/>
      <c r="O1071" s="19"/>
      <c r="P1071" s="19"/>
      <c r="Q1071" s="19"/>
      <c r="R1071" s="19"/>
      <c r="S1071" s="19"/>
      <c r="T1071" s="19"/>
    </row>
    <row r="1072" spans="12:20" x14ac:dyDescent="0.3">
      <c r="L1072" s="19"/>
      <c r="M1072" s="19"/>
      <c r="N1072" s="19"/>
      <c r="O1072" s="19"/>
      <c r="P1072" s="19"/>
      <c r="Q1072" s="19"/>
      <c r="R1072" s="19"/>
      <c r="S1072" s="19"/>
      <c r="T1072" s="19"/>
    </row>
    <row r="1073" spans="12:20" x14ac:dyDescent="0.3">
      <c r="L1073" s="19"/>
      <c r="M1073" s="19"/>
      <c r="N1073" s="19"/>
      <c r="O1073" s="19"/>
      <c r="P1073" s="19"/>
      <c r="Q1073" s="19"/>
      <c r="R1073" s="19"/>
      <c r="S1073" s="19"/>
      <c r="T1073" s="19"/>
    </row>
    <row r="1074" spans="12:20" x14ac:dyDescent="0.3">
      <c r="L1074" s="19"/>
      <c r="M1074" s="19"/>
      <c r="N1074" s="19"/>
      <c r="O1074" s="19"/>
      <c r="P1074" s="19"/>
      <c r="Q1074" s="19"/>
      <c r="R1074" s="19"/>
      <c r="S1074" s="19"/>
      <c r="T1074" s="19"/>
    </row>
    <row r="1075" spans="12:20" x14ac:dyDescent="0.3">
      <c r="L1075" s="19"/>
      <c r="M1075" s="19"/>
      <c r="N1075" s="19"/>
      <c r="O1075" s="19"/>
      <c r="P1075" s="19"/>
      <c r="Q1075" s="19"/>
      <c r="R1075" s="19"/>
      <c r="S1075" s="19"/>
      <c r="T1075" s="19"/>
    </row>
    <row r="1076" spans="12:20" x14ac:dyDescent="0.3">
      <c r="L1076" s="19"/>
      <c r="M1076" s="19"/>
      <c r="N1076" s="19"/>
      <c r="O1076" s="19"/>
      <c r="P1076" s="19"/>
      <c r="Q1076" s="19"/>
      <c r="R1076" s="19"/>
      <c r="S1076" s="19"/>
      <c r="T1076" s="19"/>
    </row>
    <row r="1077" spans="12:20" x14ac:dyDescent="0.3">
      <c r="L1077" s="19"/>
      <c r="M1077" s="19"/>
      <c r="N1077" s="19"/>
      <c r="O1077" s="19"/>
      <c r="P1077" s="19"/>
      <c r="Q1077" s="19"/>
      <c r="R1077" s="19"/>
      <c r="S1077" s="19"/>
      <c r="T1077" s="19"/>
    </row>
    <row r="1078" spans="12:20" x14ac:dyDescent="0.3">
      <c r="L1078" s="19"/>
      <c r="M1078" s="19"/>
      <c r="N1078" s="19"/>
      <c r="O1078" s="19"/>
      <c r="P1078" s="19"/>
      <c r="Q1078" s="19"/>
      <c r="R1078" s="19"/>
      <c r="S1078" s="19"/>
      <c r="T1078" s="19"/>
    </row>
    <row r="1079" spans="12:20" x14ac:dyDescent="0.3">
      <c r="L1079" s="19"/>
      <c r="M1079" s="19"/>
      <c r="N1079" s="19"/>
      <c r="O1079" s="19"/>
      <c r="P1079" s="19"/>
      <c r="Q1079" s="19"/>
      <c r="R1079" s="19"/>
      <c r="S1079" s="19"/>
      <c r="T1079" s="19"/>
    </row>
    <row r="1080" spans="12:20" x14ac:dyDescent="0.3">
      <c r="L1080" s="19"/>
      <c r="M1080" s="19"/>
      <c r="N1080" s="19"/>
      <c r="O1080" s="19"/>
      <c r="P1080" s="19"/>
      <c r="Q1080" s="19"/>
      <c r="R1080" s="19"/>
      <c r="S1080" s="19"/>
      <c r="T1080" s="19"/>
    </row>
    <row r="1081" spans="12:20" x14ac:dyDescent="0.3">
      <c r="L1081" s="19"/>
      <c r="M1081" s="19"/>
      <c r="N1081" s="19"/>
      <c r="O1081" s="19"/>
      <c r="P1081" s="19"/>
      <c r="Q1081" s="19"/>
      <c r="R1081" s="19"/>
      <c r="S1081" s="19"/>
      <c r="T1081" s="19"/>
    </row>
    <row r="1082" spans="12:20" x14ac:dyDescent="0.3">
      <c r="L1082" s="19"/>
      <c r="M1082" s="19"/>
      <c r="N1082" s="19"/>
      <c r="O1082" s="19"/>
      <c r="P1082" s="19"/>
      <c r="Q1082" s="19"/>
      <c r="R1082" s="19"/>
      <c r="S1082" s="19"/>
      <c r="T1082" s="19"/>
    </row>
    <row r="1083" spans="12:20" x14ac:dyDescent="0.3">
      <c r="L1083" s="19"/>
      <c r="M1083" s="19"/>
      <c r="N1083" s="19"/>
      <c r="O1083" s="19"/>
      <c r="P1083" s="19"/>
      <c r="Q1083" s="19"/>
      <c r="R1083" s="19"/>
      <c r="S1083" s="19"/>
      <c r="T1083" s="19"/>
    </row>
    <row r="1084" spans="12:20" x14ac:dyDescent="0.3">
      <c r="L1084" s="19"/>
      <c r="M1084" s="19"/>
      <c r="N1084" s="19"/>
      <c r="O1084" s="19"/>
      <c r="P1084" s="19"/>
      <c r="Q1084" s="19"/>
      <c r="R1084" s="19"/>
      <c r="S1084" s="19"/>
      <c r="T1084" s="19"/>
    </row>
    <row r="1085" spans="12:20" x14ac:dyDescent="0.3">
      <c r="L1085" s="19"/>
      <c r="M1085" s="19"/>
      <c r="N1085" s="19"/>
      <c r="O1085" s="19"/>
      <c r="P1085" s="19"/>
      <c r="Q1085" s="19"/>
      <c r="R1085" s="19"/>
      <c r="S1085" s="19"/>
      <c r="T1085" s="19"/>
    </row>
    <row r="1086" spans="12:20" x14ac:dyDescent="0.3">
      <c r="L1086" s="22"/>
      <c r="M1086" s="22"/>
      <c r="N1086" s="22"/>
      <c r="O1086" s="22"/>
      <c r="P1086" s="22"/>
      <c r="Q1086" s="22"/>
      <c r="R1086" s="22"/>
      <c r="S1086" s="22"/>
      <c r="T1086" s="22"/>
    </row>
    <row r="1087" spans="12:20" x14ac:dyDescent="0.3">
      <c r="L1087" s="22"/>
      <c r="M1087" s="22"/>
      <c r="N1087" s="22"/>
      <c r="O1087" s="22"/>
      <c r="P1087" s="22"/>
      <c r="Q1087" s="22"/>
      <c r="R1087" s="22"/>
      <c r="S1087" s="22"/>
      <c r="T1087" s="22"/>
    </row>
    <row r="1088" spans="12:20" x14ac:dyDescent="0.3">
      <c r="L1088" s="22"/>
      <c r="M1088" s="22"/>
      <c r="N1088" s="22"/>
      <c r="O1088" s="22"/>
      <c r="P1088" s="22"/>
      <c r="Q1088" s="22"/>
      <c r="R1088" s="22"/>
      <c r="S1088" s="22"/>
      <c r="T1088" s="22"/>
    </row>
    <row r="1089" spans="12:20" x14ac:dyDescent="0.3">
      <c r="L1089" s="22"/>
      <c r="M1089" s="22"/>
      <c r="N1089" s="22"/>
      <c r="O1089" s="22"/>
      <c r="P1089" s="22"/>
      <c r="Q1089" s="22"/>
      <c r="R1089" s="22"/>
      <c r="S1089" s="22"/>
      <c r="T1089" s="22"/>
    </row>
    <row r="1090" spans="12:20" x14ac:dyDescent="0.3">
      <c r="L1090" s="22"/>
      <c r="M1090" s="22"/>
      <c r="N1090" s="22"/>
      <c r="O1090" s="22"/>
      <c r="P1090" s="22"/>
      <c r="Q1090" s="22"/>
      <c r="R1090" s="22"/>
      <c r="S1090" s="22"/>
      <c r="T1090" s="22"/>
    </row>
    <row r="1091" spans="12:20" x14ac:dyDescent="0.3">
      <c r="L1091" s="22"/>
      <c r="M1091" s="22"/>
      <c r="N1091" s="22"/>
      <c r="O1091" s="22"/>
      <c r="P1091" s="22"/>
      <c r="Q1091" s="22"/>
      <c r="R1091" s="22"/>
      <c r="S1091" s="22"/>
      <c r="T1091" s="22"/>
    </row>
    <row r="1092" spans="12:20" x14ac:dyDescent="0.3">
      <c r="L1092" s="22"/>
      <c r="M1092" s="22"/>
      <c r="N1092" s="22"/>
      <c r="O1092" s="22"/>
      <c r="P1092" s="22"/>
      <c r="Q1092" s="22"/>
      <c r="R1092" s="22"/>
      <c r="S1092" s="22"/>
      <c r="T1092" s="22"/>
    </row>
    <row r="1093" spans="12:20" x14ac:dyDescent="0.3">
      <c r="L1093" s="22"/>
      <c r="M1093" s="22"/>
      <c r="N1093" s="22"/>
      <c r="O1093" s="22"/>
      <c r="P1093" s="22"/>
      <c r="Q1093" s="22"/>
      <c r="R1093" s="22"/>
      <c r="S1093" s="22"/>
      <c r="T1093" s="22"/>
    </row>
    <row r="1094" spans="12:20" x14ac:dyDescent="0.3">
      <c r="L1094" s="22"/>
      <c r="M1094" s="22"/>
      <c r="N1094" s="22"/>
      <c r="O1094" s="22"/>
      <c r="P1094" s="22"/>
      <c r="Q1094" s="22"/>
      <c r="R1094" s="22"/>
      <c r="S1094" s="22"/>
      <c r="T1094" s="22"/>
    </row>
    <row r="1095" spans="12:20" x14ac:dyDescent="0.3">
      <c r="L1095" s="22"/>
      <c r="M1095" s="22"/>
      <c r="N1095" s="22"/>
      <c r="O1095" s="22"/>
      <c r="P1095" s="22"/>
      <c r="Q1095" s="22"/>
      <c r="R1095" s="22"/>
      <c r="S1095" s="22"/>
      <c r="T1095" s="22"/>
    </row>
    <row r="1096" spans="12:20" x14ac:dyDescent="0.3">
      <c r="L1096" s="22"/>
      <c r="M1096" s="22"/>
      <c r="N1096" s="22"/>
      <c r="O1096" s="22"/>
      <c r="P1096" s="22"/>
      <c r="Q1096" s="22"/>
      <c r="R1096" s="22"/>
      <c r="S1096" s="22"/>
      <c r="T1096" s="22"/>
    </row>
    <row r="1097" spans="12:20" x14ac:dyDescent="0.3">
      <c r="L1097" s="22"/>
      <c r="M1097" s="22"/>
      <c r="N1097" s="22"/>
      <c r="O1097" s="22"/>
      <c r="P1097" s="22"/>
      <c r="Q1097" s="22"/>
      <c r="R1097" s="22"/>
      <c r="S1097" s="22"/>
      <c r="T1097" s="22"/>
    </row>
    <row r="1098" spans="12:20" x14ac:dyDescent="0.3">
      <c r="L1098" s="22"/>
      <c r="M1098" s="22"/>
      <c r="N1098" s="22"/>
      <c r="O1098" s="22"/>
      <c r="P1098" s="22"/>
      <c r="Q1098" s="22"/>
      <c r="R1098" s="22"/>
      <c r="S1098" s="22"/>
      <c r="T1098" s="22"/>
    </row>
    <row r="1099" spans="12:20" x14ac:dyDescent="0.3">
      <c r="L1099" s="22"/>
      <c r="M1099" s="22"/>
      <c r="N1099" s="22"/>
      <c r="O1099" s="22"/>
      <c r="P1099" s="22"/>
      <c r="Q1099" s="22"/>
      <c r="R1099" s="22"/>
      <c r="S1099" s="22"/>
      <c r="T1099" s="22"/>
    </row>
    <row r="1100" spans="12:20" x14ac:dyDescent="0.3">
      <c r="L1100" s="22"/>
      <c r="M1100" s="22"/>
      <c r="N1100" s="22"/>
      <c r="O1100" s="22"/>
      <c r="P1100" s="22"/>
      <c r="Q1100" s="22"/>
      <c r="R1100" s="22"/>
      <c r="S1100" s="22"/>
      <c r="T1100" s="22"/>
    </row>
    <row r="1101" spans="12:20" x14ac:dyDescent="0.3">
      <c r="L1101" s="22"/>
      <c r="M1101" s="22"/>
      <c r="N1101" s="22"/>
      <c r="O1101" s="22"/>
      <c r="P1101" s="22"/>
      <c r="Q1101" s="22"/>
      <c r="R1101" s="22"/>
      <c r="S1101" s="22"/>
      <c r="T1101" s="22"/>
    </row>
    <row r="1102" spans="12:20" x14ac:dyDescent="0.3">
      <c r="L1102" s="22"/>
      <c r="M1102" s="22"/>
      <c r="N1102" s="22"/>
      <c r="O1102" s="22"/>
      <c r="P1102" s="22"/>
      <c r="Q1102" s="22"/>
      <c r="R1102" s="22"/>
      <c r="S1102" s="22"/>
      <c r="T1102" s="22"/>
    </row>
    <row r="1103" spans="12:20" x14ac:dyDescent="0.3">
      <c r="L1103" s="22"/>
      <c r="M1103" s="22"/>
      <c r="N1103" s="22"/>
      <c r="O1103" s="22"/>
      <c r="P1103" s="22"/>
      <c r="Q1103" s="22"/>
      <c r="R1103" s="22"/>
      <c r="S1103" s="22"/>
      <c r="T1103" s="22"/>
    </row>
    <row r="1104" spans="12:20" x14ac:dyDescent="0.3">
      <c r="L1104" s="22"/>
      <c r="M1104" s="22"/>
      <c r="N1104" s="22"/>
      <c r="O1104" s="22"/>
      <c r="P1104" s="22"/>
      <c r="Q1104" s="22"/>
      <c r="R1104" s="22"/>
      <c r="S1104" s="22"/>
      <c r="T1104" s="22"/>
    </row>
    <row r="1105" spans="12:20" x14ac:dyDescent="0.3">
      <c r="L1105" s="22"/>
      <c r="M1105" s="22"/>
      <c r="N1105" s="22"/>
      <c r="O1105" s="22"/>
      <c r="P1105" s="22"/>
      <c r="Q1105" s="22"/>
      <c r="R1105" s="22"/>
      <c r="S1105" s="22"/>
      <c r="T1105" s="22"/>
    </row>
    <row r="1106" spans="12:20" x14ac:dyDescent="0.3">
      <c r="L1106" s="22"/>
      <c r="M1106" s="22"/>
      <c r="N1106" s="22"/>
      <c r="O1106" s="22"/>
      <c r="P1106" s="22"/>
      <c r="Q1106" s="22"/>
      <c r="R1106" s="22"/>
      <c r="S1106" s="22"/>
      <c r="T1106" s="22"/>
    </row>
    <row r="1107" spans="12:20" x14ac:dyDescent="0.3">
      <c r="L1107" s="22"/>
      <c r="M1107" s="22"/>
      <c r="N1107" s="22"/>
      <c r="O1107" s="22"/>
      <c r="P1107" s="22"/>
      <c r="Q1107" s="22"/>
      <c r="R1107" s="22"/>
      <c r="S1107" s="22"/>
      <c r="T1107" s="22"/>
    </row>
    <row r="1108" spans="12:20" x14ac:dyDescent="0.3">
      <c r="L1108" s="22"/>
      <c r="M1108" s="22"/>
      <c r="N1108" s="22"/>
      <c r="O1108" s="22"/>
      <c r="P1108" s="22"/>
      <c r="Q1108" s="22"/>
      <c r="R1108" s="22"/>
      <c r="S1108" s="22"/>
      <c r="T1108" s="22"/>
    </row>
    <row r="1109" spans="12:20" x14ac:dyDescent="0.3">
      <c r="L1109" s="22"/>
      <c r="M1109" s="22"/>
      <c r="N1109" s="22"/>
      <c r="O1109" s="22"/>
      <c r="P1109" s="22"/>
      <c r="Q1109" s="22"/>
      <c r="R1109" s="22"/>
      <c r="S1109" s="22"/>
      <c r="T1109" s="22"/>
    </row>
    <row r="1110" spans="12:20" x14ac:dyDescent="0.3">
      <c r="L1110" s="22"/>
      <c r="M1110" s="22"/>
      <c r="N1110" s="22"/>
      <c r="O1110" s="22"/>
      <c r="P1110" s="22"/>
      <c r="Q1110" s="22"/>
      <c r="R1110" s="22"/>
      <c r="S1110" s="22"/>
      <c r="T1110" s="22"/>
    </row>
    <row r="1111" spans="12:20" x14ac:dyDescent="0.3">
      <c r="L1111" s="22"/>
      <c r="M1111" s="22"/>
      <c r="N1111" s="22"/>
      <c r="O1111" s="22"/>
      <c r="P1111" s="22"/>
      <c r="Q1111" s="22"/>
      <c r="R1111" s="22"/>
      <c r="S1111" s="22"/>
      <c r="T1111" s="22"/>
    </row>
    <row r="1112" spans="12:20" x14ac:dyDescent="0.3">
      <c r="L1112" s="22"/>
      <c r="M1112" s="22"/>
      <c r="N1112" s="22"/>
      <c r="O1112" s="22"/>
      <c r="P1112" s="22"/>
      <c r="Q1112" s="22"/>
      <c r="R1112" s="22"/>
      <c r="S1112" s="22"/>
      <c r="T1112" s="22"/>
    </row>
    <row r="1113" spans="12:20" x14ac:dyDescent="0.3">
      <c r="L1113" s="22"/>
      <c r="M1113" s="22"/>
      <c r="N1113" s="22"/>
      <c r="O1113" s="22"/>
      <c r="P1113" s="22"/>
      <c r="Q1113" s="22"/>
      <c r="R1113" s="22"/>
      <c r="S1113" s="22"/>
      <c r="T1113" s="22"/>
    </row>
    <row r="1114" spans="12:20" x14ac:dyDescent="0.3">
      <c r="L1114" s="22"/>
      <c r="M1114" s="22"/>
      <c r="N1114" s="22"/>
      <c r="O1114" s="22"/>
      <c r="P1114" s="22"/>
      <c r="Q1114" s="22"/>
      <c r="R1114" s="22"/>
      <c r="S1114" s="22"/>
      <c r="T1114" s="22"/>
    </row>
    <row r="1115" spans="12:20" x14ac:dyDescent="0.3">
      <c r="L1115" s="22"/>
      <c r="M1115" s="22"/>
      <c r="N1115" s="22"/>
      <c r="O1115" s="22"/>
      <c r="P1115" s="22"/>
      <c r="Q1115" s="22"/>
      <c r="R1115" s="22"/>
      <c r="S1115" s="22"/>
      <c r="T1115" s="22"/>
    </row>
    <row r="1116" spans="12:20" x14ac:dyDescent="0.3">
      <c r="L1116" s="22"/>
      <c r="M1116" s="22"/>
      <c r="N1116" s="22"/>
      <c r="O1116" s="22"/>
      <c r="P1116" s="22"/>
      <c r="Q1116" s="22"/>
      <c r="R1116" s="22"/>
      <c r="S1116" s="22"/>
      <c r="T1116" s="22"/>
    </row>
    <row r="1117" spans="12:20" x14ac:dyDescent="0.3">
      <c r="L1117" s="22"/>
      <c r="M1117" s="22"/>
      <c r="N1117" s="22"/>
      <c r="O1117" s="22"/>
      <c r="P1117" s="22"/>
      <c r="Q1117" s="22"/>
      <c r="R1117" s="22"/>
      <c r="S1117" s="22"/>
      <c r="T1117" s="22"/>
    </row>
    <row r="1118" spans="12:20" x14ac:dyDescent="0.3">
      <c r="L1118" s="22"/>
      <c r="M1118" s="22"/>
      <c r="N1118" s="22"/>
      <c r="O1118" s="22"/>
      <c r="P1118" s="22"/>
      <c r="Q1118" s="22"/>
      <c r="R1118" s="22"/>
      <c r="S1118" s="22"/>
      <c r="T1118" s="22"/>
    </row>
    <row r="1119" spans="12:20" x14ac:dyDescent="0.3">
      <c r="L1119" s="22"/>
      <c r="M1119" s="22"/>
      <c r="N1119" s="22"/>
      <c r="O1119" s="22"/>
      <c r="P1119" s="22"/>
      <c r="Q1119" s="22"/>
      <c r="R1119" s="22"/>
      <c r="S1119" s="22"/>
      <c r="T1119" s="22"/>
    </row>
    <row r="1120" spans="12:20" x14ac:dyDescent="0.3">
      <c r="L1120" s="22"/>
      <c r="M1120" s="22"/>
      <c r="N1120" s="22"/>
      <c r="O1120" s="22"/>
      <c r="P1120" s="22"/>
      <c r="Q1120" s="22"/>
      <c r="R1120" s="22"/>
      <c r="S1120" s="22"/>
      <c r="T1120" s="22"/>
    </row>
    <row r="1121" spans="12:20" x14ac:dyDescent="0.3">
      <c r="L1121" s="22"/>
      <c r="M1121" s="22"/>
      <c r="N1121" s="22"/>
      <c r="O1121" s="22"/>
      <c r="P1121" s="22"/>
      <c r="Q1121" s="22"/>
      <c r="R1121" s="22"/>
      <c r="S1121" s="22"/>
      <c r="T1121" s="22"/>
    </row>
    <row r="1122" spans="12:20" x14ac:dyDescent="0.3">
      <c r="L1122" s="22"/>
      <c r="M1122" s="22"/>
      <c r="N1122" s="22"/>
      <c r="O1122" s="22"/>
      <c r="P1122" s="22"/>
      <c r="Q1122" s="22"/>
      <c r="R1122" s="22"/>
      <c r="S1122" s="22"/>
      <c r="T1122" s="22"/>
    </row>
    <row r="1123" spans="12:20" x14ac:dyDescent="0.3">
      <c r="L1123" s="22"/>
      <c r="M1123" s="22"/>
      <c r="N1123" s="22"/>
      <c r="O1123" s="22"/>
      <c r="P1123" s="22"/>
      <c r="Q1123" s="22"/>
      <c r="R1123" s="22"/>
      <c r="S1123" s="22"/>
      <c r="T1123" s="22"/>
    </row>
    <row r="1124" spans="12:20" x14ac:dyDescent="0.3">
      <c r="L1124" s="22"/>
      <c r="M1124" s="22"/>
      <c r="N1124" s="22"/>
      <c r="O1124" s="22"/>
      <c r="P1124" s="22"/>
      <c r="Q1124" s="22"/>
      <c r="R1124" s="22"/>
      <c r="S1124" s="22"/>
      <c r="T1124" s="22"/>
    </row>
    <row r="1125" spans="12:20" x14ac:dyDescent="0.3">
      <c r="L1125" s="22"/>
      <c r="M1125" s="22"/>
      <c r="N1125" s="22"/>
      <c r="O1125" s="22"/>
      <c r="P1125" s="22"/>
      <c r="Q1125" s="22"/>
      <c r="R1125" s="22"/>
      <c r="S1125" s="22"/>
      <c r="T1125" s="22"/>
    </row>
    <row r="1126" spans="12:20" x14ac:dyDescent="0.3">
      <c r="L1126" s="22"/>
      <c r="M1126" s="22"/>
      <c r="N1126" s="22"/>
      <c r="O1126" s="22"/>
      <c r="P1126" s="22"/>
      <c r="Q1126" s="22"/>
      <c r="R1126" s="22"/>
      <c r="S1126" s="22"/>
      <c r="T1126" s="22"/>
    </row>
    <row r="1127" spans="12:20" x14ac:dyDescent="0.3">
      <c r="L1127" s="22"/>
      <c r="M1127" s="22"/>
      <c r="N1127" s="22"/>
      <c r="O1127" s="22"/>
      <c r="P1127" s="22"/>
      <c r="Q1127" s="22"/>
      <c r="R1127" s="22"/>
      <c r="S1127" s="22"/>
      <c r="T1127" s="22"/>
    </row>
    <row r="1128" spans="12:20" x14ac:dyDescent="0.3">
      <c r="L1128" s="22"/>
      <c r="M1128" s="22"/>
      <c r="N1128" s="22"/>
      <c r="O1128" s="22"/>
      <c r="P1128" s="22"/>
      <c r="Q1128" s="22"/>
      <c r="R1128" s="22"/>
      <c r="S1128" s="22"/>
      <c r="T1128" s="22"/>
    </row>
    <row r="1129" spans="12:20" x14ac:dyDescent="0.3">
      <c r="L1129" s="22"/>
      <c r="M1129" s="22"/>
      <c r="N1129" s="22"/>
      <c r="O1129" s="22"/>
      <c r="P1129" s="22"/>
      <c r="Q1129" s="22"/>
      <c r="R1129" s="22"/>
      <c r="S1129" s="22"/>
      <c r="T1129" s="22"/>
    </row>
    <row r="1130" spans="12:20" x14ac:dyDescent="0.3">
      <c r="L1130" s="22"/>
      <c r="M1130" s="22"/>
      <c r="N1130" s="22"/>
      <c r="O1130" s="22"/>
      <c r="P1130" s="22"/>
      <c r="Q1130" s="22"/>
      <c r="R1130" s="22"/>
      <c r="S1130" s="22"/>
      <c r="T1130" s="22"/>
    </row>
    <row r="1131" spans="12:20" x14ac:dyDescent="0.3">
      <c r="L1131" s="22"/>
      <c r="M1131" s="22"/>
      <c r="N1131" s="22"/>
      <c r="O1131" s="22"/>
      <c r="P1131" s="22"/>
      <c r="Q1131" s="22"/>
      <c r="R1131" s="22"/>
      <c r="S1131" s="22"/>
      <c r="T1131" s="22"/>
    </row>
    <row r="1132" spans="12:20" x14ac:dyDescent="0.3">
      <c r="L1132" s="22"/>
      <c r="M1132" s="22"/>
      <c r="N1132" s="22"/>
      <c r="O1132" s="22"/>
      <c r="P1132" s="22"/>
      <c r="Q1132" s="22"/>
      <c r="R1132" s="22"/>
      <c r="S1132" s="22"/>
      <c r="T1132" s="22"/>
    </row>
    <row r="1133" spans="12:20" x14ac:dyDescent="0.3">
      <c r="L1133" s="22"/>
      <c r="M1133" s="22"/>
      <c r="N1133" s="22"/>
      <c r="O1133" s="22"/>
      <c r="P1133" s="22"/>
      <c r="Q1133" s="22"/>
      <c r="R1133" s="22"/>
      <c r="S1133" s="22"/>
      <c r="T1133" s="22"/>
    </row>
    <row r="1134" spans="12:20" x14ac:dyDescent="0.3">
      <c r="L1134" s="22"/>
      <c r="M1134" s="22"/>
      <c r="N1134" s="22"/>
      <c r="O1134" s="22"/>
      <c r="P1134" s="22"/>
      <c r="Q1134" s="22"/>
      <c r="R1134" s="22"/>
      <c r="S1134" s="22"/>
      <c r="T1134" s="22"/>
    </row>
    <row r="1135" spans="12:20" x14ac:dyDescent="0.3">
      <c r="L1135" s="22"/>
      <c r="M1135" s="22"/>
      <c r="N1135" s="22"/>
      <c r="O1135" s="22"/>
      <c r="P1135" s="22"/>
      <c r="Q1135" s="22"/>
      <c r="R1135" s="22"/>
      <c r="S1135" s="22"/>
      <c r="T1135" s="22"/>
    </row>
    <row r="1136" spans="12:20" x14ac:dyDescent="0.3">
      <c r="L1136" s="22"/>
      <c r="M1136" s="22"/>
      <c r="N1136" s="22"/>
      <c r="O1136" s="22"/>
      <c r="P1136" s="22"/>
      <c r="Q1136" s="22"/>
      <c r="R1136" s="22"/>
      <c r="S1136" s="22"/>
      <c r="T1136" s="22"/>
    </row>
    <row r="1137" spans="12:20" x14ac:dyDescent="0.3">
      <c r="L1137" s="22"/>
      <c r="M1137" s="22"/>
      <c r="N1137" s="22"/>
      <c r="O1137" s="22"/>
      <c r="P1137" s="22"/>
      <c r="Q1137" s="22"/>
      <c r="R1137" s="22"/>
      <c r="S1137" s="22"/>
      <c r="T1137" s="22"/>
    </row>
    <row r="1138" spans="12:20" x14ac:dyDescent="0.3">
      <c r="L1138" s="22"/>
      <c r="M1138" s="22"/>
      <c r="N1138" s="22"/>
      <c r="O1138" s="22"/>
      <c r="P1138" s="22"/>
      <c r="Q1138" s="22"/>
      <c r="R1138" s="22"/>
      <c r="S1138" s="22"/>
      <c r="T1138" s="22"/>
    </row>
    <row r="1139" spans="12:20" x14ac:dyDescent="0.3">
      <c r="L1139" s="22"/>
      <c r="M1139" s="22"/>
      <c r="N1139" s="22"/>
      <c r="O1139" s="22"/>
      <c r="P1139" s="22"/>
      <c r="Q1139" s="22"/>
      <c r="R1139" s="22"/>
      <c r="S1139" s="22"/>
      <c r="T1139" s="22"/>
    </row>
    <row r="1140" spans="12:20" x14ac:dyDescent="0.3">
      <c r="L1140" s="22"/>
      <c r="M1140" s="22"/>
      <c r="N1140" s="22"/>
      <c r="O1140" s="22"/>
      <c r="P1140" s="22"/>
      <c r="Q1140" s="22"/>
      <c r="R1140" s="22"/>
      <c r="S1140" s="22"/>
      <c r="T1140" s="22"/>
    </row>
    <row r="1141" spans="12:20" x14ac:dyDescent="0.3">
      <c r="L1141" s="22"/>
      <c r="M1141" s="22"/>
      <c r="N1141" s="22"/>
      <c r="O1141" s="22"/>
      <c r="P1141" s="22"/>
      <c r="Q1141" s="22"/>
      <c r="R1141" s="22"/>
      <c r="S1141" s="22"/>
      <c r="T1141" s="22"/>
    </row>
    <row r="1142" spans="12:20" x14ac:dyDescent="0.3">
      <c r="L1142" s="22"/>
      <c r="M1142" s="22"/>
      <c r="N1142" s="22"/>
      <c r="O1142" s="22"/>
      <c r="P1142" s="22"/>
      <c r="Q1142" s="22"/>
      <c r="R1142" s="22"/>
      <c r="S1142" s="22"/>
      <c r="T1142" s="22"/>
    </row>
    <row r="1143" spans="12:20" x14ac:dyDescent="0.3">
      <c r="L1143" s="22"/>
      <c r="M1143" s="22"/>
      <c r="N1143" s="22"/>
      <c r="O1143" s="22"/>
      <c r="P1143" s="22"/>
      <c r="Q1143" s="22"/>
      <c r="R1143" s="22"/>
      <c r="S1143" s="22"/>
      <c r="T1143" s="22"/>
    </row>
    <row r="1144" spans="12:20" x14ac:dyDescent="0.3">
      <c r="L1144" s="22"/>
      <c r="M1144" s="22"/>
      <c r="N1144" s="22"/>
      <c r="O1144" s="22"/>
      <c r="P1144" s="22"/>
      <c r="Q1144" s="22"/>
      <c r="R1144" s="22"/>
      <c r="S1144" s="22"/>
      <c r="T1144" s="22"/>
    </row>
    <row r="1145" spans="12:20" x14ac:dyDescent="0.3">
      <c r="L1145" s="22"/>
      <c r="M1145" s="22"/>
      <c r="N1145" s="22"/>
      <c r="O1145" s="22"/>
      <c r="P1145" s="22"/>
      <c r="Q1145" s="22"/>
      <c r="R1145" s="22"/>
      <c r="S1145" s="22"/>
      <c r="T1145" s="22"/>
    </row>
    <row r="1146" spans="12:20" x14ac:dyDescent="0.3">
      <c r="L1146" s="22"/>
      <c r="M1146" s="22"/>
      <c r="N1146" s="22"/>
      <c r="O1146" s="22"/>
      <c r="P1146" s="22"/>
      <c r="Q1146" s="22"/>
      <c r="R1146" s="22"/>
      <c r="S1146" s="22"/>
      <c r="T1146" s="22"/>
    </row>
    <row r="1147" spans="12:20" x14ac:dyDescent="0.3">
      <c r="L1147" s="22"/>
      <c r="M1147" s="22"/>
      <c r="N1147" s="22"/>
      <c r="O1147" s="22"/>
      <c r="P1147" s="22"/>
      <c r="Q1147" s="22"/>
      <c r="R1147" s="22"/>
      <c r="S1147" s="22"/>
      <c r="T1147" s="22"/>
    </row>
    <row r="1148" spans="12:20" x14ac:dyDescent="0.3">
      <c r="L1148" s="22"/>
      <c r="M1148" s="22"/>
      <c r="N1148" s="22"/>
      <c r="O1148" s="22"/>
      <c r="P1148" s="22"/>
      <c r="Q1148" s="22"/>
      <c r="R1148" s="22"/>
      <c r="S1148" s="22"/>
      <c r="T1148" s="22"/>
    </row>
    <row r="1149" spans="12:20" x14ac:dyDescent="0.3">
      <c r="L1149" s="19"/>
      <c r="M1149" s="19"/>
      <c r="N1149" s="19"/>
      <c r="O1149" s="19"/>
      <c r="P1149" s="19"/>
      <c r="Q1149" s="19"/>
      <c r="R1149" s="19"/>
      <c r="S1149" s="19"/>
      <c r="T1149" s="19"/>
    </row>
    <row r="1150" spans="12:20" x14ac:dyDescent="0.3">
      <c r="L1150" s="19"/>
      <c r="M1150" s="19"/>
      <c r="N1150" s="19"/>
      <c r="O1150" s="19"/>
      <c r="P1150" s="19"/>
      <c r="Q1150" s="19"/>
      <c r="R1150" s="19"/>
      <c r="S1150" s="19"/>
      <c r="T1150" s="19"/>
    </row>
    <row r="1151" spans="12:20" x14ac:dyDescent="0.3">
      <c r="L1151" s="19"/>
      <c r="M1151" s="19"/>
      <c r="N1151" s="19"/>
      <c r="O1151" s="19"/>
      <c r="P1151" s="19"/>
      <c r="Q1151" s="19"/>
      <c r="R1151" s="19"/>
      <c r="S1151" s="19"/>
      <c r="T1151" s="19"/>
    </row>
    <row r="1152" spans="12:20" x14ac:dyDescent="0.3">
      <c r="L1152" s="19"/>
      <c r="M1152" s="19"/>
      <c r="N1152" s="19"/>
      <c r="O1152" s="19"/>
      <c r="P1152" s="19"/>
      <c r="Q1152" s="19"/>
      <c r="R1152" s="19"/>
      <c r="S1152" s="19"/>
      <c r="T1152" s="19"/>
    </row>
    <row r="1153" spans="12:20" x14ac:dyDescent="0.3">
      <c r="L1153" s="19"/>
      <c r="M1153" s="19"/>
      <c r="N1153" s="19"/>
      <c r="O1153" s="19"/>
      <c r="P1153" s="19"/>
      <c r="Q1153" s="19"/>
      <c r="R1153" s="19"/>
      <c r="S1153" s="19"/>
      <c r="T1153" s="19"/>
    </row>
    <row r="1154" spans="12:20" x14ac:dyDescent="0.3">
      <c r="L1154" s="19"/>
      <c r="M1154" s="19"/>
      <c r="N1154" s="19"/>
      <c r="O1154" s="19"/>
      <c r="P1154" s="19"/>
      <c r="Q1154" s="19"/>
      <c r="R1154" s="19"/>
      <c r="S1154" s="19"/>
      <c r="T1154" s="19"/>
    </row>
    <row r="1155" spans="12:20" x14ac:dyDescent="0.3">
      <c r="L1155" s="19"/>
      <c r="M1155" s="19"/>
      <c r="N1155" s="19"/>
      <c r="O1155" s="19"/>
      <c r="P1155" s="19"/>
      <c r="Q1155" s="19"/>
      <c r="R1155" s="19"/>
      <c r="S1155" s="19"/>
      <c r="T1155" s="19"/>
    </row>
    <row r="1156" spans="12:20" x14ac:dyDescent="0.3">
      <c r="L1156" s="19"/>
      <c r="M1156" s="19"/>
      <c r="N1156" s="19"/>
      <c r="O1156" s="19"/>
      <c r="P1156" s="19"/>
      <c r="Q1156" s="19"/>
      <c r="R1156" s="19"/>
      <c r="S1156" s="19"/>
      <c r="T1156" s="19"/>
    </row>
    <row r="1157" spans="12:20" x14ac:dyDescent="0.3">
      <c r="L1157" s="19"/>
      <c r="M1157" s="19"/>
      <c r="N1157" s="19"/>
      <c r="O1157" s="19"/>
      <c r="P1157" s="19"/>
      <c r="Q1157" s="19"/>
      <c r="R1157" s="19"/>
      <c r="S1157" s="19"/>
      <c r="T1157" s="19"/>
    </row>
    <row r="1158" spans="12:20" x14ac:dyDescent="0.3">
      <c r="L1158" s="19"/>
      <c r="M1158" s="19"/>
      <c r="N1158" s="19"/>
      <c r="O1158" s="19"/>
      <c r="P1158" s="19"/>
      <c r="Q1158" s="19"/>
      <c r="R1158" s="19"/>
      <c r="S1158" s="19"/>
      <c r="T1158" s="19"/>
    </row>
    <row r="1159" spans="12:20" x14ac:dyDescent="0.3">
      <c r="L1159" s="19"/>
      <c r="M1159" s="19"/>
      <c r="N1159" s="19"/>
      <c r="O1159" s="19"/>
      <c r="P1159" s="19"/>
      <c r="Q1159" s="19"/>
      <c r="R1159" s="19"/>
      <c r="S1159" s="19"/>
      <c r="T1159" s="19"/>
    </row>
    <row r="1160" spans="12:20" x14ac:dyDescent="0.3">
      <c r="L1160" s="19"/>
      <c r="M1160" s="19"/>
      <c r="N1160" s="19"/>
      <c r="O1160" s="19"/>
      <c r="P1160" s="19"/>
      <c r="Q1160" s="19"/>
      <c r="R1160" s="19"/>
      <c r="S1160" s="19"/>
      <c r="T1160" s="19"/>
    </row>
    <row r="1161" spans="12:20" x14ac:dyDescent="0.3">
      <c r="L1161" s="19"/>
      <c r="M1161" s="19"/>
      <c r="N1161" s="19"/>
      <c r="O1161" s="19"/>
      <c r="P1161" s="19"/>
      <c r="Q1161" s="19"/>
      <c r="R1161" s="19"/>
      <c r="S1161" s="19"/>
      <c r="T1161" s="19"/>
    </row>
    <row r="1162" spans="12:20" x14ac:dyDescent="0.3">
      <c r="L1162" s="19"/>
      <c r="M1162" s="19"/>
      <c r="N1162" s="19"/>
      <c r="O1162" s="19"/>
      <c r="P1162" s="19"/>
      <c r="Q1162" s="19"/>
      <c r="R1162" s="19"/>
      <c r="S1162" s="19"/>
      <c r="T1162" s="19"/>
    </row>
    <row r="1163" spans="12:20" x14ac:dyDescent="0.3">
      <c r="L1163" s="19"/>
      <c r="M1163" s="19"/>
      <c r="N1163" s="19"/>
      <c r="O1163" s="19"/>
      <c r="P1163" s="19"/>
      <c r="Q1163" s="19"/>
      <c r="R1163" s="19"/>
      <c r="S1163" s="19"/>
      <c r="T1163" s="19"/>
    </row>
    <row r="1164" spans="12:20" x14ac:dyDescent="0.3">
      <c r="L1164" s="19"/>
      <c r="M1164" s="19"/>
      <c r="N1164" s="19"/>
      <c r="O1164" s="19"/>
      <c r="P1164" s="19"/>
      <c r="Q1164" s="19"/>
      <c r="R1164" s="19"/>
      <c r="S1164" s="19"/>
      <c r="T1164" s="19"/>
    </row>
    <row r="1165" spans="12:20" x14ac:dyDescent="0.3">
      <c r="L1165" s="19"/>
      <c r="M1165" s="19"/>
      <c r="N1165" s="19"/>
      <c r="O1165" s="19"/>
      <c r="P1165" s="19"/>
      <c r="Q1165" s="19"/>
      <c r="R1165" s="19"/>
      <c r="S1165" s="19"/>
      <c r="T1165" s="19"/>
    </row>
    <row r="1166" spans="12:20" x14ac:dyDescent="0.3">
      <c r="L1166" s="19"/>
      <c r="M1166" s="19"/>
      <c r="N1166" s="19"/>
      <c r="O1166" s="19"/>
      <c r="P1166" s="19"/>
      <c r="Q1166" s="19"/>
      <c r="R1166" s="19"/>
      <c r="S1166" s="19"/>
      <c r="T1166" s="19"/>
    </row>
    <row r="1167" spans="12:20" x14ac:dyDescent="0.3">
      <c r="L1167" s="19"/>
      <c r="M1167" s="19"/>
      <c r="N1167" s="19"/>
      <c r="O1167" s="19"/>
      <c r="P1167" s="19"/>
      <c r="Q1167" s="19"/>
      <c r="R1167" s="19"/>
      <c r="S1167" s="19"/>
      <c r="T1167" s="19"/>
    </row>
    <row r="1168" spans="12:20" x14ac:dyDescent="0.3">
      <c r="L1168" s="19"/>
      <c r="M1168" s="19"/>
      <c r="N1168" s="19"/>
      <c r="O1168" s="19"/>
      <c r="P1168" s="19"/>
      <c r="Q1168" s="19"/>
      <c r="R1168" s="19"/>
      <c r="S1168" s="19"/>
      <c r="T1168" s="19"/>
    </row>
    <row r="1169" spans="12:20" x14ac:dyDescent="0.3">
      <c r="L1169" s="19"/>
      <c r="M1169" s="19"/>
      <c r="N1169" s="19"/>
      <c r="O1169" s="19"/>
      <c r="P1169" s="19"/>
      <c r="Q1169" s="19"/>
      <c r="R1169" s="19"/>
      <c r="S1169" s="19"/>
      <c r="T1169" s="19"/>
    </row>
    <row r="1170" spans="12:20" x14ac:dyDescent="0.3">
      <c r="L1170" s="19"/>
      <c r="M1170" s="19"/>
      <c r="N1170" s="19"/>
      <c r="O1170" s="19"/>
      <c r="P1170" s="19"/>
      <c r="Q1170" s="19"/>
      <c r="R1170" s="19"/>
      <c r="S1170" s="19"/>
      <c r="T1170" s="19"/>
    </row>
    <row r="1171" spans="12:20" x14ac:dyDescent="0.3">
      <c r="L1171" s="19"/>
      <c r="M1171" s="19"/>
      <c r="N1171" s="19"/>
      <c r="O1171" s="19"/>
      <c r="P1171" s="19"/>
      <c r="Q1171" s="19"/>
      <c r="R1171" s="19"/>
      <c r="S1171" s="19"/>
      <c r="T1171" s="19"/>
    </row>
    <row r="1172" spans="12:20" x14ac:dyDescent="0.3">
      <c r="L1172" s="19"/>
      <c r="M1172" s="19"/>
      <c r="N1172" s="19"/>
      <c r="O1172" s="19"/>
      <c r="P1172" s="19"/>
      <c r="Q1172" s="19"/>
      <c r="R1172" s="19"/>
      <c r="S1172" s="19"/>
      <c r="T1172" s="19"/>
    </row>
    <row r="1173" spans="12:20" x14ac:dyDescent="0.3">
      <c r="L1173" s="19"/>
      <c r="M1173" s="19"/>
      <c r="N1173" s="19"/>
      <c r="O1173" s="19"/>
      <c r="P1173" s="19"/>
      <c r="Q1173" s="19"/>
      <c r="R1173" s="19"/>
      <c r="S1173" s="19"/>
      <c r="T1173" s="19"/>
    </row>
    <row r="1174" spans="12:20" x14ac:dyDescent="0.3">
      <c r="L1174" s="19"/>
      <c r="M1174" s="19"/>
      <c r="N1174" s="19"/>
      <c r="O1174" s="19"/>
      <c r="P1174" s="19"/>
      <c r="Q1174" s="19"/>
      <c r="R1174" s="19"/>
      <c r="S1174" s="19"/>
      <c r="T1174" s="19"/>
    </row>
    <row r="1175" spans="12:20" x14ac:dyDescent="0.3">
      <c r="L1175" s="19"/>
      <c r="M1175" s="19"/>
      <c r="N1175" s="19"/>
      <c r="O1175" s="19"/>
      <c r="P1175" s="19"/>
      <c r="Q1175" s="19"/>
      <c r="R1175" s="19"/>
      <c r="S1175" s="19"/>
      <c r="T1175" s="19"/>
    </row>
    <row r="1176" spans="12:20" x14ac:dyDescent="0.3">
      <c r="L1176" s="19"/>
      <c r="M1176" s="19"/>
      <c r="N1176" s="19"/>
      <c r="O1176" s="19"/>
      <c r="P1176" s="19"/>
      <c r="Q1176" s="19"/>
      <c r="R1176" s="19"/>
      <c r="S1176" s="19"/>
      <c r="T1176" s="19"/>
    </row>
    <row r="1177" spans="12:20" x14ac:dyDescent="0.3">
      <c r="L1177" s="19"/>
      <c r="M1177" s="19"/>
      <c r="N1177" s="19"/>
      <c r="O1177" s="19"/>
      <c r="P1177" s="19"/>
      <c r="Q1177" s="19"/>
      <c r="R1177" s="19"/>
      <c r="S1177" s="19"/>
      <c r="T1177" s="19"/>
    </row>
    <row r="1178" spans="12:20" x14ac:dyDescent="0.3">
      <c r="L1178" s="19"/>
      <c r="M1178" s="19"/>
      <c r="N1178" s="19"/>
      <c r="O1178" s="19"/>
      <c r="P1178" s="19"/>
      <c r="Q1178" s="19"/>
      <c r="R1178" s="19"/>
      <c r="S1178" s="19"/>
      <c r="T1178" s="19"/>
    </row>
    <row r="1179" spans="12:20" x14ac:dyDescent="0.3">
      <c r="L1179" s="19"/>
      <c r="M1179" s="19"/>
      <c r="N1179" s="19"/>
      <c r="O1179" s="19"/>
      <c r="P1179" s="19"/>
      <c r="Q1179" s="19"/>
      <c r="R1179" s="19"/>
      <c r="S1179" s="19"/>
      <c r="T1179" s="19"/>
    </row>
    <row r="1180" spans="12:20" x14ac:dyDescent="0.3">
      <c r="L1180" s="19"/>
      <c r="M1180" s="19"/>
      <c r="N1180" s="19"/>
      <c r="O1180" s="19"/>
      <c r="P1180" s="19"/>
      <c r="Q1180" s="19"/>
      <c r="R1180" s="19"/>
      <c r="S1180" s="19"/>
      <c r="T1180" s="19"/>
    </row>
    <row r="1181" spans="12:20" x14ac:dyDescent="0.3">
      <c r="L1181" s="19"/>
      <c r="M1181" s="19"/>
      <c r="N1181" s="19"/>
      <c r="O1181" s="19"/>
      <c r="P1181" s="19"/>
      <c r="Q1181" s="19"/>
      <c r="R1181" s="19"/>
      <c r="S1181" s="19"/>
      <c r="T1181" s="19"/>
    </row>
    <row r="1182" spans="12:20" x14ac:dyDescent="0.3">
      <c r="L1182" s="19"/>
      <c r="M1182" s="19"/>
      <c r="N1182" s="19"/>
      <c r="O1182" s="19"/>
      <c r="P1182" s="19"/>
      <c r="Q1182" s="19"/>
      <c r="R1182" s="19"/>
      <c r="S1182" s="19"/>
      <c r="T1182" s="19"/>
    </row>
    <row r="1183" spans="12:20" x14ac:dyDescent="0.3">
      <c r="L1183" s="19"/>
      <c r="M1183" s="19"/>
      <c r="N1183" s="19"/>
      <c r="O1183" s="19"/>
      <c r="P1183" s="19"/>
      <c r="Q1183" s="19"/>
      <c r="R1183" s="19"/>
      <c r="S1183" s="19"/>
      <c r="T1183" s="19"/>
    </row>
    <row r="1184" spans="12:20" x14ac:dyDescent="0.3">
      <c r="L1184" s="19"/>
      <c r="M1184" s="19"/>
      <c r="N1184" s="19"/>
      <c r="O1184" s="19"/>
      <c r="P1184" s="19"/>
      <c r="Q1184" s="19"/>
      <c r="R1184" s="19"/>
      <c r="S1184" s="19"/>
      <c r="T1184" s="19"/>
    </row>
    <row r="1185" spans="12:20" x14ac:dyDescent="0.3">
      <c r="L1185" s="19"/>
      <c r="M1185" s="19"/>
      <c r="N1185" s="19"/>
      <c r="O1185" s="19"/>
      <c r="P1185" s="19"/>
      <c r="Q1185" s="19"/>
      <c r="R1185" s="19"/>
      <c r="S1185" s="19"/>
      <c r="T1185" s="19"/>
    </row>
    <row r="1186" spans="12:20" x14ac:dyDescent="0.3">
      <c r="L1186" s="19"/>
      <c r="M1186" s="19"/>
      <c r="N1186" s="19"/>
      <c r="O1186" s="19"/>
      <c r="P1186" s="19"/>
      <c r="Q1186" s="19"/>
      <c r="R1186" s="19"/>
      <c r="S1186" s="19"/>
      <c r="T1186" s="19"/>
    </row>
    <row r="1187" spans="12:20" x14ac:dyDescent="0.3">
      <c r="L1187" s="19"/>
      <c r="M1187" s="19"/>
      <c r="N1187" s="19"/>
      <c r="O1187" s="19"/>
      <c r="P1187" s="19"/>
      <c r="Q1187" s="19"/>
      <c r="R1187" s="19"/>
      <c r="S1187" s="19"/>
      <c r="T1187" s="19"/>
    </row>
    <row r="1188" spans="12:20" x14ac:dyDescent="0.3">
      <c r="L1188" s="19"/>
      <c r="M1188" s="19"/>
      <c r="N1188" s="19"/>
      <c r="O1188" s="19"/>
      <c r="P1188" s="19"/>
      <c r="Q1188" s="19"/>
      <c r="R1188" s="19"/>
      <c r="S1188" s="19"/>
      <c r="T1188" s="19"/>
    </row>
    <row r="1189" spans="12:20" x14ac:dyDescent="0.3">
      <c r="L1189" s="19"/>
      <c r="M1189" s="19"/>
      <c r="N1189" s="19"/>
      <c r="O1189" s="19"/>
      <c r="P1189" s="19"/>
      <c r="Q1189" s="19"/>
      <c r="R1189" s="19"/>
      <c r="S1189" s="19"/>
      <c r="T1189" s="19"/>
    </row>
    <row r="1190" spans="12:20" x14ac:dyDescent="0.3">
      <c r="L1190" s="19"/>
      <c r="M1190" s="19"/>
      <c r="N1190" s="19"/>
      <c r="O1190" s="19"/>
      <c r="P1190" s="19"/>
      <c r="Q1190" s="19"/>
      <c r="R1190" s="19"/>
      <c r="S1190" s="19"/>
      <c r="T1190" s="19"/>
    </row>
    <row r="1191" spans="12:20" x14ac:dyDescent="0.3">
      <c r="L1191" s="19"/>
      <c r="M1191" s="19"/>
      <c r="N1191" s="19"/>
      <c r="O1191" s="19"/>
      <c r="P1191" s="19"/>
      <c r="Q1191" s="19"/>
      <c r="R1191" s="19"/>
      <c r="S1191" s="19"/>
      <c r="T1191" s="19"/>
    </row>
    <row r="1192" spans="12:20" x14ac:dyDescent="0.3">
      <c r="L1192" s="19"/>
      <c r="M1192" s="19"/>
      <c r="N1192" s="19"/>
      <c r="O1192" s="19"/>
      <c r="P1192" s="19"/>
      <c r="Q1192" s="19"/>
      <c r="R1192" s="19"/>
      <c r="S1192" s="19"/>
      <c r="T1192" s="19"/>
    </row>
    <row r="1193" spans="12:20" x14ac:dyDescent="0.3">
      <c r="L1193" s="19"/>
      <c r="M1193" s="19"/>
      <c r="N1193" s="19"/>
      <c r="O1193" s="19"/>
      <c r="P1193" s="19"/>
      <c r="Q1193" s="19"/>
      <c r="R1193" s="19"/>
      <c r="S1193" s="19"/>
      <c r="T1193" s="19"/>
    </row>
    <row r="1194" spans="12:20" x14ac:dyDescent="0.3">
      <c r="L1194" s="19"/>
      <c r="M1194" s="19"/>
      <c r="N1194" s="19"/>
      <c r="O1194" s="19"/>
      <c r="P1194" s="19"/>
      <c r="Q1194" s="19"/>
      <c r="R1194" s="19"/>
      <c r="S1194" s="19"/>
      <c r="T1194" s="19"/>
    </row>
    <row r="1195" spans="12:20" x14ac:dyDescent="0.3">
      <c r="L1195" s="19"/>
      <c r="M1195" s="19"/>
      <c r="N1195" s="19"/>
      <c r="O1195" s="19"/>
      <c r="P1195" s="19"/>
      <c r="Q1195" s="19"/>
      <c r="R1195" s="19"/>
      <c r="S1195" s="19"/>
      <c r="T1195" s="19"/>
    </row>
    <row r="1196" spans="12:20" x14ac:dyDescent="0.3">
      <c r="L1196" s="19"/>
      <c r="M1196" s="19"/>
      <c r="N1196" s="19"/>
      <c r="O1196" s="19"/>
      <c r="P1196" s="19"/>
      <c r="Q1196" s="19"/>
      <c r="R1196" s="19"/>
      <c r="S1196" s="19"/>
      <c r="T1196" s="19"/>
    </row>
    <row r="1197" spans="12:20" x14ac:dyDescent="0.3">
      <c r="L1197" s="19"/>
      <c r="M1197" s="19"/>
      <c r="N1197" s="19"/>
      <c r="O1197" s="19"/>
      <c r="P1197" s="19"/>
      <c r="Q1197" s="19"/>
      <c r="R1197" s="19"/>
      <c r="S1197" s="19"/>
      <c r="T1197" s="19"/>
    </row>
    <row r="1198" spans="12:20" x14ac:dyDescent="0.3">
      <c r="L1198" s="19"/>
      <c r="M1198" s="19"/>
      <c r="N1198" s="19"/>
      <c r="O1198" s="19"/>
      <c r="P1198" s="19"/>
      <c r="Q1198" s="19"/>
      <c r="R1198" s="19"/>
      <c r="S1198" s="19"/>
      <c r="T1198" s="19"/>
    </row>
    <row r="1199" spans="12:20" x14ac:dyDescent="0.3">
      <c r="L1199" s="19"/>
      <c r="M1199" s="19"/>
      <c r="N1199" s="19"/>
      <c r="O1199" s="19"/>
      <c r="P1199" s="19"/>
      <c r="Q1199" s="19"/>
      <c r="R1199" s="19"/>
      <c r="S1199" s="19"/>
      <c r="T1199" s="19"/>
    </row>
    <row r="1200" spans="12:20" x14ac:dyDescent="0.3">
      <c r="L1200" s="19"/>
      <c r="M1200" s="19"/>
      <c r="N1200" s="19"/>
      <c r="O1200" s="19"/>
      <c r="P1200" s="19"/>
      <c r="Q1200" s="19"/>
      <c r="R1200" s="19"/>
      <c r="S1200" s="19"/>
      <c r="T1200" s="19"/>
    </row>
    <row r="1201" spans="12:20" x14ac:dyDescent="0.3">
      <c r="L1201" s="19"/>
      <c r="M1201" s="19"/>
      <c r="N1201" s="19"/>
      <c r="O1201" s="19"/>
      <c r="P1201" s="19"/>
      <c r="Q1201" s="19"/>
      <c r="R1201" s="19"/>
      <c r="S1201" s="19"/>
      <c r="T1201" s="19"/>
    </row>
    <row r="1202" spans="12:20" x14ac:dyDescent="0.3">
      <c r="L1202" s="19"/>
      <c r="M1202" s="19"/>
      <c r="N1202" s="19"/>
      <c r="O1202" s="19"/>
      <c r="P1202" s="19"/>
      <c r="Q1202" s="19"/>
      <c r="R1202" s="19"/>
      <c r="S1202" s="19"/>
      <c r="T1202" s="19"/>
    </row>
    <row r="1203" spans="12:20" x14ac:dyDescent="0.3">
      <c r="L1203" s="19"/>
      <c r="M1203" s="19"/>
      <c r="N1203" s="19"/>
      <c r="O1203" s="19"/>
      <c r="P1203" s="19"/>
      <c r="Q1203" s="19"/>
      <c r="R1203" s="19"/>
      <c r="S1203" s="19"/>
      <c r="T1203" s="19"/>
    </row>
    <row r="1204" spans="12:20" x14ac:dyDescent="0.3">
      <c r="L1204" s="19"/>
      <c r="M1204" s="19"/>
      <c r="N1204" s="19"/>
      <c r="O1204" s="19"/>
      <c r="P1204" s="19"/>
      <c r="Q1204" s="19"/>
      <c r="R1204" s="19"/>
      <c r="S1204" s="19"/>
      <c r="T1204" s="19"/>
    </row>
    <row r="1205" spans="12:20" x14ac:dyDescent="0.3">
      <c r="L1205" s="19"/>
      <c r="M1205" s="19"/>
      <c r="N1205" s="19"/>
      <c r="O1205" s="19"/>
      <c r="P1205" s="19"/>
      <c r="Q1205" s="19"/>
      <c r="R1205" s="19"/>
      <c r="S1205" s="19"/>
      <c r="T1205" s="19"/>
    </row>
    <row r="1206" spans="12:20" x14ac:dyDescent="0.3">
      <c r="L1206" s="19"/>
      <c r="M1206" s="19"/>
      <c r="N1206" s="19"/>
      <c r="O1206" s="19"/>
      <c r="P1206" s="19"/>
      <c r="Q1206" s="19"/>
      <c r="R1206" s="19"/>
      <c r="S1206" s="19"/>
      <c r="T1206" s="19"/>
    </row>
    <row r="1207" spans="12:20" x14ac:dyDescent="0.3">
      <c r="L1207" s="19"/>
      <c r="M1207" s="19"/>
      <c r="N1207" s="19"/>
      <c r="O1207" s="19"/>
      <c r="P1207" s="19"/>
      <c r="Q1207" s="19"/>
      <c r="R1207" s="19"/>
      <c r="S1207" s="19"/>
      <c r="T1207" s="19"/>
    </row>
    <row r="1208" spans="12:20" x14ac:dyDescent="0.3">
      <c r="L1208" s="19"/>
      <c r="M1208" s="19"/>
      <c r="N1208" s="19"/>
      <c r="O1208" s="19"/>
      <c r="P1208" s="19"/>
      <c r="Q1208" s="19"/>
      <c r="R1208" s="19"/>
      <c r="S1208" s="19"/>
      <c r="T1208" s="19"/>
    </row>
    <row r="1209" spans="12:20" x14ac:dyDescent="0.3">
      <c r="L1209" s="19"/>
      <c r="M1209" s="19"/>
      <c r="N1209" s="19"/>
      <c r="O1209" s="19"/>
      <c r="P1209" s="19"/>
      <c r="Q1209" s="19"/>
      <c r="R1209" s="19"/>
      <c r="S1209" s="19"/>
      <c r="T1209" s="19"/>
    </row>
    <row r="1210" spans="12:20" x14ac:dyDescent="0.3">
      <c r="L1210" s="19"/>
      <c r="M1210" s="19"/>
      <c r="N1210" s="19"/>
      <c r="O1210" s="19"/>
      <c r="P1210" s="19"/>
      <c r="Q1210" s="19"/>
      <c r="R1210" s="19"/>
      <c r="S1210" s="19"/>
      <c r="T1210" s="19"/>
    </row>
    <row r="1211" spans="12:20" x14ac:dyDescent="0.3">
      <c r="L1211" s="19"/>
      <c r="M1211" s="19"/>
      <c r="N1211" s="19"/>
      <c r="O1211" s="19"/>
      <c r="P1211" s="19"/>
      <c r="Q1211" s="19"/>
      <c r="R1211" s="19"/>
      <c r="S1211" s="19"/>
      <c r="T1211" s="19"/>
    </row>
  </sheetData>
  <autoFilter ref="A1:T432" xr:uid="{00000000-0001-0000-0200-000000000000}">
    <filterColumn colId="15">
      <filters>
        <filter val="Apoidea"/>
      </filters>
    </filterColumn>
  </autoFilter>
  <sortState xmlns:xlrd2="http://schemas.microsoft.com/office/spreadsheetml/2017/richdata2" ref="A2:P421">
    <sortCondition ref="B2:B421"/>
    <sortCondition ref="E2:E421"/>
  </sortState>
  <conditionalFormatting sqref="K2:K1048576">
    <cfRule type="cellIs" dxfId="17" priority="12" operator="equal">
      <formula>"no"</formula>
    </cfRule>
    <cfRule type="cellIs" dxfId="16" priority="13" operator="equal">
      <formula>"yes"</formula>
    </cfRule>
  </conditionalFormatting>
  <conditionalFormatting sqref="L304:N305 P304:T305 R306:T307 L308:N316 P308:T316 R317:T317 L318:N322 P318:T322 R323:T323 L324:N327 P324:T327 Q328:T328 L329:N334 P329:T334 Q335:T335 L336:N336 P336:T336 Q337:T337 R338:T338 Q339:T339 L340:N344 P340:T344 S345:T345 L346:N346 P346:T346 Q347:T348 L349:N432 P349:T432 L433:T533">
    <cfRule type="cellIs" dxfId="15" priority="15" operator="equal">
      <formula>"#N/C"</formula>
    </cfRule>
  </conditionalFormatting>
  <conditionalFormatting sqref="L2:R2 O3:O74 O76:O141 O143:O166 O168:O243 O245:O256 O258:O273 O275:O283 O285:O298 O300:O305 O308:O316 O318:O322 O324:O327 O329:O334 O336 O340:O344 O346 O349:O432">
    <cfRule type="cellIs" dxfId="14" priority="3" operator="equal">
      <formula>"#N/C"</formula>
    </cfRule>
  </conditionalFormatting>
  <conditionalFormatting sqref="L534:T1211">
    <cfRule type="cellIs" dxfId="13" priority="14" operator="equal">
      <formula>"#N/C"</formula>
    </cfRule>
  </conditionalFormatting>
  <conditionalFormatting sqref="S2:T2 L3:N74 P3:T74 L75:T75 L76:N141 P76:T141 L142:T142 L143:N166 P143:T166 L167:T167 L168:N243 P168:T243 L244:T244 L245:N256 P245:T256 L257:T257 L258:N273 P258:T273 L274:T274 L275:N283 P275:T283 L284:T284 L285:N298 P285:T298 L299:T299 L300:N303 P300:T303 L306:Q307 L317:Q317 L323:Q323 L328:P328 L335:P335 L337:P339 Q338 L345:R345 L347:P348">
    <cfRule type="cellIs" dxfId="12" priority="16" operator="equal">
      <formula>"#N/C"</formula>
    </cfRule>
  </conditionalFormatting>
  <pageMargins left="0.23622047244094491" right="0.23622047244094491" top="0.74803149606299213" bottom="0.74803149606299213" header="0.31496062992125984" footer="0.31496062992125984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CEFF-A0C1-4EF1-B13C-49CC28004AD7}">
  <dimension ref="A1:AML197"/>
  <sheetViews>
    <sheetView zoomScale="75" zoomScaleNormal="75" workbookViewId="0">
      <pane ySplit="1" topLeftCell="A182" activePane="bottomLeft" state="frozen"/>
      <selection pane="bottomLeft" activeCell="J2" sqref="J2"/>
    </sheetView>
  </sheetViews>
  <sheetFormatPr baseColWidth="10" defaultColWidth="10.88671875" defaultRowHeight="14.4" x14ac:dyDescent="0.3"/>
  <cols>
    <col min="1" max="1" width="10.5546875" style="46" customWidth="1"/>
    <col min="2" max="2" width="12.6640625" style="46" customWidth="1"/>
    <col min="3" max="3" width="17.33203125" style="46" customWidth="1"/>
    <col min="4" max="5" width="15.109375" style="46" customWidth="1"/>
    <col min="6" max="6" width="16.88671875" style="46" customWidth="1"/>
    <col min="7" max="7" width="16.44140625" style="46" customWidth="1"/>
    <col min="8" max="8" width="16.88671875" style="48" customWidth="1"/>
    <col min="9" max="10" width="19.88671875" style="48" customWidth="1"/>
    <col min="11" max="11" width="97.33203125" style="45" customWidth="1"/>
    <col min="12" max="12" width="10.88671875" style="44"/>
    <col min="13" max="1026" width="10.88671875" style="45"/>
  </cols>
  <sheetData>
    <row r="1" spans="1:12" x14ac:dyDescent="0.3">
      <c r="A1" s="42" t="s">
        <v>11</v>
      </c>
      <c r="B1" s="42" t="s">
        <v>12</v>
      </c>
      <c r="C1" s="42" t="s">
        <v>13</v>
      </c>
      <c r="D1" s="42" t="s">
        <v>14</v>
      </c>
      <c r="E1" s="42" t="s">
        <v>15</v>
      </c>
      <c r="F1" s="42" t="s">
        <v>16</v>
      </c>
      <c r="G1" s="42" t="s">
        <v>17</v>
      </c>
      <c r="H1" s="43" t="s">
        <v>18</v>
      </c>
      <c r="I1" s="43" t="s">
        <v>19</v>
      </c>
      <c r="J1" s="43"/>
      <c r="K1" s="43" t="s">
        <v>20</v>
      </c>
    </row>
    <row r="2" spans="1:12" x14ac:dyDescent="0.3">
      <c r="A2" s="46" t="s">
        <v>26</v>
      </c>
      <c r="B2" s="46" t="s">
        <v>26</v>
      </c>
      <c r="C2" s="46" t="s">
        <v>26</v>
      </c>
      <c r="D2" s="47" t="str">
        <f>+IFERROR(IF(E2="#N/C","#N/C",INDEX([1]ClassificationClasses!D:D,MATCH(E2,[1]ClassificationClasses!E:E,0))),"ERROR")</f>
        <v>#N/C</v>
      </c>
      <c r="E2" s="46" t="s">
        <v>26</v>
      </c>
      <c r="F2" s="46" t="s">
        <v>26</v>
      </c>
      <c r="G2" s="46" t="s">
        <v>26</v>
      </c>
      <c r="H2" s="48" t="s">
        <v>26</v>
      </c>
      <c r="I2" s="48" t="s">
        <v>26</v>
      </c>
      <c r="J2" s="67" t="str" cm="1">
        <f t="array" ref="J2">_xlfn.LET(_xlpm.cls,A2, _xlpm.ord,IFERROR(B2,"#N/C"), _xlpm.subord,IFERROR(C2,"#N/C"), _xlpm.infr,IFERROR(D2,"#N/C"), _xlpm.sf,IFERROR(E2,"#N/C"), _xlpm.fam,IFERROR(F2,"#N/C"), _xlpm.subfam,IF(TRIM(G2)="-","#N/C",IFERROR(G2,"#N/C")),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_xlpm.fallback,IF(IFERROR(B2,"#N/C")="#N/C",A2,IF(IFERROR(C2,"#N/C")="#N/C",B2,IF(IFERROR(D2,"#N/C")="#N/C",C2,IF(IFERROR(E2,"#N/C")="#N/C",D2,IF(IFERROR(F2,"#N/C")="#N/C",E2,IF(IFERROR(G2,"#N/C")="#N/C",F2,"#N/C")))))), _xlpm.finalResult,IF(OR(_xlpm.computedResult="",_xlpm.computedResult="#N/C"),_xlpm.fallback,_xlpm.computedResult), INDEX(_xlpm.finalResult,1))</f>
        <v>#N/C</v>
      </c>
      <c r="K2" s="45" t="str">
        <f>+CONCATENATE(A2,".",B2,".",C2,".",D2,".",E2,".",F2,".",G2,".",H2,".",I2)</f>
        <v>#N/C.#N/C.#N/C.#N/C.#N/C.#N/C.#N/C.#N/C.#N/C</v>
      </c>
      <c r="L2" s="44">
        <f>+COUNTIF([1]Monitoring!AN:AN,K2)</f>
        <v>79</v>
      </c>
    </row>
    <row r="3" spans="1:12" x14ac:dyDescent="0.3">
      <c r="A3" s="46" t="s">
        <v>715</v>
      </c>
      <c r="B3" s="46" t="s">
        <v>716</v>
      </c>
      <c r="C3" s="46" t="s">
        <v>717</v>
      </c>
      <c r="D3" s="47" t="str">
        <f>+IFERROR(IF(E3="#N/C","#N/C",INDEX([1]ClassificationClasses!D:D,MATCH(E3,[1]ClassificationClasses!E:E,0))),"ERROR")</f>
        <v>Araneomorphae</v>
      </c>
      <c r="E3" s="46" t="s">
        <v>718</v>
      </c>
      <c r="F3" s="46" t="s">
        <v>26</v>
      </c>
      <c r="G3" s="46" t="s">
        <v>26</v>
      </c>
      <c r="H3" s="48" t="s">
        <v>26</v>
      </c>
      <c r="I3" s="48" t="s">
        <v>26</v>
      </c>
      <c r="J3" s="67" t="str" cm="1">
        <f t="array" ref="J3">_xlfn.LET(_xlpm.cls,A3, _xlpm.ord,IFERROR(B3,"#N/C"), _xlpm.subord,IFERROR(C3,"#N/C"), _xlpm.infr,IFERROR(D3,"#N/C"), _xlpm.sf,IFERROR(E3,"#N/C"), _xlpm.fam,IFERROR(F3,"#N/C"), _xlpm.subfam,IF(TRIM(G3)="-","#N/C",IFERROR(G3,"#N/C")),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_xlpm.fallback,IF(IFERROR(B3,"#N/C")="#N/C",A3,IF(IFERROR(C3,"#N/C")="#N/C",B3,IF(IFERROR(D3,"#N/C")="#N/C",C3,IF(IFERROR(E3,"#N/C")="#N/C",D3,IF(IFERROR(F3,"#N/C")="#N/C",E3,IF(IFERROR(G3,"#N/C")="#N/C",F3,"#N/C")))))), _xlpm.finalResult,IF(OR(_xlpm.computedResult="",_xlpm.computedResult="#N/C"),_xlpm.fallback,_xlpm.computedResult), INDEX(_xlpm.finalResult,1))</f>
        <v>Araneoidea</v>
      </c>
      <c r="K3" s="45" t="str">
        <f t="shared" ref="K3:K66" si="0">+CONCATENATE(A3,".",B3,".",C3,".",D3,".",E3,".",F3,".",G3,".",H3,".",I3)</f>
        <v>Arachnida.Araneae.Arneomorphae.Araneomorphae.Araneoidea.#N/C.#N/C.#N/C.#N/C</v>
      </c>
      <c r="L3" s="44">
        <f>+COUNTIF([1]Monitoring!AN:AN,K3)</f>
        <v>3</v>
      </c>
    </row>
    <row r="4" spans="1:12" x14ac:dyDescent="0.3">
      <c r="A4" s="46" t="s">
        <v>715</v>
      </c>
      <c r="B4" s="46" t="s">
        <v>716</v>
      </c>
      <c r="C4" s="46" t="s">
        <v>717</v>
      </c>
      <c r="D4" s="47" t="str">
        <f>+IFERROR(IF(E4="#N/C","#N/C",INDEX([1]ClassificationClasses!D:D,MATCH(E4,[1]ClassificationClasses!E:E,0))),"ERROR")</f>
        <v>Araneomorphae</v>
      </c>
      <c r="E4" s="46" t="s">
        <v>718</v>
      </c>
      <c r="F4" s="46" t="s">
        <v>719</v>
      </c>
      <c r="G4" s="46" t="s">
        <v>720</v>
      </c>
      <c r="H4" s="48" t="s">
        <v>26</v>
      </c>
      <c r="I4" s="48" t="s">
        <v>26</v>
      </c>
      <c r="J4" s="67" t="str" cm="1">
        <f t="array" ref="J4">_xlfn.LET(_xlpm.cls,A4, _xlpm.ord,IFERROR(B4,"#N/C"), _xlpm.subord,IFERROR(C4,"#N/C"), _xlpm.infr,IFERROR(D4,"#N/C"), _xlpm.sf,IFERROR(E4,"#N/C"), _xlpm.fam,IFERROR(F4,"#N/C"), _xlpm.subfam,IF(TRIM(G4)="-","#N/C",IFERROR(G4,"#N/C")),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_xlpm.fallback,IF(IFERROR(B4,"#N/C")="#N/C",A4,IF(IFERROR(C4,"#N/C")="#N/C",B4,IF(IFERROR(D4,"#N/C")="#N/C",C4,IF(IFERROR(E4,"#N/C")="#N/C",D4,IF(IFERROR(F4,"#N/C")="#N/C",E4,IF(IFERROR(G4,"#N/C")="#N/C",F4,"#N/C")))))), _xlpm.finalResult,IF(OR(_xlpm.computedResult="",_xlpm.computedResult="#N/C"),_xlpm.fallback,_xlpm.computedResult), INDEX(_xlpm.finalResult,1))</f>
        <v>spider</v>
      </c>
      <c r="K4" s="45" t="str">
        <f t="shared" si="0"/>
        <v>Arachnida.Araneae.Arneomorphae.Araneomorphae.Araneoidea.Araneidae.Araneinae.#N/C.#N/C</v>
      </c>
      <c r="L4" s="44">
        <f>+COUNTIF([1]Monitoring!AN:AN,K4)</f>
        <v>2</v>
      </c>
    </row>
    <row r="5" spans="1:12" x14ac:dyDescent="0.3">
      <c r="A5" s="46" t="s">
        <v>715</v>
      </c>
      <c r="B5" s="46" t="s">
        <v>716</v>
      </c>
      <c r="C5" s="46" t="s">
        <v>717</v>
      </c>
      <c r="D5" s="47" t="str">
        <f>+IFERROR(IF(E5="#N/C","#N/C",INDEX([1]ClassificationClasses!D:D,MATCH(E5,[1]ClassificationClasses!E:E,0))),"ERROR")</f>
        <v>Araneomorphae</v>
      </c>
      <c r="E5" s="46" t="s">
        <v>718</v>
      </c>
      <c r="F5" s="46" t="s">
        <v>719</v>
      </c>
      <c r="G5" s="46" t="s">
        <v>720</v>
      </c>
      <c r="H5" s="48" t="s">
        <v>721</v>
      </c>
      <c r="I5" s="48" t="s">
        <v>26</v>
      </c>
      <c r="J5" s="67" t="str" cm="1">
        <f t="array" ref="J5">_xlfn.LET(_xlpm.cls,A5, _xlpm.ord,IFERROR(B5,"#N/C"), _xlpm.subord,IFERROR(C5,"#N/C"), _xlpm.infr,IFERROR(D5,"#N/C"), _xlpm.sf,IFERROR(E5,"#N/C"), _xlpm.fam,IFERROR(F5,"#N/C"), _xlpm.subfam,IF(TRIM(G5)="-","#N/C",IFERROR(G5,"#N/C")),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_xlpm.fallback,IF(IFERROR(B5,"#N/C")="#N/C",A5,IF(IFERROR(C5,"#N/C")="#N/C",B5,IF(IFERROR(D5,"#N/C")="#N/C",C5,IF(IFERROR(E5,"#N/C")="#N/C",D5,IF(IFERROR(F5,"#N/C")="#N/C",E5,IF(IFERROR(G5,"#N/C")="#N/C",F5,"#N/C")))))), _xlpm.finalResult,IF(OR(_xlpm.computedResult="",_xlpm.computedResult="#N/C"),_xlpm.fallback,_xlpm.computedResult), INDEX(_xlpm.finalResult,1))</f>
        <v>spider</v>
      </c>
      <c r="K5" s="45" t="str">
        <f t="shared" si="0"/>
        <v>Arachnida.Araneae.Arneomorphae.Araneomorphae.Araneoidea.Araneidae.Araneinae.Araneus.#N/C</v>
      </c>
      <c r="L5" s="44">
        <f>+COUNTIF([1]Monitoring!AN:AN,K5)</f>
        <v>1</v>
      </c>
    </row>
    <row r="6" spans="1:12" x14ac:dyDescent="0.3">
      <c r="A6" s="46" t="s">
        <v>715</v>
      </c>
      <c r="B6" s="46" t="s">
        <v>716</v>
      </c>
      <c r="C6" s="46" t="s">
        <v>717</v>
      </c>
      <c r="D6" s="47" t="str">
        <f>+IFERROR(IF(E6="#N/C","#N/C",INDEX([1]ClassificationClasses!D:D,MATCH(E6,[1]ClassificationClasses!E:E,0))),"ERROR")</f>
        <v>Araneomorphae</v>
      </c>
      <c r="E6" s="46" t="s">
        <v>722</v>
      </c>
      <c r="F6" s="46" t="s">
        <v>723</v>
      </c>
      <c r="G6" s="46" t="s">
        <v>724</v>
      </c>
      <c r="H6" s="48" t="s">
        <v>725</v>
      </c>
      <c r="I6" s="48" t="s">
        <v>26</v>
      </c>
      <c r="J6" s="67" t="str" cm="1">
        <f t="array" ref="J6">_xlfn.LET(_xlpm.cls,A6, _xlpm.ord,IFERROR(B6,"#N/C"), _xlpm.subord,IFERROR(C6,"#N/C"), _xlpm.infr,IFERROR(D6,"#N/C"), _xlpm.sf,IFERROR(E6,"#N/C"), _xlpm.fam,IFERROR(F6,"#N/C"), _xlpm.subfam,IF(TRIM(G6)="-","#N/C",IFERROR(G6,"#N/C")),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_xlpm.fallback,IF(IFERROR(B6,"#N/C")="#N/C",A6,IF(IFERROR(C6,"#N/C")="#N/C",B6,IF(IFERROR(D6,"#N/C")="#N/C",C6,IF(IFERROR(E6,"#N/C")="#N/C",D6,IF(IFERROR(F6,"#N/C")="#N/C",E6,IF(IFERROR(G6,"#N/C")="#N/C",F6,"#N/C")))))), _xlpm.finalResult,IF(OR(_xlpm.computedResult="",_xlpm.computedResult="#N/C"),_xlpm.fallback,_xlpm.computedResult), INDEX(_xlpm.finalResult,1))</f>
        <v>spider</v>
      </c>
      <c r="K6" s="45" t="str">
        <f t="shared" si="0"/>
        <v>Arachnida.Araneae.Arneomorphae.Araneomorphae.Dictynoidea.Anyphaenidae.Anyphaeninae.Anyphaena.#N/C</v>
      </c>
      <c r="L6" s="44">
        <f>+COUNTIF([1]Monitoring!AN:AN,K6)</f>
        <v>1</v>
      </c>
    </row>
    <row r="7" spans="1:12" x14ac:dyDescent="0.3">
      <c r="A7" s="46" t="s">
        <v>28</v>
      </c>
      <c r="B7" s="46" t="s">
        <v>26</v>
      </c>
      <c r="C7" s="46" t="s">
        <v>26</v>
      </c>
      <c r="D7" s="47" t="str">
        <f>+IFERROR(IF(E7="#N/C","#N/C",INDEX([1]ClassificationClasses!D:D,MATCH(E7,[1]ClassificationClasses!E:E,0))),"ERROR")</f>
        <v>#N/C</v>
      </c>
      <c r="E7" s="46" t="s">
        <v>26</v>
      </c>
      <c r="F7" s="46" t="s">
        <v>26</v>
      </c>
      <c r="G7" s="46" t="s">
        <v>26</v>
      </c>
      <c r="H7" s="46" t="s">
        <v>26</v>
      </c>
      <c r="I7" s="46" t="s">
        <v>26</v>
      </c>
      <c r="J7" s="67" t="str" cm="1">
        <f t="array" ref="J7">_xlfn.LET(_xlpm.cls,A7, _xlpm.ord,IFERROR(B7,"#N/C"), _xlpm.subord,IFERROR(C7,"#N/C"), _xlpm.infr,IFERROR(D7,"#N/C"), _xlpm.sf,IFERROR(E7,"#N/C"), _xlpm.fam,IFERROR(F7,"#N/C"), _xlpm.subfam,IF(TRIM(G7)="-","#N/C",IFERROR(G7,"#N/C")),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_xlpm.fallback,IF(IFERROR(B7,"#N/C")="#N/C",A7,IF(IFERROR(C7,"#N/C")="#N/C",B7,IF(IFERROR(D7,"#N/C")="#N/C",C7,IF(IFERROR(E7,"#N/C")="#N/C",D7,IF(IFERROR(F7,"#N/C")="#N/C",E7,IF(IFERROR(G7,"#N/C")="#N/C",F7,"#N/C")))))), _xlpm.finalResult,IF(OR(_xlpm.computedResult="",_xlpm.computedResult="#N/C"),_xlpm.fallback,_xlpm.computedResult), INDEX(_xlpm.finalResult,1))</f>
        <v>Insecta</v>
      </c>
      <c r="K7" s="45" t="str">
        <f t="shared" si="0"/>
        <v>Insecta.#N/C.#N/C.#N/C.#N/C.#N/C.#N/C.#N/C.#N/C</v>
      </c>
      <c r="L7" s="44">
        <f>+COUNTIF([1]Monitoring!AN:AN,K7)</f>
        <v>26</v>
      </c>
    </row>
    <row r="8" spans="1:12" x14ac:dyDescent="0.3">
      <c r="A8" s="46" t="s">
        <v>28</v>
      </c>
      <c r="B8" s="46" t="s">
        <v>67</v>
      </c>
      <c r="C8" s="46" t="s">
        <v>68</v>
      </c>
      <c r="D8" s="47" t="str">
        <f>+IFERROR(IF(E8="#N/C","#N/C",INDEX([1]ClassificationClasses!D:D,MATCH(E8,[1]ClassificationClasses!E:E,0))),"ERROR")</f>
        <v>Cucujiformia</v>
      </c>
      <c r="E8" s="46" t="s">
        <v>412</v>
      </c>
      <c r="F8" s="46" t="s">
        <v>413</v>
      </c>
      <c r="G8" s="46" t="s">
        <v>726</v>
      </c>
      <c r="H8" s="48" t="s">
        <v>26</v>
      </c>
      <c r="I8" s="48" t="s">
        <v>26</v>
      </c>
      <c r="J8" s="67" t="str" cm="1">
        <f t="array" ref="J8">_xlfn.LET(_xlpm.cls,A8, _xlpm.ord,IFERROR(B8,"#N/C"), _xlpm.subord,IFERROR(C8,"#N/C"), _xlpm.infr,IFERROR(D8,"#N/C"), _xlpm.sf,IFERROR(E8,"#N/C"), _xlpm.fam,IFERROR(F8,"#N/C"), _xlpm.subfam,IF(TRIM(G8)="-","#N/C",IFERROR(G8,"#N/C")),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_xlpm.fallback,IF(IFERROR(B8,"#N/C")="#N/C",A8,IF(IFERROR(C8,"#N/C")="#N/C",B8,IF(IFERROR(D8,"#N/C")="#N/C",C8,IF(IFERROR(E8,"#N/C")="#N/C",D8,IF(IFERROR(F8,"#N/C")="#N/C",E8,IF(IFERROR(G8,"#N/C")="#N/C",F8,"#N/C")))))), _xlpm.finalResult,IF(OR(_xlpm.computedResult="",_xlpm.computedResult="#N/C"),_xlpm.fallback,_xlpm.computedResult), INDEX(_xlpm.finalResult,1))</f>
        <v>leaf_beetle</v>
      </c>
      <c r="K8" s="45" t="str">
        <f t="shared" si="0"/>
        <v>Insecta.Coleoptera.Polyphaga.Cucujiformia.Chrysomeloidea.Chrysomelidae.Alticinae.#N/C.#N/C</v>
      </c>
      <c r="L8" s="44">
        <f>+COUNTIF([1]Monitoring!AN:AN,K8)</f>
        <v>1</v>
      </c>
    </row>
    <row r="9" spans="1:12" x14ac:dyDescent="0.3">
      <c r="A9" s="47" t="s">
        <v>28</v>
      </c>
      <c r="B9" s="47" t="s">
        <v>67</v>
      </c>
      <c r="C9" s="47" t="s">
        <v>68</v>
      </c>
      <c r="D9" s="47" t="str">
        <f>+IFERROR(IF(E9="#N/C","#N/C",INDEX([1]ClassificationClasses!D:D,MATCH(E9,[1]ClassificationClasses!E:E,0))),"ERROR")</f>
        <v>Cucujiformia</v>
      </c>
      <c r="E9" s="47" t="s">
        <v>412</v>
      </c>
      <c r="F9" s="47" t="s">
        <v>413</v>
      </c>
      <c r="G9" s="47" t="s">
        <v>414</v>
      </c>
      <c r="H9" s="49" t="s">
        <v>26</v>
      </c>
      <c r="I9" s="49" t="s">
        <v>26</v>
      </c>
      <c r="J9" s="67" t="str" cm="1">
        <f t="array" ref="J9">_xlfn.LET(_xlpm.cls,A9, _xlpm.ord,IFERROR(B9,"#N/C"), _xlpm.subord,IFERROR(C9,"#N/C"), _xlpm.infr,IFERROR(D9,"#N/C"), _xlpm.sf,IFERROR(E9,"#N/C"), _xlpm.fam,IFERROR(F9,"#N/C"), _xlpm.subfam,IF(TRIM(G9)="-","#N/C",IFERROR(G9,"#N/C")),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_xlpm.fallback,IF(IFERROR(B9,"#N/C")="#N/C",A9,IF(IFERROR(C9,"#N/C")="#N/C",B9,IF(IFERROR(D9,"#N/C")="#N/C",C9,IF(IFERROR(E9,"#N/C")="#N/C",D9,IF(IFERROR(F9,"#N/C")="#N/C",E9,IF(IFERROR(G9,"#N/C")="#N/C",F9,"#N/C")))))), _xlpm.finalResult,IF(OR(_xlpm.computedResult="",_xlpm.computedResult="#N/C"),_xlpm.fallback,_xlpm.computedResult), INDEX(_xlpm.finalResult,1))</f>
        <v>leaf_beetle</v>
      </c>
      <c r="K9" s="45" t="str">
        <f t="shared" si="0"/>
        <v>Insecta.Coleoptera.Polyphaga.Cucujiformia.Chrysomeloidea.Chrysomelidae.Chrysomelinae.#N/C.#N/C</v>
      </c>
      <c r="L9" s="44">
        <f>+COUNTIF([1]Monitoring!AN:AN,K9)</f>
        <v>0</v>
      </c>
    </row>
    <row r="10" spans="1:12" x14ac:dyDescent="0.3">
      <c r="A10" s="46" t="s">
        <v>28</v>
      </c>
      <c r="B10" s="46" t="s">
        <v>67</v>
      </c>
      <c r="C10" s="46" t="s">
        <v>68</v>
      </c>
      <c r="D10" s="47" t="str">
        <f>+IFERROR(IF(E10="#N/C","#N/C",INDEX([1]ClassificationClasses!D:D,MATCH(E10,[1]ClassificationClasses!E:E,0))),"ERROR")</f>
        <v>Cucujiformia</v>
      </c>
      <c r="E10" s="46" t="s">
        <v>412</v>
      </c>
      <c r="F10" s="46" t="s">
        <v>413</v>
      </c>
      <c r="G10" s="46" t="s">
        <v>414</v>
      </c>
      <c r="H10" s="48" t="s">
        <v>415</v>
      </c>
      <c r="I10" s="48" t="s">
        <v>26</v>
      </c>
      <c r="J10" s="67" t="str" cm="1">
        <f t="array" ref="J10">_xlfn.LET(_xlpm.cls,A10, _xlpm.ord,IFERROR(B10,"#N/C"), _xlpm.subord,IFERROR(C10,"#N/C"), _xlpm.infr,IFERROR(D10,"#N/C"), _xlpm.sf,IFERROR(E10,"#N/C"), _xlpm.fam,IFERROR(F10,"#N/C"), _xlpm.subfam,IF(TRIM(G10)="-","#N/C",IFERROR(G10,"#N/C")),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_xlpm.fallback,IF(IFERROR(B10,"#N/C")="#N/C",A10,IF(IFERROR(C10,"#N/C")="#N/C",B10,IF(IFERROR(D10,"#N/C")="#N/C",C10,IF(IFERROR(E10,"#N/C")="#N/C",D10,IF(IFERROR(F10,"#N/C")="#N/C",E10,IF(IFERROR(G10,"#N/C")="#N/C",F10,"#N/C")))))), _xlpm.finalResult,IF(OR(_xlpm.computedResult="",_xlpm.computedResult="#N/C"),_xlpm.fallback,_xlpm.computedResult), INDEX(_xlpm.finalResult,1))</f>
        <v>leaf_beetle</v>
      </c>
      <c r="K10" s="45" t="str">
        <f t="shared" si="0"/>
        <v>Insecta.Coleoptera.Polyphaga.Cucujiformia.Chrysomeloidea.Chrysomelidae.Chrysomelinae.Chrysolina.#N/C</v>
      </c>
      <c r="L10" s="44">
        <f>+COUNTIF([1]Monitoring!AN:AN,K10)</f>
        <v>0</v>
      </c>
    </row>
    <row r="11" spans="1:12" x14ac:dyDescent="0.3">
      <c r="A11" s="47" t="s">
        <v>28</v>
      </c>
      <c r="B11" s="47" t="s">
        <v>67</v>
      </c>
      <c r="C11" s="47" t="s">
        <v>68</v>
      </c>
      <c r="D11" s="47" t="str">
        <f>+IFERROR(IF(E11="#N/C","#N/C",INDEX([1]ClassificationClasses!D:D,MATCH(E11,[1]ClassificationClasses!E:E,0))),"ERROR")</f>
        <v>Cucujiformia</v>
      </c>
      <c r="E11" s="47" t="s">
        <v>412</v>
      </c>
      <c r="F11" s="47" t="s">
        <v>413</v>
      </c>
      <c r="G11" s="47" t="s">
        <v>434</v>
      </c>
      <c r="H11" s="49" t="s">
        <v>435</v>
      </c>
      <c r="I11" s="49" t="s">
        <v>26</v>
      </c>
      <c r="J11" s="67" t="str" cm="1">
        <f t="array" ref="J11">_xlfn.LET(_xlpm.cls,A11, _xlpm.ord,IFERROR(B11,"#N/C"), _xlpm.subord,IFERROR(C11,"#N/C"), _xlpm.infr,IFERROR(D11,"#N/C"), _xlpm.sf,IFERROR(E11,"#N/C"), _xlpm.fam,IFERROR(F11,"#N/C"), _xlpm.subfam,IF(TRIM(G11)="-","#N/C",IFERROR(G11,"#N/C")),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_xlpm.fallback,IF(IFERROR(B11,"#N/C")="#N/C",A11,IF(IFERROR(C11,"#N/C")="#N/C",B11,IF(IFERROR(D11,"#N/C")="#N/C",C11,IF(IFERROR(E11,"#N/C")="#N/C",D11,IF(IFERROR(F11,"#N/C")="#N/C",E11,IF(IFERROR(G11,"#N/C")="#N/C",F11,"#N/C")))))), _xlpm.finalResult,IF(OR(_xlpm.computedResult="",_xlpm.computedResult="#N/C"),_xlpm.fallback,_xlpm.computedResult), INDEX(_xlpm.finalResult,1))</f>
        <v>leaf_beetle</v>
      </c>
      <c r="K11" s="45" t="str">
        <f t="shared" si="0"/>
        <v>Insecta.Coleoptera.Polyphaga.Cucujiformia.Chrysomeloidea.Chrysomelidae.Criocerinae.Oulema.#N/C</v>
      </c>
      <c r="L11" s="44">
        <f>+COUNTIF([1]Monitoring!AN:AN,K11)</f>
        <v>0</v>
      </c>
    </row>
    <row r="12" spans="1:12" x14ac:dyDescent="0.3">
      <c r="A12" s="46" t="s">
        <v>28</v>
      </c>
      <c r="B12" s="46" t="s">
        <v>67</v>
      </c>
      <c r="C12" s="46" t="s">
        <v>68</v>
      </c>
      <c r="D12" s="47" t="str">
        <f>+IFERROR(IF(E12="#N/C","#N/C",INDEX([1]ClassificationClasses!D:D,MATCH(E12,[1]ClassificationClasses!E:E,0))),"ERROR")</f>
        <v>Cucujiformia</v>
      </c>
      <c r="E12" s="46" t="s">
        <v>412</v>
      </c>
      <c r="F12" s="46" t="s">
        <v>413</v>
      </c>
      <c r="G12" s="46" t="s">
        <v>727</v>
      </c>
      <c r="H12" s="48" t="s">
        <v>26</v>
      </c>
      <c r="I12" s="48" t="s">
        <v>26</v>
      </c>
      <c r="J12" s="67" t="str" cm="1">
        <f t="array" ref="J12">_xlfn.LET(_xlpm.cls,A12, _xlpm.ord,IFERROR(B12,"#N/C"), _xlpm.subord,IFERROR(C12,"#N/C"), _xlpm.infr,IFERROR(D12,"#N/C"), _xlpm.sf,IFERROR(E12,"#N/C"), _xlpm.fam,IFERROR(F12,"#N/C"), _xlpm.subfam,IF(TRIM(G12)="-","#N/C",IFERROR(G12,"#N/C")),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_xlpm.fallback,IF(IFERROR(B12,"#N/C")="#N/C",A12,IF(IFERROR(C12,"#N/C")="#N/C",B12,IF(IFERROR(D12,"#N/C")="#N/C",C12,IF(IFERROR(E12,"#N/C")="#N/C",D12,IF(IFERROR(F12,"#N/C")="#N/C",E12,IF(IFERROR(G12,"#N/C")="#N/C",F12,"#N/C")))))), _xlpm.finalResult,IF(OR(_xlpm.computedResult="",_xlpm.computedResult="#N/C"),_xlpm.fallback,_xlpm.computedResult), INDEX(_xlpm.finalResult,1))</f>
        <v>leaf_beetle</v>
      </c>
      <c r="K12" s="45" t="str">
        <f t="shared" si="0"/>
        <v>Insecta.Coleoptera.Polyphaga.Cucujiformia.Chrysomeloidea.Chrysomelidae.Galerucinae.#N/C.#N/C</v>
      </c>
      <c r="L12" s="44">
        <f>+COUNTIF([1]Monitoring!AN:AN,K12)</f>
        <v>0</v>
      </c>
    </row>
    <row r="13" spans="1:12" x14ac:dyDescent="0.3">
      <c r="A13" s="46" t="s">
        <v>28</v>
      </c>
      <c r="B13" s="46" t="s">
        <v>67</v>
      </c>
      <c r="C13" s="46" t="s">
        <v>68</v>
      </c>
      <c r="D13" s="47" t="str">
        <f>+IFERROR(IF(E13="#N/C","#N/C",INDEX([1]ClassificationClasses!D:D,MATCH(E13,[1]ClassificationClasses!E:E,0))),"ERROR")</f>
        <v>Cucujiformia</v>
      </c>
      <c r="E13" s="46" t="s">
        <v>412</v>
      </c>
      <c r="F13" s="46" t="s">
        <v>413</v>
      </c>
      <c r="G13" s="46" t="s">
        <v>727</v>
      </c>
      <c r="H13" s="48" t="s">
        <v>728</v>
      </c>
      <c r="I13" s="48" t="s">
        <v>26</v>
      </c>
      <c r="J13" s="67" t="str" cm="1">
        <f t="array" ref="J13">_xlfn.LET(_xlpm.cls,A13, _xlpm.ord,IFERROR(B13,"#N/C"), _xlpm.subord,IFERROR(C13,"#N/C"), _xlpm.infr,IFERROR(D13,"#N/C"), _xlpm.sf,IFERROR(E13,"#N/C"), _xlpm.fam,IFERROR(F13,"#N/C"), _xlpm.subfam,IF(TRIM(G13)="-","#N/C",IFERROR(G13,"#N/C")),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_xlpm.fallback,IF(IFERROR(B13,"#N/C")="#N/C",A13,IF(IFERROR(C13,"#N/C")="#N/C",B13,IF(IFERROR(D13,"#N/C")="#N/C",C13,IF(IFERROR(E13,"#N/C")="#N/C",D13,IF(IFERROR(F13,"#N/C")="#N/C",E13,IF(IFERROR(G13,"#N/C")="#N/C",F13,"#N/C")))))), _xlpm.finalResult,IF(OR(_xlpm.computedResult="",_xlpm.computedResult="#N/C"),_xlpm.fallback,_xlpm.computedResult), INDEX(_xlpm.finalResult,1))</f>
        <v>leaf_beetle</v>
      </c>
      <c r="K13" s="45" t="str">
        <f t="shared" si="0"/>
        <v>Insecta.Coleoptera.Polyphaga.Cucujiformia.Chrysomeloidea.Chrysomelidae.Galerucinae.Psylliodes.#N/C</v>
      </c>
      <c r="L13" s="44">
        <f>+COUNTIF([1]Monitoring!AN:AN,K13)</f>
        <v>1</v>
      </c>
    </row>
    <row r="14" spans="1:12" x14ac:dyDescent="0.3">
      <c r="A14" s="46" t="s">
        <v>28</v>
      </c>
      <c r="B14" s="46" t="s">
        <v>67</v>
      </c>
      <c r="C14" s="46" t="s">
        <v>68</v>
      </c>
      <c r="D14" s="47" t="str">
        <f>+IFERROR(IF(E14="#N/C","#N/C",INDEX([1]ClassificationClasses!D:D,MATCH(E14,[1]ClassificationClasses!E:E,0))),"ERROR")</f>
        <v>Cucujiformia</v>
      </c>
      <c r="E14" s="46" t="s">
        <v>69</v>
      </c>
      <c r="F14" s="46" t="s">
        <v>70</v>
      </c>
      <c r="G14" s="46" t="s">
        <v>26</v>
      </c>
      <c r="H14" s="48" t="s">
        <v>26</v>
      </c>
      <c r="I14" s="48" t="s">
        <v>26</v>
      </c>
      <c r="J14" s="67" t="str" cm="1">
        <f t="array" ref="J14">_xlfn.LET(_xlpm.cls,A14, _xlpm.ord,IFERROR(B14,"#N/C"), _xlpm.subord,IFERROR(C14,"#N/C"), _xlpm.infr,IFERROR(D14,"#N/C"), _xlpm.sf,IFERROR(E14,"#N/C"), _xlpm.fam,IFERROR(F14,"#N/C"), _xlpm.subfam,IF(TRIM(G14)="-","#N/C",IFERROR(G14,"#N/C")),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_xlpm.fallback,IF(IFERROR(B14,"#N/C")="#N/C",A14,IF(IFERROR(C14,"#N/C")="#N/C",B14,IF(IFERROR(D14,"#N/C")="#N/C",C14,IF(IFERROR(E14,"#N/C")="#N/C",D14,IF(IFERROR(F14,"#N/C")="#N/C",E14,IF(IFERROR(G14,"#N/C")="#N/C",F14,"#N/C")))))), _xlpm.finalResult,IF(OR(_xlpm.computedResult="",_xlpm.computedResult="#N/C"),_xlpm.fallback,_xlpm.computedResult), INDEX(_xlpm.finalResult,1))</f>
        <v>ladybug</v>
      </c>
      <c r="K14" s="45" t="str">
        <f t="shared" si="0"/>
        <v>Insecta.Coleoptera.Polyphaga.Cucujiformia.Coccinelloidea.Coccinellidae.#N/C.#N/C.#N/C</v>
      </c>
      <c r="L14" s="44">
        <f>+COUNTIF([1]Monitoring!AN:AN,K14)</f>
        <v>6</v>
      </c>
    </row>
    <row r="15" spans="1:12" x14ac:dyDescent="0.3">
      <c r="A15" s="46" t="s">
        <v>28</v>
      </c>
      <c r="B15" s="46" t="s">
        <v>67</v>
      </c>
      <c r="C15" s="46" t="s">
        <v>68</v>
      </c>
      <c r="D15" s="47" t="str">
        <f>+IFERROR(IF(E15="#N/C","#N/C",INDEX([1]ClassificationClasses!D:D,MATCH(E15,[1]ClassificationClasses!E:E,0))),"ERROR")</f>
        <v>Cucujiformia</v>
      </c>
      <c r="E15" s="46" t="s">
        <v>69</v>
      </c>
      <c r="F15" s="46" t="s">
        <v>70</v>
      </c>
      <c r="G15" s="46" t="s">
        <v>729</v>
      </c>
      <c r="H15" s="48" t="s">
        <v>26</v>
      </c>
      <c r="I15" s="48" t="s">
        <v>26</v>
      </c>
      <c r="J15" s="67" t="str" cm="1">
        <f t="array" ref="J15">_xlfn.LET(_xlpm.cls,A15, _xlpm.ord,IFERROR(B15,"#N/C"), _xlpm.subord,IFERROR(C15,"#N/C"), _xlpm.infr,IFERROR(D15,"#N/C"), _xlpm.sf,IFERROR(E15,"#N/C"), _xlpm.fam,IFERROR(F15,"#N/C"), _xlpm.subfam,IF(TRIM(G15)="-","#N/C",IFERROR(G15,"#N/C")),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_xlpm.fallback,IF(IFERROR(B15,"#N/C")="#N/C",A15,IF(IFERROR(C15,"#N/C")="#N/C",B15,IF(IFERROR(D15,"#N/C")="#N/C",C15,IF(IFERROR(E15,"#N/C")="#N/C",D15,IF(IFERROR(F15,"#N/C")="#N/C",E15,IF(IFERROR(G15,"#N/C")="#N/C",F15,"#N/C")))))), _xlpm.finalResult,IF(OR(_xlpm.computedResult="",_xlpm.computedResult="#N/C"),_xlpm.fallback,_xlpm.computedResult), INDEX(_xlpm.finalResult,1))</f>
        <v>ladybug</v>
      </c>
      <c r="K15" s="45" t="str">
        <f t="shared" si="0"/>
        <v>Insecta.Coleoptera.Polyphaga.Cucujiformia.Coccinelloidea.Coccinellidae.Chilocorinae.#N/C.#N/C</v>
      </c>
      <c r="L15" s="44">
        <f>+COUNTIF([1]Monitoring!AN:AN,K15)</f>
        <v>1</v>
      </c>
    </row>
    <row r="16" spans="1:12" x14ac:dyDescent="0.3">
      <c r="A16" s="46" t="s">
        <v>28</v>
      </c>
      <c r="B16" s="46" t="s">
        <v>67</v>
      </c>
      <c r="C16" s="46" t="s">
        <v>68</v>
      </c>
      <c r="D16" s="47" t="str">
        <f>+IFERROR(IF(E16="#N/C","#N/C",INDEX([1]ClassificationClasses!D:D,MATCH(E16,[1]ClassificationClasses!E:E,0))),"ERROR")</f>
        <v>Cucujiformia</v>
      </c>
      <c r="E16" s="46" t="s">
        <v>69</v>
      </c>
      <c r="F16" s="46" t="s">
        <v>70</v>
      </c>
      <c r="G16" s="46" t="s">
        <v>71</v>
      </c>
      <c r="H16" s="48" t="s">
        <v>26</v>
      </c>
      <c r="I16" s="48" t="s">
        <v>26</v>
      </c>
      <c r="J16" s="67" t="str" cm="1">
        <f t="array" ref="J16">_xlfn.LET(_xlpm.cls,A16, _xlpm.ord,IFERROR(B16,"#N/C"), _xlpm.subord,IFERROR(C16,"#N/C"), _xlpm.infr,IFERROR(D16,"#N/C"), _xlpm.sf,IFERROR(E16,"#N/C"), _xlpm.fam,IFERROR(F16,"#N/C"), _xlpm.subfam,IF(TRIM(G16)="-","#N/C",IFERROR(G16,"#N/C")),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_xlpm.fallback,IF(IFERROR(B16,"#N/C")="#N/C",A16,IF(IFERROR(C16,"#N/C")="#N/C",B16,IF(IFERROR(D16,"#N/C")="#N/C",C16,IF(IFERROR(E16,"#N/C")="#N/C",D16,IF(IFERROR(F16,"#N/C")="#N/C",E16,IF(IFERROR(G16,"#N/C")="#N/C",F16,"#N/C")))))), _xlpm.finalResult,IF(OR(_xlpm.computedResult="",_xlpm.computedResult="#N/C"),_xlpm.fallback,_xlpm.computedResult), INDEX(_xlpm.finalResult,1))</f>
        <v>ladybug</v>
      </c>
      <c r="K16" s="45" t="str">
        <f t="shared" si="0"/>
        <v>Insecta.Coleoptera.Polyphaga.Cucujiformia.Coccinelloidea.Coccinellidae.Coccinellinae.#N/C.#N/C</v>
      </c>
      <c r="L16" s="44">
        <f>+COUNTIF([1]Monitoring!AN:AN,K16)</f>
        <v>10</v>
      </c>
    </row>
    <row r="17" spans="1:12" x14ac:dyDescent="0.3">
      <c r="A17" s="47" t="s">
        <v>28</v>
      </c>
      <c r="B17" s="47" t="s">
        <v>67</v>
      </c>
      <c r="C17" s="47" t="s">
        <v>68</v>
      </c>
      <c r="D17" s="47" t="str">
        <f>+IFERROR(IF(E17="#N/C","#N/C",INDEX([1]ClassificationClasses!D:D,MATCH(E17,[1]ClassificationClasses!E:E,0))),"ERROR")</f>
        <v>Cucujiformia</v>
      </c>
      <c r="E17" s="47" t="s">
        <v>69</v>
      </c>
      <c r="F17" s="47" t="s">
        <v>70</v>
      </c>
      <c r="G17" s="47" t="s">
        <v>71</v>
      </c>
      <c r="H17" s="49" t="s">
        <v>730</v>
      </c>
      <c r="I17" s="49" t="s">
        <v>26</v>
      </c>
      <c r="J17" s="67" t="str" cm="1">
        <f t="array" ref="J17">_xlfn.LET(_xlpm.cls,A17, _xlpm.ord,IFERROR(B17,"#N/C"), _xlpm.subord,IFERROR(C17,"#N/C"), _xlpm.infr,IFERROR(D17,"#N/C"), _xlpm.sf,IFERROR(E17,"#N/C"), _xlpm.fam,IFERROR(F17,"#N/C"), _xlpm.subfam,IF(TRIM(G17)="-","#N/C",IFERROR(G17,"#N/C")),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_xlpm.fallback,IF(IFERROR(B17,"#N/C")="#N/C",A17,IF(IFERROR(C17,"#N/C")="#N/C",B17,IF(IFERROR(D17,"#N/C")="#N/C",C17,IF(IFERROR(E17,"#N/C")="#N/C",D17,IF(IFERROR(F17,"#N/C")="#N/C",E17,IF(IFERROR(G17,"#N/C")="#N/C",F17,"#N/C")))))), _xlpm.finalResult,IF(OR(_xlpm.computedResult="",_xlpm.computedResult="#N/C"),_xlpm.fallback,_xlpm.computedResult), INDEX(_xlpm.finalResult,1))</f>
        <v>ladybug</v>
      </c>
      <c r="K17" s="45" t="str">
        <f t="shared" si="0"/>
        <v>Insecta.Coleoptera.Polyphaga.Cucujiformia.Coccinelloidea.Coccinellidae.Coccinellinae.Coccinella.#N/C</v>
      </c>
      <c r="L17" s="44">
        <f>+COUNTIF([1]Monitoring!AN:AN,K17)</f>
        <v>2</v>
      </c>
    </row>
    <row r="18" spans="1:12" x14ac:dyDescent="0.3">
      <c r="A18" s="46" t="s">
        <v>28</v>
      </c>
      <c r="B18" s="46" t="s">
        <v>67</v>
      </c>
      <c r="C18" s="46" t="s">
        <v>68</v>
      </c>
      <c r="D18" s="47" t="str">
        <f>+IFERROR(IF(E18="#N/C","#N/C",INDEX([1]ClassificationClasses!D:D,MATCH(E18,[1]ClassificationClasses!E:E,0))),"ERROR")</f>
        <v>Cucujiformia</v>
      </c>
      <c r="E18" s="46" t="s">
        <v>69</v>
      </c>
      <c r="F18" s="46" t="s">
        <v>70</v>
      </c>
      <c r="G18" s="46" t="s">
        <v>71</v>
      </c>
      <c r="H18" s="48" t="s">
        <v>731</v>
      </c>
      <c r="I18" s="48" t="s">
        <v>26</v>
      </c>
      <c r="J18" s="67" t="str" cm="1">
        <f t="array" ref="J18">_xlfn.LET(_xlpm.cls,A18, _xlpm.ord,IFERROR(B18,"#N/C"), _xlpm.subord,IFERROR(C18,"#N/C"), _xlpm.infr,IFERROR(D18,"#N/C"), _xlpm.sf,IFERROR(E18,"#N/C"), _xlpm.fam,IFERROR(F18,"#N/C"), _xlpm.subfam,IF(TRIM(G18)="-","#N/C",IFERROR(G18,"#N/C")),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_xlpm.fallback,IF(IFERROR(B18,"#N/C")="#N/C",A18,IF(IFERROR(C18,"#N/C")="#N/C",B18,IF(IFERROR(D18,"#N/C")="#N/C",C18,IF(IFERROR(E18,"#N/C")="#N/C",D18,IF(IFERROR(F18,"#N/C")="#N/C",E18,IF(IFERROR(G18,"#N/C")="#N/C",F18,"#N/C")))))), _xlpm.finalResult,IF(OR(_xlpm.computedResult="",_xlpm.computedResult="#N/C"),_xlpm.fallback,_xlpm.computedResult), INDEX(_xlpm.finalResult,1))</f>
        <v>ladybug</v>
      </c>
      <c r="K18" s="45" t="str">
        <f t="shared" si="0"/>
        <v>Insecta.Coleoptera.Polyphaga.Cucujiformia.Coccinelloidea.Coccinellidae.Coccinellinae.Coccinellini.#N/C</v>
      </c>
      <c r="L18" s="44">
        <f>+COUNTIF([1]Monitoring!AN:AN,K18)</f>
        <v>3</v>
      </c>
    </row>
    <row r="19" spans="1:12" x14ac:dyDescent="0.3">
      <c r="A19" s="47" t="s">
        <v>28</v>
      </c>
      <c r="B19" s="47" t="s">
        <v>67</v>
      </c>
      <c r="C19" s="47" t="s">
        <v>68</v>
      </c>
      <c r="D19" s="47" t="str">
        <f>+IFERROR(IF(E19="#N/C","#N/C",INDEX([1]ClassificationClasses!D:D,MATCH(E19,[1]ClassificationClasses!E:E,0))),"ERROR")</f>
        <v>Cucujiformia</v>
      </c>
      <c r="E19" s="47" t="s">
        <v>69</v>
      </c>
      <c r="F19" s="47" t="s">
        <v>70</v>
      </c>
      <c r="G19" s="47" t="s">
        <v>71</v>
      </c>
      <c r="H19" s="49" t="s">
        <v>72</v>
      </c>
      <c r="I19" s="49" t="s">
        <v>26</v>
      </c>
      <c r="J19" s="67" t="str" cm="1">
        <f t="array" ref="J19">_xlfn.LET(_xlpm.cls,A19, _xlpm.ord,IFERROR(B19,"#N/C"), _xlpm.subord,IFERROR(C19,"#N/C"), _xlpm.infr,IFERROR(D19,"#N/C"), _xlpm.sf,IFERROR(E19,"#N/C"), _xlpm.fam,IFERROR(F19,"#N/C"), _xlpm.subfam,IF(TRIM(G19)="-","#N/C",IFERROR(G19,"#N/C")),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_xlpm.fallback,IF(IFERROR(B19,"#N/C")="#N/C",A19,IF(IFERROR(C19,"#N/C")="#N/C",B19,IF(IFERROR(D19,"#N/C")="#N/C",C19,IF(IFERROR(E19,"#N/C")="#N/C",D19,IF(IFERROR(F19,"#N/C")="#N/C",E19,IF(IFERROR(G19,"#N/C")="#N/C",F19,"#N/C")))))), _xlpm.finalResult,IF(OR(_xlpm.computedResult="",_xlpm.computedResult="#N/C"),_xlpm.fallback,_xlpm.computedResult), INDEX(_xlpm.finalResult,1))</f>
        <v>ladybug</v>
      </c>
      <c r="K19" s="45" t="str">
        <f t="shared" si="0"/>
        <v>Insecta.Coleoptera.Polyphaga.Cucujiformia.Coccinelloidea.Coccinellidae.Coccinellinae.Harmonia.#N/C</v>
      </c>
      <c r="L19" s="44">
        <f>+COUNTIF([1]Monitoring!AN:AN,K19)</f>
        <v>25</v>
      </c>
    </row>
    <row r="20" spans="1:12" x14ac:dyDescent="0.3">
      <c r="A20" s="47" t="s">
        <v>28</v>
      </c>
      <c r="B20" s="47" t="s">
        <v>67</v>
      </c>
      <c r="C20" s="47" t="s">
        <v>68</v>
      </c>
      <c r="D20" s="47" t="str">
        <f>+IFERROR(IF(E20="#N/C","#N/C",INDEX([1]ClassificationClasses!D:D,MATCH(E20,[1]ClassificationClasses!E:E,0))),"ERROR")</f>
        <v>Cucujiformia</v>
      </c>
      <c r="E20" s="47" t="s">
        <v>69</v>
      </c>
      <c r="F20" s="47" t="s">
        <v>70</v>
      </c>
      <c r="G20" s="47" t="s">
        <v>71</v>
      </c>
      <c r="H20" s="49" t="s">
        <v>72</v>
      </c>
      <c r="I20" s="49" t="s">
        <v>73</v>
      </c>
      <c r="J20" s="67" t="str" cm="1">
        <f t="array" ref="J20">_xlfn.LET(_xlpm.cls,A20, _xlpm.ord,IFERROR(B20,"#N/C"), _xlpm.subord,IFERROR(C20,"#N/C"), _xlpm.infr,IFERROR(D20,"#N/C"), _xlpm.sf,IFERROR(E20,"#N/C"), _xlpm.fam,IFERROR(F20,"#N/C"), _xlpm.subfam,IF(TRIM(G20)="-","#N/C",IFERROR(G20,"#N/C")),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_xlpm.fallback,IF(IFERROR(B20,"#N/C")="#N/C",A20,IF(IFERROR(C20,"#N/C")="#N/C",B20,IF(IFERROR(D20,"#N/C")="#N/C",C20,IF(IFERROR(E20,"#N/C")="#N/C",D20,IF(IFERROR(F20,"#N/C")="#N/C",E20,IF(IFERROR(G20,"#N/C")="#N/C",F20,"#N/C")))))), _xlpm.finalResult,IF(OR(_xlpm.computedResult="",_xlpm.computedResult="#N/C"),_xlpm.fallback,_xlpm.computedResult), INDEX(_xlpm.finalResult,1))</f>
        <v>ladybug</v>
      </c>
      <c r="K20" s="45" t="str">
        <f t="shared" si="0"/>
        <v>Insecta.Coleoptera.Polyphaga.Cucujiformia.Coccinelloidea.Coccinellidae.Coccinellinae.Harmonia.axyridis</v>
      </c>
      <c r="L20" s="44">
        <f>+COUNTIF([1]Monitoring!AN:AN,K20)</f>
        <v>1</v>
      </c>
    </row>
    <row r="21" spans="1:12" x14ac:dyDescent="0.3">
      <c r="A21" s="47" t="s">
        <v>28</v>
      </c>
      <c r="B21" s="47" t="s">
        <v>67</v>
      </c>
      <c r="C21" s="47" t="s">
        <v>68</v>
      </c>
      <c r="D21" s="47" t="str">
        <f>+IFERROR(IF(E21="#N/C","#N/C",INDEX([1]ClassificationClasses!D:D,MATCH(E21,[1]ClassificationClasses!E:E,0))),"ERROR")</f>
        <v>Cucujiformia</v>
      </c>
      <c r="E21" s="47" t="s">
        <v>69</v>
      </c>
      <c r="F21" s="47" t="s">
        <v>70</v>
      </c>
      <c r="G21" s="47" t="s">
        <v>71</v>
      </c>
      <c r="H21" s="48" t="s">
        <v>732</v>
      </c>
      <c r="I21" s="48" t="s">
        <v>26</v>
      </c>
      <c r="J21" s="67" t="str" cm="1">
        <f t="array" ref="J21">_xlfn.LET(_xlpm.cls,A21, _xlpm.ord,IFERROR(B21,"#N/C"), _xlpm.subord,IFERROR(C21,"#N/C"), _xlpm.infr,IFERROR(D21,"#N/C"), _xlpm.sf,IFERROR(E21,"#N/C"), _xlpm.fam,IFERROR(F21,"#N/C"), _xlpm.subfam,IF(TRIM(G21)="-","#N/C",IFERROR(G21,"#N/C")),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_xlpm.fallback,IF(IFERROR(B21,"#N/C")="#N/C",A21,IF(IFERROR(C21,"#N/C")="#N/C",B21,IF(IFERROR(D21,"#N/C")="#N/C",C21,IF(IFERROR(E21,"#N/C")="#N/C",D21,IF(IFERROR(F21,"#N/C")="#N/C",E21,IF(IFERROR(G21,"#N/C")="#N/C",F21,"#N/C")))))), _xlpm.finalResult,IF(OR(_xlpm.computedResult="",_xlpm.computedResult="#N/C"),_xlpm.fallback,_xlpm.computedResult), INDEX(_xlpm.finalResult,1))</f>
        <v>ladybug</v>
      </c>
      <c r="K21" s="45" t="str">
        <f t="shared" si="0"/>
        <v>Insecta.Coleoptera.Polyphaga.Cucujiformia.Coccinelloidea.Coccinellidae.Coccinellinae.Oenopia.#N/C</v>
      </c>
      <c r="L21" s="44">
        <f>+COUNTIF([1]Monitoring!AN:AN,K21)</f>
        <v>1</v>
      </c>
    </row>
    <row r="22" spans="1:12" x14ac:dyDescent="0.3">
      <c r="A22" s="47" t="s">
        <v>28</v>
      </c>
      <c r="B22" s="47" t="s">
        <v>67</v>
      </c>
      <c r="C22" s="47" t="s">
        <v>68</v>
      </c>
      <c r="D22" s="47" t="str">
        <f>+IFERROR(IF(E22="#N/C","#N/C",INDEX([1]ClassificationClasses!D:D,MATCH(E22,[1]ClassificationClasses!E:E,0))),"ERROR")</f>
        <v>Cucujiformia</v>
      </c>
      <c r="E22" s="47" t="s">
        <v>69</v>
      </c>
      <c r="F22" s="47" t="s">
        <v>70</v>
      </c>
      <c r="G22" s="47" t="s">
        <v>71</v>
      </c>
      <c r="H22" s="49" t="s">
        <v>461</v>
      </c>
      <c r="I22" s="49" t="s">
        <v>462</v>
      </c>
      <c r="J22" s="67" t="str" cm="1">
        <f t="array" ref="J22">_xlfn.LET(_xlpm.cls,A22, _xlpm.ord,IFERROR(B22,"#N/C"), _xlpm.subord,IFERROR(C22,"#N/C"), _xlpm.infr,IFERROR(D22,"#N/C"), _xlpm.sf,IFERROR(E22,"#N/C"), _xlpm.fam,IFERROR(F22,"#N/C"), _xlpm.subfam,IF(TRIM(G22)="-","#N/C",IFERROR(G22,"#N/C")),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_xlpm.fallback,IF(IFERROR(B22,"#N/C")="#N/C",A22,IF(IFERROR(C22,"#N/C")="#N/C",B22,IF(IFERROR(D22,"#N/C")="#N/C",C22,IF(IFERROR(E22,"#N/C")="#N/C",D22,IF(IFERROR(F22,"#N/C")="#N/C",E22,IF(IFERROR(G22,"#N/C")="#N/C",F22,"#N/C")))))), _xlpm.finalResult,IF(OR(_xlpm.computedResult="",_xlpm.computedResult="#N/C"),_xlpm.fallback,_xlpm.computedResult), INDEX(_xlpm.finalResult,1))</f>
        <v>ladybug</v>
      </c>
      <c r="K22" s="45" t="str">
        <f t="shared" si="0"/>
        <v>Insecta.Coleoptera.Polyphaga.Cucujiformia.Coccinelloidea.Coccinellidae.Coccinellinae.Propylea.quatuordecimpunctata</v>
      </c>
      <c r="L22" s="44">
        <f>+COUNTIF([1]Monitoring!AN:AN,K22)</f>
        <v>0</v>
      </c>
    </row>
    <row r="23" spans="1:12" x14ac:dyDescent="0.3">
      <c r="A23" s="46" t="s">
        <v>28</v>
      </c>
      <c r="B23" s="46" t="s">
        <v>67</v>
      </c>
      <c r="C23" s="46" t="s">
        <v>68</v>
      </c>
      <c r="D23" s="47" t="str">
        <f>+IFERROR(IF(E23="#N/C","#N/C",INDEX([1]ClassificationClasses!D:D,MATCH(E23,[1]ClassificationClasses!E:E,0))),"ERROR")</f>
        <v>Cucujiformia</v>
      </c>
      <c r="E23" s="46" t="s">
        <v>69</v>
      </c>
      <c r="F23" s="46" t="s">
        <v>70</v>
      </c>
      <c r="G23" s="46" t="s">
        <v>71</v>
      </c>
      <c r="H23" s="48" t="s">
        <v>118</v>
      </c>
      <c r="I23" s="48" t="s">
        <v>119</v>
      </c>
      <c r="J23" s="67" t="str" cm="1">
        <f t="array" ref="J23">_xlfn.LET(_xlpm.cls,A23, _xlpm.ord,IFERROR(B23,"#N/C"), _xlpm.subord,IFERROR(C23,"#N/C"), _xlpm.infr,IFERROR(D23,"#N/C"), _xlpm.sf,IFERROR(E23,"#N/C"), _xlpm.fam,IFERROR(F23,"#N/C"), _xlpm.subfam,IF(TRIM(G23)="-","#N/C",IFERROR(G23,"#N/C")),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_xlpm.fallback,IF(IFERROR(B23,"#N/C")="#N/C",A23,IF(IFERROR(C23,"#N/C")="#N/C",B23,IF(IFERROR(D23,"#N/C")="#N/C",C23,IF(IFERROR(E23,"#N/C")="#N/C",D23,IF(IFERROR(F23,"#N/C")="#N/C",E23,IF(IFERROR(G23,"#N/C")="#N/C",F23,"#N/C")))))), _xlpm.finalResult,IF(OR(_xlpm.computedResult="",_xlpm.computedResult="#N/C"),_xlpm.fallback,_xlpm.computedResult), INDEX(_xlpm.finalResult,1))</f>
        <v>ladybug</v>
      </c>
      <c r="K23" s="45" t="str">
        <f t="shared" si="0"/>
        <v>Insecta.Coleoptera.Polyphaga.Cucujiformia.Coccinelloidea.Coccinellidae.Coccinellinae.Psyllobora.vigintiduopunctata</v>
      </c>
      <c r="L23" s="44">
        <f>+COUNTIF([1]Monitoring!AN:AN,K23)</f>
        <v>0</v>
      </c>
    </row>
    <row r="24" spans="1:12" x14ac:dyDescent="0.3">
      <c r="A24" s="47" t="s">
        <v>28</v>
      </c>
      <c r="B24" s="47" t="s">
        <v>67</v>
      </c>
      <c r="C24" s="47" t="s">
        <v>68</v>
      </c>
      <c r="D24" s="47" t="str">
        <f>+IFERROR(IF(E24="#N/C","#N/C",INDEX([1]ClassificationClasses!D:D,MATCH(E24,[1]ClassificationClasses!E:E,0))),"ERROR")</f>
        <v>Cucujiformia</v>
      </c>
      <c r="E24" s="47" t="s">
        <v>419</v>
      </c>
      <c r="F24" s="47" t="s">
        <v>420</v>
      </c>
      <c r="G24" s="47" t="s">
        <v>472</v>
      </c>
      <c r="H24" s="49" t="s">
        <v>474</v>
      </c>
      <c r="I24" s="49" t="s">
        <v>521</v>
      </c>
      <c r="J24" s="67" t="str" cm="1">
        <f t="array" ref="J24">_xlfn.LET(_xlpm.cls,A24, _xlpm.ord,IFERROR(B24,"#N/C"), _xlpm.subord,IFERROR(C24,"#N/C"), _xlpm.infr,IFERROR(D24,"#N/C"), _xlpm.sf,IFERROR(E24,"#N/C"), _xlpm.fam,IFERROR(F24,"#N/C"), _xlpm.subfam,IF(TRIM(G24)="-","#N/C",IFERROR(G24,"#N/C")),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_xlpm.fallback,IF(IFERROR(B24,"#N/C")="#N/C",A24,IF(IFERROR(C24,"#N/C")="#N/C",B24,IF(IFERROR(D24,"#N/C")="#N/C",C24,IF(IFERROR(E24,"#N/C")="#N/C",D24,IF(IFERROR(F24,"#N/C")="#N/C",E24,IF(IFERROR(G24,"#N/C")="#N/C",F24,"#N/C")))))), _xlpm.finalResult,IF(OR(_xlpm.computedResult="",_xlpm.computedResult="#N/C"),_xlpm.fallback,_xlpm.computedResult), INDEX(_xlpm.finalResult,1))</f>
        <v>weevil</v>
      </c>
      <c r="K24" s="45" t="str">
        <f t="shared" si="0"/>
        <v>Insecta.Coleoptera.Polyphaga.Cucujiformia.Curculionoidea.Curculionidae.Brentidae.Apion.frumentarium</v>
      </c>
      <c r="L24" s="44">
        <f>+COUNTIF([1]Monitoring!AN:AN,K24)</f>
        <v>0</v>
      </c>
    </row>
    <row r="25" spans="1:12" x14ac:dyDescent="0.3">
      <c r="A25" s="46" t="s">
        <v>28</v>
      </c>
      <c r="B25" s="46" t="s">
        <v>67</v>
      </c>
      <c r="C25" s="46" t="s">
        <v>68</v>
      </c>
      <c r="D25" s="47" t="str">
        <f>+IFERROR(IF(E25="#N/C","#N/C",INDEX([1]ClassificationClasses!D:D,MATCH(E25,[1]ClassificationClasses!E:E,0))),"ERROR")</f>
        <v>Cucujiformia</v>
      </c>
      <c r="E25" s="46" t="s">
        <v>419</v>
      </c>
      <c r="F25" s="46" t="s">
        <v>420</v>
      </c>
      <c r="G25" s="46" t="s">
        <v>421</v>
      </c>
      <c r="H25" s="48" t="s">
        <v>733</v>
      </c>
      <c r="I25" s="48" t="s">
        <v>26</v>
      </c>
      <c r="J25" s="67" t="str" cm="1">
        <f t="array" ref="J25">_xlfn.LET(_xlpm.cls,A25, _xlpm.ord,IFERROR(B25,"#N/C"), _xlpm.subord,IFERROR(C25,"#N/C"), _xlpm.infr,IFERROR(D25,"#N/C"), _xlpm.sf,IFERROR(E25,"#N/C"), _xlpm.fam,IFERROR(F25,"#N/C"), _xlpm.subfam,IF(TRIM(G25)="-","#N/C",IFERROR(G25,"#N/C")),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_xlpm.fallback,IF(IFERROR(B25,"#N/C")="#N/C",A25,IF(IFERROR(C25,"#N/C")="#N/C",B25,IF(IFERROR(D25,"#N/C")="#N/C",C25,IF(IFERROR(E25,"#N/C")="#N/C",D25,IF(IFERROR(F25,"#N/C")="#N/C",E25,IF(IFERROR(G25,"#N/C")="#N/C",F25,"#N/C")))))), _xlpm.finalResult,IF(OR(_xlpm.computedResult="",_xlpm.computedResult="#N/C"),_xlpm.fallback,_xlpm.computedResult), INDEX(_xlpm.finalResult,1))</f>
        <v>weevil</v>
      </c>
      <c r="K25" s="45" t="str">
        <f t="shared" si="0"/>
        <v>Insecta.Coleoptera.Polyphaga.Cucujiformia.Curculionoidea.Curculionidae.Entiminae.Polydrusus.#N/C</v>
      </c>
      <c r="L25" s="44">
        <f>+COUNTIF([1]Monitoring!AN:AN,K25)</f>
        <v>1</v>
      </c>
    </row>
    <row r="26" spans="1:12" x14ac:dyDescent="0.3">
      <c r="A26" s="47" t="s">
        <v>28</v>
      </c>
      <c r="B26" s="47" t="s">
        <v>67</v>
      </c>
      <c r="C26" s="47" t="s">
        <v>68</v>
      </c>
      <c r="D26" s="47" t="str">
        <f>+IFERROR(IF(E26="#N/C","#N/C",INDEX([1]ClassificationClasses!D:D,MATCH(E26,[1]ClassificationClasses!E:E,0))),"ERROR")</f>
        <v>Cucujiformia</v>
      </c>
      <c r="E26" s="47" t="s">
        <v>419</v>
      </c>
      <c r="F26" s="47" t="s">
        <v>420</v>
      </c>
      <c r="G26" s="47" t="s">
        <v>421</v>
      </c>
      <c r="H26" s="49" t="s">
        <v>422</v>
      </c>
      <c r="I26" s="49" t="s">
        <v>26</v>
      </c>
      <c r="J26" s="67" t="str" cm="1">
        <f t="array" ref="J26">_xlfn.LET(_xlpm.cls,A26, _xlpm.ord,IFERROR(B26,"#N/C"), _xlpm.subord,IFERROR(C26,"#N/C"), _xlpm.infr,IFERROR(D26,"#N/C"), _xlpm.sf,IFERROR(E26,"#N/C"), _xlpm.fam,IFERROR(F26,"#N/C"), _xlpm.subfam,IF(TRIM(G26)="-","#N/C",IFERROR(G26,"#N/C")),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_xlpm.fallback,IF(IFERROR(B26,"#N/C")="#N/C",A26,IF(IFERROR(C26,"#N/C")="#N/C",B26,IF(IFERROR(D26,"#N/C")="#N/C",C26,IF(IFERROR(E26,"#N/C")="#N/C",D26,IF(IFERROR(F26,"#N/C")="#N/C",E26,IF(IFERROR(G26,"#N/C")="#N/C",F26,"#N/C")))))), _xlpm.finalResult,IF(OR(_xlpm.computedResult="",_xlpm.computedResult="#N/C"),_xlpm.fallback,_xlpm.computedResult), INDEX(_xlpm.finalResult,1))</f>
        <v>weevil</v>
      </c>
      <c r="K26" s="45" t="str">
        <f t="shared" si="0"/>
        <v>Insecta.Coleoptera.Polyphaga.Cucujiformia.Curculionoidea.Curculionidae.Entiminae.Sitona.#N/C</v>
      </c>
      <c r="L26" s="44">
        <f>+COUNTIF([1]Monitoring!AN:AN,K26)</f>
        <v>1</v>
      </c>
    </row>
    <row r="27" spans="1:12" x14ac:dyDescent="0.3">
      <c r="A27" s="47" t="s">
        <v>28</v>
      </c>
      <c r="B27" s="47" t="s">
        <v>67</v>
      </c>
      <c r="C27" s="47" t="s">
        <v>68</v>
      </c>
      <c r="D27" s="47" t="str">
        <f>+IFERROR(IF(E27="#N/C","#N/C",INDEX([1]ClassificationClasses!D:D,MATCH(E27,[1]ClassificationClasses!E:E,0))),"ERROR")</f>
        <v>Cucujiformia</v>
      </c>
      <c r="E27" s="47" t="s">
        <v>419</v>
      </c>
      <c r="F27" s="47" t="s">
        <v>420</v>
      </c>
      <c r="G27" s="47" t="s">
        <v>421</v>
      </c>
      <c r="H27" s="103" t="s">
        <v>422</v>
      </c>
      <c r="I27" s="49" t="s">
        <v>423</v>
      </c>
      <c r="J27" s="67" t="str" cm="1">
        <f t="array" ref="J27">_xlfn.LET(_xlpm.cls,A27, _xlpm.ord,IFERROR(B27,"#N/C"), _xlpm.subord,IFERROR(C27,"#N/C"), _xlpm.infr,IFERROR(D27,"#N/C"), _xlpm.sf,IFERROR(E27,"#N/C"), _xlpm.fam,IFERROR(F27,"#N/C"), _xlpm.subfam,IF(TRIM(G27)="-","#N/C",IFERROR(G27,"#N/C")),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_xlpm.fallback,IF(IFERROR(B27,"#N/C")="#N/C",A27,IF(IFERROR(C27,"#N/C")="#N/C",B27,IF(IFERROR(D27,"#N/C")="#N/C",C27,IF(IFERROR(E27,"#N/C")="#N/C",D27,IF(IFERROR(F27,"#N/C")="#N/C",E27,IF(IFERROR(G27,"#N/C")="#N/C",F27,"#N/C")))))), _xlpm.finalResult,IF(OR(_xlpm.computedResult="",_xlpm.computedResult="#N/C"),_xlpm.fallback,_xlpm.computedResult), INDEX(_xlpm.finalResult,1))</f>
        <v>weevil</v>
      </c>
      <c r="K27" s="45" t="str">
        <f t="shared" si="0"/>
        <v>Insecta.Coleoptera.Polyphaga.Cucujiformia.Curculionoidea.Curculionidae.Entiminae.Sitona.lineatus</v>
      </c>
      <c r="L27" s="44">
        <f>+COUNTIF([1]Monitoring!AN:AN,K27)</f>
        <v>0</v>
      </c>
    </row>
    <row r="28" spans="1:12" x14ac:dyDescent="0.3">
      <c r="A28" s="47" t="s">
        <v>28</v>
      </c>
      <c r="B28" s="47" t="s">
        <v>67</v>
      </c>
      <c r="C28" s="47" t="s">
        <v>68</v>
      </c>
      <c r="D28" s="47" t="str">
        <f>+IFERROR(IF(E28="#N/C","#N/C",INDEX([1]ClassificationClasses!D:D,MATCH(E28,[1]ClassificationClasses!E:E,0))),"ERROR")</f>
        <v>Cucujiformia</v>
      </c>
      <c r="E28" s="47" t="s">
        <v>419</v>
      </c>
      <c r="F28" s="47" t="s">
        <v>420</v>
      </c>
      <c r="G28" s="47" t="s">
        <v>421</v>
      </c>
      <c r="H28" s="49" t="s">
        <v>590</v>
      </c>
      <c r="I28" s="49" t="s">
        <v>26</v>
      </c>
      <c r="J28" s="67" t="str" cm="1">
        <f t="array" ref="J28">_xlfn.LET(_xlpm.cls,A28, _xlpm.ord,IFERROR(B28,"#N/C"), _xlpm.subord,IFERROR(C28,"#N/C"), _xlpm.infr,IFERROR(D28,"#N/C"), _xlpm.sf,IFERROR(E28,"#N/C"), _xlpm.fam,IFERROR(F28,"#N/C"), _xlpm.subfam,IF(TRIM(G28)="-","#N/C",IFERROR(G28,"#N/C")),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_xlpm.fallback,IF(IFERROR(B28,"#N/C")="#N/C",A28,IF(IFERROR(C28,"#N/C")="#N/C",B28,IF(IFERROR(D28,"#N/C")="#N/C",C28,IF(IFERROR(E28,"#N/C")="#N/C",D28,IF(IFERROR(F28,"#N/C")="#N/C",E28,IF(IFERROR(G28,"#N/C")="#N/C",F28,"#N/C")))))), _xlpm.finalResult,IF(OR(_xlpm.computedResult="",_xlpm.computedResult="#N/C"),_xlpm.fallback,_xlpm.computedResult), INDEX(_xlpm.finalResult,1))</f>
        <v>weevil</v>
      </c>
      <c r="K28" s="45" t="str">
        <f t="shared" si="0"/>
        <v>Insecta.Coleoptera.Polyphaga.Cucujiformia.Curculionoidea.Curculionidae.Entiminae.Strophosoma.#N/C</v>
      </c>
      <c r="L28" s="44">
        <f>+COUNTIF([1]Monitoring!AN:AN,K28)</f>
        <v>0</v>
      </c>
    </row>
    <row r="29" spans="1:12" x14ac:dyDescent="0.3">
      <c r="A29" s="46" t="s">
        <v>28</v>
      </c>
      <c r="B29" s="46" t="s">
        <v>67</v>
      </c>
      <c r="C29" s="46" t="s">
        <v>68</v>
      </c>
      <c r="D29" s="47" t="str">
        <f>+IFERROR(IF(E29="#N/C","#N/C",INDEX([1]ClassificationClasses!D:D,MATCH(E29,[1]ClassificationClasses!E:E,0))),"ERROR")</f>
        <v>Cucujiformia</v>
      </c>
      <c r="E29" s="46" t="s">
        <v>419</v>
      </c>
      <c r="F29" s="46" t="s">
        <v>420</v>
      </c>
      <c r="G29" s="46" t="s">
        <v>421</v>
      </c>
      <c r="H29" s="48" t="s">
        <v>590</v>
      </c>
      <c r="I29" s="48" t="s">
        <v>591</v>
      </c>
      <c r="J29" s="67" t="str" cm="1">
        <f t="array" ref="J29">_xlfn.LET(_xlpm.cls,A29, _xlpm.ord,IFERROR(B29,"#N/C"), _xlpm.subord,IFERROR(C29,"#N/C"), _xlpm.infr,IFERROR(D29,"#N/C"), _xlpm.sf,IFERROR(E29,"#N/C"), _xlpm.fam,IFERROR(F29,"#N/C"), _xlpm.subfam,IF(TRIM(G29)="-","#N/C",IFERROR(G29,"#N/C")),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_xlpm.fallback,IF(IFERROR(B29,"#N/C")="#N/C",A29,IF(IFERROR(C29,"#N/C")="#N/C",B29,IF(IFERROR(D29,"#N/C")="#N/C",C29,IF(IFERROR(E29,"#N/C")="#N/C",D29,IF(IFERROR(F29,"#N/C")="#N/C",E29,IF(IFERROR(G29,"#N/C")="#N/C",F29,"#N/C")))))), _xlpm.finalResult,IF(OR(_xlpm.computedResult="",_xlpm.computedResult="#N/C"),_xlpm.fallback,_xlpm.computedResult), INDEX(_xlpm.finalResult,1))</f>
        <v>weevil</v>
      </c>
      <c r="K29" s="45" t="str">
        <f t="shared" si="0"/>
        <v>Insecta.Coleoptera.Polyphaga.Cucujiformia.Curculionoidea.Curculionidae.Entiminae.Strophosoma.melanogrammum</v>
      </c>
      <c r="L29" s="44">
        <f>+COUNTIF([1]Monitoring!AN:AN,K29)</f>
        <v>0</v>
      </c>
    </row>
    <row r="30" spans="1:12" x14ac:dyDescent="0.3">
      <c r="A30" s="47" t="s">
        <v>28</v>
      </c>
      <c r="B30" s="47" t="s">
        <v>67</v>
      </c>
      <c r="C30" s="47" t="s">
        <v>68</v>
      </c>
      <c r="D30" s="47" t="str">
        <f>+IFERROR(IF(E30="#N/C","#N/C",INDEX([1]ClassificationClasses!D:D,MATCH(E30,[1]ClassificationClasses!E:E,0))),"ERROR")</f>
        <v>Cucujiformia</v>
      </c>
      <c r="E30" s="47" t="s">
        <v>134</v>
      </c>
      <c r="F30" s="47" t="s">
        <v>241</v>
      </c>
      <c r="G30" s="47" t="s">
        <v>242</v>
      </c>
      <c r="H30" s="49" t="s">
        <v>243</v>
      </c>
      <c r="I30" s="49" t="s">
        <v>244</v>
      </c>
      <c r="J30" s="67" t="str" cm="1">
        <f t="array" ref="J30">_xlfn.LET(_xlpm.cls,A30, _xlpm.ord,IFERROR(B30,"#N/C"), _xlpm.subord,IFERROR(C30,"#N/C"), _xlpm.infr,IFERROR(D30,"#N/C"), _xlpm.sf,IFERROR(E30,"#N/C"), _xlpm.fam,IFERROR(F30,"#N/C"), _xlpm.subfam,IF(TRIM(G30)="-","#N/C",IFERROR(G30,"#N/C")),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_xlpm.fallback,IF(IFERROR(B30,"#N/C")="#N/C",A30,IF(IFERROR(C30,"#N/C")="#N/C",B30,IF(IFERROR(D30,"#N/C")="#N/C",C30,IF(IFERROR(E30,"#N/C")="#N/C",D30,IF(IFERROR(F30,"#N/C")="#N/C",E30,IF(IFERROR(G30,"#N/C")="#N/C",F30,"#N/C")))))), _xlpm.finalResult,IF(OR(_xlpm.computedResult="",_xlpm.computedResult="#N/C"),_xlpm.fallback,_xlpm.computedResult), INDEX(_xlpm.finalResult,1))</f>
        <v>ant_beetle</v>
      </c>
      <c r="K30" s="45" t="str">
        <f t="shared" si="0"/>
        <v>Insecta.Coleoptera.Polyphaga.Cucujiformia.Tenebrionoidea.Anthicidae.Anthicinae.Notoxus.monoceros</v>
      </c>
      <c r="L30" s="44">
        <f>+COUNTIF([1]Monitoring!AN:AN,K30)</f>
        <v>0</v>
      </c>
    </row>
    <row r="31" spans="1:12" x14ac:dyDescent="0.3">
      <c r="A31" s="46" t="s">
        <v>28</v>
      </c>
      <c r="B31" s="46" t="s">
        <v>67</v>
      </c>
      <c r="C31" s="46" t="s">
        <v>68</v>
      </c>
      <c r="D31" s="47" t="str">
        <f>+IFERROR(IF(E31="#N/C","#N/C",INDEX([1]ClassificationClasses!D:D,MATCH(E31,[1]ClassificationClasses!E:E,0))),"ERROR")</f>
        <v>Cucujiformia</v>
      </c>
      <c r="E31" s="46" t="s">
        <v>134</v>
      </c>
      <c r="F31" s="46" t="s">
        <v>241</v>
      </c>
      <c r="G31" s="46" t="s">
        <v>331</v>
      </c>
      <c r="H31" s="48" t="s">
        <v>243</v>
      </c>
      <c r="I31" s="48" t="s">
        <v>244</v>
      </c>
      <c r="J31" s="67" t="str" cm="1">
        <f t="array" ref="J31">_xlfn.LET(_xlpm.cls,A31, _xlpm.ord,IFERROR(B31,"#N/C"), _xlpm.subord,IFERROR(C31,"#N/C"), _xlpm.infr,IFERROR(D31,"#N/C"), _xlpm.sf,IFERROR(E31,"#N/C"), _xlpm.fam,IFERROR(F31,"#N/C"), _xlpm.subfam,IF(TRIM(G31)="-","#N/C",IFERROR(G31,"#N/C")),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_xlpm.fallback,IF(IFERROR(B31,"#N/C")="#N/C",A31,IF(IFERROR(C31,"#N/C")="#N/C",B31,IF(IFERROR(D31,"#N/C")="#N/C",C31,IF(IFERROR(E31,"#N/C")="#N/C",D31,IF(IFERROR(F31,"#N/C")="#N/C",E31,IF(IFERROR(G31,"#N/C")="#N/C",F31,"#N/C")))))), _xlpm.finalResult,IF(OR(_xlpm.computedResult="",_xlpm.computedResult="#N/C"),_xlpm.fallback,_xlpm.computedResult), INDEX(_xlpm.finalResult,1))</f>
        <v>ant_beetle</v>
      </c>
      <c r="K31" s="45" t="str">
        <f t="shared" si="0"/>
        <v>Insecta.Coleoptera.Polyphaga.Cucujiformia.Tenebrionoidea.Anthicidae.Notoxinae.Notoxus.monoceros</v>
      </c>
      <c r="L31" s="44">
        <f>+COUNTIF([1]Monitoring!AN:AN,K31)</f>
        <v>0</v>
      </c>
    </row>
    <row r="32" spans="1:12" x14ac:dyDescent="0.3">
      <c r="A32" s="47" t="s">
        <v>28</v>
      </c>
      <c r="B32" s="47" t="s">
        <v>67</v>
      </c>
      <c r="C32" s="47" t="s">
        <v>68</v>
      </c>
      <c r="D32" s="47" t="str">
        <f>+IFERROR(IF(E32="#N/C","#N/C",INDEX([1]ClassificationClasses!D:D,MATCH(E32,[1]ClassificationClasses!E:E,0))),"ERROR")</f>
        <v>Cucujiformia</v>
      </c>
      <c r="E32" s="47" t="s">
        <v>134</v>
      </c>
      <c r="F32" s="47" t="s">
        <v>135</v>
      </c>
      <c r="G32" s="47" t="s">
        <v>136</v>
      </c>
      <c r="H32" s="49" t="s">
        <v>137</v>
      </c>
      <c r="I32" s="49" t="s">
        <v>26</v>
      </c>
      <c r="J32" s="67" t="str" cm="1">
        <f t="array" ref="J32">_xlfn.LET(_xlpm.cls,A32, _xlpm.ord,IFERROR(B32,"#N/C"), _xlpm.subord,IFERROR(C32,"#N/C"), _xlpm.infr,IFERROR(D32,"#N/C"), _xlpm.sf,IFERROR(E32,"#N/C"), _xlpm.fam,IFERROR(F32,"#N/C"), _xlpm.subfam,IF(TRIM(G32)="-","#N/C",IFERROR(G32,"#N/C")),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_xlpm.fallback,IF(IFERROR(B32,"#N/C")="#N/C",A32,IF(IFERROR(C32,"#N/C")="#N/C",B32,IF(IFERROR(D32,"#N/C")="#N/C",C32,IF(IFERROR(E32,"#N/C")="#N/C",D32,IF(IFERROR(F32,"#N/C")="#N/C",E32,IF(IFERROR(G32,"#N/C")="#N/C",F32,"#N/C")))))), _xlpm.finalResult,IF(OR(_xlpm.computedResult="",_xlpm.computedResult="#N/C"),_xlpm.fallback,_xlpm.computedResult), INDEX(_xlpm.finalResult,1))</f>
        <v>pollen_feeding_beetle</v>
      </c>
      <c r="K32" s="45" t="str">
        <f t="shared" si="0"/>
        <v>Insecta.Coleoptera.Polyphaga.Cucujiformia.Tenebrionoidea.Oedemeridae.Nacerdinae.Chrysanthia.#N/C</v>
      </c>
      <c r="L32" s="44">
        <f>+COUNTIF([1]Monitoring!AN:AN,K32)</f>
        <v>0</v>
      </c>
    </row>
    <row r="33" spans="1:12" x14ac:dyDescent="0.3">
      <c r="A33" s="47" t="s">
        <v>28</v>
      </c>
      <c r="B33" s="47" t="s">
        <v>196</v>
      </c>
      <c r="C33" s="47" t="s">
        <v>197</v>
      </c>
      <c r="D33" s="47"/>
      <c r="E33" s="47" t="s">
        <v>198</v>
      </c>
      <c r="F33" s="47" t="s">
        <v>199</v>
      </c>
      <c r="G33" s="47" t="s">
        <v>200</v>
      </c>
      <c r="H33" s="49" t="s">
        <v>26</v>
      </c>
      <c r="I33" s="49" t="s">
        <v>26</v>
      </c>
      <c r="J33" s="67" t="str" cm="1">
        <f t="array" ref="J33">_xlfn.LET(_xlpm.cls,A33, _xlpm.ord,IFERROR(B33,"#N/C"), _xlpm.subord,IFERROR(C33,"#N/C"), _xlpm.infr,IFERROR(D33,"#N/C"), _xlpm.sf,IFERROR(E33,"#N/C"), _xlpm.fam,IFERROR(F33,"#N/C"), _xlpm.subfam,IF(TRIM(G33)="-","#N/C",IFERROR(G33,"#N/C")),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_xlpm.fallback,IF(IFERROR(B33,"#N/C")="#N/C",A33,IF(IFERROR(C33,"#N/C")="#N/C",B33,IF(IFERROR(D33,"#N/C")="#N/C",C33,IF(IFERROR(E33,"#N/C")="#N/C",D33,IF(IFERROR(F33,"#N/C")="#N/C",E33,IF(IFERROR(G33,"#N/C")="#N/C",F33,"#N/C")))))), _xlpm.finalResult,IF(OR(_xlpm.computedResult="",_xlpm.computedResult="#N/C"),_xlpm.fallback,_xlpm.computedResult), INDEX(_xlpm.finalResult,1))</f>
        <v>earwig</v>
      </c>
      <c r="K33" s="45" t="str">
        <f t="shared" si="0"/>
        <v>Insecta.Dermaptera.Forficulina..Forficuloidea.Forficulidae.Forficulinae.#N/C.#N/C</v>
      </c>
      <c r="L33" s="44">
        <f>+COUNTIF([1]Monitoring!AN:AN,K33)</f>
        <v>0</v>
      </c>
    </row>
    <row r="34" spans="1:12" x14ac:dyDescent="0.3">
      <c r="A34" s="46" t="s">
        <v>28</v>
      </c>
      <c r="B34" s="46" t="s">
        <v>196</v>
      </c>
      <c r="C34" s="46" t="s">
        <v>197</v>
      </c>
      <c r="D34" s="47"/>
      <c r="E34" s="46" t="s">
        <v>198</v>
      </c>
      <c r="F34" s="46" t="s">
        <v>199</v>
      </c>
      <c r="G34" s="46" t="s">
        <v>200</v>
      </c>
      <c r="H34" s="48" t="s">
        <v>734</v>
      </c>
      <c r="I34" s="48" t="s">
        <v>26</v>
      </c>
      <c r="J34" s="67" t="str" cm="1">
        <f t="array" ref="J34">_xlfn.LET(_xlpm.cls,A34, _xlpm.ord,IFERROR(B34,"#N/C"), _xlpm.subord,IFERROR(C34,"#N/C"), _xlpm.infr,IFERROR(D34,"#N/C"), _xlpm.sf,IFERROR(E34,"#N/C"), _xlpm.fam,IFERROR(F34,"#N/C"), _xlpm.subfam,IF(TRIM(G34)="-","#N/C",IFERROR(G34,"#N/C")),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_xlpm.fallback,IF(IFERROR(B34,"#N/C")="#N/C",A34,IF(IFERROR(C34,"#N/C")="#N/C",B34,IF(IFERROR(D34,"#N/C")="#N/C",C34,IF(IFERROR(E34,"#N/C")="#N/C",D34,IF(IFERROR(F34,"#N/C")="#N/C",E34,IF(IFERROR(G34,"#N/C")="#N/C",F34,"#N/C")))))), _xlpm.finalResult,IF(OR(_xlpm.computedResult="",_xlpm.computedResult="#N/C"),_xlpm.fallback,_xlpm.computedResult), INDEX(_xlpm.finalResult,1))</f>
        <v>earwig</v>
      </c>
      <c r="K34" s="45" t="str">
        <f t="shared" si="0"/>
        <v>Insecta.Dermaptera.Forficulina..Forficuloidea.Forficulidae.Forficulinae.Forficula.#N/C</v>
      </c>
      <c r="L34" s="44">
        <f>+COUNTIF([1]Monitoring!AN:AN,K34)</f>
        <v>0</v>
      </c>
    </row>
    <row r="35" spans="1:12" x14ac:dyDescent="0.3">
      <c r="A35" s="47" t="s">
        <v>28</v>
      </c>
      <c r="B35" s="47" t="s">
        <v>29</v>
      </c>
      <c r="C35" s="47" t="s">
        <v>26</v>
      </c>
      <c r="D35" s="47" t="str">
        <f>+IFERROR(IF(E35="#N/C","#N/C",INDEX([1]ClassificationClasses!D:D,MATCH(E35,[1]ClassificationClasses!E:E,0))),"ERROR")</f>
        <v>#N/C</v>
      </c>
      <c r="E35" s="47" t="s">
        <v>26</v>
      </c>
      <c r="F35" s="47" t="s">
        <v>26</v>
      </c>
      <c r="G35" s="47" t="s">
        <v>26</v>
      </c>
      <c r="H35" s="49" t="s">
        <v>26</v>
      </c>
      <c r="I35" s="49" t="s">
        <v>26</v>
      </c>
      <c r="J35" s="67" t="str" cm="1">
        <f t="array" ref="J35">_xlfn.LET(_xlpm.cls,A35, _xlpm.ord,IFERROR(B35,"#N/C"), _xlpm.subord,IFERROR(C35,"#N/C"), _xlpm.infr,IFERROR(D35,"#N/C"), _xlpm.sf,IFERROR(E35,"#N/C"), _xlpm.fam,IFERROR(F35,"#N/C"), _xlpm.subfam,IF(TRIM(G35)="-","#N/C",IFERROR(G35,"#N/C")),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_xlpm.fallback,IF(IFERROR(B35,"#N/C")="#N/C",A35,IF(IFERROR(C35,"#N/C")="#N/C",B35,IF(IFERROR(D35,"#N/C")="#N/C",C35,IF(IFERROR(E35,"#N/C")="#N/C",D35,IF(IFERROR(F35,"#N/C")="#N/C",E35,IF(IFERROR(G35,"#N/C")="#N/C",F35,"#N/C")))))), _xlpm.finalResult,IF(OR(_xlpm.computedResult="",_xlpm.computedResult="#N/C"),_xlpm.fallback,_xlpm.computedResult), INDEX(_xlpm.finalResult,1))</f>
        <v>Diptera</v>
      </c>
      <c r="K35" s="45" t="str">
        <f t="shared" si="0"/>
        <v>Insecta.Diptera.#N/C.#N/C.#N/C.#N/C.#N/C.#N/C.#N/C</v>
      </c>
      <c r="L35" s="44">
        <f>+COUNTIF([1]Monitoring!AN:AN,K35)</f>
        <v>4</v>
      </c>
    </row>
    <row r="36" spans="1:12" x14ac:dyDescent="0.3">
      <c r="A36" s="46" t="s">
        <v>28</v>
      </c>
      <c r="B36" s="46" t="s">
        <v>29</v>
      </c>
      <c r="C36" s="46" t="s">
        <v>30</v>
      </c>
      <c r="D36" s="47" t="str">
        <f>+IFERROR(IF(E36="#N/C","#N/C",INDEX([1]ClassificationClasses!D:D,MATCH(E36,[1]ClassificationClasses!E:E,0))),"ERROR")</f>
        <v>#N/C</v>
      </c>
      <c r="E36" s="46" t="s">
        <v>26</v>
      </c>
      <c r="F36" s="46" t="s">
        <v>26</v>
      </c>
      <c r="G36" s="46" t="s">
        <v>26</v>
      </c>
      <c r="H36" s="48" t="s">
        <v>26</v>
      </c>
      <c r="I36" s="48" t="s">
        <v>26</v>
      </c>
      <c r="J36" s="67" t="str" cm="1">
        <f t="array" ref="J36">_xlfn.LET(_xlpm.cls,A36, _xlpm.ord,IFERROR(B36,"#N/C"), _xlpm.subord,IFERROR(C36,"#N/C"), _xlpm.infr,IFERROR(D36,"#N/C"), _xlpm.sf,IFERROR(E36,"#N/C"), _xlpm.fam,IFERROR(F36,"#N/C"), _xlpm.subfam,IF(TRIM(G36)="-","#N/C",IFERROR(G36,"#N/C")),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_xlpm.fallback,IF(IFERROR(B36,"#N/C")="#N/C",A36,IF(IFERROR(C36,"#N/C")="#N/C",B36,IF(IFERROR(D36,"#N/C")="#N/C",C36,IF(IFERROR(E36,"#N/C")="#N/C",D36,IF(IFERROR(F36,"#N/C")="#N/C",E36,IF(IFERROR(G36,"#N/C")="#N/C",F36,"#N/C")))))), _xlpm.finalResult,IF(OR(_xlpm.computedResult="",_xlpm.computedResult="#N/C"),_xlpm.fallback,_xlpm.computedResult), INDEX(_xlpm.finalResult,1))</f>
        <v>Brachycera</v>
      </c>
      <c r="K36" s="45" t="str">
        <f t="shared" si="0"/>
        <v>Insecta.Diptera.Brachycera.#N/C.#N/C.#N/C.#N/C.#N/C.#N/C</v>
      </c>
      <c r="L36" s="44">
        <f>+COUNTIF([1]Monitoring!AN:AN,K36)</f>
        <v>329</v>
      </c>
    </row>
    <row r="37" spans="1:12" x14ac:dyDescent="0.3">
      <c r="A37" s="47" t="s">
        <v>28</v>
      </c>
      <c r="B37" s="47" t="s">
        <v>29</v>
      </c>
      <c r="C37" s="47" t="s">
        <v>30</v>
      </c>
      <c r="D37" s="47" t="str">
        <f>+IFERROR(IF(E37="#N/C","#N/C",INDEX([1]ClassificationClasses!D:D,MATCH(E37,[1]ClassificationClasses!E:E,0))),"ERROR")</f>
        <v>Asilomorpha</v>
      </c>
      <c r="E37" s="47" t="s">
        <v>140</v>
      </c>
      <c r="F37" s="47" t="s">
        <v>141</v>
      </c>
      <c r="G37" s="47" t="s">
        <v>142</v>
      </c>
      <c r="H37" s="49" t="s">
        <v>26</v>
      </c>
      <c r="I37" s="49" t="s">
        <v>26</v>
      </c>
      <c r="J37" s="67" t="str" cm="1">
        <f t="array" ref="J37">_xlfn.LET(_xlpm.cls,A37, _xlpm.ord,IFERROR(B37,"#N/C"), _xlpm.subord,IFERROR(C37,"#N/C"), _xlpm.infr,IFERROR(D37,"#N/C"), _xlpm.sf,IFERROR(E37,"#N/C"), _xlpm.fam,IFERROR(F37,"#N/C"), _xlpm.subfam,IF(TRIM(G37)="-","#N/C",IFERROR(G37,"#N/C")),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_xlpm.fallback,IF(IFERROR(B37,"#N/C")="#N/C",A37,IF(IFERROR(C37,"#N/C")="#N/C",B37,IF(IFERROR(D37,"#N/C")="#N/C",C37,IF(IFERROR(E37,"#N/C")="#N/C",D37,IF(IFERROR(F37,"#N/C")="#N/C",E37,IF(IFERROR(G37,"#N/C")="#N/C",F37,"#N/C")))))), _xlpm.finalResult,IF(OR(_xlpm.computedResult="",_xlpm.computedResult="#N/C"),_xlpm.fallback,_xlpm.computedResult), INDEX(_xlpm.finalResult,1))</f>
        <v>robber_fly</v>
      </c>
      <c r="K37" s="45" t="str">
        <f t="shared" si="0"/>
        <v>Insecta.Diptera.Brachycera.Asilomorpha.Asiloidea.Asilidae.Asilinae.#N/C.#N/C</v>
      </c>
      <c r="L37" s="44">
        <f>+COUNTIF([1]Monitoring!AN:AN,K37)</f>
        <v>3</v>
      </c>
    </row>
    <row r="38" spans="1:12" x14ac:dyDescent="0.3">
      <c r="A38" s="47" t="s">
        <v>28</v>
      </c>
      <c r="B38" s="47" t="s">
        <v>29</v>
      </c>
      <c r="C38" s="47" t="s">
        <v>30</v>
      </c>
      <c r="D38" s="47" t="str">
        <f>+IFERROR(IF(E38="#N/C","#N/C",INDEX([1]ClassificationClasses!D:D,MATCH(E38,[1]ClassificationClasses!E:E,0))),"ERROR")</f>
        <v>Asilomorpha</v>
      </c>
      <c r="E38" s="47" t="s">
        <v>140</v>
      </c>
      <c r="F38" s="47" t="s">
        <v>141</v>
      </c>
      <c r="G38" s="47" t="s">
        <v>142</v>
      </c>
      <c r="H38" s="49" t="s">
        <v>25</v>
      </c>
      <c r="I38" s="49" t="s">
        <v>26</v>
      </c>
      <c r="J38" s="67" t="str" cm="1">
        <f t="array" ref="J38">_xlfn.LET(_xlpm.cls,A38, _xlpm.ord,IFERROR(B38,"#N/C"), _xlpm.subord,IFERROR(C38,"#N/C"), _xlpm.infr,IFERROR(D38,"#N/C"), _xlpm.sf,IFERROR(E38,"#N/C"), _xlpm.fam,IFERROR(F38,"#N/C"), _xlpm.subfam,IF(TRIM(G38)="-","#N/C",IFERROR(G38,"#N/C")),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_xlpm.fallback,IF(IFERROR(B38,"#N/C")="#N/C",A38,IF(IFERROR(C38,"#N/C")="#N/C",B38,IF(IFERROR(D38,"#N/C")="#N/C",C38,IF(IFERROR(E38,"#N/C")="#N/C",D38,IF(IFERROR(F38,"#N/C")="#N/C",E38,IF(IFERROR(G38,"#N/C")="#N/C",F38,"#N/C")))))), _xlpm.finalResult,IF(OR(_xlpm.computedResult="",_xlpm.computedResult="#N/C"),_xlpm.fallback,_xlpm.computedResult), INDEX(_xlpm.finalResult,1))</f>
        <v>robber_fly</v>
      </c>
      <c r="K38" s="45" t="str">
        <f t="shared" si="0"/>
        <v>Insecta.Diptera.Brachycera.Asilomorpha.Asiloidea.Asilidae.Asilinae.Tolmerus.#N/C</v>
      </c>
      <c r="L38" s="44">
        <f>+COUNTIF([1]Monitoring!AN:AN,K38)</f>
        <v>3</v>
      </c>
    </row>
    <row r="39" spans="1:12" x14ac:dyDescent="0.3">
      <c r="A39" s="46" t="s">
        <v>28</v>
      </c>
      <c r="B39" s="46" t="s">
        <v>29</v>
      </c>
      <c r="C39" s="46" t="s">
        <v>30</v>
      </c>
      <c r="D39" s="47" t="str">
        <f>+IFERROR(IF(E39="#N/C","#N/C",INDEX([1]ClassificationClasses!D:D,MATCH(E39,[1]ClassificationClasses!E:E,0))),"ERROR")</f>
        <v>Asilomorpha</v>
      </c>
      <c r="E39" s="46" t="s">
        <v>140</v>
      </c>
      <c r="F39" s="46" t="s">
        <v>141</v>
      </c>
      <c r="G39" s="46" t="s">
        <v>735</v>
      </c>
      <c r="H39" s="48" t="s">
        <v>26</v>
      </c>
      <c r="I39" s="48" t="s">
        <v>26</v>
      </c>
      <c r="J39" s="67" t="str" cm="1">
        <f t="array" ref="J39">_xlfn.LET(_xlpm.cls,A39, _xlpm.ord,IFERROR(B39,"#N/C"), _xlpm.subord,IFERROR(C39,"#N/C"), _xlpm.infr,IFERROR(D39,"#N/C"), _xlpm.sf,IFERROR(E39,"#N/C"), _xlpm.fam,IFERROR(F39,"#N/C"), _xlpm.subfam,IF(TRIM(G39)="-","#N/C",IFERROR(G39,"#N/C")),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_xlpm.fallback,IF(IFERROR(B39,"#N/C")="#N/C",A39,IF(IFERROR(C39,"#N/C")="#N/C",B39,IF(IFERROR(D39,"#N/C")="#N/C",C39,IF(IFERROR(E39,"#N/C")="#N/C",D39,IF(IFERROR(F39,"#N/C")="#N/C",E39,IF(IFERROR(G39,"#N/C")="#N/C",F39,"#N/C")))))), _xlpm.finalResult,IF(OR(_xlpm.computedResult="",_xlpm.computedResult="#N/C"),_xlpm.fallback,_xlpm.computedResult), INDEX(_xlpm.finalResult,1))</f>
        <v>robber_fly</v>
      </c>
      <c r="K39" s="45" t="str">
        <f t="shared" si="0"/>
        <v>Insecta.Diptera.Brachycera.Asilomorpha.Asiloidea.Asilidae.Laphriinae.#N/C.#N/C</v>
      </c>
      <c r="L39" s="44">
        <f>+COUNTIF([1]Monitoring!AN:AN,K39)</f>
        <v>1</v>
      </c>
    </row>
    <row r="40" spans="1:12" x14ac:dyDescent="0.3">
      <c r="A40" s="46" t="s">
        <v>28</v>
      </c>
      <c r="B40" s="46" t="s">
        <v>29</v>
      </c>
      <c r="C40" s="46" t="s">
        <v>30</v>
      </c>
      <c r="D40" s="47" t="str">
        <f>+IFERROR(IF(E40="#N/C","#N/C",INDEX([1]ClassificationClasses!D:D,MATCH(E40,[1]ClassificationClasses!E:E,0))),"ERROR")</f>
        <v>Muscomorpha</v>
      </c>
      <c r="E40" s="50" t="s">
        <v>736</v>
      </c>
      <c r="F40" s="46" t="s">
        <v>737</v>
      </c>
      <c r="G40" s="46" t="s">
        <v>738</v>
      </c>
      <c r="H40" s="48" t="s">
        <v>739</v>
      </c>
      <c r="I40" s="48" t="s">
        <v>26</v>
      </c>
      <c r="J40" s="67" t="str" cm="1">
        <f t="array" ref="J40">_xlfn.LET(_xlpm.cls,A40, _xlpm.ord,IFERROR(B40,"#N/C"), _xlpm.subord,IFERROR(C40,"#N/C"), _xlpm.infr,IFERROR(D40,"#N/C"), _xlpm.sf,IFERROR(E40,"#N/C"), _xlpm.fam,IFERROR(F40,"#N/C"), _xlpm.subfam,IF(TRIM(G40)="-","#N/C",IFERROR(G40,"#N/C")),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_xlpm.fallback,IF(IFERROR(B40,"#N/C")="#N/C",A40,IF(IFERROR(C40,"#N/C")="#N/C",B40,IF(IFERROR(D40,"#N/C")="#N/C",C40,IF(IFERROR(E40,"#N/C")="#N/C",D40,IF(IFERROR(F40,"#N/C")="#N/C",E40,IF(IFERROR(G40,"#N/C")="#N/C",F40,"#N/C")))))), _xlpm.finalResult,IF(OR(_xlpm.computedResult="",_xlpm.computedResult="#N/C"),_xlpm.fallback,_xlpm.computedResult), INDEX(_xlpm.finalResult,1))</f>
        <v>fly</v>
      </c>
      <c r="K40" s="45" t="str">
        <f t="shared" si="0"/>
        <v>Insecta.Diptera.Brachycera.Muscomorpha.Carnoidea.Chloropidae.Chloropinae.Thaumatomyia.#N/C</v>
      </c>
      <c r="L40" s="44">
        <f>+COUNTIF([1]Monitoring!AN:AN,K40)</f>
        <v>1</v>
      </c>
    </row>
    <row r="41" spans="1:12" x14ac:dyDescent="0.3">
      <c r="A41" s="47" t="s">
        <v>28</v>
      </c>
      <c r="B41" s="47" t="s">
        <v>29</v>
      </c>
      <c r="C41" s="47" t="s">
        <v>30</v>
      </c>
      <c r="D41" s="47" t="str">
        <f>+IFERROR(IF(E41="#N/C","#N/C",INDEX([1]ClassificationClasses!D:D,MATCH(E41,[1]ClassificationClasses!E:E,0))),"ERROR")</f>
        <v>Asilomorpha</v>
      </c>
      <c r="E41" s="47" t="s">
        <v>430</v>
      </c>
      <c r="F41" s="47" t="s">
        <v>431</v>
      </c>
      <c r="G41" s="47" t="s">
        <v>26</v>
      </c>
      <c r="H41" s="49" t="s">
        <v>26</v>
      </c>
      <c r="I41" s="49" t="s">
        <v>26</v>
      </c>
      <c r="J41" s="67" t="str" cm="1">
        <f t="array" ref="J41">_xlfn.LET(_xlpm.cls,A41, _xlpm.ord,IFERROR(B41,"#N/C"), _xlpm.subord,IFERROR(C41,"#N/C"), _xlpm.infr,IFERROR(D41,"#N/C"), _xlpm.sf,IFERROR(E41,"#N/C"), _xlpm.fam,IFERROR(F41,"#N/C"), _xlpm.subfam,IF(TRIM(G41)="-","#N/C",IFERROR(G41,"#N/C")),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_xlpm.fallback,IF(IFERROR(B41,"#N/C")="#N/C",A41,IF(IFERROR(C41,"#N/C")="#N/C",B41,IF(IFERROR(D41,"#N/C")="#N/C",C41,IF(IFERROR(E41,"#N/C")="#N/C",D41,IF(IFERROR(F41,"#N/C")="#N/C",E41,IF(IFERROR(G41,"#N/C")="#N/C",F41,"#N/C")))))), _xlpm.finalResult,IF(OR(_xlpm.computedResult="",_xlpm.computedResult="#N/C"),_xlpm.fallback,_xlpm.computedResult), INDEX(_xlpm.finalResult,1))</f>
        <v>dance_fly</v>
      </c>
      <c r="K41" s="45" t="str">
        <f t="shared" si="0"/>
        <v>Insecta.Diptera.Brachycera.Asilomorpha.Empidoidea.Dolichopodidae.#N/C.#N/C.#N/C</v>
      </c>
      <c r="L41" s="44">
        <f>+COUNTIF([1]Monitoring!AN:AN,K41)</f>
        <v>0</v>
      </c>
    </row>
    <row r="42" spans="1:12" x14ac:dyDescent="0.3">
      <c r="A42" s="47" t="s">
        <v>28</v>
      </c>
      <c r="B42" s="47" t="s">
        <v>29</v>
      </c>
      <c r="C42" s="47" t="s">
        <v>30</v>
      </c>
      <c r="D42" s="47" t="str">
        <f>+IFERROR(IF(E42="#N/C","#N/C",INDEX([1]ClassificationClasses!D:D,MATCH(E42,[1]ClassificationClasses!E:E,0))),"ERROR")</f>
        <v>Asilomorpha</v>
      </c>
      <c r="E42" s="47" t="s">
        <v>430</v>
      </c>
      <c r="F42" s="47" t="s">
        <v>431</v>
      </c>
      <c r="G42" s="47" t="s">
        <v>538</v>
      </c>
      <c r="H42" s="49" t="s">
        <v>539</v>
      </c>
      <c r="I42" s="49" t="s">
        <v>26</v>
      </c>
      <c r="J42" s="67" t="str" cm="1">
        <f t="array" ref="J42">_xlfn.LET(_xlpm.cls,A42, _xlpm.ord,IFERROR(B42,"#N/C"), _xlpm.subord,IFERROR(C42,"#N/C"), _xlpm.infr,IFERROR(D42,"#N/C"), _xlpm.sf,IFERROR(E42,"#N/C"), _xlpm.fam,IFERROR(F42,"#N/C"), _xlpm.subfam,IF(TRIM(G42)="-","#N/C",IFERROR(G42,"#N/C")),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_xlpm.fallback,IF(IFERROR(B42,"#N/C")="#N/C",A42,IF(IFERROR(C42,"#N/C")="#N/C",B42,IF(IFERROR(D42,"#N/C")="#N/C",C42,IF(IFERROR(E42,"#N/C")="#N/C",D42,IF(IFERROR(F42,"#N/C")="#N/C",E42,IF(IFERROR(G42,"#N/C")="#N/C",F42,"#N/C")))))), _xlpm.finalResult,IF(OR(_xlpm.computedResult="",_xlpm.computedResult="#N/C"),_xlpm.fallback,_xlpm.computedResult), INDEX(_xlpm.finalResult,1))</f>
        <v>dance_fly</v>
      </c>
      <c r="K42" s="45" t="str">
        <f t="shared" si="0"/>
        <v>Insecta.Diptera.Brachycera.Asilomorpha.Empidoidea.Dolichopodidae.Medeterinae.Medetera.#N/C</v>
      </c>
      <c r="L42" s="44">
        <f>+COUNTIF([1]Monitoring!AN:AN,K42)</f>
        <v>0</v>
      </c>
    </row>
    <row r="43" spans="1:12" x14ac:dyDescent="0.3">
      <c r="A43" s="46" t="s">
        <v>28</v>
      </c>
      <c r="B43" s="46" t="s">
        <v>29</v>
      </c>
      <c r="C43" s="46" t="s">
        <v>30</v>
      </c>
      <c r="D43" s="47" t="str">
        <f>+IFERROR(IF(E43="#N/C","#N/C",INDEX([1]ClassificationClasses!D:D,MATCH(E43,[1]ClassificationClasses!E:E,0))),"ERROR")</f>
        <v>Asilomorpha</v>
      </c>
      <c r="E43" s="46" t="s">
        <v>430</v>
      </c>
      <c r="F43" s="46" t="s">
        <v>740</v>
      </c>
      <c r="G43" s="46" t="s">
        <v>741</v>
      </c>
      <c r="H43" s="48" t="s">
        <v>742</v>
      </c>
      <c r="I43" s="48" t="s">
        <v>26</v>
      </c>
      <c r="J43" s="67" t="str" cm="1">
        <f t="array" ref="J43">_xlfn.LET(_xlpm.cls,A43, _xlpm.ord,IFERROR(B43,"#N/C"), _xlpm.subord,IFERROR(C43,"#N/C"), _xlpm.infr,IFERROR(D43,"#N/C"), _xlpm.sf,IFERROR(E43,"#N/C"), _xlpm.fam,IFERROR(F43,"#N/C"), _xlpm.subfam,IF(TRIM(G43)="-","#N/C",IFERROR(G43,"#N/C")),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_xlpm.fallback,IF(IFERROR(B43,"#N/C")="#N/C",A43,IF(IFERROR(C43,"#N/C")="#N/C",B43,IF(IFERROR(D43,"#N/C")="#N/C",C43,IF(IFERROR(E43,"#N/C")="#N/C",D43,IF(IFERROR(F43,"#N/C")="#N/C",E43,IF(IFERROR(G43,"#N/C")="#N/C",F43,"#N/C")))))), _xlpm.finalResult,IF(OR(_xlpm.computedResult="",_xlpm.computedResult="#N/C"),_xlpm.fallback,_xlpm.computedResult), INDEX(_xlpm.finalResult,1))</f>
        <v>dance_fly</v>
      </c>
      <c r="K43" s="45" t="str">
        <f t="shared" si="0"/>
        <v>Insecta.Diptera.Brachycera.Asilomorpha.Empidoidea.Hybotidae.Tachydromiinae.Tachydromia.#N/C</v>
      </c>
      <c r="L43" s="44">
        <f>+COUNTIF([1]Monitoring!AN:AN,K43)</f>
        <v>1</v>
      </c>
    </row>
    <row r="44" spans="1:12" x14ac:dyDescent="0.3">
      <c r="A44" s="47" t="s">
        <v>28</v>
      </c>
      <c r="B44" s="47" t="s">
        <v>29</v>
      </c>
      <c r="C44" s="47" t="s">
        <v>30</v>
      </c>
      <c r="D44" s="47" t="str">
        <f>+IFERROR(IF(E44="#N/C","#N/C",INDEX([1]ClassificationClasses!D:D,MATCH(E44,[1]ClassificationClasses!E:E,0))),"ERROR")</f>
        <v>Muscomorpha</v>
      </c>
      <c r="E44" s="47" t="s">
        <v>54</v>
      </c>
      <c r="F44" s="47" t="s">
        <v>55</v>
      </c>
      <c r="G44" s="47" t="s">
        <v>56</v>
      </c>
      <c r="H44" s="49" t="s">
        <v>26</v>
      </c>
      <c r="I44" s="49" t="s">
        <v>26</v>
      </c>
      <c r="J44" s="67" t="str" cm="1">
        <f t="array" ref="J44">_xlfn.LET(_xlpm.cls,A44, _xlpm.ord,IFERROR(B44,"#N/C"), _xlpm.subord,IFERROR(C44,"#N/C"), _xlpm.infr,IFERROR(D44,"#N/C"), _xlpm.sf,IFERROR(E44,"#N/C"), _xlpm.fam,IFERROR(F44,"#N/C"), _xlpm.subfam,IF(TRIM(G44)="-","#N/C",IFERROR(G44,"#N/C")),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_xlpm.fallback,IF(IFERROR(B44,"#N/C")="#N/C",A44,IF(IFERROR(C44,"#N/C")="#N/C",B44,IF(IFERROR(D44,"#N/C")="#N/C",C44,IF(IFERROR(E44,"#N/C")="#N/C",D44,IF(IFERROR(F44,"#N/C")="#N/C",E44,IF(IFERROR(G44,"#N/C")="#N/C",F44,"#N/C")))))), _xlpm.finalResult,IF(OR(_xlpm.computedResult="",_xlpm.computedResult="#N/C"),_xlpm.fallback,_xlpm.computedResult), INDEX(_xlpm.finalResult,1))</f>
        <v>fruit_fly</v>
      </c>
      <c r="K44" s="45" t="str">
        <f t="shared" si="0"/>
        <v>Insecta.Diptera.Brachycera.Muscomorpha.Ephydroidea.Drosophilidae.Drosophilinae.#N/C.#N/C</v>
      </c>
      <c r="L44" s="44">
        <f>+COUNTIF([1]Monitoring!AN:AN,K44)</f>
        <v>2</v>
      </c>
    </row>
    <row r="45" spans="1:12" x14ac:dyDescent="0.3">
      <c r="A45" s="46" t="s">
        <v>28</v>
      </c>
      <c r="B45" s="46" t="s">
        <v>29</v>
      </c>
      <c r="C45" s="46" t="s">
        <v>30</v>
      </c>
      <c r="D45" s="47" t="str">
        <f>+IFERROR(IF(E45="#N/C","#N/C",INDEX([1]ClassificationClasses!D:D,MATCH(E45,[1]ClassificationClasses!E:E,0))),"ERROR")</f>
        <v>Muscomorpha</v>
      </c>
      <c r="E45" s="46" t="s">
        <v>54</v>
      </c>
      <c r="F45" s="46" t="s">
        <v>55</v>
      </c>
      <c r="G45" s="46" t="s">
        <v>56</v>
      </c>
      <c r="H45" s="48" t="s">
        <v>617</v>
      </c>
      <c r="I45" s="48" t="s">
        <v>26</v>
      </c>
      <c r="J45" s="67" t="str" cm="1">
        <f t="array" ref="J45">_xlfn.LET(_xlpm.cls,A45, _xlpm.ord,IFERROR(B45,"#N/C"), _xlpm.subord,IFERROR(C45,"#N/C"), _xlpm.infr,IFERROR(D45,"#N/C"), _xlpm.sf,IFERROR(E45,"#N/C"), _xlpm.fam,IFERROR(F45,"#N/C"), _xlpm.subfam,IF(TRIM(G45)="-","#N/C",IFERROR(G45,"#N/C")),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_xlpm.fallback,IF(IFERROR(B45,"#N/C")="#N/C",A45,IF(IFERROR(C45,"#N/C")="#N/C",B45,IF(IFERROR(D45,"#N/C")="#N/C",C45,IF(IFERROR(E45,"#N/C")="#N/C",D45,IF(IFERROR(F45,"#N/C")="#N/C",E45,IF(IFERROR(G45,"#N/C")="#N/C",F45,"#N/C")))))), _xlpm.finalResult,IF(OR(_xlpm.computedResult="",_xlpm.computedResult="#N/C"),_xlpm.fallback,_xlpm.computedResult), INDEX(_xlpm.finalResult,1))</f>
        <v>fruit_fly</v>
      </c>
      <c r="K45" s="45" t="str">
        <f t="shared" si="0"/>
        <v>Insecta.Diptera.Brachycera.Muscomorpha.Ephydroidea.Drosophilidae.Drosophilinae.Chymomyza.#N/C</v>
      </c>
      <c r="L45" s="44">
        <f>+COUNTIF([1]Monitoring!AN:AN,K45)</f>
        <v>0</v>
      </c>
    </row>
    <row r="46" spans="1:12" x14ac:dyDescent="0.3">
      <c r="A46" s="46" t="s">
        <v>28</v>
      </c>
      <c r="B46" s="46" t="s">
        <v>29</v>
      </c>
      <c r="C46" s="46" t="s">
        <v>30</v>
      </c>
      <c r="D46" s="47" t="str">
        <f>+IFERROR(IF(E46="#N/C","#N/C",INDEX([1]ClassificationClasses!D:D,MATCH(E46,[1]ClassificationClasses!E:E,0))),"ERROR")</f>
        <v>Muscomorpha</v>
      </c>
      <c r="E46" s="46" t="s">
        <v>54</v>
      </c>
      <c r="F46" s="46" t="s">
        <v>55</v>
      </c>
      <c r="G46" s="46" t="s">
        <v>56</v>
      </c>
      <c r="H46" s="48" t="s">
        <v>617</v>
      </c>
      <c r="I46" s="48" t="s">
        <v>618</v>
      </c>
      <c r="J46" s="67" t="str" cm="1">
        <f t="array" ref="J46">_xlfn.LET(_xlpm.cls,A46, _xlpm.ord,IFERROR(B46,"#N/C"), _xlpm.subord,IFERROR(C46,"#N/C"), _xlpm.infr,IFERROR(D46,"#N/C"), _xlpm.sf,IFERROR(E46,"#N/C"), _xlpm.fam,IFERROR(F46,"#N/C"), _xlpm.subfam,IF(TRIM(G46)="-","#N/C",IFERROR(G46,"#N/C")),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_xlpm.fallback,IF(IFERROR(B46,"#N/C")="#N/C",A46,IF(IFERROR(C46,"#N/C")="#N/C",B46,IF(IFERROR(D46,"#N/C")="#N/C",C46,IF(IFERROR(E46,"#N/C")="#N/C",D46,IF(IFERROR(F46,"#N/C")="#N/C",E46,IF(IFERROR(G46,"#N/C")="#N/C",F46,"#N/C")))))), _xlpm.finalResult,IF(OR(_xlpm.computedResult="",_xlpm.computedResult="#N/C"),_xlpm.fallback,_xlpm.computedResult), INDEX(_xlpm.finalResult,1))</f>
        <v>fruit_fly</v>
      </c>
      <c r="K46" s="45" t="str">
        <f t="shared" si="0"/>
        <v>Insecta.Diptera.Brachycera.Muscomorpha.Ephydroidea.Drosophilidae.Drosophilinae.Chymomyza.amoena</v>
      </c>
      <c r="L46" s="44">
        <f>+COUNTIF([1]Monitoring!AN:AN,K46)</f>
        <v>0</v>
      </c>
    </row>
    <row r="47" spans="1:12" x14ac:dyDescent="0.3">
      <c r="A47" s="47" t="s">
        <v>28</v>
      </c>
      <c r="B47" s="47" t="s">
        <v>29</v>
      </c>
      <c r="C47" s="47" t="s">
        <v>30</v>
      </c>
      <c r="D47" s="47" t="str">
        <f>+IFERROR(IF(E47="#N/C","#N/C",INDEX([1]ClassificationClasses!D:D,MATCH(E47,[1]ClassificationClasses!E:E,0))),"ERROR")</f>
        <v>Muscomorpha</v>
      </c>
      <c r="E47" s="47" t="s">
        <v>54</v>
      </c>
      <c r="F47" s="47" t="s">
        <v>55</v>
      </c>
      <c r="G47" s="47" t="s">
        <v>56</v>
      </c>
      <c r="H47" s="49" t="s">
        <v>254</v>
      </c>
      <c r="I47" s="49" t="s">
        <v>26</v>
      </c>
      <c r="J47" s="67" t="str" cm="1">
        <f t="array" ref="J47">_xlfn.LET(_xlpm.cls,A47, _xlpm.ord,IFERROR(B47,"#N/C"), _xlpm.subord,IFERROR(C47,"#N/C"), _xlpm.infr,IFERROR(D47,"#N/C"), _xlpm.sf,IFERROR(E47,"#N/C"), _xlpm.fam,IFERROR(F47,"#N/C"), _xlpm.subfam,IF(TRIM(G47)="-","#N/C",IFERROR(G47,"#N/C")),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_xlpm.fallback,IF(IFERROR(B47,"#N/C")="#N/C",A47,IF(IFERROR(C47,"#N/C")="#N/C",B47,IF(IFERROR(D47,"#N/C")="#N/C",C47,IF(IFERROR(E47,"#N/C")="#N/C",D47,IF(IFERROR(F47,"#N/C")="#N/C",E47,IF(IFERROR(G47,"#N/C")="#N/C",F47,"#N/C")))))), _xlpm.finalResult,IF(OR(_xlpm.computedResult="",_xlpm.computedResult="#N/C"),_xlpm.fallback,_xlpm.computedResult), INDEX(_xlpm.finalResult,1))</f>
        <v>fruit_fly</v>
      </c>
      <c r="K47" s="45" t="str">
        <f t="shared" si="0"/>
        <v>Insecta.Diptera.Brachycera.Muscomorpha.Ephydroidea.Drosophilidae.Drosophilinae.Drosophila.#N/C</v>
      </c>
      <c r="L47" s="44">
        <f>+COUNTIF([1]Monitoring!AN:AN,K47)</f>
        <v>8</v>
      </c>
    </row>
    <row r="48" spans="1:12" x14ac:dyDescent="0.3">
      <c r="A48" s="47" t="s">
        <v>28</v>
      </c>
      <c r="B48" s="47" t="s">
        <v>29</v>
      </c>
      <c r="C48" s="47" t="s">
        <v>30</v>
      </c>
      <c r="D48" s="47" t="str">
        <f>+IFERROR(IF(E48="#N/C","#N/C",INDEX([1]ClassificationClasses!D:D,MATCH(E48,[1]ClassificationClasses!E:E,0))),"ERROR")</f>
        <v>Muscomorpha</v>
      </c>
      <c r="E48" s="47" t="s">
        <v>54</v>
      </c>
      <c r="F48" s="47" t="s">
        <v>55</v>
      </c>
      <c r="G48" s="47" t="s">
        <v>56</v>
      </c>
      <c r="H48" s="49" t="s">
        <v>57</v>
      </c>
      <c r="I48" s="49" t="s">
        <v>26</v>
      </c>
      <c r="J48" s="67" t="str" cm="1">
        <f t="array" ref="J48">_xlfn.LET(_xlpm.cls,A48, _xlpm.ord,IFERROR(B48,"#N/C"), _xlpm.subord,IFERROR(C48,"#N/C"), _xlpm.infr,IFERROR(D48,"#N/C"), _xlpm.sf,IFERROR(E48,"#N/C"), _xlpm.fam,IFERROR(F48,"#N/C"), _xlpm.subfam,IF(TRIM(G48)="-","#N/C",IFERROR(G48,"#N/C")),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_xlpm.fallback,IF(IFERROR(B48,"#N/C")="#N/C",A48,IF(IFERROR(C48,"#N/C")="#N/C",B48,IF(IFERROR(D48,"#N/C")="#N/C",C48,IF(IFERROR(E48,"#N/C")="#N/C",D48,IF(IFERROR(F48,"#N/C")="#N/C",E48,IF(IFERROR(G48,"#N/C")="#N/C",F48,"#N/C")))))), _xlpm.finalResult,IF(OR(_xlpm.computedResult="",_xlpm.computedResult="#N/C"),_xlpm.fallback,_xlpm.computedResult), INDEX(_xlpm.finalResult,1))</f>
        <v>fruit_fly</v>
      </c>
      <c r="K48" s="45" t="str">
        <f t="shared" si="0"/>
        <v>Insecta.Diptera.Brachycera.Muscomorpha.Ephydroidea.Drosophilidae.Drosophilinae.Scaptomyza.#N/C</v>
      </c>
      <c r="L48" s="44">
        <f>+COUNTIF([1]Monitoring!AN:AN,K48)</f>
        <v>0</v>
      </c>
    </row>
    <row r="49" spans="1:12" x14ac:dyDescent="0.3">
      <c r="A49" s="46" t="s">
        <v>28</v>
      </c>
      <c r="B49" s="46" t="s">
        <v>29</v>
      </c>
      <c r="C49" s="46" t="s">
        <v>30</v>
      </c>
      <c r="D49" s="47" t="str">
        <f>+IFERROR(IF(E49="#N/C","#N/C",INDEX([1]ClassificationClasses!D:D,MATCH(E49,[1]ClassificationClasses!E:E,0))),"ERROR")</f>
        <v>Muscomorpha</v>
      </c>
      <c r="E49" s="46" t="s">
        <v>54</v>
      </c>
      <c r="F49" s="46" t="s">
        <v>743</v>
      </c>
      <c r="G49" s="46" t="s">
        <v>744</v>
      </c>
      <c r="H49" s="48" t="s">
        <v>745</v>
      </c>
      <c r="I49" s="48" t="s">
        <v>26</v>
      </c>
      <c r="J49" s="67" t="str" cm="1">
        <f t="array" ref="J49">_xlfn.LET(_xlpm.cls,A49, _xlpm.ord,IFERROR(B49,"#N/C"), _xlpm.subord,IFERROR(C49,"#N/C"), _xlpm.infr,IFERROR(D49,"#N/C"), _xlpm.sf,IFERROR(E49,"#N/C"), _xlpm.fam,IFERROR(F49,"#N/C"), _xlpm.subfam,IF(TRIM(G49)="-","#N/C",IFERROR(G49,"#N/C")),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_xlpm.fallback,IF(IFERROR(B49,"#N/C")="#N/C",A49,IF(IFERROR(C49,"#N/C")="#N/C",B49,IF(IFERROR(D49,"#N/C")="#N/C",C49,IF(IFERROR(E49,"#N/C")="#N/C",D49,IF(IFERROR(F49,"#N/C")="#N/C",E49,IF(IFERROR(G49,"#N/C")="#N/C",F49,"#N/C")))))), _xlpm.finalResult,IF(OR(_xlpm.computedResult="",_xlpm.computedResult="#N/C"),_xlpm.fallback,_xlpm.computedResult), INDEX(_xlpm.finalResult,1))</f>
        <v>fruit_fly</v>
      </c>
      <c r="K49" s="45" t="str">
        <f t="shared" si="0"/>
        <v>Insecta.Diptera.Brachycera.Muscomorpha.Ephydroidea.Ephydroidae.Hydrelliinae.Notiphila.#N/C</v>
      </c>
      <c r="L49" s="44">
        <f>+COUNTIF([1]Monitoring!AN:AN,K49)</f>
        <v>1</v>
      </c>
    </row>
    <row r="50" spans="1:12" x14ac:dyDescent="0.3">
      <c r="A50" s="46" t="s">
        <v>28</v>
      </c>
      <c r="B50" s="46" t="s">
        <v>29</v>
      </c>
      <c r="C50" s="46" t="s">
        <v>30</v>
      </c>
      <c r="D50" s="47" t="str">
        <f>+IFERROR(IF(E50="#N/C","#N/C",INDEX([1]ClassificationClasses!D:D,MATCH(E50,[1]ClassificationClasses!E:E,0))),"ERROR")</f>
        <v>Muscomorpha</v>
      </c>
      <c r="E50" s="50" t="s">
        <v>321</v>
      </c>
      <c r="F50" s="46" t="s">
        <v>322</v>
      </c>
      <c r="G50" s="46" t="s">
        <v>323</v>
      </c>
      <c r="H50" s="48" t="s">
        <v>26</v>
      </c>
      <c r="I50" s="48" t="s">
        <v>26</v>
      </c>
      <c r="J50" s="67" t="str" cm="1">
        <f t="array" ref="J50">_xlfn.LET(_xlpm.cls,A50, _xlpm.ord,IFERROR(B50,"#N/C"), _xlpm.subord,IFERROR(C50,"#N/C"), _xlpm.infr,IFERROR(D50,"#N/C"), _xlpm.sf,IFERROR(E50,"#N/C"), _xlpm.fam,IFERROR(F50,"#N/C"), _xlpm.subfam,IF(TRIM(G50)="-","#N/C",IFERROR(G50,"#N/C")),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_xlpm.fallback,IF(IFERROR(B50,"#N/C")="#N/C",A50,IF(IFERROR(C50,"#N/C")="#N/C",B50,IF(IFERROR(D50,"#N/C")="#N/C",C50,IF(IFERROR(E50,"#N/C")="#N/C",D50,IF(IFERROR(F50,"#N/C")="#N/C",E50,IF(IFERROR(G50,"#N/C")="#N/C",F50,"#N/C")))))), _xlpm.finalResult,IF(OR(_xlpm.computedResult="",_xlpm.computedResult="#N/C"),_xlpm.fallback,_xlpm.computedResult), INDEX(_xlpm.finalResult,1))</f>
        <v>fruit_fly</v>
      </c>
      <c r="K50" s="45" t="str">
        <f t="shared" si="0"/>
        <v>Insecta.Diptera.Brachycera.Muscomorpha.Lauxanioidea.Lauxaniidae.Lauxaniinae.#N/C.#N/C</v>
      </c>
      <c r="L50" s="44">
        <f>+COUNTIF([1]Monitoring!AN:AN,K50)</f>
        <v>2</v>
      </c>
    </row>
    <row r="51" spans="1:12" x14ac:dyDescent="0.3">
      <c r="A51" s="47" t="s">
        <v>28</v>
      </c>
      <c r="B51" s="47" t="s">
        <v>29</v>
      </c>
      <c r="C51" s="47" t="s">
        <v>30</v>
      </c>
      <c r="D51" s="47" t="str">
        <f>+IFERROR(IF(E51="#N/C","#N/C",INDEX([1]ClassificationClasses!D:D,MATCH(E51,[1]ClassificationClasses!E:E,0))),"ERROR")</f>
        <v>Muscomorpha</v>
      </c>
      <c r="E51" s="51" t="s">
        <v>321</v>
      </c>
      <c r="F51" s="47" t="s">
        <v>322</v>
      </c>
      <c r="G51" s="47" t="s">
        <v>323</v>
      </c>
      <c r="H51" s="49" t="s">
        <v>746</v>
      </c>
      <c r="I51" s="49" t="s">
        <v>26</v>
      </c>
      <c r="J51" s="67" t="str" cm="1">
        <f t="array" ref="J51">_xlfn.LET(_xlpm.cls,A51, _xlpm.ord,IFERROR(B51,"#N/C"), _xlpm.subord,IFERROR(C51,"#N/C"), _xlpm.infr,IFERROR(D51,"#N/C"), _xlpm.sf,IFERROR(E51,"#N/C"), _xlpm.fam,IFERROR(F51,"#N/C"), _xlpm.subfam,IF(TRIM(G51)="-","#N/C",IFERROR(G51,"#N/C")),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_xlpm.fallback,IF(IFERROR(B51,"#N/C")="#N/C",A51,IF(IFERROR(C51,"#N/C")="#N/C",B51,IF(IFERROR(D51,"#N/C")="#N/C",C51,IF(IFERROR(E51,"#N/C")="#N/C",D51,IF(IFERROR(F51,"#N/C")="#N/C",E51,IF(IFERROR(G51,"#N/C")="#N/C",F51,"#N/C")))))), _xlpm.finalResult,IF(OR(_xlpm.computedResult="",_xlpm.computedResult="#N/C"),_xlpm.fallback,_xlpm.computedResult), INDEX(_xlpm.finalResult,1))</f>
        <v>fruit_fly</v>
      </c>
      <c r="K51" s="45" t="str">
        <f t="shared" si="0"/>
        <v>Insecta.Diptera.Brachycera.Muscomorpha.Lauxanioidea.Lauxaniidae.Lauxaniinae.Calliopum.#N/C</v>
      </c>
      <c r="L51" s="44">
        <f>+COUNTIF([1]Monitoring!AN:AN,K51)</f>
        <v>8</v>
      </c>
    </row>
    <row r="52" spans="1:12" x14ac:dyDescent="0.3">
      <c r="A52" s="47" t="s">
        <v>28</v>
      </c>
      <c r="B52" s="47" t="s">
        <v>29</v>
      </c>
      <c r="C52" s="47" t="s">
        <v>30</v>
      </c>
      <c r="D52" s="47" t="str">
        <f>+IFERROR(IF(E52="#N/C","#N/C",INDEX([1]ClassificationClasses!D:D,MATCH(E52,[1]ClassificationClasses!E:E,0))),"ERROR")</f>
        <v>Muscomorpha</v>
      </c>
      <c r="E52" s="51" t="s">
        <v>321</v>
      </c>
      <c r="F52" s="47" t="s">
        <v>322</v>
      </c>
      <c r="G52" s="47" t="s">
        <v>323</v>
      </c>
      <c r="H52" s="49" t="s">
        <v>324</v>
      </c>
      <c r="I52" s="49" t="s">
        <v>26</v>
      </c>
      <c r="J52" s="67" t="str" cm="1">
        <f t="array" ref="J52">_xlfn.LET(_xlpm.cls,A52, _xlpm.ord,IFERROR(B52,"#N/C"), _xlpm.subord,IFERROR(C52,"#N/C"), _xlpm.infr,IFERROR(D52,"#N/C"), _xlpm.sf,IFERROR(E52,"#N/C"), _xlpm.fam,IFERROR(F52,"#N/C"), _xlpm.subfam,IF(TRIM(G52)="-","#N/C",IFERROR(G52,"#N/C")),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_xlpm.fallback,IF(IFERROR(B52,"#N/C")="#N/C",A52,IF(IFERROR(C52,"#N/C")="#N/C",B52,IF(IFERROR(D52,"#N/C")="#N/C",C52,IF(IFERROR(E52,"#N/C")="#N/C",D52,IF(IFERROR(F52,"#N/C")="#N/C",E52,IF(IFERROR(G52,"#N/C")="#N/C",F52,"#N/C")))))), _xlpm.finalResult,IF(OR(_xlpm.computedResult="",_xlpm.computedResult="#N/C"),_xlpm.fallback,_xlpm.computedResult), INDEX(_xlpm.finalResult,1))</f>
        <v>fruit_fly</v>
      </c>
      <c r="K52" s="45" t="str">
        <f t="shared" si="0"/>
        <v>Insecta.Diptera.Brachycera.Muscomorpha.Lauxanioidea.Lauxaniidae.Lauxaniinae.Sapromyza.#N/C</v>
      </c>
      <c r="L52" s="44">
        <f>+COUNTIF([1]Monitoring!AN:AN,K52)</f>
        <v>0</v>
      </c>
    </row>
    <row r="53" spans="1:12" x14ac:dyDescent="0.3">
      <c r="A53" s="47" t="s">
        <v>28</v>
      </c>
      <c r="B53" s="47" t="s">
        <v>29</v>
      </c>
      <c r="C53" s="47" t="s">
        <v>30</v>
      </c>
      <c r="D53" s="47" t="str">
        <f>+IFERROR(IF(E53="#N/C","#N/C",INDEX([1]ClassificationClasses!D:D,MATCH(E53,[1]ClassificationClasses!E:E,0))),"ERROR")</f>
        <v>Muscomorpha</v>
      </c>
      <c r="E53" s="47" t="s">
        <v>166</v>
      </c>
      <c r="F53" s="47" t="s">
        <v>26</v>
      </c>
      <c r="G53" s="47" t="s">
        <v>26</v>
      </c>
      <c r="H53" s="49" t="s">
        <v>26</v>
      </c>
      <c r="I53" s="49" t="s">
        <v>26</v>
      </c>
      <c r="J53" s="67" t="str" cm="1">
        <f t="array" ref="J53">_xlfn.LET(_xlpm.cls,A53, _xlpm.ord,IFERROR(B53,"#N/C"), _xlpm.subord,IFERROR(C53,"#N/C"), _xlpm.infr,IFERROR(D53,"#N/C"), _xlpm.sf,IFERROR(E53,"#N/C"), _xlpm.fam,IFERROR(F53,"#N/C"), _xlpm.subfam,IF(TRIM(G53)="-","#N/C",IFERROR(G53,"#N/C")),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_xlpm.fallback,IF(IFERROR(B53,"#N/C")="#N/C",A53,IF(IFERROR(C53,"#N/C")="#N/C",B53,IF(IFERROR(D53,"#N/C")="#N/C",C53,IF(IFERROR(E53,"#N/C")="#N/C",D53,IF(IFERROR(F53,"#N/C")="#N/C",E53,IF(IFERROR(G53,"#N/C")="#N/C",F53,"#N/C")))))), _xlpm.finalResult,IF(OR(_xlpm.computedResult="",_xlpm.computedResult="#N/C"),_xlpm.fallback,_xlpm.computedResult), INDEX(_xlpm.finalResult,1))</f>
        <v>Muscoidea</v>
      </c>
      <c r="K53" s="45" t="str">
        <f t="shared" si="0"/>
        <v>Insecta.Diptera.Brachycera.Muscomorpha.Muscoidea.#N/C.#N/C.#N/C.#N/C</v>
      </c>
      <c r="L53" s="44">
        <f>+COUNTIF([1]Monitoring!AN:AN,K53)</f>
        <v>192</v>
      </c>
    </row>
    <row r="54" spans="1:12" x14ac:dyDescent="0.3">
      <c r="A54" s="47" t="s">
        <v>28</v>
      </c>
      <c r="B54" s="47" t="s">
        <v>29</v>
      </c>
      <c r="C54" s="47" t="s">
        <v>30</v>
      </c>
      <c r="D54" s="47" t="str">
        <f>+IFERROR(IF(E54="#N/C","#N/C",INDEX([1]ClassificationClasses!D:D,MATCH(E54,[1]ClassificationClasses!E:E,0))),"ERROR")</f>
        <v>Muscomorpha</v>
      </c>
      <c r="E54" s="47" t="s">
        <v>166</v>
      </c>
      <c r="F54" s="47" t="s">
        <v>603</v>
      </c>
      <c r="G54" s="47" t="s">
        <v>604</v>
      </c>
      <c r="H54" s="49" t="s">
        <v>747</v>
      </c>
      <c r="I54" s="49" t="s">
        <v>26</v>
      </c>
      <c r="J54" s="67" t="str" cm="1">
        <f t="array" ref="J54">_xlfn.LET(_xlpm.cls,A54, _xlpm.ord,IFERROR(B54,"#N/C"), _xlpm.subord,IFERROR(C54,"#N/C"), _xlpm.infr,IFERROR(D54,"#N/C"), _xlpm.sf,IFERROR(E54,"#N/C"), _xlpm.fam,IFERROR(F54,"#N/C"), _xlpm.subfam,IF(TRIM(G54)="-","#N/C",IFERROR(G54,"#N/C")),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_xlpm.fallback,IF(IFERROR(B54,"#N/C")="#N/C",A54,IF(IFERROR(C54,"#N/C")="#N/C",B54,IF(IFERROR(D54,"#N/C")="#N/C",C54,IF(IFERROR(E54,"#N/C")="#N/C",D54,IF(IFERROR(F54,"#N/C")="#N/C",E54,IF(IFERROR(G54,"#N/C")="#N/C",F54,"#N/C")))))), _xlpm.finalResult,IF(OR(_xlpm.computedResult="",_xlpm.computedResult="#N/C"),_xlpm.fallback,_xlpm.computedResult), INDEX(_xlpm.finalResult,1))</f>
        <v>fly</v>
      </c>
      <c r="K54" s="45" t="str">
        <f t="shared" si="0"/>
        <v>Insecta.Diptera.Brachycera.Muscomorpha.Muscoidea.Anthomyiidae.Anthomyiinae.Anthomyia.#N/C</v>
      </c>
      <c r="L54" s="44">
        <f>+COUNTIF([1]Monitoring!AN:AN,K54)</f>
        <v>2</v>
      </c>
    </row>
    <row r="55" spans="1:12" x14ac:dyDescent="0.3">
      <c r="A55" s="47" t="s">
        <v>28</v>
      </c>
      <c r="B55" s="47" t="s">
        <v>29</v>
      </c>
      <c r="C55" s="47" t="s">
        <v>30</v>
      </c>
      <c r="D55" s="47" t="str">
        <f>+IFERROR(IF(E55="#N/C","#N/C",INDEX([1]ClassificationClasses!D:D,MATCH(E55,[1]ClassificationClasses!E:E,0))),"ERROR")</f>
        <v>Muscomorpha</v>
      </c>
      <c r="E55" s="47" t="s">
        <v>166</v>
      </c>
      <c r="F55" s="47" t="s">
        <v>603</v>
      </c>
      <c r="G55" s="47" t="s">
        <v>604</v>
      </c>
      <c r="H55" s="49" t="s">
        <v>605</v>
      </c>
      <c r="I55" s="49" t="s">
        <v>26</v>
      </c>
      <c r="J55" s="67" t="str" cm="1">
        <f t="array" ref="J55">_xlfn.LET(_xlpm.cls,A55, _xlpm.ord,IFERROR(B55,"#N/C"), _xlpm.subord,IFERROR(C55,"#N/C"), _xlpm.infr,IFERROR(D55,"#N/C"), _xlpm.sf,IFERROR(E55,"#N/C"), _xlpm.fam,IFERROR(F55,"#N/C"), _xlpm.subfam,IF(TRIM(G55)="-","#N/C",IFERROR(G55,"#N/C")),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_xlpm.fallback,IF(IFERROR(B55,"#N/C")="#N/C",A55,IF(IFERROR(C55,"#N/C")="#N/C",B55,IF(IFERROR(D55,"#N/C")="#N/C",C55,IF(IFERROR(E55,"#N/C")="#N/C",D55,IF(IFERROR(F55,"#N/C")="#N/C",E55,IF(IFERROR(G55,"#N/C")="#N/C",F55,"#N/C")))))), _xlpm.finalResult,IF(OR(_xlpm.computedResult="",_xlpm.computedResult="#N/C"),_xlpm.fallback,_xlpm.computedResult), INDEX(_xlpm.finalResult,1))</f>
        <v>fly</v>
      </c>
      <c r="K55" s="45" t="str">
        <f t="shared" si="0"/>
        <v>Insecta.Diptera.Brachycera.Muscomorpha.Muscoidea.Anthomyiidae.Anthomyiinae.Fucellia.#N/C</v>
      </c>
      <c r="L55" s="44">
        <f>+COUNTIF([1]Monitoring!AN:AN,K55)</f>
        <v>0</v>
      </c>
    </row>
    <row r="56" spans="1:12" x14ac:dyDescent="0.3">
      <c r="A56" s="47" t="s">
        <v>28</v>
      </c>
      <c r="B56" s="47" t="s">
        <v>29</v>
      </c>
      <c r="C56" s="47" t="s">
        <v>30</v>
      </c>
      <c r="D56" s="47" t="str">
        <f>+IFERROR(IF(E56="#N/C","#N/C",INDEX([1]ClassificationClasses!D:D,MATCH(E56,[1]ClassificationClasses!E:E,0))),"ERROR")</f>
        <v>Muscomorpha</v>
      </c>
      <c r="E56" s="47" t="s">
        <v>166</v>
      </c>
      <c r="F56" s="47" t="s">
        <v>167</v>
      </c>
      <c r="G56" s="47"/>
      <c r="H56" s="49" t="s">
        <v>168</v>
      </c>
      <c r="I56" s="49" t="s">
        <v>26</v>
      </c>
      <c r="J56" s="67" t="str" cm="1">
        <f t="array" ref="J56">_xlfn.LET(_xlpm.cls,A56, _xlpm.ord,IFERROR(B56,"#N/C"), _xlpm.subord,IFERROR(C56,"#N/C"), _xlpm.infr,IFERROR(D56,"#N/C"), _xlpm.sf,IFERROR(E56,"#N/C"), _xlpm.fam,IFERROR(F56,"#N/C"), _xlpm.subfam,IF(TRIM(G56)="-","#N/C",IFERROR(G56,"#N/C")),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_xlpm.fallback,IF(IFERROR(B56,"#N/C")="#N/C",A56,IF(IFERROR(C56,"#N/C")="#N/C",B56,IF(IFERROR(D56,"#N/C")="#N/C",C56,IF(IFERROR(E56,"#N/C")="#N/C",D56,IF(IFERROR(F56,"#N/C")="#N/C",E56,IF(IFERROR(G56,"#N/C")="#N/C",F56,"#N/C")))))), _xlpm.finalResult,IF(OR(_xlpm.computedResult="",_xlpm.computedResult="#N/C"),_xlpm.fallback,_xlpm.computedResult), INDEX(_xlpm.finalResult,1))</f>
        <v>fly</v>
      </c>
      <c r="K56" s="45" t="str">
        <f t="shared" si="0"/>
        <v>Insecta.Diptera.Brachycera.Muscomorpha.Muscoidea.Fanniidae..Fannia.#N/C</v>
      </c>
      <c r="L56" s="44">
        <f>+COUNTIF([1]Monitoring!AN:AN,K56)</f>
        <v>0</v>
      </c>
    </row>
    <row r="57" spans="1:12" x14ac:dyDescent="0.3">
      <c r="A57" s="46" t="s">
        <v>28</v>
      </c>
      <c r="B57" s="46" t="s">
        <v>29</v>
      </c>
      <c r="C57" s="46" t="s">
        <v>30</v>
      </c>
      <c r="D57" s="47" t="str">
        <f>+IFERROR(IF(E57="#N/C","#N/C",INDEX([1]ClassificationClasses!D:D,MATCH(E57,[1]ClassificationClasses!E:E,0))),"ERROR")</f>
        <v>Muscomorpha</v>
      </c>
      <c r="E57" s="46" t="s">
        <v>166</v>
      </c>
      <c r="F57" s="46" t="s">
        <v>167</v>
      </c>
      <c r="H57" s="48" t="s">
        <v>168</v>
      </c>
      <c r="I57" s="48" t="s">
        <v>541</v>
      </c>
      <c r="J57" s="67" t="str" cm="1">
        <f t="array" ref="J57">_xlfn.LET(_xlpm.cls,A57, _xlpm.ord,IFERROR(B57,"#N/C"), _xlpm.subord,IFERROR(C57,"#N/C"), _xlpm.infr,IFERROR(D57,"#N/C"), _xlpm.sf,IFERROR(E57,"#N/C"), _xlpm.fam,IFERROR(F57,"#N/C"), _xlpm.subfam,IF(TRIM(G57)="-","#N/C",IFERROR(G57,"#N/C")),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_xlpm.fallback,IF(IFERROR(B57,"#N/C")="#N/C",A57,IF(IFERROR(C57,"#N/C")="#N/C",B57,IF(IFERROR(D57,"#N/C")="#N/C",C57,IF(IFERROR(E57,"#N/C")="#N/C",D57,IF(IFERROR(F57,"#N/C")="#N/C",E57,IF(IFERROR(G57,"#N/C")="#N/C",F57,"#N/C")))))), _xlpm.finalResult,IF(OR(_xlpm.computedResult="",_xlpm.computedResult="#N/C"),_xlpm.fallback,_xlpm.computedResult), INDEX(_xlpm.finalResult,1))</f>
        <v>fly</v>
      </c>
      <c r="K57" s="45" t="str">
        <f t="shared" si="0"/>
        <v>Insecta.Diptera.Brachycera.Muscomorpha.Muscoidea.Fanniidae..Fannia.canicularis</v>
      </c>
      <c r="L57" s="44">
        <f>+COUNTIF([1]Monitoring!AN:AN,K57)</f>
        <v>0</v>
      </c>
    </row>
    <row r="58" spans="1:12" x14ac:dyDescent="0.3">
      <c r="A58" s="47" t="s">
        <v>28</v>
      </c>
      <c r="B58" s="47" t="s">
        <v>29</v>
      </c>
      <c r="C58" s="47" t="s">
        <v>30</v>
      </c>
      <c r="D58" s="47" t="str">
        <f>+IFERROR(IF(E58="#N/C","#N/C",INDEX([1]ClassificationClasses!D:D,MATCH(E58,[1]ClassificationClasses!E:E,0))),"ERROR")</f>
        <v>Muscomorpha</v>
      </c>
      <c r="E58" s="47" t="s">
        <v>166</v>
      </c>
      <c r="F58" s="47" t="s">
        <v>486</v>
      </c>
      <c r="G58" s="47" t="s">
        <v>26</v>
      </c>
      <c r="H58" s="49" t="s">
        <v>26</v>
      </c>
      <c r="I58" s="49" t="s">
        <v>26</v>
      </c>
      <c r="J58" s="67" t="str" cm="1">
        <f t="array" ref="J58">_xlfn.LET(_xlpm.cls,A58, _xlpm.ord,IFERROR(B58,"#N/C"), _xlpm.subord,IFERROR(C58,"#N/C"), _xlpm.infr,IFERROR(D58,"#N/C"), _xlpm.sf,IFERROR(E58,"#N/C"), _xlpm.fam,IFERROR(F58,"#N/C"), _xlpm.subfam,IF(TRIM(G58)="-","#N/C",IFERROR(G58,"#N/C")),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_xlpm.fallback,IF(IFERROR(B58,"#N/C")="#N/C",A58,IF(IFERROR(C58,"#N/C")="#N/C",B58,IF(IFERROR(D58,"#N/C")="#N/C",C58,IF(IFERROR(E58,"#N/C")="#N/C",D58,IF(IFERROR(F58,"#N/C")="#N/C",E58,IF(IFERROR(G58,"#N/C")="#N/C",F58,"#N/C")))))), _xlpm.finalResult,IF(OR(_xlpm.computedResult="",_xlpm.computedResult="#N/C"),_xlpm.fallback,_xlpm.computedResult), INDEX(_xlpm.finalResult,1))</f>
        <v>fly</v>
      </c>
      <c r="K58" s="45" t="str">
        <f t="shared" si="0"/>
        <v>Insecta.Diptera.Brachycera.Muscomorpha.Muscoidea.Muscidae.#N/C.#N/C.#N/C</v>
      </c>
      <c r="L58" s="44">
        <f>+COUNTIF([1]Monitoring!AN:AN,K58)</f>
        <v>3</v>
      </c>
    </row>
    <row r="59" spans="1:12" x14ac:dyDescent="0.3">
      <c r="A59" s="46" t="s">
        <v>28</v>
      </c>
      <c r="B59" s="46" t="s">
        <v>29</v>
      </c>
      <c r="C59" s="46" t="s">
        <v>30</v>
      </c>
      <c r="D59" s="47" t="str">
        <f>+IFERROR(IF(E59="#N/C","#N/C",INDEX([1]ClassificationClasses!D:D,MATCH(E59,[1]ClassificationClasses!E:E,0))),"ERROR")</f>
        <v>Muscomorpha</v>
      </c>
      <c r="E59" s="46" t="s">
        <v>166</v>
      </c>
      <c r="F59" s="46" t="s">
        <v>486</v>
      </c>
      <c r="G59" s="46" t="s">
        <v>658</v>
      </c>
      <c r="H59" s="48" t="s">
        <v>659</v>
      </c>
      <c r="I59" s="48" t="s">
        <v>26</v>
      </c>
      <c r="J59" s="67" t="str" cm="1">
        <f t="array" ref="J59">_xlfn.LET(_xlpm.cls,A59, _xlpm.ord,IFERROR(B59,"#N/C"), _xlpm.subord,IFERROR(C59,"#N/C"), _xlpm.infr,IFERROR(D59,"#N/C"), _xlpm.sf,IFERROR(E59,"#N/C"), _xlpm.fam,IFERROR(F59,"#N/C"), _xlpm.subfam,IF(TRIM(G59)="-","#N/C",IFERROR(G59,"#N/C")),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_xlpm.fallback,IF(IFERROR(B59,"#N/C")="#N/C",A59,IF(IFERROR(C59,"#N/C")="#N/C",B59,IF(IFERROR(D59,"#N/C")="#N/C",C59,IF(IFERROR(E59,"#N/C")="#N/C",D59,IF(IFERROR(F59,"#N/C")="#N/C",E59,IF(IFERROR(G59,"#N/C")="#N/C",F59,"#N/C")))))), _xlpm.finalResult,IF(OR(_xlpm.computedResult="",_xlpm.computedResult="#N/C"),_xlpm.fallback,_xlpm.computedResult), INDEX(_xlpm.finalResult,1))</f>
        <v>fly</v>
      </c>
      <c r="K59" s="45" t="str">
        <f t="shared" si="0"/>
        <v>Insecta.Diptera.Brachycera.Muscomorpha.Muscoidea.Muscidae.Coenosiinae.Coenosia.#N/C</v>
      </c>
      <c r="L59" s="44">
        <f>+COUNTIF([1]Monitoring!AN:AN,K59)</f>
        <v>0</v>
      </c>
    </row>
    <row r="60" spans="1:12" x14ac:dyDescent="0.3">
      <c r="A60" s="46" t="s">
        <v>28</v>
      </c>
      <c r="B60" s="46" t="s">
        <v>29</v>
      </c>
      <c r="C60" s="46" t="s">
        <v>30</v>
      </c>
      <c r="D60" s="47" t="str">
        <f>+IFERROR(IF(E60="#N/C","#N/C",INDEX([1]ClassificationClasses!D:D,MATCH(E60,[1]ClassificationClasses!E:E,0))),"ERROR")</f>
        <v>Muscomorpha</v>
      </c>
      <c r="E60" s="46" t="s">
        <v>166</v>
      </c>
      <c r="F60" s="46" t="s">
        <v>486</v>
      </c>
      <c r="G60" s="46" t="s">
        <v>487</v>
      </c>
      <c r="H60" s="48" t="s">
        <v>488</v>
      </c>
      <c r="I60" s="48" t="s">
        <v>489</v>
      </c>
      <c r="J60" s="67" t="str" cm="1">
        <f t="array" ref="J60">_xlfn.LET(_xlpm.cls,A60, _xlpm.ord,IFERROR(B60,"#N/C"), _xlpm.subord,IFERROR(C60,"#N/C"), _xlpm.infr,IFERROR(D60,"#N/C"), _xlpm.sf,IFERROR(E60,"#N/C"), _xlpm.fam,IFERROR(F60,"#N/C"), _xlpm.subfam,IF(TRIM(G60)="-","#N/C",IFERROR(G60,"#N/C")),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_xlpm.fallback,IF(IFERROR(B60,"#N/C")="#N/C",A60,IF(IFERROR(C60,"#N/C")="#N/C",B60,IF(IFERROR(D60,"#N/C")="#N/C",C60,IF(IFERROR(E60,"#N/C")="#N/C",D60,IF(IFERROR(F60,"#N/C")="#N/C",E60,IF(IFERROR(G60,"#N/C")="#N/C",F60,"#N/C")))))), _xlpm.finalResult,IF(OR(_xlpm.computedResult="",_xlpm.computedResult="#N/C"),_xlpm.fallback,_xlpm.computedResult), INDEX(_xlpm.finalResult,1))</f>
        <v>fly</v>
      </c>
      <c r="K60" s="45" t="str">
        <f t="shared" si="0"/>
        <v>Insecta.Diptera.Brachycera.Muscomorpha.Muscoidea.Muscidae.Muscinae.Mesembrina.meridiana</v>
      </c>
      <c r="L60" s="44">
        <f>+COUNTIF([1]Monitoring!AN:AN,K60)</f>
        <v>0</v>
      </c>
    </row>
    <row r="61" spans="1:12" x14ac:dyDescent="0.3">
      <c r="A61" s="46" t="s">
        <v>28</v>
      </c>
      <c r="B61" s="46" t="s">
        <v>29</v>
      </c>
      <c r="C61" s="46" t="s">
        <v>30</v>
      </c>
      <c r="D61" s="47" t="str">
        <f>+IFERROR(IF(E61="#N/C","#N/C",INDEX([1]ClassificationClasses!D:D,MATCH(E61,[1]ClassificationClasses!E:E,0))),"ERROR")</f>
        <v>Muscomorpha</v>
      </c>
      <c r="E61" s="46" t="s">
        <v>166</v>
      </c>
      <c r="F61" s="46" t="s">
        <v>486</v>
      </c>
      <c r="G61" s="46" t="s">
        <v>487</v>
      </c>
      <c r="H61" s="48" t="s">
        <v>621</v>
      </c>
      <c r="I61" s="48" t="s">
        <v>26</v>
      </c>
      <c r="J61" s="67" t="str" cm="1">
        <f t="array" ref="J61">_xlfn.LET(_xlpm.cls,A61, _xlpm.ord,IFERROR(B61,"#N/C"), _xlpm.subord,IFERROR(C61,"#N/C"), _xlpm.infr,IFERROR(D61,"#N/C"), _xlpm.sf,IFERROR(E61,"#N/C"), _xlpm.fam,IFERROR(F61,"#N/C"), _xlpm.subfam,IF(TRIM(G61)="-","#N/C",IFERROR(G61,"#N/C")),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_xlpm.fallback,IF(IFERROR(B61,"#N/C")="#N/C",A61,IF(IFERROR(C61,"#N/C")="#N/C",B61,IF(IFERROR(D61,"#N/C")="#N/C",C61,IF(IFERROR(E61,"#N/C")="#N/C",D61,IF(IFERROR(F61,"#N/C")="#N/C",E61,IF(IFERROR(G61,"#N/C")="#N/C",F61,"#N/C")))))), _xlpm.finalResult,IF(OR(_xlpm.computedResult="",_xlpm.computedResult="#N/C"),_xlpm.fallback,_xlpm.computedResult), INDEX(_xlpm.finalResult,1))</f>
        <v>fly</v>
      </c>
      <c r="K61" s="45" t="str">
        <f t="shared" si="0"/>
        <v>Insecta.Diptera.Brachycera.Muscomorpha.Muscoidea.Muscidae.Muscinae.Musca.#N/C</v>
      </c>
      <c r="L61" s="44">
        <f>+COUNTIF([1]Monitoring!AN:AN,K61)</f>
        <v>1</v>
      </c>
    </row>
    <row r="62" spans="1:12" x14ac:dyDescent="0.3">
      <c r="A62" s="47" t="s">
        <v>28</v>
      </c>
      <c r="B62" s="47" t="s">
        <v>29</v>
      </c>
      <c r="C62" s="47" t="s">
        <v>30</v>
      </c>
      <c r="D62" s="47" t="str">
        <f>+IFERROR(IF(E62="#N/C","#N/C",INDEX([1]ClassificationClasses!D:D,MATCH(E62,[1]ClassificationClasses!E:E,0))),"ERROR")</f>
        <v>Muscomorpha</v>
      </c>
      <c r="E62" s="47" t="s">
        <v>166</v>
      </c>
      <c r="F62" s="47" t="s">
        <v>486</v>
      </c>
      <c r="G62" s="47" t="s">
        <v>487</v>
      </c>
      <c r="H62" s="49" t="s">
        <v>621</v>
      </c>
      <c r="I62" s="49" t="s">
        <v>622</v>
      </c>
      <c r="J62" s="67" t="str" cm="1">
        <f t="array" ref="J62">_xlfn.LET(_xlpm.cls,A62, _xlpm.ord,IFERROR(B62,"#N/C"), _xlpm.subord,IFERROR(C62,"#N/C"), _xlpm.infr,IFERROR(D62,"#N/C"), _xlpm.sf,IFERROR(E62,"#N/C"), _xlpm.fam,IFERROR(F62,"#N/C"), _xlpm.subfam,IF(TRIM(G62)="-","#N/C",IFERROR(G62,"#N/C")),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_xlpm.fallback,IF(IFERROR(B62,"#N/C")="#N/C",A62,IF(IFERROR(C62,"#N/C")="#N/C",B62,IF(IFERROR(D62,"#N/C")="#N/C",C62,IF(IFERROR(E62,"#N/C")="#N/C",D62,IF(IFERROR(F62,"#N/C")="#N/C",E62,IF(IFERROR(G62,"#N/C")="#N/C",F62,"#N/C")))))), _xlpm.finalResult,IF(OR(_xlpm.computedResult="",_xlpm.computedResult="#N/C"),_xlpm.fallback,_xlpm.computedResult), INDEX(_xlpm.finalResult,1))</f>
        <v>fly</v>
      </c>
      <c r="K62" s="45" t="str">
        <f t="shared" si="0"/>
        <v>Insecta.Diptera.Brachycera.Muscomorpha.Muscoidea.Muscidae.Muscinae.Musca.domestica</v>
      </c>
      <c r="L62" s="44">
        <f>+COUNTIF([1]Monitoring!AN:AN,K62)</f>
        <v>0</v>
      </c>
    </row>
    <row r="63" spans="1:12" x14ac:dyDescent="0.3">
      <c r="A63" s="46" t="s">
        <v>28</v>
      </c>
      <c r="B63" s="46" t="s">
        <v>29</v>
      </c>
      <c r="C63" s="46" t="s">
        <v>30</v>
      </c>
      <c r="D63" s="47" t="str">
        <f>+IFERROR(IF(E63="#N/C","#N/C",INDEX([1]ClassificationClasses!D:D,MATCH(E63,[1]ClassificationClasses!E:E,0))),"ERROR")</f>
        <v>Muscomorpha</v>
      </c>
      <c r="E63" s="46" t="s">
        <v>166</v>
      </c>
      <c r="F63" s="46" t="s">
        <v>748</v>
      </c>
      <c r="G63" s="46" t="s">
        <v>749</v>
      </c>
      <c r="H63" s="48" t="s">
        <v>750</v>
      </c>
      <c r="I63" s="48" t="s">
        <v>26</v>
      </c>
      <c r="J63" s="67" t="str" cm="1">
        <f t="array" ref="J63">_xlfn.LET(_xlpm.cls,A63, _xlpm.ord,IFERROR(B63,"#N/C"), _xlpm.subord,IFERROR(C63,"#N/C"), _xlpm.infr,IFERROR(D63,"#N/C"), _xlpm.sf,IFERROR(E63,"#N/C"), _xlpm.fam,IFERROR(F63,"#N/C"), _xlpm.subfam,IF(TRIM(G63)="-","#N/C",IFERROR(G63,"#N/C")),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_xlpm.fallback,IF(IFERROR(B63,"#N/C")="#N/C",A63,IF(IFERROR(C63,"#N/C")="#N/C",B63,IF(IFERROR(D63,"#N/C")="#N/C",C63,IF(IFERROR(E63,"#N/C")="#N/C",D63,IF(IFERROR(F63,"#N/C")="#N/C",E63,IF(IFERROR(G63,"#N/C")="#N/C",F63,"#N/C")))))), _xlpm.finalResult,IF(OR(_xlpm.computedResult="",_xlpm.computedResult="#N/C"),_xlpm.fallback,_xlpm.computedResult), INDEX(_xlpm.finalResult,1))</f>
        <v>dung_fly</v>
      </c>
      <c r="K63" s="45" t="str">
        <f t="shared" si="0"/>
        <v>Insecta.Diptera.Brachycera.Muscomorpha.Muscoidea.Scathophagidae.Scathophaginae.Scathophaga.#N/C</v>
      </c>
      <c r="L63" s="44">
        <f>+COUNTIF([1]Monitoring!AN:AN,K63)</f>
        <v>1</v>
      </c>
    </row>
    <row r="64" spans="1:12" x14ac:dyDescent="0.3">
      <c r="A64" s="47" t="s">
        <v>28</v>
      </c>
      <c r="B64" s="47" t="s">
        <v>29</v>
      </c>
      <c r="C64" s="47" t="s">
        <v>30</v>
      </c>
      <c r="D64" s="47" t="str">
        <f>+IFERROR(IF(E64="#N/C","#N/C",INDEX([1]ClassificationClasses!D:D,MATCH(E64,[1]ClassificationClasses!E:E,0))),"ERROR")</f>
        <v>Muscomorpha</v>
      </c>
      <c r="E64" s="47" t="s">
        <v>326</v>
      </c>
      <c r="F64" s="47" t="s">
        <v>26</v>
      </c>
      <c r="G64" s="47" t="s">
        <v>26</v>
      </c>
      <c r="H64" s="49" t="s">
        <v>26</v>
      </c>
      <c r="I64" s="49" t="s">
        <v>26</v>
      </c>
      <c r="J64" s="67" t="str" cm="1">
        <f t="array" ref="J64">_xlfn.LET(_xlpm.cls,A64, _xlpm.ord,IFERROR(B64,"#N/C"), _xlpm.subord,IFERROR(C64,"#N/C"), _xlpm.infr,IFERROR(D64,"#N/C"), _xlpm.sf,IFERROR(E64,"#N/C"), _xlpm.fam,IFERROR(F64,"#N/C"), _xlpm.subfam,IF(TRIM(G64)="-","#N/C",IFERROR(G64,"#N/C")),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_xlpm.fallback,IF(IFERROR(B64,"#N/C")="#N/C",A64,IF(IFERROR(C64,"#N/C")="#N/C",B64,IF(IFERROR(D64,"#N/C")="#N/C",C64,IF(IFERROR(E64,"#N/C")="#N/C",D64,IF(IFERROR(F64,"#N/C")="#N/C",E64,IF(IFERROR(G64,"#N/C")="#N/C",F64,"#N/C")))))), _xlpm.finalResult,IF(OR(_xlpm.computedResult="",_xlpm.computedResult="#N/C"),_xlpm.fallback,_xlpm.computedResult), INDEX(_xlpm.finalResult,1))</f>
        <v>Oestroidea</v>
      </c>
      <c r="K64" s="45" t="str">
        <f t="shared" si="0"/>
        <v>Insecta.Diptera.Brachycera.Muscomorpha.Oestroidea.#N/C.#N/C.#N/C.#N/C</v>
      </c>
      <c r="L64" s="44">
        <f>+COUNTIF([1]Monitoring!AN:AN,K64)</f>
        <v>11</v>
      </c>
    </row>
    <row r="65" spans="1:12" x14ac:dyDescent="0.3">
      <c r="A65" s="46" t="s">
        <v>28</v>
      </c>
      <c r="B65" s="46" t="s">
        <v>29</v>
      </c>
      <c r="C65" s="46" t="s">
        <v>30</v>
      </c>
      <c r="D65" s="47" t="str">
        <f>+IFERROR(IF(E65="#N/C","#N/C",INDEX([1]ClassificationClasses!D:D,MATCH(E65,[1]ClassificationClasses!E:E,0))),"ERROR")</f>
        <v>Muscomorpha</v>
      </c>
      <c r="E65" s="46" t="s">
        <v>326</v>
      </c>
      <c r="F65" s="46" t="s">
        <v>751</v>
      </c>
      <c r="G65" s="46" t="s">
        <v>26</v>
      </c>
      <c r="H65" s="48" t="s">
        <v>26</v>
      </c>
      <c r="I65" s="48" t="s">
        <v>26</v>
      </c>
      <c r="J65" s="67" t="str" cm="1">
        <f t="array" ref="J65">_xlfn.LET(_xlpm.cls,A65, _xlpm.ord,IFERROR(B65,"#N/C"), _xlpm.subord,IFERROR(C65,"#N/C"), _xlpm.infr,IFERROR(D65,"#N/C"), _xlpm.sf,IFERROR(E65,"#N/C"), _xlpm.fam,IFERROR(F65,"#N/C"), _xlpm.subfam,IF(TRIM(G65)="-","#N/C",IFERROR(G65,"#N/C")),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_xlpm.fallback,IF(IFERROR(B65,"#N/C")="#N/C",A65,IF(IFERROR(C65,"#N/C")="#N/C",B65,IF(IFERROR(D65,"#N/C")="#N/C",C65,IF(IFERROR(E65,"#N/C")="#N/C",D65,IF(IFERROR(F65,"#N/C")="#N/C",E65,IF(IFERROR(G65,"#N/C")="#N/C",F65,"#N/C")))))), _xlpm.finalResult,IF(OR(_xlpm.computedResult="",_xlpm.computedResult="#N/C"),_xlpm.fallback,_xlpm.computedResult), INDEX(_xlpm.finalResult,1))</f>
        <v>flesh_fly</v>
      </c>
      <c r="K65" s="45" t="str">
        <f t="shared" si="0"/>
        <v>Insecta.Diptera.Brachycera.Muscomorpha.Oestroidea.Calliphoridae.#N/C.#N/C.#N/C</v>
      </c>
      <c r="L65" s="44">
        <f>+COUNTIF([1]Monitoring!AN:AN,K65)</f>
        <v>1</v>
      </c>
    </row>
    <row r="66" spans="1:12" x14ac:dyDescent="0.3">
      <c r="A66" s="47" t="s">
        <v>28</v>
      </c>
      <c r="B66" s="47" t="s">
        <v>29</v>
      </c>
      <c r="C66" s="47" t="s">
        <v>30</v>
      </c>
      <c r="D66" s="47" t="str">
        <f>+IFERROR(IF(E66="#N/C","#N/C",INDEX([1]ClassificationClasses!D:D,MATCH(E66,[1]ClassificationClasses!E:E,0))),"ERROR")</f>
        <v>Muscomorpha</v>
      </c>
      <c r="E66" s="47" t="s">
        <v>326</v>
      </c>
      <c r="F66" s="47" t="s">
        <v>751</v>
      </c>
      <c r="G66" s="47" t="s">
        <v>752</v>
      </c>
      <c r="H66" s="49" t="s">
        <v>753</v>
      </c>
      <c r="I66" s="49" t="s">
        <v>26</v>
      </c>
      <c r="J66" s="67" t="str" cm="1">
        <f t="array" ref="J66">_xlfn.LET(_xlpm.cls,A66, _xlpm.ord,IFERROR(B66,"#N/C"), _xlpm.subord,IFERROR(C66,"#N/C"), _xlpm.infr,IFERROR(D66,"#N/C"), _xlpm.sf,IFERROR(E66,"#N/C"), _xlpm.fam,IFERROR(F66,"#N/C"), _xlpm.subfam,IF(TRIM(G66)="-","#N/C",IFERROR(G66,"#N/C")),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_xlpm.fallback,IF(IFERROR(B66,"#N/C")="#N/C",A66,IF(IFERROR(C66,"#N/C")="#N/C",B66,IF(IFERROR(D66,"#N/C")="#N/C",C66,IF(IFERROR(E66,"#N/C")="#N/C",D66,IF(IFERROR(F66,"#N/C")="#N/C",E66,IF(IFERROR(G66,"#N/C")="#N/C",F66,"#N/C")))))), _xlpm.finalResult,IF(OR(_xlpm.computedResult="",_xlpm.computedResult="#N/C"),_xlpm.fallback,_xlpm.computedResult), INDEX(_xlpm.finalResult,1))</f>
        <v>flesh_fly</v>
      </c>
      <c r="K66" s="45" t="str">
        <f t="shared" si="0"/>
        <v>Insecta.Diptera.Brachycera.Muscomorpha.Oestroidea.Calliphoridae.Calliphorinae.Bellardia.#N/C</v>
      </c>
      <c r="L66" s="44">
        <f>+COUNTIF([1]Monitoring!AN:AN,K66)</f>
        <v>2</v>
      </c>
    </row>
    <row r="67" spans="1:12" x14ac:dyDescent="0.3">
      <c r="A67" s="46" t="s">
        <v>28</v>
      </c>
      <c r="B67" s="46" t="s">
        <v>29</v>
      </c>
      <c r="C67" s="46" t="s">
        <v>30</v>
      </c>
      <c r="D67" s="47" t="str">
        <f>+IFERROR(IF(E67="#N/C","#N/C",INDEX([1]ClassificationClasses!D:D,MATCH(E67,[1]ClassificationClasses!E:E,0))),"ERROR")</f>
        <v>Muscomorpha</v>
      </c>
      <c r="E67" s="46" t="s">
        <v>326</v>
      </c>
      <c r="F67" s="46" t="s">
        <v>754</v>
      </c>
      <c r="H67" s="48" t="s">
        <v>755</v>
      </c>
      <c r="I67" s="48" t="s">
        <v>26</v>
      </c>
      <c r="J67" s="67" t="str" cm="1">
        <f t="array" ref="J67">_xlfn.LET(_xlpm.cls,A67, _xlpm.ord,IFERROR(B67,"#N/C"), _xlpm.subord,IFERROR(C67,"#N/C"), _xlpm.infr,IFERROR(D67,"#N/C"), _xlpm.sf,IFERROR(E67,"#N/C"), _xlpm.fam,IFERROR(F67,"#N/C"), _xlpm.subfam,IF(TRIM(G67)="-","#N/C",IFERROR(G67,"#N/C")),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_xlpm.fallback,IF(IFERROR(B67,"#N/C")="#N/C",A67,IF(IFERROR(C67,"#N/C")="#N/C",B67,IF(IFERROR(D67,"#N/C")="#N/C",C67,IF(IFERROR(E67,"#N/C")="#N/C",D67,IF(IFERROR(F67,"#N/C")="#N/C",E67,IF(IFERROR(G67,"#N/C")="#N/C",F67,"#N/C")))))), _xlpm.finalResult,IF(OR(_xlpm.computedResult="",_xlpm.computedResult="#N/C"),_xlpm.fallback,_xlpm.computedResult), INDEX(_xlpm.finalResult,1))</f>
        <v>flesh_fly</v>
      </c>
      <c r="K67" s="45" t="str">
        <f t="shared" ref="K67:K130" si="1">+CONCATENATE(A67,".",B67,".",C67,".",D67,".",E67,".",F67,".",G67,".",H67,".",I67)</f>
        <v>Insecta.Diptera.Brachycera.Muscomorpha.Oestroidea.Rhinophoridae..Paykullia.#N/C</v>
      </c>
      <c r="L67" s="44">
        <f>+COUNTIF([1]Monitoring!AN:AN,K67)</f>
        <v>0</v>
      </c>
    </row>
    <row r="68" spans="1:12" x14ac:dyDescent="0.3">
      <c r="A68" s="46" t="s">
        <v>28</v>
      </c>
      <c r="B68" s="46" t="s">
        <v>29</v>
      </c>
      <c r="C68" s="46" t="s">
        <v>30</v>
      </c>
      <c r="D68" s="47" t="str">
        <f>+IFERROR(IF(E68="#N/C","#N/C",INDEX([1]ClassificationClasses!D:D,MATCH(E68,[1]ClassificationClasses!E:E,0))),"ERROR")</f>
        <v>Muscomorpha</v>
      </c>
      <c r="E68" s="46" t="s">
        <v>326</v>
      </c>
      <c r="F68" s="46" t="s">
        <v>756</v>
      </c>
      <c r="G68" s="46" t="s">
        <v>26</v>
      </c>
      <c r="H68" s="48" t="s">
        <v>26</v>
      </c>
      <c r="I68" s="48" t="s">
        <v>26</v>
      </c>
      <c r="J68" s="67" t="str" cm="1">
        <f t="array" ref="J68">_xlfn.LET(_xlpm.cls,A68, _xlpm.ord,IFERROR(B68,"#N/C"), _xlpm.subord,IFERROR(C68,"#N/C"), _xlpm.infr,IFERROR(D68,"#N/C"), _xlpm.sf,IFERROR(E68,"#N/C"), _xlpm.fam,IFERROR(F68,"#N/C"), _xlpm.subfam,IF(TRIM(G68)="-","#N/C",IFERROR(G68,"#N/C")),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_xlpm.fallback,IF(IFERROR(B68,"#N/C")="#N/C",A68,IF(IFERROR(C68,"#N/C")="#N/C",B68,IF(IFERROR(D68,"#N/C")="#N/C",C68,IF(IFERROR(E68,"#N/C")="#N/C",D68,IF(IFERROR(F68,"#N/C")="#N/C",E68,IF(IFERROR(G68,"#N/C")="#N/C",F68,"#N/C")))))), _xlpm.finalResult,IF(OR(_xlpm.computedResult="",_xlpm.computedResult="#N/C"),_xlpm.fallback,_xlpm.computedResult), INDEX(_xlpm.finalResult,1))</f>
        <v>Oestroidea</v>
      </c>
      <c r="K68" s="45" t="str">
        <f t="shared" si="1"/>
        <v>Insecta.Diptera.Brachycera.Muscomorpha.Oestroidea.Sacrophagidae.#N/C.#N/C.#N/C</v>
      </c>
      <c r="L68" s="44">
        <f>+COUNTIF([1]Monitoring!AN:AN,K68)</f>
        <v>2</v>
      </c>
    </row>
    <row r="69" spans="1:12" x14ac:dyDescent="0.3">
      <c r="A69" s="46" t="s">
        <v>28</v>
      </c>
      <c r="B69" s="46" t="s">
        <v>29</v>
      </c>
      <c r="C69" s="46" t="s">
        <v>30</v>
      </c>
      <c r="D69" s="47" t="str">
        <f>+IFERROR(IF(E69="#N/C","#N/C",INDEX([1]ClassificationClasses!D:D,MATCH(E69,[1]ClassificationClasses!E:E,0))),"ERROR")</f>
        <v>Muscomorpha</v>
      </c>
      <c r="E69" s="46" t="s">
        <v>326</v>
      </c>
      <c r="F69" s="46" t="s">
        <v>366</v>
      </c>
      <c r="G69" s="46" t="s">
        <v>26</v>
      </c>
      <c r="H69" s="48" t="s">
        <v>26</v>
      </c>
      <c r="I69" s="48" t="s">
        <v>26</v>
      </c>
      <c r="J69" s="67" t="str" cm="1">
        <f t="array" ref="J69">_xlfn.LET(_xlpm.cls,A69, _xlpm.ord,IFERROR(B69,"#N/C"), _xlpm.subord,IFERROR(C69,"#N/C"), _xlpm.infr,IFERROR(D69,"#N/C"), _xlpm.sf,IFERROR(E69,"#N/C"), _xlpm.fam,IFERROR(F69,"#N/C"), _xlpm.subfam,IF(TRIM(G69)="-","#N/C",IFERROR(G69,"#N/C")),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_xlpm.fallback,IF(IFERROR(B69,"#N/C")="#N/C",A69,IF(IFERROR(C69,"#N/C")="#N/C",B69,IF(IFERROR(D69,"#N/C")="#N/C",C69,IF(IFERROR(E69,"#N/C")="#N/C",D69,IF(IFERROR(F69,"#N/C")="#N/C",E69,IF(IFERROR(G69,"#N/C")="#N/C",F69,"#N/C")))))), _xlpm.finalResult,IF(OR(_xlpm.computedResult="",_xlpm.computedResult="#N/C"),_xlpm.fallback,_xlpm.computedResult), INDEX(_xlpm.finalResult,1))</f>
        <v>flesh_fly</v>
      </c>
      <c r="K69" s="45" t="str">
        <f t="shared" si="1"/>
        <v>Insecta.Diptera.Brachycera.Muscomorpha.Oestroidea.Sarcophagidae.#N/C.#N/C.#N/C</v>
      </c>
      <c r="L69" s="44">
        <f>+COUNTIF([1]Monitoring!AN:AN,K69)</f>
        <v>12</v>
      </c>
    </row>
    <row r="70" spans="1:12" x14ac:dyDescent="0.3">
      <c r="A70" s="47" t="s">
        <v>28</v>
      </c>
      <c r="B70" s="47" t="s">
        <v>29</v>
      </c>
      <c r="C70" s="47" t="s">
        <v>30</v>
      </c>
      <c r="D70" s="47" t="str">
        <f>+IFERROR(IF(E70="#N/C","#N/C",INDEX([1]ClassificationClasses!D:D,MATCH(E70,[1]ClassificationClasses!E:E,0))),"ERROR")</f>
        <v>Muscomorpha</v>
      </c>
      <c r="E70" s="47" t="s">
        <v>326</v>
      </c>
      <c r="F70" s="47" t="s">
        <v>366</v>
      </c>
      <c r="G70" s="47" t="s">
        <v>367</v>
      </c>
      <c r="H70" s="49" t="s">
        <v>26</v>
      </c>
      <c r="I70" s="49" t="s">
        <v>26</v>
      </c>
      <c r="J70" s="67" t="str" cm="1">
        <f t="array" ref="J70">_xlfn.LET(_xlpm.cls,A70, _xlpm.ord,IFERROR(B70,"#N/C"), _xlpm.subord,IFERROR(C70,"#N/C"), _xlpm.infr,IFERROR(D70,"#N/C"), _xlpm.sf,IFERROR(E70,"#N/C"), _xlpm.fam,IFERROR(F70,"#N/C"), _xlpm.subfam,IF(TRIM(G70)="-","#N/C",IFERROR(G70,"#N/C")),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_xlpm.fallback,IF(IFERROR(B70,"#N/C")="#N/C",A70,IF(IFERROR(C70,"#N/C")="#N/C",B70,IF(IFERROR(D70,"#N/C")="#N/C",C70,IF(IFERROR(E70,"#N/C")="#N/C",D70,IF(IFERROR(F70,"#N/C")="#N/C",E70,IF(IFERROR(G70,"#N/C")="#N/C",F70,"#N/C")))))), _xlpm.finalResult,IF(OR(_xlpm.computedResult="",_xlpm.computedResult="#N/C"),_xlpm.fallback,_xlpm.computedResult), INDEX(_xlpm.finalResult,1))</f>
        <v>flesh_fly</v>
      </c>
      <c r="K70" s="45" t="str">
        <f t="shared" si="1"/>
        <v>Insecta.Diptera.Brachycera.Muscomorpha.Oestroidea.Sarcophagidae.Sarcophaginae.#N/C.#N/C</v>
      </c>
      <c r="L70" s="44">
        <f>+COUNTIF([1]Monitoring!AN:AN,K70)</f>
        <v>5</v>
      </c>
    </row>
    <row r="71" spans="1:12" x14ac:dyDescent="0.3">
      <c r="A71" s="47" t="s">
        <v>28</v>
      </c>
      <c r="B71" s="47" t="s">
        <v>29</v>
      </c>
      <c r="C71" s="47" t="s">
        <v>30</v>
      </c>
      <c r="D71" s="47" t="str">
        <f>+IFERROR(IF(E71="#N/C","#N/C",INDEX([1]ClassificationClasses!D:D,MATCH(E71,[1]ClassificationClasses!E:E,0))),"ERROR")</f>
        <v>Muscomorpha</v>
      </c>
      <c r="E71" s="47" t="s">
        <v>326</v>
      </c>
      <c r="F71" s="47" t="s">
        <v>366</v>
      </c>
      <c r="G71" s="47" t="s">
        <v>367</v>
      </c>
      <c r="H71" s="49" t="s">
        <v>368</v>
      </c>
      <c r="I71" s="49" t="s">
        <v>26</v>
      </c>
      <c r="J71" s="67" t="str" cm="1">
        <f t="array" ref="J71">_xlfn.LET(_xlpm.cls,A71, _xlpm.ord,IFERROR(B71,"#N/C"), _xlpm.subord,IFERROR(C71,"#N/C"), _xlpm.infr,IFERROR(D71,"#N/C"), _xlpm.sf,IFERROR(E71,"#N/C"), _xlpm.fam,IFERROR(F71,"#N/C"), _xlpm.subfam,IF(TRIM(G71)="-","#N/C",IFERROR(G71,"#N/C")),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_xlpm.fallback,IF(IFERROR(B71,"#N/C")="#N/C",A71,IF(IFERROR(C71,"#N/C")="#N/C",B71,IF(IFERROR(D71,"#N/C")="#N/C",C71,IF(IFERROR(E71,"#N/C")="#N/C",D71,IF(IFERROR(F71,"#N/C")="#N/C",E71,IF(IFERROR(G71,"#N/C")="#N/C",F71,"#N/C")))))), _xlpm.finalResult,IF(OR(_xlpm.computedResult="",_xlpm.computedResult="#N/C"),_xlpm.fallback,_xlpm.computedResult), INDEX(_xlpm.finalResult,1))</f>
        <v>flesh_fly</v>
      </c>
      <c r="K71" s="45" t="str">
        <f t="shared" si="1"/>
        <v>Insecta.Diptera.Brachycera.Muscomorpha.Oestroidea.Sarcophagidae.Sarcophaginae.Sarcophaga.#N/C</v>
      </c>
      <c r="L71" s="44">
        <f>+COUNTIF([1]Monitoring!AN:AN,K71)</f>
        <v>8</v>
      </c>
    </row>
    <row r="72" spans="1:12" x14ac:dyDescent="0.3">
      <c r="A72" s="46" t="s">
        <v>28</v>
      </c>
      <c r="B72" s="46" t="s">
        <v>29</v>
      </c>
      <c r="C72" s="46" t="s">
        <v>30</v>
      </c>
      <c r="D72" s="47" t="str">
        <f>+IFERROR(IF(E72="#N/C","#N/C",INDEX([1]ClassificationClasses!D:D,MATCH(E72,[1]ClassificationClasses!E:E,0))),"ERROR")</f>
        <v>Muscomorpha</v>
      </c>
      <c r="E72" s="46" t="s">
        <v>326</v>
      </c>
      <c r="F72" s="46" t="s">
        <v>516</v>
      </c>
      <c r="G72" s="46" t="s">
        <v>26</v>
      </c>
      <c r="H72" s="48" t="s">
        <v>26</v>
      </c>
      <c r="I72" s="48" t="s">
        <v>26</v>
      </c>
      <c r="J72" s="67" t="str" cm="1">
        <f t="array" ref="J72">_xlfn.LET(_xlpm.cls,A72, _xlpm.ord,IFERROR(B72,"#N/C"), _xlpm.subord,IFERROR(C72,"#N/C"), _xlpm.infr,IFERROR(D72,"#N/C"), _xlpm.sf,IFERROR(E72,"#N/C"), _xlpm.fam,IFERROR(F72,"#N/C"), _xlpm.subfam,IF(TRIM(G72)="-","#N/C",IFERROR(G72,"#N/C")),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_xlpm.fallback,IF(IFERROR(B72,"#N/C")="#N/C",A72,IF(IFERROR(C72,"#N/C")="#N/C",B72,IF(IFERROR(D72,"#N/C")="#N/C",C72,IF(IFERROR(E72,"#N/C")="#N/C",D72,IF(IFERROR(F72,"#N/C")="#N/C",E72,IF(IFERROR(G72,"#N/C")="#N/C",F72,"#N/C")))))), _xlpm.finalResult,IF(OR(_xlpm.computedResult="",_xlpm.computedResult="#N/C"),_xlpm.fallback,_xlpm.computedResult), INDEX(_xlpm.finalResult,1))</f>
        <v>flesh_fly</v>
      </c>
      <c r="K72" s="45" t="str">
        <f t="shared" si="1"/>
        <v>Insecta.Diptera.Brachycera.Muscomorpha.Oestroidea.Tachinidae.#N/C.#N/C.#N/C</v>
      </c>
      <c r="L72" s="44">
        <f>+COUNTIF([1]Monitoring!AN:AN,K72)</f>
        <v>2</v>
      </c>
    </row>
    <row r="73" spans="1:12" x14ac:dyDescent="0.3">
      <c r="A73" s="46" t="s">
        <v>28</v>
      </c>
      <c r="B73" s="46" t="s">
        <v>29</v>
      </c>
      <c r="C73" s="46" t="s">
        <v>30</v>
      </c>
      <c r="D73" s="47" t="str">
        <f>+IFERROR(IF(E73="#N/C","#N/C",INDEX([1]ClassificationClasses!D:D,MATCH(E73,[1]ClassificationClasses!E:E,0))),"ERROR")</f>
        <v>Muscomorpha</v>
      </c>
      <c r="E73" s="46" t="s">
        <v>326</v>
      </c>
      <c r="F73" s="46" t="s">
        <v>516</v>
      </c>
      <c r="G73" s="46" t="s">
        <v>757</v>
      </c>
      <c r="H73" s="48" t="s">
        <v>26</v>
      </c>
      <c r="I73" s="48" t="s">
        <v>26</v>
      </c>
      <c r="J73" s="67" t="str" cm="1">
        <f t="array" ref="J73">_xlfn.LET(_xlpm.cls,A73, _xlpm.ord,IFERROR(B73,"#N/C"), _xlpm.subord,IFERROR(C73,"#N/C"), _xlpm.infr,IFERROR(D73,"#N/C"), _xlpm.sf,IFERROR(E73,"#N/C"), _xlpm.fam,IFERROR(F73,"#N/C"), _xlpm.subfam,IF(TRIM(G73)="-","#N/C",IFERROR(G73,"#N/C")),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_xlpm.fallback,IF(IFERROR(B73,"#N/C")="#N/C",A73,IF(IFERROR(C73,"#N/C")="#N/C",B73,IF(IFERROR(D73,"#N/C")="#N/C",C73,IF(IFERROR(E73,"#N/C")="#N/C",D73,IF(IFERROR(F73,"#N/C")="#N/C",E73,IF(IFERROR(G73,"#N/C")="#N/C",F73,"#N/C")))))), _xlpm.finalResult,IF(OR(_xlpm.computedResult="",_xlpm.computedResult="#N/C"),_xlpm.fallback,_xlpm.computedResult), INDEX(_xlpm.finalResult,1))</f>
        <v>flesh_fly</v>
      </c>
      <c r="K73" s="45" t="str">
        <f t="shared" si="1"/>
        <v>Insecta.Diptera.Brachycera.Muscomorpha.Oestroidea.Tachinidae.Exoristinae.#N/C.#N/C</v>
      </c>
      <c r="L73" s="44">
        <f>+COUNTIF([1]Monitoring!AN:AN,K73)</f>
        <v>1</v>
      </c>
    </row>
    <row r="74" spans="1:12" x14ac:dyDescent="0.3">
      <c r="A74" s="46" t="s">
        <v>28</v>
      </c>
      <c r="B74" s="46" t="s">
        <v>29</v>
      </c>
      <c r="C74" s="46" t="s">
        <v>30</v>
      </c>
      <c r="D74" s="47" t="str">
        <f>+IFERROR(IF(E74="#N/C","#N/C",INDEX([1]ClassificationClasses!D:D,MATCH(E74,[1]ClassificationClasses!E:E,0))),"ERROR")</f>
        <v>Muscomorpha</v>
      </c>
      <c r="E74" s="46" t="s">
        <v>326</v>
      </c>
      <c r="F74" s="46" t="s">
        <v>516</v>
      </c>
      <c r="G74" s="46" t="s">
        <v>517</v>
      </c>
      <c r="H74" s="48" t="s">
        <v>703</v>
      </c>
      <c r="I74" s="48" t="s">
        <v>26</v>
      </c>
      <c r="J74" s="67" t="str" cm="1">
        <f t="array" ref="J74">_xlfn.LET(_xlpm.cls,A74, _xlpm.ord,IFERROR(B74,"#N/C"), _xlpm.subord,IFERROR(C74,"#N/C"), _xlpm.infr,IFERROR(D74,"#N/C"), _xlpm.sf,IFERROR(E74,"#N/C"), _xlpm.fam,IFERROR(F74,"#N/C"), _xlpm.subfam,IF(TRIM(G74)="-","#N/C",IFERROR(G74,"#N/C")),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_xlpm.fallback,IF(IFERROR(B74,"#N/C")="#N/C",A74,IF(IFERROR(C74,"#N/C")="#N/C",B74,IF(IFERROR(D74,"#N/C")="#N/C",C74,IF(IFERROR(E74,"#N/C")="#N/C",D74,IF(IFERROR(F74,"#N/C")="#N/C",E74,IF(IFERROR(G74,"#N/C")="#N/C",F74,"#N/C")))))), _xlpm.finalResult,IF(OR(_xlpm.computedResult="",_xlpm.computedResult="#N/C"),_xlpm.fallback,_xlpm.computedResult), INDEX(_xlpm.finalResult,1))</f>
        <v>flesh_fly</v>
      </c>
      <c r="K74" s="45" t="str">
        <f t="shared" si="1"/>
        <v>Insecta.Diptera.Brachycera.Muscomorpha.Oestroidea.Tachinidae.Phasiinae.Ectophasia.#N/C</v>
      </c>
      <c r="L74" s="44">
        <f>+COUNTIF([1]Monitoring!AN:AN,K74)</f>
        <v>0</v>
      </c>
    </row>
    <row r="75" spans="1:12" x14ac:dyDescent="0.3">
      <c r="A75" s="47" t="s">
        <v>28</v>
      </c>
      <c r="B75" s="47" t="s">
        <v>29</v>
      </c>
      <c r="C75" s="47" t="s">
        <v>30</v>
      </c>
      <c r="D75" s="47" t="str">
        <f>+IFERROR(IF(E75="#N/C","#N/C",INDEX([1]ClassificationClasses!D:D,MATCH(E75,[1]ClassificationClasses!E:E,0))),"ERROR")</f>
        <v>Muscomorpha</v>
      </c>
      <c r="E75" s="47" t="s">
        <v>326</v>
      </c>
      <c r="F75" s="47" t="s">
        <v>516</v>
      </c>
      <c r="G75" s="47" t="s">
        <v>517</v>
      </c>
      <c r="H75" s="49" t="s">
        <v>518</v>
      </c>
      <c r="I75" s="49" t="s">
        <v>26</v>
      </c>
      <c r="J75" s="67" t="str" cm="1">
        <f t="array" ref="J75">_xlfn.LET(_xlpm.cls,A75, _xlpm.ord,IFERROR(B75,"#N/C"), _xlpm.subord,IFERROR(C75,"#N/C"), _xlpm.infr,IFERROR(D75,"#N/C"), _xlpm.sf,IFERROR(E75,"#N/C"), _xlpm.fam,IFERROR(F75,"#N/C"), _xlpm.subfam,IF(TRIM(G75)="-","#N/C",IFERROR(G75,"#N/C")),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_xlpm.fallback,IF(IFERROR(B75,"#N/C")="#N/C",A75,IF(IFERROR(C75,"#N/C")="#N/C",B75,IF(IFERROR(D75,"#N/C")="#N/C",C75,IF(IFERROR(E75,"#N/C")="#N/C",D75,IF(IFERROR(F75,"#N/C")="#N/C",E75,IF(IFERROR(G75,"#N/C")="#N/C",F75,"#N/C")))))), _xlpm.finalResult,IF(OR(_xlpm.computedResult="",_xlpm.computedResult="#N/C"),_xlpm.fallback,_xlpm.computedResult), INDEX(_xlpm.finalResult,1))</f>
        <v>flesh_fly</v>
      </c>
      <c r="K75" s="45" t="str">
        <f t="shared" si="1"/>
        <v>Insecta.Diptera.Brachycera.Muscomorpha.Oestroidea.Tachinidae.Phasiinae.Gymnosoma.#N/C</v>
      </c>
      <c r="L75" s="44">
        <f>+COUNTIF([1]Monitoring!AN:AN,K75)</f>
        <v>0</v>
      </c>
    </row>
    <row r="76" spans="1:12" x14ac:dyDescent="0.3">
      <c r="A76" s="47" t="s">
        <v>28</v>
      </c>
      <c r="B76" s="47" t="s">
        <v>29</v>
      </c>
      <c r="C76" s="47" t="s">
        <v>30</v>
      </c>
      <c r="D76" s="47" t="str">
        <f>+IFERROR(IF(E76="#N/C","#N/C",INDEX([1]ClassificationClasses!D:D,MATCH(E76,[1]ClassificationClasses!E:E,0))),"ERROR")</f>
        <v>Muscomorpha</v>
      </c>
      <c r="E76" s="47" t="s">
        <v>326</v>
      </c>
      <c r="F76" s="47" t="s">
        <v>516</v>
      </c>
      <c r="G76" s="47" t="s">
        <v>758</v>
      </c>
      <c r="H76" s="49" t="s">
        <v>759</v>
      </c>
      <c r="I76" s="49" t="s">
        <v>26</v>
      </c>
      <c r="J76" s="67" t="str" cm="1">
        <f t="array" ref="J76">_xlfn.LET(_xlpm.cls,A76, _xlpm.ord,IFERROR(B76,"#N/C"), _xlpm.subord,IFERROR(C76,"#N/C"), _xlpm.infr,IFERROR(D76,"#N/C"), _xlpm.sf,IFERROR(E76,"#N/C"), _xlpm.fam,IFERROR(F76,"#N/C"), _xlpm.subfam,IF(TRIM(G76)="-","#N/C",IFERROR(G76,"#N/C")),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_xlpm.fallback,IF(IFERROR(B76,"#N/C")="#N/C",A76,IF(IFERROR(C76,"#N/C")="#N/C",B76,IF(IFERROR(D76,"#N/C")="#N/C",C76,IF(IFERROR(E76,"#N/C")="#N/C",D76,IF(IFERROR(F76,"#N/C")="#N/C",E76,IF(IFERROR(G76,"#N/C")="#N/C",F76,"#N/C")))))), _xlpm.finalResult,IF(OR(_xlpm.computedResult="",_xlpm.computedResult="#N/C"),_xlpm.fallback,_xlpm.computedResult), INDEX(_xlpm.finalResult,1))</f>
        <v>flesh_fly</v>
      </c>
      <c r="K76" s="45" t="str">
        <f t="shared" si="1"/>
        <v>Insecta.Diptera.Brachycera.Muscomorpha.Oestroidea.Tachinidae.Tachininae.Tachina.#N/C</v>
      </c>
      <c r="L76" s="44">
        <f>+COUNTIF([1]Monitoring!AN:AN,K76)</f>
        <v>7</v>
      </c>
    </row>
    <row r="77" spans="1:12" x14ac:dyDescent="0.3">
      <c r="A77" s="46" t="s">
        <v>28</v>
      </c>
      <c r="B77" s="46" t="s">
        <v>29</v>
      </c>
      <c r="C77" s="46" t="s">
        <v>30</v>
      </c>
      <c r="D77" s="47" t="str">
        <f>+IFERROR(IF(E77="#N/C","#N/C",INDEX([1]ClassificationClasses!D:D,MATCH(E77,[1]ClassificationClasses!E:E,0))),"ERROR")</f>
        <v>Muscomorpha</v>
      </c>
      <c r="E77" s="50" t="s">
        <v>224</v>
      </c>
      <c r="F77" s="46" t="s">
        <v>225</v>
      </c>
      <c r="H77" s="48" t="s">
        <v>760</v>
      </c>
      <c r="I77" s="48" t="s">
        <v>761</v>
      </c>
      <c r="J77" s="67" t="str" cm="1">
        <f t="array" ref="J77">_xlfn.LET(_xlpm.cls,A77, _xlpm.ord,IFERROR(B77,"#N/C"), _xlpm.subord,IFERROR(C77,"#N/C"), _xlpm.infr,IFERROR(D77,"#N/C"), _xlpm.sf,IFERROR(E77,"#N/C"), _xlpm.fam,IFERROR(F77,"#N/C"), _xlpm.subfam,IF(TRIM(G77)="-","#N/C",IFERROR(G77,"#N/C")),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_xlpm.fallback,IF(IFERROR(B77,"#N/C")="#N/C",A77,IF(IFERROR(C77,"#N/C")="#N/C",B77,IF(IFERROR(D77,"#N/C")="#N/C",C77,IF(IFERROR(E77,"#N/C")="#N/C",D77,IF(IFERROR(F77,"#N/C")="#N/C",E77,IF(IFERROR(G77,"#N/C")="#N/C",F77,"#N/C")))))), _xlpm.finalResult,IF(OR(_xlpm.computedResult="",_xlpm.computedResult="#N/C"),_xlpm.fallback,_xlpm.computedResult), INDEX(_xlpm.finalResult,1))</f>
        <v>fly</v>
      </c>
      <c r="K77" s="45" t="str">
        <f t="shared" si="1"/>
        <v>Insecta.Diptera.Brachycera.Muscomorpha.Opomyzoidea.Opomyzidae..Geomyza.tripunctata</v>
      </c>
      <c r="L77" s="44">
        <f>+COUNTIF([1]Monitoring!AN:AN,K77)</f>
        <v>0</v>
      </c>
    </row>
    <row r="78" spans="1:12" x14ac:dyDescent="0.3">
      <c r="A78" s="47" t="s">
        <v>28</v>
      </c>
      <c r="B78" s="47" t="s">
        <v>29</v>
      </c>
      <c r="C78" s="47" t="s">
        <v>30</v>
      </c>
      <c r="D78" s="47" t="str">
        <f>+IFERROR(IF(E78="#N/C","#N/C",INDEX([1]ClassificationClasses!D:D,MATCH(E78,[1]ClassificationClasses!E:E,0))),"ERROR")</f>
        <v>Muscomorpha</v>
      </c>
      <c r="E78" s="51" t="s">
        <v>224</v>
      </c>
      <c r="F78" s="47" t="s">
        <v>225</v>
      </c>
      <c r="G78" s="47" t="s">
        <v>26</v>
      </c>
      <c r="H78" s="49" t="s">
        <v>26</v>
      </c>
      <c r="I78" s="49" t="s">
        <v>26</v>
      </c>
      <c r="J78" s="67" t="str" cm="1">
        <f t="array" ref="J78">_xlfn.LET(_xlpm.cls,A78, _xlpm.ord,IFERROR(B78,"#N/C"), _xlpm.subord,IFERROR(C78,"#N/C"), _xlpm.infr,IFERROR(D78,"#N/C"), _xlpm.sf,IFERROR(E78,"#N/C"), _xlpm.fam,IFERROR(F78,"#N/C"), _xlpm.subfam,IF(TRIM(G78)="-","#N/C",IFERROR(G78,"#N/C")),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_xlpm.fallback,IF(IFERROR(B78,"#N/C")="#N/C",A78,IF(IFERROR(C78,"#N/C")="#N/C",B78,IF(IFERROR(D78,"#N/C")="#N/C",C78,IF(IFERROR(E78,"#N/C")="#N/C",D78,IF(IFERROR(F78,"#N/C")="#N/C",E78,IF(IFERROR(G78,"#N/C")="#N/C",F78,"#N/C")))))), _xlpm.finalResult,IF(OR(_xlpm.computedResult="",_xlpm.computedResult="#N/C"),_xlpm.fallback,_xlpm.computedResult), INDEX(_xlpm.finalResult,1))</f>
        <v>fly</v>
      </c>
      <c r="K78" s="45" t="str">
        <f t="shared" si="1"/>
        <v>Insecta.Diptera.Brachycera.Muscomorpha.Opomyzoidea.Opomyzidae.#N/C.#N/C.#N/C</v>
      </c>
      <c r="L78" s="44">
        <f>+COUNTIF([1]Monitoring!AN:AN,K78)</f>
        <v>0</v>
      </c>
    </row>
    <row r="79" spans="1:12" x14ac:dyDescent="0.3">
      <c r="A79" s="47" t="s">
        <v>28</v>
      </c>
      <c r="B79" s="47" t="s">
        <v>29</v>
      </c>
      <c r="C79" s="47" t="s">
        <v>30</v>
      </c>
      <c r="D79" s="47" t="str">
        <f>+IFERROR(IF(E79="#N/C","#N/C",INDEX([1]ClassificationClasses!D:D,MATCH(E79,[1]ClassificationClasses!E:E,0))),"ERROR")</f>
        <v>Muscomorpha</v>
      </c>
      <c r="E79" s="51" t="s">
        <v>762</v>
      </c>
      <c r="F79" s="47" t="s">
        <v>763</v>
      </c>
      <c r="G79" s="47"/>
      <c r="H79" s="49" t="s">
        <v>764</v>
      </c>
      <c r="I79" s="49" t="s">
        <v>26</v>
      </c>
      <c r="J79" s="67" t="str" cm="1">
        <f t="array" ref="J79">_xlfn.LET(_xlpm.cls,A79, _xlpm.ord,IFERROR(B79,"#N/C"), _xlpm.subord,IFERROR(C79,"#N/C"), _xlpm.infr,IFERROR(D79,"#N/C"), _xlpm.sf,IFERROR(E79,"#N/C"), _xlpm.fam,IFERROR(F79,"#N/C"), _xlpm.subfam,IF(TRIM(G79)="-","#N/C",IFERROR(G79,"#N/C")),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_xlpm.fallback,IF(IFERROR(B79,"#N/C")="#N/C",A79,IF(IFERROR(C79,"#N/C")="#N/C",B79,IF(IFERROR(D79,"#N/C")="#N/C",C79,IF(IFERROR(E79,"#N/C")="#N/C",D79,IF(IFERROR(F79,"#N/C")="#N/C",E79,IF(IFERROR(G79,"#N/C")="#N/C",F79,"#N/C")))))), _xlpm.finalResult,IF(OR(_xlpm.computedResult="",_xlpm.computedResult="#N/C"),_xlpm.fallback,_xlpm.computedResult), INDEX(_xlpm.finalResult,1))</f>
        <v>fly</v>
      </c>
      <c r="K79" s="45" t="str">
        <f t="shared" si="1"/>
        <v>Insecta.Diptera.Brachycera.Muscomorpha.Phoroidea.Lonchopteridae..Lonchoptera.#N/C</v>
      </c>
      <c r="L79" s="44">
        <f>+COUNTIF([1]Monitoring!AN:AN,K79)</f>
        <v>0</v>
      </c>
    </row>
    <row r="80" spans="1:12" x14ac:dyDescent="0.3">
      <c r="A80" s="47" t="s">
        <v>28</v>
      </c>
      <c r="B80" s="47" t="s">
        <v>29</v>
      </c>
      <c r="C80" s="47" t="s">
        <v>30</v>
      </c>
      <c r="D80" s="47" t="str">
        <f>+IFERROR(IF(E80="#N/C","#N/C",INDEX([1]ClassificationClasses!D:D,MATCH(E80,[1]ClassificationClasses!E:E,0))),"ERROR")</f>
        <v>Muscomorpha</v>
      </c>
      <c r="E80" s="51" t="s">
        <v>762</v>
      </c>
      <c r="F80" s="47" t="s">
        <v>765</v>
      </c>
      <c r="G80" s="47" t="s">
        <v>26</v>
      </c>
      <c r="H80" s="49" t="s">
        <v>26</v>
      </c>
      <c r="I80" s="49" t="s">
        <v>26</v>
      </c>
      <c r="J80" s="67" t="str" cm="1">
        <f t="array" ref="J80">_xlfn.LET(_xlpm.cls,A80, _xlpm.ord,IFERROR(B80,"#N/C"), _xlpm.subord,IFERROR(C80,"#N/C"), _xlpm.infr,IFERROR(D80,"#N/C"), _xlpm.sf,IFERROR(E80,"#N/C"), _xlpm.fam,IFERROR(F80,"#N/C"), _xlpm.subfam,IF(TRIM(G80)="-","#N/C",IFERROR(G80,"#N/C")),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_xlpm.fallback,IF(IFERROR(B80,"#N/C")="#N/C",A80,IF(IFERROR(C80,"#N/C")="#N/C",B80,IF(IFERROR(D80,"#N/C")="#N/C",C80,IF(IFERROR(E80,"#N/C")="#N/C",D80,IF(IFERROR(F80,"#N/C")="#N/C",E80,IF(IFERROR(G80,"#N/C")="#N/C",F80,"#N/C")))))), _xlpm.finalResult,IF(OR(_xlpm.computedResult="",_xlpm.computedResult="#N/C"),_xlpm.fallback,_xlpm.computedResult), INDEX(_xlpm.finalResult,1))</f>
        <v>fly</v>
      </c>
      <c r="K80" s="45" t="str">
        <f t="shared" si="1"/>
        <v>Insecta.Diptera.Brachycera.Muscomorpha.Phoroidea.Phoridae.#N/C.#N/C.#N/C</v>
      </c>
      <c r="L80" s="44">
        <f>+COUNTIF([1]Monitoring!AN:AN,K80)</f>
        <v>1</v>
      </c>
    </row>
    <row r="81" spans="1:12" x14ac:dyDescent="0.3">
      <c r="A81" s="46" t="s">
        <v>28</v>
      </c>
      <c r="B81" s="46" t="s">
        <v>29</v>
      </c>
      <c r="C81" s="46" t="s">
        <v>30</v>
      </c>
      <c r="D81" s="47" t="str">
        <f>+IFERROR(IF(E81="#N/C","#N/C",INDEX([1]ClassificationClasses!D:D,MATCH(E81,[1]ClassificationClasses!E:E,0))),"ERROR")</f>
        <v>Muscomorpha</v>
      </c>
      <c r="E81" s="50" t="s">
        <v>762</v>
      </c>
      <c r="F81" s="46" t="s">
        <v>765</v>
      </c>
      <c r="G81" s="46" t="s">
        <v>766</v>
      </c>
      <c r="H81" s="48" t="s">
        <v>767</v>
      </c>
      <c r="I81" s="48" t="s">
        <v>26</v>
      </c>
      <c r="J81" s="67" t="str" cm="1">
        <f t="array" ref="J81">_xlfn.LET(_xlpm.cls,A81, _xlpm.ord,IFERROR(B81,"#N/C"), _xlpm.subord,IFERROR(C81,"#N/C"), _xlpm.infr,IFERROR(D81,"#N/C"), _xlpm.sf,IFERROR(E81,"#N/C"), _xlpm.fam,IFERROR(F81,"#N/C"), _xlpm.subfam,IF(TRIM(G81)="-","#N/C",IFERROR(G81,"#N/C")),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_xlpm.fallback,IF(IFERROR(B81,"#N/C")="#N/C",A81,IF(IFERROR(C81,"#N/C")="#N/C",B81,IF(IFERROR(D81,"#N/C")="#N/C",C81,IF(IFERROR(E81,"#N/C")="#N/C",D81,IF(IFERROR(F81,"#N/C")="#N/C",E81,IF(IFERROR(G81,"#N/C")="#N/C",F81,"#N/C")))))), _xlpm.finalResult,IF(OR(_xlpm.computedResult="",_xlpm.computedResult="#N/C"),_xlpm.fallback,_xlpm.computedResult), INDEX(_xlpm.finalResult,1))</f>
        <v>fly</v>
      </c>
      <c r="K81" s="45" t="str">
        <f t="shared" si="1"/>
        <v>Insecta.Diptera.Brachycera.Muscomorpha.Phoroidea.Phoridae.Metopininae.Megaselia.#N/C</v>
      </c>
      <c r="L81" s="44">
        <f>+COUNTIF([1]Monitoring!AN:AN,K81)</f>
        <v>1</v>
      </c>
    </row>
    <row r="82" spans="1:12" x14ac:dyDescent="0.3">
      <c r="A82" s="47" t="s">
        <v>28</v>
      </c>
      <c r="B82" s="47" t="s">
        <v>29</v>
      </c>
      <c r="C82" s="47" t="s">
        <v>30</v>
      </c>
      <c r="D82" s="47" t="str">
        <f>+IFERROR(IF(E82="#N/C","#N/C",INDEX([1]ClassificationClasses!D:D,MATCH(E82,[1]ClassificationClasses!E:E,0))),"ERROR")</f>
        <v>Tabanomorpha</v>
      </c>
      <c r="E82" s="47" t="s">
        <v>633</v>
      </c>
      <c r="F82" s="47" t="s">
        <v>634</v>
      </c>
      <c r="G82" s="47" t="s">
        <v>635</v>
      </c>
      <c r="H82" s="49" t="s">
        <v>636</v>
      </c>
      <c r="I82" s="49" t="s">
        <v>637</v>
      </c>
      <c r="J82" s="67" t="str" cm="1">
        <f t="array" ref="J82">_xlfn.LET(_xlpm.cls,A82, _xlpm.ord,IFERROR(B82,"#N/C"), _xlpm.subord,IFERROR(C82,"#N/C"), _xlpm.infr,IFERROR(D82,"#N/C"), _xlpm.sf,IFERROR(E82,"#N/C"), _xlpm.fam,IFERROR(F82,"#N/C"), _xlpm.subfam,IF(TRIM(G82)="-","#N/C",IFERROR(G82,"#N/C")),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_xlpm.fallback,IF(IFERROR(B82,"#N/C")="#N/C",A82,IF(IFERROR(C82,"#N/C")="#N/C",B82,IF(IFERROR(D82,"#N/C")="#N/C",C82,IF(IFERROR(E82,"#N/C")="#N/C",D82,IF(IFERROR(F82,"#N/C")="#N/C",E82,IF(IFERROR(G82,"#N/C")="#N/C",F82,"#N/C")))))), _xlpm.finalResult,IF(OR(_xlpm.computedResult="",_xlpm.computedResult="#N/C"),_xlpm.fallback,_xlpm.computedResult), INDEX(_xlpm.finalResult,1))</f>
        <v>snipe_fly</v>
      </c>
      <c r="K82" s="45" t="str">
        <f t="shared" si="1"/>
        <v>Insecta.Diptera.Brachycera.Tabanomorpha.Rhagionoidea.Rhagionidae.Rhagioninae.Rhagio.tringarius</v>
      </c>
      <c r="L82" s="44">
        <f>+COUNTIF([1]Monitoring!AN:AN,K82)</f>
        <v>0</v>
      </c>
    </row>
    <row r="83" spans="1:12" x14ac:dyDescent="0.3">
      <c r="A83" s="52" t="s">
        <v>28</v>
      </c>
      <c r="B83" s="52" t="s">
        <v>29</v>
      </c>
      <c r="C83" s="52" t="s">
        <v>30</v>
      </c>
      <c r="D83" s="47" t="str">
        <f>+IFERROR(IF(E83="#N/C","#N/C",INDEX([1]ClassificationClasses!D:D,MATCH(E83,[1]ClassificationClasses!E:E,0))),"ERROR")</f>
        <v>Muscomorpha</v>
      </c>
      <c r="E83" s="52" t="s">
        <v>152</v>
      </c>
      <c r="F83" s="52" t="s">
        <v>630</v>
      </c>
      <c r="G83" s="52" t="s">
        <v>631</v>
      </c>
      <c r="H83" s="53" t="s">
        <v>632</v>
      </c>
      <c r="I83" s="53" t="s">
        <v>26</v>
      </c>
      <c r="J83" s="67" t="str" cm="1">
        <f t="array" ref="J83">_xlfn.LET(_xlpm.cls,A83, _xlpm.ord,IFERROR(B83,"#N/C"), _xlpm.subord,IFERROR(C83,"#N/C"), _xlpm.infr,IFERROR(D83,"#N/C"), _xlpm.sf,IFERROR(E83,"#N/C"), _xlpm.fam,IFERROR(F83,"#N/C"), _xlpm.subfam,IF(TRIM(G83)="-","#N/C",IFERROR(G83,"#N/C")),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_xlpm.fallback,IF(IFERROR(B83,"#N/C")="#N/C",A83,IF(IFERROR(C83,"#N/C")="#N/C",B83,IF(IFERROR(D83,"#N/C")="#N/C",C83,IF(IFERROR(E83,"#N/C")="#N/C",D83,IF(IFERROR(F83,"#N/C")="#N/C",E83,IF(IFERROR(G83,"#N/C")="#N/C",F83,"#N/C")))))), _xlpm.finalResult,IF(OR(_xlpm.computedResult="",_xlpm.computedResult="#N/C"),_xlpm.fallback,_xlpm.computedResult), INDEX(_xlpm.finalResult,1))</f>
        <v>marsh_fly</v>
      </c>
      <c r="K83" s="45" t="str">
        <f t="shared" si="1"/>
        <v>Insecta.Diptera.Brachycera.Muscomorpha.Sciomyzoidea.Sciomyzidae.Sciomyzinae.Tetanocera.#N/C</v>
      </c>
      <c r="L83" s="44">
        <f>+COUNTIF([1]Monitoring!AN:AN,K83)</f>
        <v>0</v>
      </c>
    </row>
    <row r="84" spans="1:12" x14ac:dyDescent="0.3">
      <c r="A84" s="46" t="s">
        <v>28</v>
      </c>
      <c r="B84" s="46" t="s">
        <v>29</v>
      </c>
      <c r="C84" s="46" t="s">
        <v>30</v>
      </c>
      <c r="D84" s="47" t="str">
        <f>+IFERROR(IF(E84="#N/C","#N/C",INDEX([1]ClassificationClasses!D:D,MATCH(E84,[1]ClassificationClasses!E:E,0))),"ERROR")</f>
        <v>Muscomorpha</v>
      </c>
      <c r="E84" s="46" t="s">
        <v>152</v>
      </c>
      <c r="F84" s="46" t="s">
        <v>153</v>
      </c>
      <c r="G84" s="46" t="s">
        <v>26</v>
      </c>
      <c r="H84" s="48" t="s">
        <v>26</v>
      </c>
      <c r="I84" s="48" t="s">
        <v>26</v>
      </c>
      <c r="J84" s="67" t="str" cm="1">
        <f t="array" ref="J84">_xlfn.LET(_xlpm.cls,A84, _xlpm.ord,IFERROR(B84,"#N/C"), _xlpm.subord,IFERROR(C84,"#N/C"), _xlpm.infr,IFERROR(D84,"#N/C"), _xlpm.sf,IFERROR(E84,"#N/C"), _xlpm.fam,IFERROR(F84,"#N/C"), _xlpm.subfam,IF(TRIM(G84)="-","#N/C",IFERROR(G84,"#N/C")),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_xlpm.fallback,IF(IFERROR(B84,"#N/C")="#N/C",A84,IF(IFERROR(C84,"#N/C")="#N/C",B84,IF(IFERROR(D84,"#N/C")="#N/C",C84,IF(IFERROR(E84,"#N/C")="#N/C",D84,IF(IFERROR(F84,"#N/C")="#N/C",E84,IF(IFERROR(G84,"#N/C")="#N/C",F84,"#N/C")))))), _xlpm.finalResult,IF(OR(_xlpm.computedResult="",_xlpm.computedResult="#N/C"),_xlpm.fallback,_xlpm.computedResult), INDEX(_xlpm.finalResult,1))</f>
        <v>scavenger_fly</v>
      </c>
      <c r="K84" s="45" t="str">
        <f t="shared" si="1"/>
        <v>Insecta.Diptera.Brachycera.Muscomorpha.Sciomyzoidea.Sepsidae.#N/C.#N/C.#N/C</v>
      </c>
      <c r="L84" s="44">
        <f>+COUNTIF([1]Monitoring!AN:AN,K84)</f>
        <v>2</v>
      </c>
    </row>
    <row r="85" spans="1:12" x14ac:dyDescent="0.3">
      <c r="A85" s="46" t="s">
        <v>28</v>
      </c>
      <c r="B85" s="46" t="s">
        <v>29</v>
      </c>
      <c r="C85" s="46" t="s">
        <v>30</v>
      </c>
      <c r="D85" s="47" t="str">
        <f>+IFERROR(IF(E85="#N/C","#N/C",INDEX([1]ClassificationClasses!D:D,MATCH(E85,[1]ClassificationClasses!E:E,0))),"ERROR")</f>
        <v>Muscomorpha</v>
      </c>
      <c r="E85" s="46" t="s">
        <v>152</v>
      </c>
      <c r="F85" s="46" t="s">
        <v>153</v>
      </c>
      <c r="G85" s="46" t="s">
        <v>154</v>
      </c>
      <c r="H85" s="48" t="s">
        <v>768</v>
      </c>
      <c r="I85" s="48" t="s">
        <v>26</v>
      </c>
      <c r="J85" s="67" t="str" cm="1">
        <f t="array" ref="J85">_xlfn.LET(_xlpm.cls,A85, _xlpm.ord,IFERROR(B85,"#N/C"), _xlpm.subord,IFERROR(C85,"#N/C"), _xlpm.infr,IFERROR(D85,"#N/C"), _xlpm.sf,IFERROR(E85,"#N/C"), _xlpm.fam,IFERROR(F85,"#N/C"), _xlpm.subfam,IF(TRIM(G85)="-","#N/C",IFERROR(G85,"#N/C")),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_xlpm.fallback,IF(IFERROR(B85,"#N/C")="#N/C",A85,IF(IFERROR(C85,"#N/C")="#N/C",B85,IF(IFERROR(D85,"#N/C")="#N/C",C85,IF(IFERROR(E85,"#N/C")="#N/C",D85,IF(IFERROR(F85,"#N/C")="#N/C",E85,IF(IFERROR(G85,"#N/C")="#N/C",F85,"#N/C")))))), _xlpm.finalResult,IF(OR(_xlpm.computedResult="",_xlpm.computedResult="#N/C"),_xlpm.fallback,_xlpm.computedResult), INDEX(_xlpm.finalResult,1))</f>
        <v>scavenger_fly</v>
      </c>
      <c r="K85" s="45" t="str">
        <f t="shared" si="1"/>
        <v>Insecta.Diptera.Brachycera.Muscomorpha.Sciomyzoidea.Sepsidae.Sepsinae.Parapalaeosepsis.#N/C</v>
      </c>
      <c r="L85" s="44">
        <f>+COUNTIF([1]Monitoring!AN:AN,K85)</f>
        <v>2</v>
      </c>
    </row>
    <row r="86" spans="1:12" x14ac:dyDescent="0.3">
      <c r="A86" s="47" t="s">
        <v>28</v>
      </c>
      <c r="B86" s="47" t="s">
        <v>29</v>
      </c>
      <c r="C86" s="47" t="s">
        <v>30</v>
      </c>
      <c r="D86" s="47" t="str">
        <f>+IFERROR(IF(E86="#N/C","#N/C",INDEX([1]ClassificationClasses!D:D,MATCH(E86,[1]ClassificationClasses!E:E,0))),"ERROR")</f>
        <v>Muscomorpha</v>
      </c>
      <c r="E86" s="47" t="s">
        <v>152</v>
      </c>
      <c r="F86" s="47" t="s">
        <v>153</v>
      </c>
      <c r="G86" s="47" t="s">
        <v>154</v>
      </c>
      <c r="H86" s="49" t="s">
        <v>155</v>
      </c>
      <c r="I86" s="49" t="s">
        <v>26</v>
      </c>
      <c r="J86" s="67" t="str" cm="1">
        <f t="array" ref="J86">_xlfn.LET(_xlpm.cls,A86, _xlpm.ord,IFERROR(B86,"#N/C"), _xlpm.subord,IFERROR(C86,"#N/C"), _xlpm.infr,IFERROR(D86,"#N/C"), _xlpm.sf,IFERROR(E86,"#N/C"), _xlpm.fam,IFERROR(F86,"#N/C"), _xlpm.subfam,IF(TRIM(G86)="-","#N/C",IFERROR(G86,"#N/C")),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_xlpm.fallback,IF(IFERROR(B86,"#N/C")="#N/C",A86,IF(IFERROR(C86,"#N/C")="#N/C",B86,IF(IFERROR(D86,"#N/C")="#N/C",C86,IF(IFERROR(E86,"#N/C")="#N/C",D86,IF(IFERROR(F86,"#N/C")="#N/C",E86,IF(IFERROR(G86,"#N/C")="#N/C",F86,"#N/C")))))), _xlpm.finalResult,IF(OR(_xlpm.computedResult="",_xlpm.computedResult="#N/C"),_xlpm.fallback,_xlpm.computedResult), INDEX(_xlpm.finalResult,1))</f>
        <v>scavenger_fly</v>
      </c>
      <c r="K86" s="45" t="str">
        <f t="shared" si="1"/>
        <v>Insecta.Diptera.Brachycera.Muscomorpha.Sciomyzoidea.Sepsidae.Sepsinae.Sepsis.#N/C</v>
      </c>
      <c r="L86" s="44">
        <f>+COUNTIF([1]Monitoring!AN:AN,K86)</f>
        <v>0</v>
      </c>
    </row>
    <row r="87" spans="1:12" x14ac:dyDescent="0.3">
      <c r="A87" s="47" t="s">
        <v>28</v>
      </c>
      <c r="B87" s="47" t="s">
        <v>29</v>
      </c>
      <c r="C87" s="47" t="s">
        <v>30</v>
      </c>
      <c r="D87" s="47" t="str">
        <f>+IFERROR(IF(E87="#N/C","#N/C",INDEX([1]ClassificationClasses!D:D,MATCH(E87,[1]ClassificationClasses!E:E,0))),"ERROR")</f>
        <v>Muscomorpha</v>
      </c>
      <c r="E87" s="51" t="s">
        <v>769</v>
      </c>
      <c r="F87" s="47" t="s">
        <v>770</v>
      </c>
      <c r="G87" s="47" t="s">
        <v>26</v>
      </c>
      <c r="H87" s="49" t="s">
        <v>26</v>
      </c>
      <c r="I87" s="49" t="s">
        <v>26</v>
      </c>
      <c r="J87" s="67" t="str" cm="1">
        <f t="array" ref="J87">_xlfn.LET(_xlpm.cls,A87, _xlpm.ord,IFERROR(B87,"#N/C"), _xlpm.subord,IFERROR(C87,"#N/C"), _xlpm.infr,IFERROR(D87,"#N/C"), _xlpm.sf,IFERROR(E87,"#N/C"), _xlpm.fam,IFERROR(F87,"#N/C"), _xlpm.subfam,IF(TRIM(G87)="-","#N/C",IFERROR(G87,"#N/C")),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_xlpm.fallback,IF(IFERROR(B87,"#N/C")="#N/C",A87,IF(IFERROR(C87,"#N/C")="#N/C",B87,IF(IFERROR(D87,"#N/C")="#N/C",C87,IF(IFERROR(E87,"#N/C")="#N/C",D87,IF(IFERROR(F87,"#N/C")="#N/C",E87,IF(IFERROR(G87,"#N/C")="#N/C",F87,"#N/C")))))), _xlpm.finalResult,IF(OR(_xlpm.computedResult="",_xlpm.computedResult="#N/C"),_xlpm.fallback,_xlpm.computedResult), INDEX(_xlpm.finalResult,1))</f>
        <v>fly</v>
      </c>
      <c r="K87" s="45" t="str">
        <f t="shared" si="1"/>
        <v>Insecta.Diptera.Brachycera.Muscomorpha.Sphaeroceroidea.Heleomyzidae.#N/C.#N/C.#N/C</v>
      </c>
      <c r="L87" s="44">
        <f>+COUNTIF([1]Monitoring!AN:AN,K87)</f>
        <v>1</v>
      </c>
    </row>
    <row r="88" spans="1:12" x14ac:dyDescent="0.3">
      <c r="A88" s="47" t="s">
        <v>28</v>
      </c>
      <c r="B88" s="47" t="s">
        <v>29</v>
      </c>
      <c r="C88" s="47" t="s">
        <v>30</v>
      </c>
      <c r="D88" s="47" t="str">
        <f>+IFERROR(IF(E88="#N/C","#N/C",INDEX([1]ClassificationClasses!D:D,MATCH(E88,[1]ClassificationClasses!E:E,0))),"ERROR")</f>
        <v>Muscomorpha</v>
      </c>
      <c r="E88" s="51" t="s">
        <v>769</v>
      </c>
      <c r="F88" s="47" t="s">
        <v>771</v>
      </c>
      <c r="G88" s="47" t="s">
        <v>26</v>
      </c>
      <c r="H88" s="49" t="s">
        <v>26</v>
      </c>
      <c r="I88" s="49" t="s">
        <v>26</v>
      </c>
      <c r="J88" s="67" t="str" cm="1">
        <f t="array" ref="J88">_xlfn.LET(_xlpm.cls,A88, _xlpm.ord,IFERROR(B88,"#N/C"), _xlpm.subord,IFERROR(C88,"#N/C"), _xlpm.infr,IFERROR(D88,"#N/C"), _xlpm.sf,IFERROR(E88,"#N/C"), _xlpm.fam,IFERROR(F88,"#N/C"), _xlpm.subfam,IF(TRIM(G88)="-","#N/C",IFERROR(G88,"#N/C")),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_xlpm.fallback,IF(IFERROR(B88,"#N/C")="#N/C",A88,IF(IFERROR(C88,"#N/C")="#N/C",B88,IF(IFERROR(D88,"#N/C")="#N/C",C88,IF(IFERROR(E88,"#N/C")="#N/C",D88,IF(IFERROR(F88,"#N/C")="#N/C",E88,IF(IFERROR(G88,"#N/C")="#N/C",F88,"#N/C")))))), _xlpm.finalResult,IF(OR(_xlpm.computedResult="",_xlpm.computedResult="#N/C"),_xlpm.fallback,_xlpm.computedResult), INDEX(_xlpm.finalResult,1))</f>
        <v>fly</v>
      </c>
      <c r="K88" s="45" t="str">
        <f t="shared" si="1"/>
        <v>Insecta.Diptera.Brachycera.Muscomorpha.Sphaeroceroidea.Sphaeroceridae.#N/C.#N/C.#N/C</v>
      </c>
      <c r="L88" s="44">
        <f>+COUNTIF([1]Monitoring!AN:AN,K88)</f>
        <v>1</v>
      </c>
    </row>
    <row r="89" spans="1:12" x14ac:dyDescent="0.3">
      <c r="A89" s="46" t="s">
        <v>28</v>
      </c>
      <c r="B89" s="46" t="s">
        <v>29</v>
      </c>
      <c r="C89" s="46" t="s">
        <v>30</v>
      </c>
      <c r="D89" s="47" t="str">
        <f>+IFERROR(IF(E89="#N/C","#N/C",INDEX([1]ClassificationClasses!D:D,MATCH(E89,[1]ClassificationClasses!E:E,0))),"ERROR")</f>
        <v>Stratiomyomorpha</v>
      </c>
      <c r="E89" s="46" t="s">
        <v>396</v>
      </c>
      <c r="F89" s="46" t="s">
        <v>397</v>
      </c>
      <c r="H89" s="48" t="s">
        <v>398</v>
      </c>
      <c r="I89" s="48" t="s">
        <v>26</v>
      </c>
      <c r="J89" s="67" t="str" cm="1">
        <f t="array" ref="J89">_xlfn.LET(_xlpm.cls,A89, _xlpm.ord,IFERROR(B89,"#N/C"), _xlpm.subord,IFERROR(C89,"#N/C"), _xlpm.infr,IFERROR(D89,"#N/C"), _xlpm.sf,IFERROR(E89,"#N/C"), _xlpm.fam,IFERROR(F89,"#N/C"), _xlpm.subfam,IF(TRIM(G89)="-","#N/C",IFERROR(G89,"#N/C")),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_xlpm.fallback,IF(IFERROR(B89,"#N/C")="#N/C",A89,IF(IFERROR(C89,"#N/C")="#N/C",B89,IF(IFERROR(D89,"#N/C")="#N/C",C89,IF(IFERROR(E89,"#N/C")="#N/C",D89,IF(IFERROR(F89,"#N/C")="#N/C",E89,IF(IFERROR(G89,"#N/C")="#N/C",F89,"#N/C")))))), _xlpm.finalResult,IF(OR(_xlpm.computedResult="",_xlpm.computedResult="#N/C"),_xlpm.fallback,_xlpm.computedResult), INDEX(_xlpm.finalResult,1))</f>
        <v>soldier_fly</v>
      </c>
      <c r="K89" s="45" t="str">
        <f t="shared" si="1"/>
        <v>Insecta.Diptera.Brachycera.Stratiomyomorpha.Stratiomyoidea.Xylomyidae..Solva.#N/C</v>
      </c>
      <c r="L89" s="44">
        <f>+COUNTIF([1]Monitoring!AN:AN,K89)</f>
        <v>0</v>
      </c>
    </row>
    <row r="90" spans="1:12" x14ac:dyDescent="0.3">
      <c r="A90" s="47" t="s">
        <v>28</v>
      </c>
      <c r="B90" s="47" t="s">
        <v>29</v>
      </c>
      <c r="C90" s="47" t="s">
        <v>30</v>
      </c>
      <c r="D90" s="47" t="str">
        <f>+IFERROR(IF(E90="#N/C","#N/C",INDEX([1]ClassificationClasses!D:D,MATCH(E90,[1]ClassificationClasses!E:E,0))),"ERROR")</f>
        <v>Muscomorpha</v>
      </c>
      <c r="E90" s="47" t="s">
        <v>37</v>
      </c>
      <c r="F90" s="47" t="s">
        <v>469</v>
      </c>
      <c r="G90" s="47" t="s">
        <v>26</v>
      </c>
      <c r="H90" s="49" t="s">
        <v>26</v>
      </c>
      <c r="I90" s="49" t="s">
        <v>26</v>
      </c>
      <c r="J90" s="67" t="str" cm="1">
        <f t="array" ref="J90">_xlfn.LET(_xlpm.cls,A90, _xlpm.ord,IFERROR(B90,"#N/C"), _xlpm.subord,IFERROR(C90,"#N/C"), _xlpm.infr,IFERROR(D90,"#N/C"), _xlpm.sf,IFERROR(E90,"#N/C"), _xlpm.fam,IFERROR(F90,"#N/C"), _xlpm.subfam,IF(TRIM(G90)="-","#N/C",IFERROR(G90,"#N/C")),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_xlpm.fallback,IF(IFERROR(B90,"#N/C")="#N/C",A90,IF(IFERROR(C90,"#N/C")="#N/C",B90,IF(IFERROR(D90,"#N/C")="#N/C",C90,IF(IFERROR(E90,"#N/C")="#N/C",D90,IF(IFERROR(F90,"#N/C")="#N/C",E90,IF(IFERROR(G90,"#N/C")="#N/C",F90,"#N/C")))))), _xlpm.finalResult,IF(OR(_xlpm.computedResult="",_xlpm.computedResult="#N/C"),_xlpm.fallback,_xlpm.computedResult), INDEX(_xlpm.finalResult,1))</f>
        <v>hoverfly</v>
      </c>
      <c r="K90" s="45" t="str">
        <f t="shared" si="1"/>
        <v>Insecta.Diptera.Brachycera.Muscomorpha.Syrphoidea.Pipunculidae.#N/C.#N/C.#N/C</v>
      </c>
      <c r="L90" s="44">
        <f>+COUNTIF([1]Monitoring!AN:AN,K90)</f>
        <v>0</v>
      </c>
    </row>
    <row r="91" spans="1:12" x14ac:dyDescent="0.3">
      <c r="A91" s="46" t="s">
        <v>28</v>
      </c>
      <c r="B91" s="46" t="s">
        <v>29</v>
      </c>
      <c r="C91" s="46" t="s">
        <v>30</v>
      </c>
      <c r="D91" s="47" t="str">
        <f>+IFERROR(IF(E91="#N/C","#N/C",INDEX([1]ClassificationClasses!D:D,MATCH(E91,[1]ClassificationClasses!E:E,0))),"ERROR")</f>
        <v>Muscomorpha</v>
      </c>
      <c r="E91" s="46" t="s">
        <v>37</v>
      </c>
      <c r="F91" s="46" t="s">
        <v>38</v>
      </c>
      <c r="G91" s="46" t="s">
        <v>772</v>
      </c>
      <c r="H91" s="48" t="s">
        <v>773</v>
      </c>
      <c r="I91" s="48" t="s">
        <v>26</v>
      </c>
      <c r="J91" s="67" t="str" cm="1">
        <f t="array" ref="J91">_xlfn.LET(_xlpm.cls,A91, _xlpm.ord,IFERROR(B91,"#N/C"), _xlpm.subord,IFERROR(C91,"#N/C"), _xlpm.infr,IFERROR(D91,"#N/C"), _xlpm.sf,IFERROR(E91,"#N/C"), _xlpm.fam,IFERROR(F91,"#N/C"), _xlpm.subfam,IF(TRIM(G91)="-","#N/C",IFERROR(G91,"#N/C")),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_xlpm.fallback,IF(IFERROR(B91,"#N/C")="#N/C",A91,IF(IFERROR(C91,"#N/C")="#N/C",B91,IF(IFERROR(D91,"#N/C")="#N/C",C91,IF(IFERROR(E91,"#N/C")="#N/C",D91,IF(IFERROR(F91,"#N/C")="#N/C",E91,IF(IFERROR(G91,"#N/C")="#N/C",F91,"#N/C")))))), _xlpm.finalResult,IF(OR(_xlpm.computedResult="",_xlpm.computedResult="#N/C"),_xlpm.fallback,_xlpm.computedResult), INDEX(_xlpm.finalResult,1))</f>
        <v>hoverfly</v>
      </c>
      <c r="K91" s="45" t="str">
        <f t="shared" si="1"/>
        <v>Insecta.Diptera.Brachycera.Muscomorpha.Syrphoidea.Syrphidae.Eristalinae.Eristalis.#N/C</v>
      </c>
      <c r="L91" s="44">
        <f>+COUNTIF([1]Monitoring!AN:AN,K91)</f>
        <v>1</v>
      </c>
    </row>
    <row r="92" spans="1:12" x14ac:dyDescent="0.3">
      <c r="A92" s="47" t="s">
        <v>28</v>
      </c>
      <c r="B92" s="47" t="s">
        <v>29</v>
      </c>
      <c r="C92" s="47" t="s">
        <v>30</v>
      </c>
      <c r="D92" s="47" t="str">
        <f>+IFERROR(IF(E92="#N/C","#N/C",INDEX([1]ClassificationClasses!D:D,MATCH(E92,[1]ClassificationClasses!E:E,0))),"ERROR")</f>
        <v>Muscomorpha</v>
      </c>
      <c r="E92" s="52" t="s">
        <v>37</v>
      </c>
      <c r="F92" s="52" t="s">
        <v>38</v>
      </c>
      <c r="G92" s="52" t="s">
        <v>39</v>
      </c>
      <c r="H92" s="53" t="s">
        <v>26</v>
      </c>
      <c r="I92" s="53" t="s">
        <v>26</v>
      </c>
      <c r="J92" s="67" t="str" cm="1">
        <f t="array" ref="J92">_xlfn.LET(_xlpm.cls,A92, _xlpm.ord,IFERROR(B92,"#N/C"), _xlpm.subord,IFERROR(C92,"#N/C"), _xlpm.infr,IFERROR(D92,"#N/C"), _xlpm.sf,IFERROR(E92,"#N/C"), _xlpm.fam,IFERROR(F92,"#N/C"), _xlpm.subfam,IF(TRIM(G92)="-","#N/C",IFERROR(G92,"#N/C")),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_xlpm.fallback,IF(IFERROR(B92,"#N/C")="#N/C",A92,IF(IFERROR(C92,"#N/C")="#N/C",B92,IF(IFERROR(D92,"#N/C")="#N/C",C92,IF(IFERROR(E92,"#N/C")="#N/C",D92,IF(IFERROR(F92,"#N/C")="#N/C",E92,IF(IFERROR(G92,"#N/C")="#N/C",F92,"#N/C")))))), _xlpm.finalResult,IF(OR(_xlpm.computedResult="",_xlpm.computedResult="#N/C"),_xlpm.fallback,_xlpm.computedResult), INDEX(_xlpm.finalResult,1))</f>
        <v>hoverfly</v>
      </c>
      <c r="K92" s="45" t="str">
        <f t="shared" si="1"/>
        <v>Insecta.Diptera.Brachycera.Muscomorpha.Syrphoidea.Syrphidae.Syrphinae.#N/C.#N/C</v>
      </c>
      <c r="L92" s="44">
        <f>+COUNTIF([1]Monitoring!AN:AN,K92)</f>
        <v>0</v>
      </c>
    </row>
    <row r="93" spans="1:12" x14ac:dyDescent="0.3">
      <c r="A93" s="46" t="s">
        <v>28</v>
      </c>
      <c r="B93" s="46" t="s">
        <v>29</v>
      </c>
      <c r="C93" s="46" t="s">
        <v>30</v>
      </c>
      <c r="D93" s="47" t="str">
        <f>+IFERROR(IF(E93="#N/C","#N/C",INDEX([1]ClassificationClasses!D:D,MATCH(E93,[1]ClassificationClasses!E:E,0))),"ERROR")</f>
        <v>Muscomorpha</v>
      </c>
      <c r="E93" s="46" t="s">
        <v>37</v>
      </c>
      <c r="F93" s="46" t="s">
        <v>38</v>
      </c>
      <c r="G93" s="46" t="s">
        <v>39</v>
      </c>
      <c r="H93" s="48" t="s">
        <v>774</v>
      </c>
      <c r="I93" s="48" t="s">
        <v>26</v>
      </c>
      <c r="J93" s="67" t="str" cm="1">
        <f t="array" ref="J93">_xlfn.LET(_xlpm.cls,A93, _xlpm.ord,IFERROR(B93,"#N/C"), _xlpm.subord,IFERROR(C93,"#N/C"), _xlpm.infr,IFERROR(D93,"#N/C"), _xlpm.sf,IFERROR(E93,"#N/C"), _xlpm.fam,IFERROR(F93,"#N/C"), _xlpm.subfam,IF(TRIM(G93)="-","#N/C",IFERROR(G93,"#N/C")),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_xlpm.fallback,IF(IFERROR(B93,"#N/C")="#N/C",A93,IF(IFERROR(C93,"#N/C")="#N/C",B93,IF(IFERROR(D93,"#N/C")="#N/C",C93,IF(IFERROR(E93,"#N/C")="#N/C",D93,IF(IFERROR(F93,"#N/C")="#N/C",E93,IF(IFERROR(G93,"#N/C")="#N/C",F93,"#N/C")))))), _xlpm.finalResult,IF(OR(_xlpm.computedResult="",_xlpm.computedResult="#N/C"),_xlpm.fallback,_xlpm.computedResult), INDEX(_xlpm.finalResult,1))</f>
        <v>hoverfly</v>
      </c>
      <c r="K93" s="45" t="str">
        <f t="shared" si="1"/>
        <v>Insecta.Diptera.Brachycera.Muscomorpha.Syrphoidea.Syrphidae.Syrphinae.Dasysyrphus.#N/C</v>
      </c>
      <c r="L93" s="44">
        <f>+COUNTIF([1]Monitoring!AN:AN,K93)</f>
        <v>2</v>
      </c>
    </row>
    <row r="94" spans="1:12" x14ac:dyDescent="0.3">
      <c r="A94" s="47" t="s">
        <v>28</v>
      </c>
      <c r="B94" s="47" t="s">
        <v>29</v>
      </c>
      <c r="C94" s="47" t="s">
        <v>30</v>
      </c>
      <c r="D94" s="47" t="str">
        <f>+IFERROR(IF(E94="#N/C","#N/C",INDEX([1]ClassificationClasses!D:D,MATCH(E94,[1]ClassificationClasses!E:E,0))),"ERROR")</f>
        <v>Muscomorpha</v>
      </c>
      <c r="E94" s="49" t="s">
        <v>37</v>
      </c>
      <c r="F94" s="49" t="s">
        <v>38</v>
      </c>
      <c r="G94" s="49" t="s">
        <v>39</v>
      </c>
      <c r="H94" s="49" t="s">
        <v>775</v>
      </c>
      <c r="I94" s="49" t="s">
        <v>26</v>
      </c>
      <c r="J94" s="67" t="str" cm="1">
        <f t="array" ref="J94">_xlfn.LET(_xlpm.cls,A94, _xlpm.ord,IFERROR(B94,"#N/C"), _xlpm.subord,IFERROR(C94,"#N/C"), _xlpm.infr,IFERROR(D94,"#N/C"), _xlpm.sf,IFERROR(E94,"#N/C"), _xlpm.fam,IFERROR(F94,"#N/C"), _xlpm.subfam,IF(TRIM(G94)="-","#N/C",IFERROR(G94,"#N/C")),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_xlpm.fallback,IF(IFERROR(B94,"#N/C")="#N/C",A94,IF(IFERROR(C94,"#N/C")="#N/C",B94,IF(IFERROR(D94,"#N/C")="#N/C",C94,IF(IFERROR(E94,"#N/C")="#N/C",D94,IF(IFERROR(F94,"#N/C")="#N/C",E94,IF(IFERROR(G94,"#N/C")="#N/C",F94,"#N/C")))))), _xlpm.finalResult,IF(OR(_xlpm.computedResult="",_xlpm.computedResult="#N/C"),_xlpm.fallback,_xlpm.computedResult), INDEX(_xlpm.finalResult,1))</f>
        <v>hoverfly</v>
      </c>
      <c r="K94" s="45" t="str">
        <f t="shared" si="1"/>
        <v>Insecta.Diptera.Brachycera.Muscomorpha.Syrphoidea.Syrphidae.Syrphinae.Episyrphus.#N/C</v>
      </c>
      <c r="L94" s="44">
        <f>+COUNTIF([1]Monitoring!AN:AN,K94)</f>
        <v>10</v>
      </c>
    </row>
    <row r="95" spans="1:12" x14ac:dyDescent="0.3">
      <c r="A95" s="47" t="s">
        <v>28</v>
      </c>
      <c r="B95" s="47" t="s">
        <v>29</v>
      </c>
      <c r="C95" s="47" t="s">
        <v>30</v>
      </c>
      <c r="D95" s="47" t="str">
        <f>+IFERROR(IF(E95="#N/C","#N/C",INDEX([1]ClassificationClasses!D:D,MATCH(E95,[1]ClassificationClasses!E:E,0))),"ERROR")</f>
        <v>Muscomorpha</v>
      </c>
      <c r="E95" s="47" t="s">
        <v>37</v>
      </c>
      <c r="F95" s="47" t="s">
        <v>38</v>
      </c>
      <c r="G95" s="47" t="s">
        <v>39</v>
      </c>
      <c r="H95" s="49" t="s">
        <v>776</v>
      </c>
      <c r="I95" s="49" t="s">
        <v>26</v>
      </c>
      <c r="J95" s="67" t="str" cm="1">
        <f t="array" ref="J95">_xlfn.LET(_xlpm.cls,A95, _xlpm.ord,IFERROR(B95,"#N/C"), _xlpm.subord,IFERROR(C95,"#N/C"), _xlpm.infr,IFERROR(D95,"#N/C"), _xlpm.sf,IFERROR(E95,"#N/C"), _xlpm.fam,IFERROR(F95,"#N/C"), _xlpm.subfam,IF(TRIM(G95)="-","#N/C",IFERROR(G95,"#N/C")),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_xlpm.fallback,IF(IFERROR(B95,"#N/C")="#N/C",A95,IF(IFERROR(C95,"#N/C")="#N/C",B95,IF(IFERROR(D95,"#N/C")="#N/C",C95,IF(IFERROR(E95,"#N/C")="#N/C",D95,IF(IFERROR(F95,"#N/C")="#N/C",E95,IF(IFERROR(G95,"#N/C")="#N/C",F95,"#N/C")))))), _xlpm.finalResult,IF(OR(_xlpm.computedResult="",_xlpm.computedResult="#N/C"),_xlpm.fallback,_xlpm.computedResult), INDEX(_xlpm.finalResult,1))</f>
        <v>hoverfly</v>
      </c>
      <c r="K95" s="45" t="str">
        <f t="shared" si="1"/>
        <v>Insecta.Diptera.Brachycera.Muscomorpha.Syrphoidea.Syrphidae.Syrphinae.Eupeodes.#N/C</v>
      </c>
      <c r="L95" s="44">
        <f>+COUNTIF([1]Monitoring!AN:AN,K95)</f>
        <v>1</v>
      </c>
    </row>
    <row r="96" spans="1:12" x14ac:dyDescent="0.3">
      <c r="A96" s="47" t="s">
        <v>28</v>
      </c>
      <c r="B96" s="47" t="s">
        <v>29</v>
      </c>
      <c r="C96" s="47" t="s">
        <v>30</v>
      </c>
      <c r="D96" s="47" t="str">
        <f>+IFERROR(IF(E96="#N/C","#N/C",INDEX([1]ClassificationClasses!D:D,MATCH(E96,[1]ClassificationClasses!E:E,0))),"ERROR")</f>
        <v>Muscomorpha</v>
      </c>
      <c r="E96" s="47" t="s">
        <v>37</v>
      </c>
      <c r="F96" s="47" t="s">
        <v>38</v>
      </c>
      <c r="G96" s="47" t="s">
        <v>39</v>
      </c>
      <c r="H96" s="49" t="s">
        <v>173</v>
      </c>
      <c r="I96" s="49" t="s">
        <v>26</v>
      </c>
      <c r="J96" s="67" t="str" cm="1">
        <f t="array" ref="J96">_xlfn.LET(_xlpm.cls,A96, _xlpm.ord,IFERROR(B96,"#N/C"), _xlpm.subord,IFERROR(C96,"#N/C"), _xlpm.infr,IFERROR(D96,"#N/C"), _xlpm.sf,IFERROR(E96,"#N/C"), _xlpm.fam,IFERROR(F96,"#N/C"), _xlpm.subfam,IF(TRIM(G96)="-","#N/C",IFERROR(G96,"#N/C")),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_xlpm.fallback,IF(IFERROR(B96,"#N/C")="#N/C",A96,IF(IFERROR(C96,"#N/C")="#N/C",B96,IF(IFERROR(D96,"#N/C")="#N/C",C96,IF(IFERROR(E96,"#N/C")="#N/C",D96,IF(IFERROR(F96,"#N/C")="#N/C",E96,IF(IFERROR(G96,"#N/C")="#N/C",F96,"#N/C")))))), _xlpm.finalResult,IF(OR(_xlpm.computedResult="",_xlpm.computedResult="#N/C"),_xlpm.fallback,_xlpm.computedResult), INDEX(_xlpm.finalResult,1))</f>
        <v>hoverfly</v>
      </c>
      <c r="K96" s="45" t="str">
        <f t="shared" si="1"/>
        <v>Insecta.Diptera.Brachycera.Muscomorpha.Syrphoidea.Syrphidae.Syrphinae.Melanostoma.#N/C</v>
      </c>
      <c r="L96" s="44">
        <f>+COUNTIF([1]Monitoring!AN:AN,K96)</f>
        <v>0</v>
      </c>
    </row>
    <row r="97" spans="1:12" x14ac:dyDescent="0.3">
      <c r="A97" s="47" t="s">
        <v>28</v>
      </c>
      <c r="B97" s="47" t="s">
        <v>29</v>
      </c>
      <c r="C97" s="47" t="s">
        <v>30</v>
      </c>
      <c r="D97" s="47" t="str">
        <f>+IFERROR(IF(E97="#N/C","#N/C",INDEX([1]ClassificationClasses!D:D,MATCH(E97,[1]ClassificationClasses!E:E,0))),"ERROR")</f>
        <v>Muscomorpha</v>
      </c>
      <c r="E97" s="47" t="s">
        <v>37</v>
      </c>
      <c r="F97" s="47" t="s">
        <v>38</v>
      </c>
      <c r="G97" s="47" t="s">
        <v>39</v>
      </c>
      <c r="H97" s="49" t="s">
        <v>777</v>
      </c>
      <c r="I97" s="49" t="s">
        <v>26</v>
      </c>
      <c r="J97" s="67" t="str" cm="1">
        <f t="array" ref="J97">_xlfn.LET(_xlpm.cls,A97, _xlpm.ord,IFERROR(B97,"#N/C"), _xlpm.subord,IFERROR(C97,"#N/C"), _xlpm.infr,IFERROR(D97,"#N/C"), _xlpm.sf,IFERROR(E97,"#N/C"), _xlpm.fam,IFERROR(F97,"#N/C"), _xlpm.subfam,IF(TRIM(G97)="-","#N/C",IFERROR(G97,"#N/C")),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_xlpm.fallback,IF(IFERROR(B97,"#N/C")="#N/C",A97,IF(IFERROR(C97,"#N/C")="#N/C",B97,IF(IFERROR(D97,"#N/C")="#N/C",C97,IF(IFERROR(E97,"#N/C")="#N/C",D97,IF(IFERROR(F97,"#N/C")="#N/C",E97,IF(IFERROR(G97,"#N/C")="#N/C",F97,"#N/C")))))), _xlpm.finalResult,IF(OR(_xlpm.computedResult="",_xlpm.computedResult="#N/C"),_xlpm.fallback,_xlpm.computedResult), INDEX(_xlpm.finalResult,1))</f>
        <v>hoverfly</v>
      </c>
      <c r="K97" s="45" t="str">
        <f t="shared" si="1"/>
        <v>Insecta.Diptera.Brachycera.Muscomorpha.Syrphoidea.Syrphidae.Syrphinae.Scaeva.#N/C</v>
      </c>
      <c r="L97" s="44">
        <f>+COUNTIF([1]Monitoring!AN:AN,K97)</f>
        <v>1</v>
      </c>
    </row>
    <row r="98" spans="1:12" x14ac:dyDescent="0.3">
      <c r="A98" s="47" t="s">
        <v>28</v>
      </c>
      <c r="B98" s="47" t="s">
        <v>29</v>
      </c>
      <c r="C98" s="47" t="s">
        <v>30</v>
      </c>
      <c r="D98" s="47" t="str">
        <f>+IFERROR(IF(E98="#N/C","#N/C",INDEX([1]ClassificationClasses!D:D,MATCH(E98,[1]ClassificationClasses!E:E,0))),"ERROR")</f>
        <v>Muscomorpha</v>
      </c>
      <c r="E98" s="47" t="s">
        <v>37</v>
      </c>
      <c r="F98" s="47" t="s">
        <v>38</v>
      </c>
      <c r="G98" s="47" t="s">
        <v>39</v>
      </c>
      <c r="H98" s="49" t="s">
        <v>40</v>
      </c>
      <c r="I98" s="49" t="s">
        <v>26</v>
      </c>
      <c r="J98" s="67" t="str" cm="1">
        <f t="array" ref="J98">_xlfn.LET(_xlpm.cls,A98, _xlpm.ord,IFERROR(B98,"#N/C"), _xlpm.subord,IFERROR(C98,"#N/C"), _xlpm.infr,IFERROR(D98,"#N/C"), _xlpm.sf,IFERROR(E98,"#N/C"), _xlpm.fam,IFERROR(F98,"#N/C"), _xlpm.subfam,IF(TRIM(G98)="-","#N/C",IFERROR(G98,"#N/C")),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_xlpm.fallback,IF(IFERROR(B98,"#N/C")="#N/C",A98,IF(IFERROR(C98,"#N/C")="#N/C",B98,IF(IFERROR(D98,"#N/C")="#N/C",C98,IF(IFERROR(E98,"#N/C")="#N/C",D98,IF(IFERROR(F98,"#N/C")="#N/C",E98,IF(IFERROR(G98,"#N/C")="#N/C",F98,"#N/C")))))), _xlpm.finalResult,IF(OR(_xlpm.computedResult="",_xlpm.computedResult="#N/C"),_xlpm.fallback,_xlpm.computedResult), INDEX(_xlpm.finalResult,1))</f>
        <v>hoverfly</v>
      </c>
      <c r="K98" s="45" t="str">
        <f t="shared" si="1"/>
        <v>Insecta.Diptera.Brachycera.Muscomorpha.Syrphoidea.Syrphidae.Syrphinae.Sphaerophoria.#N/C</v>
      </c>
      <c r="L98" s="44">
        <f>+COUNTIF([1]Monitoring!AN:AN,K98)</f>
        <v>4</v>
      </c>
    </row>
    <row r="99" spans="1:12" x14ac:dyDescent="0.3">
      <c r="A99" s="47" t="s">
        <v>28</v>
      </c>
      <c r="B99" s="47" t="s">
        <v>29</v>
      </c>
      <c r="C99" s="47" t="s">
        <v>30</v>
      </c>
      <c r="D99" s="47" t="str">
        <f>+IFERROR(IF(E99="#N/C","#N/C",INDEX([1]ClassificationClasses!D:D,MATCH(E99,[1]ClassificationClasses!E:E,0))),"ERROR")</f>
        <v>Muscomorpha</v>
      </c>
      <c r="E99" s="47" t="s">
        <v>37</v>
      </c>
      <c r="F99" s="47" t="s">
        <v>38</v>
      </c>
      <c r="G99" s="47" t="s">
        <v>39</v>
      </c>
      <c r="H99" s="49" t="s">
        <v>40</v>
      </c>
      <c r="I99" s="49" t="s">
        <v>348</v>
      </c>
      <c r="J99" s="67" t="str" cm="1">
        <f t="array" ref="J99">_xlfn.LET(_xlpm.cls,A99, _xlpm.ord,IFERROR(B99,"#N/C"), _xlpm.subord,IFERROR(C99,"#N/C"), _xlpm.infr,IFERROR(D99,"#N/C"), _xlpm.sf,IFERROR(E99,"#N/C"), _xlpm.fam,IFERROR(F99,"#N/C"), _xlpm.subfam,IF(TRIM(G99)="-","#N/C",IFERROR(G99,"#N/C")),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_xlpm.fallback,IF(IFERROR(B99,"#N/C")="#N/C",A99,IF(IFERROR(C99,"#N/C")="#N/C",B99,IF(IFERROR(D99,"#N/C")="#N/C",C99,IF(IFERROR(E99,"#N/C")="#N/C",D99,IF(IFERROR(F99,"#N/C")="#N/C",E99,IF(IFERROR(G99,"#N/C")="#N/C",F99,"#N/C")))))), _xlpm.finalResult,IF(OR(_xlpm.computedResult="",_xlpm.computedResult="#N/C"),_xlpm.fallback,_xlpm.computedResult), INDEX(_xlpm.finalResult,1))</f>
        <v>hoverfly</v>
      </c>
      <c r="K99" s="45" t="str">
        <f t="shared" si="1"/>
        <v>Insecta.Diptera.Brachycera.Muscomorpha.Syrphoidea.Syrphidae.Syrphinae.Sphaerophoria.scripta</v>
      </c>
      <c r="L99" s="44">
        <f>+COUNTIF([1]Monitoring!AN:AN,K99)</f>
        <v>0</v>
      </c>
    </row>
    <row r="100" spans="1:12" x14ac:dyDescent="0.3">
      <c r="A100" s="47" t="s">
        <v>28</v>
      </c>
      <c r="B100" s="47" t="s">
        <v>29</v>
      </c>
      <c r="C100" s="47" t="s">
        <v>30</v>
      </c>
      <c r="D100" s="47" t="str">
        <f>+IFERROR(IF(E100="#N/C","#N/C",INDEX([1]ClassificationClasses!D:D,MATCH(E100,[1]ClassificationClasses!E:E,0))),"ERROR")</f>
        <v>Muscomorpha</v>
      </c>
      <c r="E100" s="47" t="s">
        <v>37</v>
      </c>
      <c r="F100" s="47" t="s">
        <v>38</v>
      </c>
      <c r="G100" s="47" t="s">
        <v>39</v>
      </c>
      <c r="H100" s="49" t="s">
        <v>778</v>
      </c>
      <c r="I100" s="49" t="s">
        <v>26</v>
      </c>
      <c r="J100" s="67" t="str" cm="1">
        <f t="array" ref="J100">_xlfn.LET(_xlpm.cls,A100, _xlpm.ord,IFERROR(B100,"#N/C"), _xlpm.subord,IFERROR(C100,"#N/C"), _xlpm.infr,IFERROR(D100,"#N/C"), _xlpm.sf,IFERROR(E100,"#N/C"), _xlpm.fam,IFERROR(F100,"#N/C"), _xlpm.subfam,IF(TRIM(G100)="-","#N/C",IFERROR(G100,"#N/C")),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_xlpm.fallback,IF(IFERROR(B100,"#N/C")="#N/C",A100,IF(IFERROR(C100,"#N/C")="#N/C",B100,IF(IFERROR(D100,"#N/C")="#N/C",C100,IF(IFERROR(E100,"#N/C")="#N/C",D100,IF(IFERROR(F100,"#N/C")="#N/C",E100,IF(IFERROR(G100,"#N/C")="#N/C",F100,"#N/C")))))), _xlpm.finalResult,IF(OR(_xlpm.computedResult="",_xlpm.computedResult="#N/C"),_xlpm.fallback,_xlpm.computedResult), INDEX(_xlpm.finalResult,1))</f>
        <v>hoverfly</v>
      </c>
      <c r="K100" s="45" t="str">
        <f t="shared" si="1"/>
        <v>Insecta.Diptera.Brachycera.Muscomorpha.Syrphoidea.Syrphidae.Syrphinae.Syrphini.#N/C</v>
      </c>
      <c r="L100" s="44">
        <f>+COUNTIF([1]Monitoring!AN:AN,K100)</f>
        <v>3</v>
      </c>
    </row>
    <row r="101" spans="1:12" x14ac:dyDescent="0.3">
      <c r="A101" s="47" t="s">
        <v>28</v>
      </c>
      <c r="B101" s="47" t="s">
        <v>29</v>
      </c>
      <c r="C101" s="47" t="s">
        <v>30</v>
      </c>
      <c r="D101" s="47" t="str">
        <f>+IFERROR(IF(E101="#N/C","#N/C",INDEX([1]ClassificationClasses!D:D,MATCH(E101,[1]ClassificationClasses!E:E,0))),"ERROR")</f>
        <v>Muscomorpha</v>
      </c>
      <c r="E101" s="47" t="s">
        <v>37</v>
      </c>
      <c r="F101" s="47" t="s">
        <v>38</v>
      </c>
      <c r="G101" s="47" t="s">
        <v>39</v>
      </c>
      <c r="H101" s="49" t="s">
        <v>391</v>
      </c>
      <c r="I101" s="49" t="s">
        <v>392</v>
      </c>
      <c r="J101" s="67" t="str" cm="1">
        <f t="array" ref="J101">_xlfn.LET(_xlpm.cls,A101, _xlpm.ord,IFERROR(B101,"#N/C"), _xlpm.subord,IFERROR(C101,"#N/C"), _xlpm.infr,IFERROR(D101,"#N/C"), _xlpm.sf,IFERROR(E101,"#N/C"), _xlpm.fam,IFERROR(F101,"#N/C"), _xlpm.subfam,IF(TRIM(G101)="-","#N/C",IFERROR(G101,"#N/C")),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_xlpm.fallback,IF(IFERROR(B101,"#N/C")="#N/C",A101,IF(IFERROR(C101,"#N/C")="#N/C",B101,IF(IFERROR(D101,"#N/C")="#N/C",C101,IF(IFERROR(E101,"#N/C")="#N/C",D101,IF(IFERROR(F101,"#N/C")="#N/C",E101,IF(IFERROR(G101,"#N/C")="#N/C",F101,"#N/C")))))), _xlpm.finalResult,IF(OR(_xlpm.computedResult="",_xlpm.computedResult="#N/C"),_xlpm.fallback,_xlpm.computedResult), INDEX(_xlpm.finalResult,1))</f>
        <v>hoverfly</v>
      </c>
      <c r="K101" s="45" t="str">
        <f t="shared" si="1"/>
        <v>Insecta.Diptera.Brachycera.Muscomorpha.Syrphoidea.Syrphidae.Syrphinae.Xanthogramma.dives</v>
      </c>
      <c r="L101" s="44">
        <f>+COUNTIF([1]Monitoring!AN:AN,K101)</f>
        <v>0</v>
      </c>
    </row>
    <row r="102" spans="1:12" x14ac:dyDescent="0.3">
      <c r="A102" s="46" t="s">
        <v>28</v>
      </c>
      <c r="B102" s="46" t="s">
        <v>29</v>
      </c>
      <c r="C102" s="46" t="s">
        <v>30</v>
      </c>
      <c r="D102" s="47" t="str">
        <f>+IFERROR(IF(E102="#N/C","#N/C",INDEX([1]ClassificationClasses!D:D,MATCH(E102,[1]ClassificationClasses!E:E,0))),"ERROR")</f>
        <v>Muscomorpha</v>
      </c>
      <c r="E102" s="46" t="s">
        <v>443</v>
      </c>
      <c r="F102" s="46" t="s">
        <v>444</v>
      </c>
      <c r="G102" s="46" t="s">
        <v>444</v>
      </c>
      <c r="H102" s="48" t="s">
        <v>779</v>
      </c>
      <c r="I102" s="48" t="s">
        <v>26</v>
      </c>
      <c r="J102" s="67" t="str" cm="1">
        <f t="array" ref="J102">_xlfn.LET(_xlpm.cls,A102, _xlpm.ord,IFERROR(B102,"#N/C"), _xlpm.subord,IFERROR(C102,"#N/C"), _xlpm.infr,IFERROR(D102,"#N/C"), _xlpm.sf,IFERROR(E102,"#N/C"), _xlpm.fam,IFERROR(F102,"#N/C"), _xlpm.subfam,IF(TRIM(G102)="-","#N/C",IFERROR(G102,"#N/C")),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_xlpm.fallback,IF(IFERROR(B102,"#N/C")="#N/C",A102,IF(IFERROR(C102,"#N/C")="#N/C",B102,IF(IFERROR(D102,"#N/C")="#N/C",C102,IF(IFERROR(E102,"#N/C")="#N/C",D102,IF(IFERROR(F102,"#N/C")="#N/C",E102,IF(IFERROR(G102,"#N/C")="#N/C",F102,"#N/C")))))), _xlpm.finalResult,IF(OR(_xlpm.computedResult="",_xlpm.computedResult="#N/C"),_xlpm.fallback,_xlpm.computedResult), INDEX(_xlpm.finalResult,1))</f>
        <v>fruit_fly</v>
      </c>
      <c r="K102" s="45" t="str">
        <f t="shared" si="1"/>
        <v>Insecta.Diptera.Brachycera.Muscomorpha.Tephritoidea.Pallopteridae.Pallopteridae.Palloptera.#N/C</v>
      </c>
      <c r="L102" s="44">
        <f>+COUNTIF([1]Monitoring!AN:AN,K102)</f>
        <v>1</v>
      </c>
    </row>
    <row r="103" spans="1:12" x14ac:dyDescent="0.3">
      <c r="A103" s="46" t="s">
        <v>28</v>
      </c>
      <c r="B103" s="46" t="s">
        <v>29</v>
      </c>
      <c r="C103" s="46" t="s">
        <v>30</v>
      </c>
      <c r="D103" s="47" t="str">
        <f>+IFERROR(IF(E103="#N/C","#N/C",INDEX([1]ClassificationClasses!D:D,MATCH(E103,[1]ClassificationClasses!E:E,0))),"ERROR")</f>
        <v>Muscomorpha</v>
      </c>
      <c r="E103" s="46" t="s">
        <v>443</v>
      </c>
      <c r="F103" s="46" t="s">
        <v>780</v>
      </c>
      <c r="G103" s="46" t="s">
        <v>781</v>
      </c>
      <c r="H103" s="48" t="s">
        <v>26</v>
      </c>
      <c r="I103" s="48" t="s">
        <v>26</v>
      </c>
      <c r="J103" s="67" t="str" cm="1">
        <f t="array" ref="J103">_xlfn.LET(_xlpm.cls,A103, _xlpm.ord,IFERROR(B103,"#N/C"), _xlpm.subord,IFERROR(C103,"#N/C"), _xlpm.infr,IFERROR(D103,"#N/C"), _xlpm.sf,IFERROR(E103,"#N/C"), _xlpm.fam,IFERROR(F103,"#N/C"), _xlpm.subfam,IF(TRIM(G103)="-","#N/C",IFERROR(G103,"#N/C")),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_xlpm.fallback,IF(IFERROR(B103,"#N/C")="#N/C",A103,IF(IFERROR(C103,"#N/C")="#N/C",B103,IF(IFERROR(D103,"#N/C")="#N/C",C103,IF(IFERROR(E103,"#N/C")="#N/C",D103,IF(IFERROR(F103,"#N/C")="#N/C",E103,IF(IFERROR(G103,"#N/C")="#N/C",F103,"#N/C")))))), _xlpm.finalResult,IF(OR(_xlpm.computedResult="",_xlpm.computedResult="#N/C"),_xlpm.fallback,_xlpm.computedResult), INDEX(_xlpm.finalResult,1))</f>
        <v>fruit_fly</v>
      </c>
      <c r="K103" s="45" t="str">
        <f t="shared" si="1"/>
        <v>Insecta.Diptera.Brachycera.Muscomorpha.Tephritoidea.Tephritidae.Tephritinae.#N/C.#N/C</v>
      </c>
      <c r="L103" s="44">
        <f>+COUNTIF([1]Monitoring!AN:AN,K103)</f>
        <v>1</v>
      </c>
    </row>
    <row r="104" spans="1:12" x14ac:dyDescent="0.3">
      <c r="A104" s="46" t="s">
        <v>28</v>
      </c>
      <c r="B104" s="46" t="s">
        <v>29</v>
      </c>
      <c r="C104" s="46" t="s">
        <v>30</v>
      </c>
      <c r="D104" s="47" t="str">
        <f>+IFERROR(IF(E104="#N/C","#N/C",INDEX([1]ClassificationClasses!D:D,MATCH(E104,[1]ClassificationClasses!E:E,0))),"ERROR")</f>
        <v>Muscomorpha</v>
      </c>
      <c r="E104" s="46" t="s">
        <v>443</v>
      </c>
      <c r="F104" s="46" t="s">
        <v>780</v>
      </c>
      <c r="G104" s="46" t="s">
        <v>781</v>
      </c>
      <c r="H104" s="48" t="s">
        <v>782</v>
      </c>
      <c r="I104" s="48" t="s">
        <v>26</v>
      </c>
      <c r="J104" s="67" t="str" cm="1">
        <f t="array" ref="J104">_xlfn.LET(_xlpm.cls,A104, _xlpm.ord,IFERROR(B104,"#N/C"), _xlpm.subord,IFERROR(C104,"#N/C"), _xlpm.infr,IFERROR(D104,"#N/C"), _xlpm.sf,IFERROR(E104,"#N/C"), _xlpm.fam,IFERROR(F104,"#N/C"), _xlpm.subfam,IF(TRIM(G104)="-","#N/C",IFERROR(G104,"#N/C")),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_xlpm.fallback,IF(IFERROR(B104,"#N/C")="#N/C",A104,IF(IFERROR(C104,"#N/C")="#N/C",B104,IF(IFERROR(D104,"#N/C")="#N/C",C104,IF(IFERROR(E104,"#N/C")="#N/C",D104,IF(IFERROR(F104,"#N/C")="#N/C",E104,IF(IFERROR(G104,"#N/C")="#N/C",F104,"#N/C")))))), _xlpm.finalResult,IF(OR(_xlpm.computedResult="",_xlpm.computedResult="#N/C"),_xlpm.fallback,_xlpm.computedResult), INDEX(_xlpm.finalResult,1))</f>
        <v>fruit_fly</v>
      </c>
      <c r="K104" s="45" t="str">
        <f t="shared" si="1"/>
        <v>Insecta.Diptera.Brachycera.Muscomorpha.Tephritoidea.Tephritidae.Tephritinae.Tephritis.#N/C</v>
      </c>
      <c r="L104" s="44">
        <f>+COUNTIF([1]Monitoring!AN:AN,K104)</f>
        <v>1</v>
      </c>
    </row>
    <row r="105" spans="1:12" x14ac:dyDescent="0.3">
      <c r="A105" s="47" t="s">
        <v>28</v>
      </c>
      <c r="B105" s="47" t="s">
        <v>29</v>
      </c>
      <c r="C105" s="47" t="s">
        <v>30</v>
      </c>
      <c r="D105" s="47" t="str">
        <f>+IFERROR(IF(E105="#N/C","#N/C",INDEX([1]ClassificationClasses!D:D,MATCH(E105,[1]ClassificationClasses!E:E,0))),"ERROR")</f>
        <v>Muscomorpha</v>
      </c>
      <c r="E105" s="47" t="s">
        <v>443</v>
      </c>
      <c r="F105" s="47" t="s">
        <v>780</v>
      </c>
      <c r="G105" s="47" t="s">
        <v>783</v>
      </c>
      <c r="H105" s="49" t="s">
        <v>784</v>
      </c>
      <c r="I105" s="49" t="s">
        <v>26</v>
      </c>
      <c r="J105" s="67" t="str" cm="1">
        <f t="array" ref="J105">_xlfn.LET(_xlpm.cls,A105, _xlpm.ord,IFERROR(B105,"#N/C"), _xlpm.subord,IFERROR(C105,"#N/C"), _xlpm.infr,IFERROR(D105,"#N/C"), _xlpm.sf,IFERROR(E105,"#N/C"), _xlpm.fam,IFERROR(F105,"#N/C"), _xlpm.subfam,IF(TRIM(G105)="-","#N/C",IFERROR(G105,"#N/C")),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_xlpm.fallback,IF(IFERROR(B105,"#N/C")="#N/C",A105,IF(IFERROR(C105,"#N/C")="#N/C",B105,IF(IFERROR(D105,"#N/C")="#N/C",C105,IF(IFERROR(E105,"#N/C")="#N/C",D105,IF(IFERROR(F105,"#N/C")="#N/C",E105,IF(IFERROR(G105,"#N/C")="#N/C",F105,"#N/C")))))), _xlpm.finalResult,IF(OR(_xlpm.computedResult="",_xlpm.computedResult="#N/C"),_xlpm.fallback,_xlpm.computedResult), INDEX(_xlpm.finalResult,1))</f>
        <v>fruit_fly</v>
      </c>
      <c r="K105" s="45" t="str">
        <f t="shared" si="1"/>
        <v>Insecta.Diptera.Brachycera.Muscomorpha.Tephritoidea.Tephritidae.Trypetinae.Anomoia.#N/C</v>
      </c>
      <c r="L105" s="44">
        <f>+COUNTIF([1]Monitoring!AN:AN,K105)</f>
        <v>2</v>
      </c>
    </row>
    <row r="106" spans="1:12" x14ac:dyDescent="0.3">
      <c r="A106" s="47" t="s">
        <v>28</v>
      </c>
      <c r="B106" s="47" t="s">
        <v>29</v>
      </c>
      <c r="C106" s="47" t="s">
        <v>176</v>
      </c>
      <c r="D106" s="47" t="str">
        <f>+IFERROR(IF(E106="#N/C","#N/C",INDEX([1]ClassificationClasses!D:D,MATCH(E106,[1]ClassificationClasses!E:E,0))),"ERROR")</f>
        <v>#N/C</v>
      </c>
      <c r="E106" s="47" t="s">
        <v>26</v>
      </c>
      <c r="F106" s="47" t="s">
        <v>26</v>
      </c>
      <c r="G106" s="47" t="s">
        <v>26</v>
      </c>
      <c r="H106" s="49" t="s">
        <v>26</v>
      </c>
      <c r="I106" s="49" t="s">
        <v>26</v>
      </c>
      <c r="J106" s="67" t="str" cm="1">
        <f t="array" ref="J106">_xlfn.LET(_xlpm.cls,A106, _xlpm.ord,IFERROR(B106,"#N/C"), _xlpm.subord,IFERROR(C106,"#N/C"), _xlpm.infr,IFERROR(D106,"#N/C"), _xlpm.sf,IFERROR(E106,"#N/C"), _xlpm.fam,IFERROR(F106,"#N/C"), _xlpm.subfam,IF(TRIM(G106)="-","#N/C",IFERROR(G106,"#N/C")),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_xlpm.fallback,IF(IFERROR(B106,"#N/C")="#N/C",A106,IF(IFERROR(C106,"#N/C")="#N/C",B106,IF(IFERROR(D106,"#N/C")="#N/C",C106,IF(IFERROR(E106,"#N/C")="#N/C",D106,IF(IFERROR(F106,"#N/C")="#N/C",E106,IF(IFERROR(G106,"#N/C")="#N/C",F106,"#N/C")))))), _xlpm.finalResult,IF(OR(_xlpm.computedResult="",_xlpm.computedResult="#N/C"),_xlpm.fallback,_xlpm.computedResult), INDEX(_xlpm.finalResult,1))</f>
        <v>Nematocera</v>
      </c>
      <c r="K106" s="45" t="str">
        <f t="shared" si="1"/>
        <v>Insecta.Diptera.Nematocera.#N/C.#N/C.#N/C.#N/C.#N/C.#N/C</v>
      </c>
      <c r="L106" s="44">
        <f>+COUNTIF([1]Monitoring!AN:AN,K106)</f>
        <v>0</v>
      </c>
    </row>
    <row r="107" spans="1:12" x14ac:dyDescent="0.3">
      <c r="A107" s="47" t="s">
        <v>28</v>
      </c>
      <c r="B107" s="47" t="s">
        <v>29</v>
      </c>
      <c r="C107" s="47" t="s">
        <v>176</v>
      </c>
      <c r="D107" s="47" t="str">
        <f>+IFERROR(IF(E107="#N/C","#N/C",INDEX([1]ClassificationClasses!D:D,MATCH(E107,[1]ClassificationClasses!E:E,0))),"ERROR")</f>
        <v>Bibionomorpha</v>
      </c>
      <c r="E107" s="47" t="s">
        <v>785</v>
      </c>
      <c r="F107" s="47" t="s">
        <v>785</v>
      </c>
      <c r="G107" s="47" t="s">
        <v>786</v>
      </c>
      <c r="H107" s="49" t="s">
        <v>787</v>
      </c>
      <c r="I107" s="49" t="s">
        <v>26</v>
      </c>
      <c r="J107" s="67" t="str" cm="1">
        <f t="array" ref="J107">_xlfn.LET(_xlpm.cls,A107, _xlpm.ord,IFERROR(B107,"#N/C"), _xlpm.subord,IFERROR(C107,"#N/C"), _xlpm.infr,IFERROR(D107,"#N/C"), _xlpm.sf,IFERROR(E107,"#N/C"), _xlpm.fam,IFERROR(F107,"#N/C"), _xlpm.subfam,IF(TRIM(G107)="-","#N/C",IFERROR(G107,"#N/C")),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_xlpm.fallback,IF(IFERROR(B107,"#N/C")="#N/C",A107,IF(IFERROR(C107,"#N/C")="#N/C",B107,IF(IFERROR(D107,"#N/C")="#N/C",C107,IF(IFERROR(E107,"#N/C")="#N/C",D107,IF(IFERROR(F107,"#N/C")="#N/C",E107,IF(IFERROR(G107,"#N/C")="#N/C",F107,"#N/C")))))), _xlpm.finalResult,IF(OR(_xlpm.computedResult="",_xlpm.computedResult="#N/C"),_xlpm.fallback,_xlpm.computedResult), INDEX(_xlpm.finalResult,1))</f>
        <v>fever_fly</v>
      </c>
      <c r="K107" s="45" t="str">
        <f t="shared" si="1"/>
        <v>Insecta.Diptera.Nematocera.Bibionomorpha.Bibionoidea.Bibionoidea.Bibioninae.Dilophus.#N/C</v>
      </c>
      <c r="L107" s="44">
        <f>+COUNTIF([1]Monitoring!AN:AN,K107)</f>
        <v>2</v>
      </c>
    </row>
    <row r="108" spans="1:12" x14ac:dyDescent="0.3">
      <c r="A108" s="47" t="s">
        <v>28</v>
      </c>
      <c r="B108" s="47" t="s">
        <v>29</v>
      </c>
      <c r="C108" s="47" t="s">
        <v>176</v>
      </c>
      <c r="D108" s="47" t="str">
        <f>+IFERROR(IF(E108="#N/C","#N/C",INDEX([1]ClassificationClasses!D:D,MATCH(E108,[1]ClassificationClasses!E:E,0))),"ERROR")</f>
        <v>Culicomorpha</v>
      </c>
      <c r="E108" s="47" t="s">
        <v>788</v>
      </c>
      <c r="F108" s="47" t="s">
        <v>789</v>
      </c>
      <c r="G108" s="47" t="s">
        <v>790</v>
      </c>
      <c r="H108" s="49" t="s">
        <v>791</v>
      </c>
      <c r="I108" s="49" t="s">
        <v>26</v>
      </c>
      <c r="J108" s="67" t="str" cm="1">
        <f t="array" ref="J108">_xlfn.LET(_xlpm.cls,A108, _xlpm.ord,IFERROR(B108,"#N/C"), _xlpm.subord,IFERROR(C108,"#N/C"), _xlpm.infr,IFERROR(D108,"#N/C"), _xlpm.sf,IFERROR(E108,"#N/C"), _xlpm.fam,IFERROR(F108,"#N/C"), _xlpm.subfam,IF(TRIM(G108)="-","#N/C",IFERROR(G108,"#N/C")),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_xlpm.fallback,IF(IFERROR(B108,"#N/C")="#N/C",A108,IF(IFERROR(C108,"#N/C")="#N/C",B108,IF(IFERROR(D108,"#N/C")="#N/C",C108,IF(IFERROR(E108,"#N/C")="#N/C",D108,IF(IFERROR(F108,"#N/C")="#N/C",E108,IF(IFERROR(G108,"#N/C")="#N/C",F108,"#N/C")))))), _xlpm.finalResult,IF(OR(_xlpm.computedResult="",_xlpm.computedResult="#N/C"),_xlpm.fallback,_xlpm.computedResult), INDEX(_xlpm.finalResult,1))</f>
        <v>midge</v>
      </c>
      <c r="K108" s="45" t="str">
        <f t="shared" si="1"/>
        <v>Insecta.Diptera.Nematocera.Culicomorpha.Chironomoidea.Chironomidae.Chironominae.Chironomus.#N/C</v>
      </c>
      <c r="L108" s="44">
        <f>+COUNTIF([1]Monitoring!AN:AN,K108)</f>
        <v>1</v>
      </c>
    </row>
    <row r="109" spans="1:12" x14ac:dyDescent="0.3">
      <c r="A109" s="47" t="s">
        <v>28</v>
      </c>
      <c r="B109" s="47" t="s">
        <v>29</v>
      </c>
      <c r="C109" s="47" t="s">
        <v>176</v>
      </c>
      <c r="D109" s="47" t="str">
        <f>+IFERROR(IF(E109="#N/C","#N/C",INDEX([1]ClassificationClasses!D:D,MATCH(E109,[1]ClassificationClasses!E:E,0))),"ERROR")</f>
        <v>Culicomorpha</v>
      </c>
      <c r="E109" s="47" t="s">
        <v>302</v>
      </c>
      <c r="F109" s="47" t="s">
        <v>303</v>
      </c>
      <c r="G109" s="47" t="s">
        <v>26</v>
      </c>
      <c r="H109" s="49" t="s">
        <v>26</v>
      </c>
      <c r="I109" s="49" t="s">
        <v>26</v>
      </c>
      <c r="J109" s="67" t="str" cm="1">
        <f t="array" ref="J109">_xlfn.LET(_xlpm.cls,A109, _xlpm.ord,IFERROR(B109,"#N/C"), _xlpm.subord,IFERROR(C109,"#N/C"), _xlpm.infr,IFERROR(D109,"#N/C"), _xlpm.sf,IFERROR(E109,"#N/C"), _xlpm.fam,IFERROR(F109,"#N/C"), _xlpm.subfam,IF(TRIM(G109)="-","#N/C",IFERROR(G109,"#N/C")),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_xlpm.fallback,IF(IFERROR(B109,"#N/C")="#N/C",A109,IF(IFERROR(C109,"#N/C")="#N/C",B109,IF(IFERROR(D109,"#N/C")="#N/C",C109,IF(IFERROR(E109,"#N/C")="#N/C",D109,IF(IFERROR(F109,"#N/C")="#N/C",E109,IF(IFERROR(G109,"#N/C")="#N/C",F109,"#N/C")))))), _xlpm.finalResult,IF(OR(_xlpm.computedResult="",_xlpm.computedResult="#N/C"),_xlpm.fallback,_xlpm.computedResult), INDEX(_xlpm.finalResult,1))</f>
        <v>midge</v>
      </c>
      <c r="K109" s="45" t="str">
        <f t="shared" si="1"/>
        <v>Insecta.Diptera.Nematocera.Culicomorpha.Culicoidea.Culicidae.#N/C.#N/C.#N/C</v>
      </c>
      <c r="L109" s="44">
        <f>+COUNTIF([1]Monitoring!AN:AN,K109)</f>
        <v>0</v>
      </c>
    </row>
    <row r="110" spans="1:12" x14ac:dyDescent="0.3">
      <c r="A110" s="46" t="s">
        <v>28</v>
      </c>
      <c r="B110" s="46" t="s">
        <v>29</v>
      </c>
      <c r="C110" s="46" t="s">
        <v>176</v>
      </c>
      <c r="D110" s="47" t="str">
        <f>+IFERROR(IF(E110="#N/C","#N/C",INDEX([1]ClassificationClasses!D:D,MATCH(E110,[1]ClassificationClasses!E:E,0))),"ERROR")</f>
        <v>Bibionomorpha</v>
      </c>
      <c r="E110" s="46" t="s">
        <v>177</v>
      </c>
      <c r="F110" s="46" t="s">
        <v>26</v>
      </c>
      <c r="G110" s="46" t="s">
        <v>26</v>
      </c>
      <c r="H110" s="48" t="s">
        <v>26</v>
      </c>
      <c r="I110" s="48" t="s">
        <v>26</v>
      </c>
      <c r="J110" s="67" t="str" cm="1">
        <f t="array" ref="J110">_xlfn.LET(_xlpm.cls,A110, _xlpm.ord,IFERROR(B110,"#N/C"), _xlpm.subord,IFERROR(C110,"#N/C"), _xlpm.infr,IFERROR(D110,"#N/C"), _xlpm.sf,IFERROR(E110,"#N/C"), _xlpm.fam,IFERROR(F110,"#N/C"), _xlpm.subfam,IF(TRIM(G110)="-","#N/C",IFERROR(G110,"#N/C")),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_xlpm.fallback,IF(IFERROR(B110,"#N/C")="#N/C",A110,IF(IFERROR(C110,"#N/C")="#N/C",B110,IF(IFERROR(D110,"#N/C")="#N/C",C110,IF(IFERROR(E110,"#N/C")="#N/C",D110,IF(IFERROR(F110,"#N/C")="#N/C",E110,IF(IFERROR(G110,"#N/C")="#N/C",F110,"#N/C")))))), _xlpm.finalResult,IF(OR(_xlpm.computedResult="",_xlpm.computedResult="#N/C"),_xlpm.fallback,_xlpm.computedResult), INDEX(_xlpm.finalResult,1))</f>
        <v>Sciaroidea</v>
      </c>
      <c r="K110" s="45" t="str">
        <f t="shared" si="1"/>
        <v>Insecta.Diptera.Nematocera.Bibionomorpha.Sciaroidea.#N/C.#N/C.#N/C.#N/C</v>
      </c>
      <c r="L110" s="44">
        <f>+COUNTIF([1]Monitoring!AN:AN,K110)</f>
        <v>0</v>
      </c>
    </row>
    <row r="111" spans="1:12" x14ac:dyDescent="0.3">
      <c r="A111" s="46" t="s">
        <v>28</v>
      </c>
      <c r="B111" s="46" t="s">
        <v>29</v>
      </c>
      <c r="C111" s="46" t="s">
        <v>176</v>
      </c>
      <c r="D111" s="47" t="str">
        <f>+IFERROR(IF(E111="#N/C","#N/C",INDEX([1]ClassificationClasses!D:D,MATCH(E111,[1]ClassificationClasses!E:E,0))),"ERROR")</f>
        <v>Bibionomorpha</v>
      </c>
      <c r="E111" s="46" t="s">
        <v>177</v>
      </c>
      <c r="F111" s="46" t="s">
        <v>178</v>
      </c>
      <c r="G111" s="46" t="s">
        <v>179</v>
      </c>
      <c r="H111" s="48" t="s">
        <v>180</v>
      </c>
      <c r="I111" s="48" t="s">
        <v>26</v>
      </c>
      <c r="J111" s="67" t="str" cm="1">
        <f t="array" ref="J111">_xlfn.LET(_xlpm.cls,A111, _xlpm.ord,IFERROR(B111,"#N/C"), _xlpm.subord,IFERROR(C111,"#N/C"), _xlpm.infr,IFERROR(D111,"#N/C"), _xlpm.sf,IFERROR(E111,"#N/C"), _xlpm.fam,IFERROR(F111,"#N/C"), _xlpm.subfam,IF(TRIM(G111)="-","#N/C",IFERROR(G111,"#N/C")),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_xlpm.fallback,IF(IFERROR(B111,"#N/C")="#N/C",A111,IF(IFERROR(C111,"#N/C")="#N/C",B111,IF(IFERROR(D111,"#N/C")="#N/C",C111,IF(IFERROR(E111,"#N/C")="#N/C",D111,IF(IFERROR(F111,"#N/C")="#N/C",E111,IF(IFERROR(G111,"#N/C")="#N/C",F111,"#N/C")))))), _xlpm.finalResult,IF(OR(_xlpm.computedResult="",_xlpm.computedResult="#N/C"),_xlpm.fallback,_xlpm.computedResult), INDEX(_xlpm.finalResult,1))</f>
        <v>Sciaroidea</v>
      </c>
      <c r="K111" s="45" t="str">
        <f t="shared" si="1"/>
        <v>Insecta.Diptera.Nematocera.Bibionomorpha.Sciaroidea.Keroplatidae.Macrocerinae.Macrocera.#N/C</v>
      </c>
      <c r="L111" s="44">
        <f>+COUNTIF([1]Monitoring!AN:AN,K111)</f>
        <v>0</v>
      </c>
    </row>
    <row r="112" spans="1:12" x14ac:dyDescent="0.3">
      <c r="A112" s="47" t="s">
        <v>28</v>
      </c>
      <c r="B112" s="47" t="s">
        <v>29</v>
      </c>
      <c r="C112" s="47" t="s">
        <v>176</v>
      </c>
      <c r="D112" s="47" t="str">
        <f>+IFERROR(IF(E112="#N/C","#N/C",INDEX([1]ClassificationClasses!D:D,MATCH(E112,[1]ClassificationClasses!E:E,0))),"ERROR")</f>
        <v>Bibionomorpha</v>
      </c>
      <c r="E112" s="47" t="s">
        <v>177</v>
      </c>
      <c r="F112" s="47" t="s">
        <v>410</v>
      </c>
      <c r="G112" s="47" t="s">
        <v>26</v>
      </c>
      <c r="H112" s="49" t="s">
        <v>26</v>
      </c>
      <c r="I112" s="49" t="s">
        <v>26</v>
      </c>
      <c r="J112" s="67" t="str" cm="1">
        <f t="array" ref="J112">_xlfn.LET(_xlpm.cls,A112, _xlpm.ord,IFERROR(B112,"#N/C"), _xlpm.subord,IFERROR(C112,"#N/C"), _xlpm.infr,IFERROR(D112,"#N/C"), _xlpm.sf,IFERROR(E112,"#N/C"), _xlpm.fam,IFERROR(F112,"#N/C"), _xlpm.subfam,IF(TRIM(G112)="-","#N/C",IFERROR(G112,"#N/C")),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_xlpm.fallback,IF(IFERROR(B112,"#N/C")="#N/C",A112,IF(IFERROR(C112,"#N/C")="#N/C",B112,IF(IFERROR(D112,"#N/C")="#N/C",C112,IF(IFERROR(E112,"#N/C")="#N/C",D112,IF(IFERROR(F112,"#N/C")="#N/C",E112,IF(IFERROR(G112,"#N/C")="#N/C",F112,"#N/C")))))), _xlpm.finalResult,IF(OR(_xlpm.computedResult="",_xlpm.computedResult="#N/C"),_xlpm.fallback,_xlpm.computedResult), INDEX(_xlpm.finalResult,1))</f>
        <v>Sciaroidea</v>
      </c>
      <c r="K112" s="45" t="str">
        <f t="shared" si="1"/>
        <v>Insecta.Diptera.Nematocera.Bibionomorpha.Sciaroidea.Mycetophilidae.#N/C.#N/C.#N/C</v>
      </c>
      <c r="L112" s="44">
        <f>+COUNTIF([1]Monitoring!AN:AN,K112)</f>
        <v>0</v>
      </c>
    </row>
    <row r="113" spans="1:12" x14ac:dyDescent="0.3">
      <c r="A113" s="47" t="s">
        <v>28</v>
      </c>
      <c r="B113" s="47" t="s">
        <v>29</v>
      </c>
      <c r="C113" s="47" t="s">
        <v>176</v>
      </c>
      <c r="D113" s="47" t="str">
        <f>+IFERROR(IF(E113="#N/C","#N/C",INDEX([1]ClassificationClasses!D:D,MATCH(E113,[1]ClassificationClasses!E:E,0))),"ERROR")</f>
        <v>Tipulomorpha</v>
      </c>
      <c r="E113" s="47" t="s">
        <v>227</v>
      </c>
      <c r="F113" s="47" t="s">
        <v>228</v>
      </c>
      <c r="G113" s="47" t="s">
        <v>229</v>
      </c>
      <c r="H113" s="49" t="s">
        <v>26</v>
      </c>
      <c r="I113" s="49" t="s">
        <v>26</v>
      </c>
      <c r="J113" s="67" t="str" cm="1">
        <f t="array" ref="J113">_xlfn.LET(_xlpm.cls,A113, _xlpm.ord,IFERROR(B113,"#N/C"), _xlpm.subord,IFERROR(C113,"#N/C"), _xlpm.infr,IFERROR(D113,"#N/C"), _xlpm.sf,IFERROR(E113,"#N/C"), _xlpm.fam,IFERROR(F113,"#N/C"), _xlpm.subfam,IF(TRIM(G113)="-","#N/C",IFERROR(G113,"#N/C")),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_xlpm.fallback,IF(IFERROR(B113,"#N/C")="#N/C",A113,IF(IFERROR(C113,"#N/C")="#N/C",B113,IF(IFERROR(D113,"#N/C")="#N/C",C113,IF(IFERROR(E113,"#N/C")="#N/C",D113,IF(IFERROR(F113,"#N/C")="#N/C",E113,IF(IFERROR(G113,"#N/C")="#N/C",F113,"#N/C")))))), _xlpm.finalResult,IF(OR(_xlpm.computedResult="",_xlpm.computedResult="#N/C"),_xlpm.fallback,_xlpm.computedResult), INDEX(_xlpm.finalResult,1))</f>
        <v>crane_fly</v>
      </c>
      <c r="K113" s="45" t="str">
        <f t="shared" si="1"/>
        <v>Insecta.Diptera.Nematocera.Tipulomorpha.Tipuloidea.Tipulidae.Tipulinae.#N/C.#N/C</v>
      </c>
      <c r="L113" s="44">
        <f>+COUNTIF([1]Monitoring!AN:AN,K113)</f>
        <v>0</v>
      </c>
    </row>
    <row r="114" spans="1:12" x14ac:dyDescent="0.3">
      <c r="A114" s="47" t="s">
        <v>28</v>
      </c>
      <c r="B114" s="47" t="s">
        <v>29</v>
      </c>
      <c r="C114" s="47" t="s">
        <v>176</v>
      </c>
      <c r="D114" s="47" t="str">
        <f>+IFERROR(IF(E114="#N/C","#N/C",INDEX([1]ClassificationClasses!D:D,MATCH(E114,[1]ClassificationClasses!E:E,0))),"ERROR")</f>
        <v>Tipulomorpha</v>
      </c>
      <c r="E114" s="47" t="s">
        <v>227</v>
      </c>
      <c r="F114" s="47" t="s">
        <v>228</v>
      </c>
      <c r="G114" s="47" t="s">
        <v>229</v>
      </c>
      <c r="H114" s="49" t="s">
        <v>230</v>
      </c>
      <c r="I114" s="49" t="s">
        <v>26</v>
      </c>
      <c r="J114" s="67" t="str" cm="1">
        <f t="array" ref="J114">_xlfn.LET(_xlpm.cls,A114, _xlpm.ord,IFERROR(B114,"#N/C"), _xlpm.subord,IFERROR(C114,"#N/C"), _xlpm.infr,IFERROR(D114,"#N/C"), _xlpm.sf,IFERROR(E114,"#N/C"), _xlpm.fam,IFERROR(F114,"#N/C"), _xlpm.subfam,IF(TRIM(G114)="-","#N/C",IFERROR(G114,"#N/C")),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_xlpm.fallback,IF(IFERROR(B114,"#N/C")="#N/C",A114,IF(IFERROR(C114,"#N/C")="#N/C",B114,IF(IFERROR(D114,"#N/C")="#N/C",C114,IF(IFERROR(E114,"#N/C")="#N/C",D114,IF(IFERROR(F114,"#N/C")="#N/C",E114,IF(IFERROR(G114,"#N/C")="#N/C",F114,"#N/C")))))), _xlpm.finalResult,IF(OR(_xlpm.computedResult="",_xlpm.computedResult="#N/C"),_xlpm.fallback,_xlpm.computedResult), INDEX(_xlpm.finalResult,1))</f>
        <v>crane_fly</v>
      </c>
      <c r="K114" s="45" t="str">
        <f t="shared" si="1"/>
        <v>Insecta.Diptera.Nematocera.Tipulomorpha.Tipuloidea.Tipulidae.Tipulinae.Nephrotoma.#N/C</v>
      </c>
      <c r="L114" s="44">
        <f>+COUNTIF([1]Monitoring!AN:AN,K114)</f>
        <v>0</v>
      </c>
    </row>
    <row r="115" spans="1:12" x14ac:dyDescent="0.3">
      <c r="A115" s="46" t="s">
        <v>28</v>
      </c>
      <c r="B115" s="46" t="s">
        <v>29</v>
      </c>
      <c r="C115" s="47" t="s">
        <v>176</v>
      </c>
      <c r="D115" s="47" t="str">
        <f>+IFERROR(IF(E115="#N/C","#N/C",INDEX([1]ClassificationClasses!D:D,MATCH(E115,[1]ClassificationClasses!E:E,0))),"ERROR")</f>
        <v>Tipulomorpha</v>
      </c>
      <c r="E115" s="46" t="s">
        <v>227</v>
      </c>
      <c r="F115" s="46" t="s">
        <v>228</v>
      </c>
      <c r="G115" s="46" t="s">
        <v>229</v>
      </c>
      <c r="H115" s="48" t="s">
        <v>792</v>
      </c>
      <c r="I115" s="48" t="s">
        <v>26</v>
      </c>
      <c r="J115" s="67" t="str" cm="1">
        <f t="array" ref="J115">_xlfn.LET(_xlpm.cls,A115, _xlpm.ord,IFERROR(B115,"#N/C"), _xlpm.subord,IFERROR(C115,"#N/C"), _xlpm.infr,IFERROR(D115,"#N/C"), _xlpm.sf,IFERROR(E115,"#N/C"), _xlpm.fam,IFERROR(F115,"#N/C"), _xlpm.subfam,IF(TRIM(G115)="-","#N/C",IFERROR(G115,"#N/C")),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_xlpm.fallback,IF(IFERROR(B115,"#N/C")="#N/C",A115,IF(IFERROR(C115,"#N/C")="#N/C",B115,IF(IFERROR(D115,"#N/C")="#N/C",C115,IF(IFERROR(E115,"#N/C")="#N/C",D115,IF(IFERROR(F115,"#N/C")="#N/C",E115,IF(IFERROR(G115,"#N/C")="#N/C",F115,"#N/C")))))), _xlpm.finalResult,IF(OR(_xlpm.computedResult="",_xlpm.computedResult="#N/C"),_xlpm.fallback,_xlpm.computedResult), INDEX(_xlpm.finalResult,1))</f>
        <v>crane_fly</v>
      </c>
      <c r="K115" s="45" t="str">
        <f t="shared" si="1"/>
        <v>Insecta.Diptera.Nematocera.Tipulomorpha.Tipuloidea.Tipulidae.Tipulinae.Tipula.#N/C</v>
      </c>
      <c r="L115" s="44">
        <f>+COUNTIF([1]Monitoring!AN:AN,K115)</f>
        <v>1</v>
      </c>
    </row>
    <row r="116" spans="1:12" x14ac:dyDescent="0.3">
      <c r="A116" s="47" t="s">
        <v>28</v>
      </c>
      <c r="B116" s="47" t="s">
        <v>265</v>
      </c>
      <c r="C116" s="47" t="s">
        <v>332</v>
      </c>
      <c r="D116" s="47" t="str">
        <f>+IFERROR(IF(E116="#N/C","#N/C",INDEX([1]ClassificationClasses!D:D,MATCH(E116,[1]ClassificationClasses!E:E,0))),"ERROR")</f>
        <v>#N/C</v>
      </c>
      <c r="E116" s="47" t="s">
        <v>26</v>
      </c>
      <c r="F116" s="47" t="s">
        <v>26</v>
      </c>
      <c r="G116" s="47" t="s">
        <v>26</v>
      </c>
      <c r="H116" s="49" t="s">
        <v>26</v>
      </c>
      <c r="I116" s="49" t="s">
        <v>26</v>
      </c>
      <c r="J116" s="67" t="str" cm="1">
        <f t="array" ref="J116">_xlfn.LET(_xlpm.cls,A116, _xlpm.ord,IFERROR(B116,"#N/C"), _xlpm.subord,IFERROR(C116,"#N/C"), _xlpm.infr,IFERROR(D116,"#N/C"), _xlpm.sf,IFERROR(E116,"#N/C"), _xlpm.fam,IFERROR(F116,"#N/C"), _xlpm.subfam,IF(TRIM(G116)="-","#N/C",IFERROR(G116,"#N/C")),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_xlpm.fallback,IF(IFERROR(B116,"#N/C")="#N/C",A116,IF(IFERROR(C116,"#N/C")="#N/C",B116,IF(IFERROR(D116,"#N/C")="#N/C",C116,IF(IFERROR(E116,"#N/C")="#N/C",D116,IF(IFERROR(F116,"#N/C")="#N/C",E116,IF(IFERROR(G116,"#N/C")="#N/C",F116,"#N/C")))))), _xlpm.finalResult,IF(OR(_xlpm.computedResult="",_xlpm.computedResult="#N/C"),_xlpm.fallback,_xlpm.computedResult), INDEX(_xlpm.finalResult,1))</f>
        <v>Auchenorrhyncha</v>
      </c>
      <c r="K116" s="45" t="str">
        <f t="shared" si="1"/>
        <v>Insecta.Hemiptera.Auchenorrhyncha.#N/C.#N/C.#N/C.#N/C.#N/C.#N/C</v>
      </c>
      <c r="L116" s="44">
        <f>+COUNTIF([1]Monitoring!AN:AN,K116)</f>
        <v>0</v>
      </c>
    </row>
    <row r="117" spans="1:12" x14ac:dyDescent="0.3">
      <c r="A117" s="47" t="s">
        <v>28</v>
      </c>
      <c r="B117" s="47" t="s">
        <v>265</v>
      </c>
      <c r="C117" s="47" t="s">
        <v>332</v>
      </c>
      <c r="D117" s="47" t="str">
        <f>+IFERROR(IF(E117="#N/C","#N/C",INDEX([1]ClassificationClasses!D:D,MATCH(E117,[1]ClassificationClasses!E:E,0))),"ERROR")</f>
        <v>Cicadomorpha</v>
      </c>
      <c r="E117" s="47" t="s">
        <v>793</v>
      </c>
      <c r="F117" s="47" t="s">
        <v>794</v>
      </c>
      <c r="G117" s="47" t="s">
        <v>795</v>
      </c>
      <c r="H117" s="49" t="s">
        <v>796</v>
      </c>
      <c r="I117" s="49" t="s">
        <v>26</v>
      </c>
      <c r="J117" s="67" t="str" cm="1">
        <f t="array" ref="J117">_xlfn.LET(_xlpm.cls,A117, _xlpm.ord,IFERROR(B117,"#N/C"), _xlpm.subord,IFERROR(C117,"#N/C"), _xlpm.infr,IFERROR(D117,"#N/C"), _xlpm.sf,IFERROR(E117,"#N/C"), _xlpm.fam,IFERROR(F117,"#N/C"), _xlpm.subfam,IF(TRIM(G117)="-","#N/C",IFERROR(G117,"#N/C")),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_xlpm.fallback,IF(IFERROR(B117,"#N/C")="#N/C",A117,IF(IFERROR(C117,"#N/C")="#N/C",B117,IF(IFERROR(D117,"#N/C")="#N/C",C117,IF(IFERROR(E117,"#N/C")="#N/C",D117,IF(IFERROR(F117,"#N/C")="#N/C",E117,IF(IFERROR(G117,"#N/C")="#N/C",F117,"#N/C")))))), _xlpm.finalResult,IF(OR(_xlpm.computedResult="",_xlpm.computedResult="#N/C"),_xlpm.fallback,_xlpm.computedResult), INDEX(_xlpm.finalResult,1))</f>
        <v>leafhopper</v>
      </c>
      <c r="K117" s="45" t="str">
        <f t="shared" si="1"/>
        <v>Insecta.Hemiptera.Auchenorrhyncha.Cicadomorpha.Membracoidea.Cicadellidae.Deltocephalinae.Orientus.#N/C</v>
      </c>
      <c r="L117" s="44">
        <f>+COUNTIF([1]Monitoring!AN:AN,K117)</f>
        <v>2</v>
      </c>
    </row>
    <row r="118" spans="1:12" x14ac:dyDescent="0.3">
      <c r="A118" s="47" t="s">
        <v>28</v>
      </c>
      <c r="B118" s="47" t="s">
        <v>265</v>
      </c>
      <c r="C118" s="47" t="s">
        <v>266</v>
      </c>
      <c r="D118" s="47" t="s">
        <v>797</v>
      </c>
      <c r="E118" s="47" t="s">
        <v>798</v>
      </c>
      <c r="F118" s="47" t="s">
        <v>799</v>
      </c>
      <c r="G118" s="47" t="s">
        <v>800</v>
      </c>
      <c r="H118" s="49" t="s">
        <v>801</v>
      </c>
      <c r="I118" s="49" t="s">
        <v>26</v>
      </c>
      <c r="J118" s="67" t="str" cm="1">
        <f t="array" ref="J118">_xlfn.LET(_xlpm.cls,A118, _xlpm.ord,IFERROR(B118,"#N/C"), _xlpm.subord,IFERROR(C118,"#N/C"), _xlpm.infr,IFERROR(D118,"#N/C"), _xlpm.sf,IFERROR(E118,"#N/C"), _xlpm.fam,IFERROR(F118,"#N/C"), _xlpm.subfam,IF(TRIM(G118)="-","#N/C",IFERROR(G118,"#N/C")),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_xlpm.fallback,IF(IFERROR(B118,"#N/C")="#N/C",A118,IF(IFERROR(C118,"#N/C")="#N/C",B118,IF(IFERROR(D118,"#N/C")="#N/C",C118,IF(IFERROR(E118,"#N/C")="#N/C",D118,IF(IFERROR(F118,"#N/C")="#N/C",E118,IF(IFERROR(G118,"#N/C")="#N/C",F118,"#N/C")))))), _xlpm.finalResult,IF(OR(_xlpm.computedResult="",_xlpm.computedResult="#N/C"),_xlpm.fallback,_xlpm.computedResult), INDEX(_xlpm.finalResult,1))</f>
        <v>bug</v>
      </c>
      <c r="K118" s="45" t="str">
        <f t="shared" si="1"/>
        <v>Insecta.Hemiptera.Heteroptera.Pentatomomorpha.Lygaeoidea.Rhyparochromidae.Rhyparochrominae.Rhyparochromus.#N/C</v>
      </c>
      <c r="L118" s="44">
        <f>+COUNTIF([1]Monitoring!AN:AN,K118)</f>
        <v>2</v>
      </c>
    </row>
    <row r="119" spans="1:12" x14ac:dyDescent="0.3">
      <c r="A119" s="47" t="s">
        <v>28</v>
      </c>
      <c r="B119" s="47" t="s">
        <v>265</v>
      </c>
      <c r="C119" s="47" t="s">
        <v>266</v>
      </c>
      <c r="D119" s="47" t="s">
        <v>797</v>
      </c>
      <c r="E119" s="47" t="s">
        <v>267</v>
      </c>
      <c r="F119" s="47" t="s">
        <v>268</v>
      </c>
      <c r="G119" s="47" t="s">
        <v>802</v>
      </c>
      <c r="H119" s="49" t="s">
        <v>26</v>
      </c>
      <c r="I119" s="49" t="s">
        <v>26</v>
      </c>
      <c r="J119" s="67" t="str" cm="1">
        <f t="array" ref="J119">_xlfn.LET(_xlpm.cls,A119, _xlpm.ord,IFERROR(B119,"#N/C"), _xlpm.subord,IFERROR(C119,"#N/C"), _xlpm.infr,IFERROR(D119,"#N/C"), _xlpm.sf,IFERROR(E119,"#N/C"), _xlpm.fam,IFERROR(F119,"#N/C"), _xlpm.subfam,IF(TRIM(G119)="-","#N/C",IFERROR(G119,"#N/C")),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_xlpm.fallback,IF(IFERROR(B119,"#N/C")="#N/C",A119,IF(IFERROR(C119,"#N/C")="#N/C",B119,IF(IFERROR(D119,"#N/C")="#N/C",C119,IF(IFERROR(E119,"#N/C")="#N/C",D119,IF(IFERROR(F119,"#N/C")="#N/C",E119,IF(IFERROR(G119,"#N/C")="#N/C",F119,"#N/C")))))), _xlpm.finalResult,IF(OR(_xlpm.computedResult="",_xlpm.computedResult="#N/C"),_xlpm.fallback,_xlpm.computedResult), INDEX(_xlpm.finalResult,1))</f>
        <v>bug</v>
      </c>
      <c r="K119" s="45" t="str">
        <f t="shared" si="1"/>
        <v>Insecta.Hemiptera.Heteroptera.Pentatomomorpha.Miroidea.Miridae.Mirinae.#N/C.#N/C</v>
      </c>
      <c r="L119" s="44">
        <f>+COUNTIF([1]Monitoring!AN:AN,K119)</f>
        <v>1</v>
      </c>
    </row>
    <row r="120" spans="1:12" x14ac:dyDescent="0.3">
      <c r="A120" s="47" t="s">
        <v>28</v>
      </c>
      <c r="B120" s="47" t="s">
        <v>265</v>
      </c>
      <c r="C120" s="47" t="s">
        <v>266</v>
      </c>
      <c r="D120" s="47" t="s">
        <v>797</v>
      </c>
      <c r="E120" s="47" t="s">
        <v>267</v>
      </c>
      <c r="F120" s="47" t="s">
        <v>268</v>
      </c>
      <c r="G120" s="47" t="s">
        <v>269</v>
      </c>
      <c r="H120" s="49" t="s">
        <v>270</v>
      </c>
      <c r="I120" s="49" t="s">
        <v>26</v>
      </c>
      <c r="J120" s="67" t="str" cm="1">
        <f t="array" ref="J120">_xlfn.LET(_xlpm.cls,A120, _xlpm.ord,IFERROR(B120,"#N/C"), _xlpm.subord,IFERROR(C120,"#N/C"), _xlpm.infr,IFERROR(D120,"#N/C"), _xlpm.sf,IFERROR(E120,"#N/C"), _xlpm.fam,IFERROR(F120,"#N/C"), _xlpm.subfam,IF(TRIM(G120)="-","#N/C",IFERROR(G120,"#N/C")),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_xlpm.fallback,IF(IFERROR(B120,"#N/C")="#N/C",A120,IF(IFERROR(C120,"#N/C")="#N/C",B120,IF(IFERROR(D120,"#N/C")="#N/C",C120,IF(IFERROR(E120,"#N/C")="#N/C",D120,IF(IFERROR(F120,"#N/C")="#N/C",E120,IF(IFERROR(G120,"#N/C")="#N/C",F120,"#N/C")))))), _xlpm.finalResult,IF(OR(_xlpm.computedResult="",_xlpm.computedResult="#N/C"),_xlpm.fallback,_xlpm.computedResult), INDEX(_xlpm.finalResult,1))</f>
        <v>bug</v>
      </c>
      <c r="K120" s="45" t="str">
        <f t="shared" si="1"/>
        <v>Insecta.Hemiptera.Heteroptera.Pentatomomorpha.Miroidea.Miridae.Orthotylinae.Orthotylus.#N/C</v>
      </c>
      <c r="L120" s="44">
        <f>+COUNTIF([1]Monitoring!AN:AN,K120)</f>
        <v>0</v>
      </c>
    </row>
    <row r="121" spans="1:12" x14ac:dyDescent="0.3">
      <c r="A121" s="47" t="s">
        <v>28</v>
      </c>
      <c r="B121" s="47" t="s">
        <v>32</v>
      </c>
      <c r="C121" s="47" t="s">
        <v>26</v>
      </c>
      <c r="D121" s="47" t="str">
        <f>+IFERROR(IF(E121="#N/C","#N/C",INDEX([1]ClassificationClasses!D:D,MATCH(E121,[1]ClassificationClasses!E:E,0))),"ERROR")</f>
        <v>#N/C</v>
      </c>
      <c r="E121" s="47" t="s">
        <v>26</v>
      </c>
      <c r="F121" s="47" t="s">
        <v>26</v>
      </c>
      <c r="G121" s="47" t="s">
        <v>26</v>
      </c>
      <c r="H121" s="49" t="s">
        <v>26</v>
      </c>
      <c r="I121" s="49" t="s">
        <v>26</v>
      </c>
      <c r="J121" s="67" t="str" cm="1">
        <f t="array" ref="J121">_xlfn.LET(_xlpm.cls,A121, _xlpm.ord,IFERROR(B121,"#N/C"), _xlpm.subord,IFERROR(C121,"#N/C"), _xlpm.infr,IFERROR(D121,"#N/C"), _xlpm.sf,IFERROR(E121,"#N/C"), _xlpm.fam,IFERROR(F121,"#N/C"), _xlpm.subfam,IF(TRIM(G121)="-","#N/C",IFERROR(G121,"#N/C")),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_xlpm.fallback,IF(IFERROR(B121,"#N/C")="#N/C",A121,IF(IFERROR(C121,"#N/C")="#N/C",B121,IF(IFERROR(D121,"#N/C")="#N/C",C121,IF(IFERROR(E121,"#N/C")="#N/C",D121,IF(IFERROR(F121,"#N/C")="#N/C",E121,IF(IFERROR(G121,"#N/C")="#N/C",F121,"#N/C")))))), _xlpm.finalResult,IF(OR(_xlpm.computedResult="",_xlpm.computedResult="#N/C"),_xlpm.fallback,_xlpm.computedResult), INDEX(_xlpm.finalResult,1))</f>
        <v>Hymenoptera</v>
      </c>
      <c r="K121" s="45" t="str">
        <f t="shared" si="1"/>
        <v>Insecta.Hymenoptera.#N/C.#N/C.#N/C.#N/C.#N/C.#N/C.#N/C</v>
      </c>
      <c r="L121" s="44">
        <f>+COUNTIF([1]Monitoring!AN:AN,K121)</f>
        <v>0</v>
      </c>
    </row>
    <row r="122" spans="1:12" x14ac:dyDescent="0.3">
      <c r="A122" s="47" t="s">
        <v>28</v>
      </c>
      <c r="B122" s="47" t="s">
        <v>32</v>
      </c>
      <c r="C122" s="47" t="s">
        <v>33</v>
      </c>
      <c r="D122" s="47" t="str">
        <f>+IFERROR(IF(E122="#N/C","#N/C",INDEX([1]ClassificationClasses!D:D,MATCH(E122,[1]ClassificationClasses!E:E,0))),"ERROR")</f>
        <v>#N/C</v>
      </c>
      <c r="E122" s="47" t="s">
        <v>26</v>
      </c>
      <c r="F122" s="47" t="s">
        <v>26</v>
      </c>
      <c r="G122" s="47" t="s">
        <v>26</v>
      </c>
      <c r="H122" s="49" t="s">
        <v>26</v>
      </c>
      <c r="I122" s="49" t="s">
        <v>26</v>
      </c>
      <c r="J122" s="67" t="str" cm="1">
        <f t="array" ref="J122">_xlfn.LET(_xlpm.cls,A122, _xlpm.ord,IFERROR(B122,"#N/C"), _xlpm.subord,IFERROR(C122,"#N/C"), _xlpm.infr,IFERROR(D122,"#N/C"), _xlpm.sf,IFERROR(E122,"#N/C"), _xlpm.fam,IFERROR(F122,"#N/C"), _xlpm.subfam,IF(TRIM(G122)="-","#N/C",IFERROR(G122,"#N/C")),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_xlpm.fallback,IF(IFERROR(B122,"#N/C")="#N/C",A122,IF(IFERROR(C122,"#N/C")="#N/C",B122,IF(IFERROR(D122,"#N/C")="#N/C",C122,IF(IFERROR(E122,"#N/C")="#N/C",D122,IF(IFERROR(F122,"#N/C")="#N/C",E122,IF(IFERROR(G122,"#N/C")="#N/C",F122,"#N/C")))))), _xlpm.finalResult,IF(OR(_xlpm.computedResult="",_xlpm.computedResult="#N/C"),_xlpm.fallback,_xlpm.computedResult), INDEX(_xlpm.finalResult,1))</f>
        <v>Apocrita</v>
      </c>
      <c r="K122" s="45" t="str">
        <f t="shared" si="1"/>
        <v>Insecta.Hymenoptera.Apocrita.#N/C.#N/C.#N/C.#N/C.#N/C.#N/C</v>
      </c>
      <c r="L122" s="44">
        <f>+COUNTIF([1]Monitoring!AN:AN,K122)</f>
        <v>0</v>
      </c>
    </row>
    <row r="123" spans="1:12" x14ac:dyDescent="0.3">
      <c r="A123" s="46" t="s">
        <v>28</v>
      </c>
      <c r="B123" s="46" t="s">
        <v>32</v>
      </c>
      <c r="C123" s="46" t="s">
        <v>33</v>
      </c>
      <c r="D123" s="47" t="str">
        <f>+IFERROR(IF(E123="#N/C","#N/C",INDEX([1]ClassificationClasses!D:D,MATCH(E123,[1]ClassificationClasses!E:E,0))),"ERROR")</f>
        <v>Aculeata</v>
      </c>
      <c r="E123" s="46" t="s">
        <v>122</v>
      </c>
      <c r="F123" s="46" t="s">
        <v>123</v>
      </c>
      <c r="G123" s="46" t="s">
        <v>124</v>
      </c>
      <c r="H123" s="48" t="s">
        <v>26</v>
      </c>
      <c r="I123" s="48" t="s">
        <v>26</v>
      </c>
      <c r="J123" s="67" t="str" cm="1">
        <f t="array" ref="J123">_xlfn.LET(_xlpm.cls,A123, _xlpm.ord,IFERROR(B123,"#N/C"), _xlpm.subord,IFERROR(C123,"#N/C"), _xlpm.infr,IFERROR(D123,"#N/C"), _xlpm.sf,IFERROR(E123,"#N/C"), _xlpm.fam,IFERROR(F123,"#N/C"), _xlpm.subfam,IF(TRIM(G123)="-","#N/C",IFERROR(G123,"#N/C")),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_xlpm.fallback,IF(IFERROR(B123,"#N/C")="#N/C",A123,IF(IFERROR(C123,"#N/C")="#N/C",B123,IF(IFERROR(D123,"#N/C")="#N/C",C123,IF(IFERROR(E123,"#N/C")="#N/C",D123,IF(IFERROR(F123,"#N/C")="#N/C",E123,IF(IFERROR(G123,"#N/C")="#N/C",F123,"#N/C")))))), _xlpm.finalResult,IF(OR(_xlpm.computedResult="",_xlpm.computedResult="#N/C"),_xlpm.fallback,_xlpm.computedResult), INDEX(_xlpm.finalResult,1))</f>
        <v>bee</v>
      </c>
      <c r="K123" s="45" t="str">
        <f t="shared" si="1"/>
        <v>Insecta.Hymenoptera.Apocrita.Aculeata.Apoidea.Apidae.Apinae.#N/C.#N/C</v>
      </c>
      <c r="L123" s="44">
        <f>+COUNTIF([1]Monitoring!AN:AN,K123)</f>
        <v>1</v>
      </c>
    </row>
    <row r="124" spans="1:12" x14ac:dyDescent="0.3">
      <c r="A124" s="47" t="s">
        <v>28</v>
      </c>
      <c r="B124" s="47" t="s">
        <v>32</v>
      </c>
      <c r="C124" s="47" t="s">
        <v>33</v>
      </c>
      <c r="D124" s="47" t="str">
        <f>+IFERROR(IF(E124="#N/C","#N/C",INDEX([1]ClassificationClasses!D:D,MATCH(E124,[1]ClassificationClasses!E:E,0))),"ERROR")</f>
        <v>Aculeata</v>
      </c>
      <c r="E124" s="47" t="s">
        <v>122</v>
      </c>
      <c r="F124" s="47" t="s">
        <v>123</v>
      </c>
      <c r="G124" s="47" t="s">
        <v>124</v>
      </c>
      <c r="H124" s="103" t="s">
        <v>125</v>
      </c>
      <c r="I124" s="103" t="s">
        <v>26</v>
      </c>
      <c r="J124" s="67" t="str" cm="1">
        <f t="array" ref="J124">_xlfn.LET(_xlpm.cls,A124, _xlpm.ord,IFERROR(B124,"#N/C"), _xlpm.subord,IFERROR(C124,"#N/C"), _xlpm.infr,IFERROR(D124,"#N/C"), _xlpm.sf,IFERROR(E124,"#N/C"), _xlpm.fam,IFERROR(F124,"#N/C"), _xlpm.subfam,IF(TRIM(G124)="-","#N/C",IFERROR(G124,"#N/C")),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_xlpm.fallback,IF(IFERROR(B124,"#N/C")="#N/C",A124,IF(IFERROR(C124,"#N/C")="#N/C",B124,IF(IFERROR(D124,"#N/C")="#N/C",C124,IF(IFERROR(E124,"#N/C")="#N/C",D124,IF(IFERROR(F124,"#N/C")="#N/C",E124,IF(IFERROR(G124,"#N/C")="#N/C",F124,"#N/C")))))), _xlpm.finalResult,IF(OR(_xlpm.computedResult="",_xlpm.computedResult="#N/C"),_xlpm.fallback,_xlpm.computedResult), INDEX(_xlpm.finalResult,1))</f>
        <v>bee</v>
      </c>
      <c r="K124" s="45" t="str">
        <f t="shared" si="1"/>
        <v>Insecta.Hymenoptera.Apocrita.Aculeata.Apoidea.Apidae.Apinae.Bombus.#N/C</v>
      </c>
      <c r="L124" s="44">
        <f>+COUNTIF([1]Monitoring!AN:AN,K124)</f>
        <v>0</v>
      </c>
    </row>
    <row r="125" spans="1:12" x14ac:dyDescent="0.3">
      <c r="A125" s="47" t="s">
        <v>28</v>
      </c>
      <c r="B125" s="47" t="s">
        <v>32</v>
      </c>
      <c r="C125" s="47" t="s">
        <v>33</v>
      </c>
      <c r="D125" s="47" t="str">
        <f>+IFERROR(IF(E125="#N/C","#N/C",INDEX([1]ClassificationClasses!D:D,MATCH(E125,[1]ClassificationClasses!E:E,0))),"ERROR")</f>
        <v>Aculeata</v>
      </c>
      <c r="E125" s="47" t="s">
        <v>122</v>
      </c>
      <c r="F125" s="47" t="s">
        <v>387</v>
      </c>
      <c r="G125" s="47" t="s">
        <v>388</v>
      </c>
      <c r="H125" s="49" t="s">
        <v>389</v>
      </c>
      <c r="I125" s="49" t="s">
        <v>26</v>
      </c>
      <c r="J125" s="67" t="str" cm="1">
        <f t="array" ref="J125">_xlfn.LET(_xlpm.cls,A125, _xlpm.ord,IFERROR(B125,"#N/C"), _xlpm.subord,IFERROR(C125,"#N/C"), _xlpm.infr,IFERROR(D125,"#N/C"), _xlpm.sf,IFERROR(E125,"#N/C"), _xlpm.fam,IFERROR(F125,"#N/C"), _xlpm.subfam,IF(TRIM(G125)="-","#N/C",IFERROR(G125,"#N/C")),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_xlpm.fallback,IF(IFERROR(B125,"#N/C")="#N/C",A125,IF(IFERROR(C125,"#N/C")="#N/C",B125,IF(IFERROR(D125,"#N/C")="#N/C",C125,IF(IFERROR(E125,"#N/C")="#N/C",D125,IF(IFERROR(F125,"#N/C")="#N/C",E125,IF(IFERROR(G125,"#N/C")="#N/C",F125,"#N/C")))))), _xlpm.finalResult,IF(OR(_xlpm.computedResult="",_xlpm.computedResult="#N/C"),_xlpm.fallback,_xlpm.computedResult), INDEX(_xlpm.finalResult,1))</f>
        <v>Apoidea</v>
      </c>
      <c r="K125" s="45" t="str">
        <f t="shared" si="1"/>
        <v>Insecta.Hymenoptera.Apocrita.Aculeata.Apoidea.Crabronidae.Astatinae.Astata.#N/C</v>
      </c>
      <c r="L125" s="44">
        <f>+COUNTIF([1]Monitoring!AN:AN,K125)</f>
        <v>0</v>
      </c>
    </row>
    <row r="126" spans="1:12" x14ac:dyDescent="0.3">
      <c r="A126" s="47" t="s">
        <v>28</v>
      </c>
      <c r="B126" s="47" t="s">
        <v>32</v>
      </c>
      <c r="C126" s="47" t="s">
        <v>33</v>
      </c>
      <c r="D126" s="47" t="str">
        <f>+IFERROR(IF(E126="#N/C","#N/C",INDEX([1]ClassificationClasses!D:D,MATCH(E126,[1]ClassificationClasses!E:E,0))),"ERROR")</f>
        <v>Aculeata</v>
      </c>
      <c r="E126" s="47" t="s">
        <v>122</v>
      </c>
      <c r="F126" s="47" t="s">
        <v>387</v>
      </c>
      <c r="G126" s="47" t="s">
        <v>803</v>
      </c>
      <c r="H126" s="49" t="s">
        <v>804</v>
      </c>
      <c r="I126" s="49" t="s">
        <v>26</v>
      </c>
      <c r="J126" s="67" t="str" cm="1">
        <f t="array" ref="J126">_xlfn.LET(_xlpm.cls,A126, _xlpm.ord,IFERROR(B126,"#N/C"), _xlpm.subord,IFERROR(C126,"#N/C"), _xlpm.infr,IFERROR(D126,"#N/C"), _xlpm.sf,IFERROR(E126,"#N/C"), _xlpm.fam,IFERROR(F126,"#N/C"), _xlpm.subfam,IF(TRIM(G126)="-","#N/C",IFERROR(G126,"#N/C")),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_xlpm.fallback,IF(IFERROR(B126,"#N/C")="#N/C",A126,IF(IFERROR(C126,"#N/C")="#N/C",B126,IF(IFERROR(D126,"#N/C")="#N/C",C126,IF(IFERROR(E126,"#N/C")="#N/C",D126,IF(IFERROR(F126,"#N/C")="#N/C",E126,IF(IFERROR(G126,"#N/C")="#N/C",F126,"#N/C")))))), _xlpm.finalResult,IF(OR(_xlpm.computedResult="",_xlpm.computedResult="#N/C"),_xlpm.fallback,_xlpm.computedResult), INDEX(_xlpm.finalResult,1))</f>
        <v>Apoidea</v>
      </c>
      <c r="K126" s="45" t="str">
        <f t="shared" si="1"/>
        <v>Insecta.Hymenoptera.Apocrita.Aculeata.Apoidea.Crabronidae.Crabroninae.Oxybelus.#N/C</v>
      </c>
      <c r="L126" s="44">
        <f>+COUNTIF([1]Monitoring!AN:AN,K126)</f>
        <v>1</v>
      </c>
    </row>
    <row r="127" spans="1:12" x14ac:dyDescent="0.3">
      <c r="A127" s="47" t="s">
        <v>28</v>
      </c>
      <c r="B127" s="47" t="s">
        <v>32</v>
      </c>
      <c r="C127" s="47" t="s">
        <v>33</v>
      </c>
      <c r="D127" s="47" t="str">
        <f>+IFERROR(IF(E127="#N/C","#N/C",INDEX([1]ClassificationClasses!D:D,MATCH(E127,[1]ClassificationClasses!E:E,0))),"ERROR")</f>
        <v>Aculeata</v>
      </c>
      <c r="E127" s="47" t="s">
        <v>122</v>
      </c>
      <c r="F127" s="47" t="s">
        <v>387</v>
      </c>
      <c r="G127" s="47" t="s">
        <v>805</v>
      </c>
      <c r="H127" s="49" t="s">
        <v>806</v>
      </c>
      <c r="I127" s="49" t="s">
        <v>26</v>
      </c>
      <c r="J127" s="67" t="str" cm="1">
        <f t="array" ref="J127">_xlfn.LET(_xlpm.cls,A127, _xlpm.ord,IFERROR(B127,"#N/C"), _xlpm.subord,IFERROR(C127,"#N/C"), _xlpm.infr,IFERROR(D127,"#N/C"), _xlpm.sf,IFERROR(E127,"#N/C"), _xlpm.fam,IFERROR(F127,"#N/C"), _xlpm.subfam,IF(TRIM(G127)="-","#N/C",IFERROR(G127,"#N/C")),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_xlpm.fallback,IF(IFERROR(B127,"#N/C")="#N/C",A127,IF(IFERROR(C127,"#N/C")="#N/C",B127,IF(IFERROR(D127,"#N/C")="#N/C",C127,IF(IFERROR(E127,"#N/C")="#N/C",D127,IF(IFERROR(F127,"#N/C")="#N/C",E127,IF(IFERROR(G127,"#N/C")="#N/C",F127,"#N/C")))))), _xlpm.finalResult,IF(OR(_xlpm.computedResult="",_xlpm.computedResult="#N/C"),_xlpm.fallback,_xlpm.computedResult), INDEX(_xlpm.finalResult,1))</f>
        <v>Apoidea</v>
      </c>
      <c r="K127" s="45" t="str">
        <f t="shared" si="1"/>
        <v>Insecta.Hymenoptera.Apocrita.Aculeata.Apoidea.Crabronidae.Pemphredoninae.Pemphredon.#N/C</v>
      </c>
      <c r="L127" s="44">
        <f>+COUNTIF([1]Monitoring!AN:AN,K127)</f>
        <v>1</v>
      </c>
    </row>
    <row r="128" spans="1:12" x14ac:dyDescent="0.3">
      <c r="A128" s="46" t="s">
        <v>28</v>
      </c>
      <c r="B128" s="46" t="s">
        <v>32</v>
      </c>
      <c r="C128" s="46" t="s">
        <v>33</v>
      </c>
      <c r="D128" s="47" t="str">
        <f>+IFERROR(IF(E128="#N/C","#N/C",INDEX([1]ClassificationClasses!D:D,MATCH(E128,[1]ClassificationClasses!E:E,0))),"ERROR")</f>
        <v>Parasitica</v>
      </c>
      <c r="E128" s="46" t="s">
        <v>807</v>
      </c>
      <c r="F128" s="46" t="s">
        <v>808</v>
      </c>
      <c r="G128" s="46" t="s">
        <v>26</v>
      </c>
      <c r="H128" s="48" t="s">
        <v>26</v>
      </c>
      <c r="I128" s="48" t="s">
        <v>26</v>
      </c>
      <c r="J128" s="67" t="str" cm="1">
        <f t="array" ref="J128">_xlfn.LET(_xlpm.cls,A128, _xlpm.ord,IFERROR(B128,"#N/C"), _xlpm.subord,IFERROR(C128,"#N/C"), _xlpm.infr,IFERROR(D128,"#N/C"), _xlpm.sf,IFERROR(E128,"#N/C"), _xlpm.fam,IFERROR(F128,"#N/C"), _xlpm.subfam,IF(TRIM(G128)="-","#N/C",IFERROR(G128,"#N/C")),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_xlpm.fallback,IF(IFERROR(B128,"#N/C")="#N/C",A128,IF(IFERROR(C128,"#N/C")="#N/C",B128,IF(IFERROR(D128,"#N/C")="#N/C",C128,IF(IFERROR(E128,"#N/C")="#N/C",D128,IF(IFERROR(F128,"#N/C")="#N/C",E128,IF(IFERROR(G128,"#N/C")="#N/C",F128,"#N/C")))))), _xlpm.finalResult,IF(OR(_xlpm.computedResult="",_xlpm.computedResult="#N/C"),_xlpm.fallback,_xlpm.computedResult), INDEX(_xlpm.finalResult,1))</f>
        <v>parasitoid_wasp_small</v>
      </c>
      <c r="K128" s="45" t="str">
        <f t="shared" si="1"/>
        <v>Insecta.Hymenoptera.Apocrita.Parasitica.Chalcidoidea.Eulophidae.#N/C.#N/C.#N/C</v>
      </c>
      <c r="L128" s="44">
        <f>+COUNTIF([1]Monitoring!AN:AN,K128)</f>
        <v>1</v>
      </c>
    </row>
    <row r="129" spans="1:12" x14ac:dyDescent="0.3">
      <c r="A129" s="47" t="s">
        <v>28</v>
      </c>
      <c r="B129" s="47" t="s">
        <v>32</v>
      </c>
      <c r="C129" s="47" t="s">
        <v>33</v>
      </c>
      <c r="D129" s="47" t="str">
        <f>+IFERROR(IF(E129="#N/C","#N/C",INDEX([1]ClassificationClasses!D:D,MATCH(E129,[1]ClassificationClasses!E:E,0))),"ERROR")</f>
        <v>Parasitica</v>
      </c>
      <c r="E129" s="47" t="s">
        <v>62</v>
      </c>
      <c r="F129" s="47" t="s">
        <v>26</v>
      </c>
      <c r="G129" s="47" t="s">
        <v>26</v>
      </c>
      <c r="H129" s="49" t="s">
        <v>26</v>
      </c>
      <c r="I129" s="49" t="s">
        <v>26</v>
      </c>
      <c r="J129" s="67" t="str" cm="1">
        <f t="array" ref="J129">_xlfn.LET(_xlpm.cls,A129, _xlpm.ord,IFERROR(B129,"#N/C"), _xlpm.subord,IFERROR(C129,"#N/C"), _xlpm.infr,IFERROR(D129,"#N/C"), _xlpm.sf,IFERROR(E129,"#N/C"), _xlpm.fam,IFERROR(F129,"#N/C"), _xlpm.subfam,IF(TRIM(G129)="-","#N/C",IFERROR(G129,"#N/C")),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_xlpm.fallback,IF(IFERROR(B129,"#N/C")="#N/C",A129,IF(IFERROR(C129,"#N/C")="#N/C",B129,IF(IFERROR(D129,"#N/C")="#N/C",C129,IF(IFERROR(E129,"#N/C")="#N/C",D129,IF(IFERROR(F129,"#N/C")="#N/C",E129,IF(IFERROR(G129,"#N/C")="#N/C",F129,"#N/C")))))), _xlpm.finalResult,IF(OR(_xlpm.computedResult="",_xlpm.computedResult="#N/C"),_xlpm.fallback,_xlpm.computedResult), INDEX(_xlpm.finalResult,1))</f>
        <v>Ichneumonoidea</v>
      </c>
      <c r="K129" s="45" t="str">
        <f t="shared" si="1"/>
        <v>Insecta.Hymenoptera.Apocrita.Parasitica.Ichneumonoidea.#N/C.#N/C.#N/C.#N/C</v>
      </c>
      <c r="L129" s="44">
        <f>+COUNTIF([1]Monitoring!AN:AN,K129)</f>
        <v>0</v>
      </c>
    </row>
    <row r="130" spans="1:12" x14ac:dyDescent="0.3">
      <c r="A130" s="47" t="s">
        <v>28</v>
      </c>
      <c r="B130" s="47" t="s">
        <v>32</v>
      </c>
      <c r="C130" s="47" t="s">
        <v>33</v>
      </c>
      <c r="D130" s="47" t="str">
        <f>+IFERROR(IF(E130="#N/C","#N/C",INDEX([1]ClassificationClasses!D:D,MATCH(E130,[1]ClassificationClasses!E:E,0))),"ERROR")</f>
        <v>Parasitica</v>
      </c>
      <c r="E130" s="47" t="s">
        <v>62</v>
      </c>
      <c r="F130" s="47" t="s">
        <v>695</v>
      </c>
      <c r="G130" s="47" t="s">
        <v>696</v>
      </c>
      <c r="H130" s="49" t="s">
        <v>26</v>
      </c>
      <c r="I130" s="49" t="s">
        <v>26</v>
      </c>
      <c r="J130" s="67" t="str" cm="1">
        <f t="array" ref="J130">_xlfn.LET(_xlpm.cls,A130, _xlpm.ord,IFERROR(B130,"#N/C"), _xlpm.subord,IFERROR(C130,"#N/C"), _xlpm.infr,IFERROR(D130,"#N/C"), _xlpm.sf,IFERROR(E130,"#N/C"), _xlpm.fam,IFERROR(F130,"#N/C"), _xlpm.subfam,IF(TRIM(G130)="-","#N/C",IFERROR(G130,"#N/C")),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_xlpm.fallback,IF(IFERROR(B130,"#N/C")="#N/C",A130,IF(IFERROR(C130,"#N/C")="#N/C",B130,IF(IFERROR(D130,"#N/C")="#N/C",C130,IF(IFERROR(E130,"#N/C")="#N/C",D130,IF(IFERROR(F130,"#N/C")="#N/C",E130,IF(IFERROR(G130,"#N/C")="#N/C",F130,"#N/C")))))), _xlpm.finalResult,IF(OR(_xlpm.computedResult="",_xlpm.computedResult="#N/C"),_xlpm.fallback,_xlpm.computedResult), INDEX(_xlpm.finalResult,1))</f>
        <v>Ichneumonoidea</v>
      </c>
      <c r="K130" s="45" t="str">
        <f t="shared" si="1"/>
        <v>Insecta.Hymenoptera.Apocrita.Parasitica.Ichneumonoidea.Braconidae.Macrocentrinae.#N/C.#N/C</v>
      </c>
      <c r="L130" s="44">
        <f>+COUNTIF([1]Monitoring!AN:AN,K130)</f>
        <v>0</v>
      </c>
    </row>
    <row r="131" spans="1:12" x14ac:dyDescent="0.3">
      <c r="A131" s="47" t="s">
        <v>28</v>
      </c>
      <c r="B131" s="47" t="s">
        <v>32</v>
      </c>
      <c r="C131" s="47" t="s">
        <v>33</v>
      </c>
      <c r="D131" s="47" t="str">
        <f>+IFERROR(IF(E131="#N/C","#N/C",INDEX([1]ClassificationClasses!D:D,MATCH(E131,[1]ClassificationClasses!E:E,0))),"ERROR")</f>
        <v>Parasitica</v>
      </c>
      <c r="E131" s="47" t="s">
        <v>62</v>
      </c>
      <c r="F131" s="47" t="s">
        <v>63</v>
      </c>
      <c r="G131" s="47" t="s">
        <v>809</v>
      </c>
      <c r="H131" s="49" t="s">
        <v>203</v>
      </c>
      <c r="I131" s="49" t="s">
        <v>26</v>
      </c>
      <c r="J131" s="67" t="str" cm="1">
        <f t="array" ref="J131">_xlfn.LET(_xlpm.cls,A131, _xlpm.ord,IFERROR(B131,"#N/C"), _xlpm.subord,IFERROR(C131,"#N/C"), _xlpm.infr,IFERROR(D131,"#N/C"), _xlpm.sf,IFERROR(E131,"#N/C"), _xlpm.fam,IFERROR(F131,"#N/C"), _xlpm.subfam,IF(TRIM(G131)="-","#N/C",IFERROR(G131,"#N/C")),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_xlpm.fallback,IF(IFERROR(B131,"#N/C")="#N/C",A131,IF(IFERROR(C131,"#N/C")="#N/C",B131,IF(IFERROR(D131,"#N/C")="#N/C",C131,IF(IFERROR(E131,"#N/C")="#N/C",D131,IF(IFERROR(F131,"#N/C")="#N/C",E131,IF(IFERROR(G131,"#N/C")="#N/C",F131,"#N/C")))))), _xlpm.finalResult,IF(OR(_xlpm.computedResult="",_xlpm.computedResult="#N/C"),_xlpm.fallback,_xlpm.computedResult), INDEX(_xlpm.finalResult,1))</f>
        <v>Ichneumonidae</v>
      </c>
      <c r="K131" s="45" t="str">
        <f t="shared" ref="K131:K195" si="2">+CONCATENATE(A131,".",B131,".",C131,".",D131,".",E131,".",F131,".",G131,".",H131,".",I131)</f>
        <v>Insecta.Hymenoptera.Apocrita.Parasitica.Ichneumonoidea.Ichneumonidae.	Banchinae.Exetastes.#N/C</v>
      </c>
      <c r="L131" s="44">
        <f>+COUNTIF([1]Monitoring!AN:AN,K131)</f>
        <v>0</v>
      </c>
    </row>
    <row r="132" spans="1:12" x14ac:dyDescent="0.3">
      <c r="A132" s="47" t="s">
        <v>28</v>
      </c>
      <c r="B132" s="47" t="s">
        <v>32</v>
      </c>
      <c r="C132" s="47" t="s">
        <v>33</v>
      </c>
      <c r="D132" s="47" t="str">
        <f>+IFERROR(IF(E132="#N/C","#N/C",INDEX([1]ClassificationClasses!D:D,MATCH(E132,[1]ClassificationClasses!E:E,0))),"ERROR")</f>
        <v>Parasitica</v>
      </c>
      <c r="E132" s="47" t="s">
        <v>62</v>
      </c>
      <c r="F132" s="47" t="s">
        <v>63</v>
      </c>
      <c r="G132" s="47" t="s">
        <v>26</v>
      </c>
      <c r="H132" s="49" t="s">
        <v>26</v>
      </c>
      <c r="I132" s="49" t="s">
        <v>26</v>
      </c>
      <c r="J132" s="67" t="str" cm="1">
        <f t="array" ref="J132">_xlfn.LET(_xlpm.cls,A132, _xlpm.ord,IFERROR(B132,"#N/C"), _xlpm.subord,IFERROR(C132,"#N/C"), _xlpm.infr,IFERROR(D132,"#N/C"), _xlpm.sf,IFERROR(E132,"#N/C"), _xlpm.fam,IFERROR(F132,"#N/C"), _xlpm.subfam,IF(TRIM(G132)="-","#N/C",IFERROR(G132,"#N/C")),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_xlpm.fallback,IF(IFERROR(B132,"#N/C")="#N/C",A132,IF(IFERROR(C132,"#N/C")="#N/C",B132,IF(IFERROR(D132,"#N/C")="#N/C",C132,IF(IFERROR(E132,"#N/C")="#N/C",D132,IF(IFERROR(F132,"#N/C")="#N/C",E132,IF(IFERROR(G132,"#N/C")="#N/C",F132,"#N/C")))))), _xlpm.finalResult,IF(OR(_xlpm.computedResult="",_xlpm.computedResult="#N/C"),_xlpm.fallback,_xlpm.computedResult), INDEX(_xlpm.finalResult,1))</f>
        <v>Ichneumonidae</v>
      </c>
      <c r="K132" s="45" t="str">
        <f t="shared" si="2"/>
        <v>Insecta.Hymenoptera.Apocrita.Parasitica.Ichneumonoidea.Ichneumonidae.#N/C.#N/C.#N/C</v>
      </c>
      <c r="L132" s="44">
        <f>+COUNTIF([1]Monitoring!AN:AN,K132)</f>
        <v>3</v>
      </c>
    </row>
    <row r="133" spans="1:12" x14ac:dyDescent="0.3">
      <c r="A133" s="46" t="s">
        <v>28</v>
      </c>
      <c r="B133" s="46" t="s">
        <v>32</v>
      </c>
      <c r="C133" s="46" t="s">
        <v>33</v>
      </c>
      <c r="D133" s="47" t="str">
        <f>+IFERROR(IF(E133="#N/C","#N/C",INDEX([1]ClassificationClasses!D:D,MATCH(E133,[1]ClassificationClasses!E:E,0))),"ERROR")</f>
        <v>Parasitica</v>
      </c>
      <c r="E133" s="46" t="s">
        <v>62</v>
      </c>
      <c r="F133" s="46" t="s">
        <v>63</v>
      </c>
      <c r="G133" s="46" t="s">
        <v>202</v>
      </c>
      <c r="H133" s="48" t="s">
        <v>26</v>
      </c>
      <c r="I133" s="48" t="s">
        <v>26</v>
      </c>
      <c r="J133" s="67" t="str" cm="1">
        <f t="array" ref="J133">_xlfn.LET(_xlpm.cls,A133, _xlpm.ord,IFERROR(B133,"#N/C"), _xlpm.subord,IFERROR(C133,"#N/C"), _xlpm.infr,IFERROR(D133,"#N/C"), _xlpm.sf,IFERROR(E133,"#N/C"), _xlpm.fam,IFERROR(F133,"#N/C"), _xlpm.subfam,IF(TRIM(G133)="-","#N/C",IFERROR(G133,"#N/C")),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_xlpm.fallback,IF(IFERROR(B133,"#N/C")="#N/C",A133,IF(IFERROR(C133,"#N/C")="#N/C",B133,IF(IFERROR(D133,"#N/C")="#N/C",C133,IF(IFERROR(E133,"#N/C")="#N/C",D133,IF(IFERROR(F133,"#N/C")="#N/C",E133,IF(IFERROR(G133,"#N/C")="#N/C",F133,"#N/C")))))), _xlpm.finalResult,IF(OR(_xlpm.computedResult="",_xlpm.computedResult="#N/C"),_xlpm.fallback,_xlpm.computedResult), INDEX(_xlpm.finalResult,1))</f>
        <v>Ichneumonidae</v>
      </c>
      <c r="K133" s="45" t="str">
        <f t="shared" si="2"/>
        <v>Insecta.Hymenoptera.Apocrita.Parasitica.Ichneumonoidea.Ichneumonidae.Banchinae.#N/C.#N/C</v>
      </c>
      <c r="L133" s="44">
        <f>+COUNTIF([1]Monitoring!AN:AN,K133)</f>
        <v>0</v>
      </c>
    </row>
    <row r="134" spans="1:12" x14ac:dyDescent="0.3">
      <c r="A134" s="47" t="s">
        <v>28</v>
      </c>
      <c r="B134" s="47" t="s">
        <v>32</v>
      </c>
      <c r="C134" s="47" t="s">
        <v>33</v>
      </c>
      <c r="D134" s="47" t="str">
        <f>+IFERROR(IF(E134="#N/C","#N/C",INDEX([1]ClassificationClasses!D:D,MATCH(E134,[1]ClassificationClasses!E:E,0))),"ERROR")</f>
        <v>Parasitica</v>
      </c>
      <c r="E134" s="47" t="s">
        <v>62</v>
      </c>
      <c r="F134" s="47" t="s">
        <v>63</v>
      </c>
      <c r="G134" s="47" t="s">
        <v>456</v>
      </c>
      <c r="H134" s="49" t="s">
        <v>457</v>
      </c>
      <c r="I134" s="49" t="s">
        <v>26</v>
      </c>
      <c r="J134" s="67" t="str" cm="1">
        <f t="array" ref="J134">_xlfn.LET(_xlpm.cls,A134, _xlpm.ord,IFERROR(B134,"#N/C"), _xlpm.subord,IFERROR(C134,"#N/C"), _xlpm.infr,IFERROR(D134,"#N/C"), _xlpm.sf,IFERROR(E134,"#N/C"), _xlpm.fam,IFERROR(F134,"#N/C"), _xlpm.subfam,IF(TRIM(G134)="-","#N/C",IFERROR(G134,"#N/C")),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_xlpm.fallback,IF(IFERROR(B134,"#N/C")="#N/C",A134,IF(IFERROR(C134,"#N/C")="#N/C",B134,IF(IFERROR(D134,"#N/C")="#N/C",C134,IF(IFERROR(E134,"#N/C")="#N/C",D134,IF(IFERROR(F134,"#N/C")="#N/C",E134,IF(IFERROR(G134,"#N/C")="#N/C",F134,"#N/C")))))), _xlpm.finalResult,IF(OR(_xlpm.computedResult="",_xlpm.computedResult="#N/C"),_xlpm.fallback,_xlpm.computedResult), INDEX(_xlpm.finalResult,1))</f>
        <v>Ichneumonidae</v>
      </c>
      <c r="K134" s="45" t="str">
        <f t="shared" si="2"/>
        <v>Insecta.Hymenoptera.Apocrita.Parasitica.Ichneumonoidea.Ichneumonidae.Campopleginae.Dusona.#N/C</v>
      </c>
      <c r="L134" s="44">
        <f>+COUNTIF([1]Monitoring!AN:AN,K134)</f>
        <v>1</v>
      </c>
    </row>
    <row r="135" spans="1:12" x14ac:dyDescent="0.3">
      <c r="A135" s="46" t="s">
        <v>28</v>
      </c>
      <c r="B135" s="46" t="s">
        <v>32</v>
      </c>
      <c r="C135" s="46" t="s">
        <v>33</v>
      </c>
      <c r="D135" s="47" t="str">
        <f>+IFERROR(IF(E135="#N/C","#N/C",INDEX([1]ClassificationClasses!D:D,MATCH(E135,[1]ClassificationClasses!E:E,0))),"ERROR")</f>
        <v>Parasitica</v>
      </c>
      <c r="E135" s="46" t="s">
        <v>62</v>
      </c>
      <c r="F135" s="46" t="s">
        <v>63</v>
      </c>
      <c r="G135" s="46" t="s">
        <v>76</v>
      </c>
      <c r="H135" s="48" t="s">
        <v>77</v>
      </c>
      <c r="I135" s="48" t="s">
        <v>26</v>
      </c>
      <c r="J135" s="67" t="str" cm="1">
        <f t="array" ref="J135">_xlfn.LET(_xlpm.cls,A135, _xlpm.ord,IFERROR(B135,"#N/C"), _xlpm.subord,IFERROR(C135,"#N/C"), _xlpm.infr,IFERROR(D135,"#N/C"), _xlpm.sf,IFERROR(E135,"#N/C"), _xlpm.fam,IFERROR(F135,"#N/C"), _xlpm.subfam,IF(TRIM(G135)="-","#N/C",IFERROR(G135,"#N/C")),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_xlpm.fallback,IF(IFERROR(B135,"#N/C")="#N/C",A135,IF(IFERROR(C135,"#N/C")="#N/C",B135,IF(IFERROR(D135,"#N/C")="#N/C",C135,IF(IFERROR(E135,"#N/C")="#N/C",D135,IF(IFERROR(F135,"#N/C")="#N/C",E135,IF(IFERROR(G135,"#N/C")="#N/C",F135,"#N/C")))))), _xlpm.finalResult,IF(OR(_xlpm.computedResult="",_xlpm.computedResult="#N/C"),_xlpm.fallback,_xlpm.computedResult), INDEX(_xlpm.finalResult,1))</f>
        <v>Ichneumonidae</v>
      </c>
      <c r="K135" s="45" t="str">
        <f t="shared" si="2"/>
        <v>Insecta.Hymenoptera.Apocrita.Parasitica.Ichneumonoidea.Ichneumonidae.Diplazontinae.Diplazon.#N/C</v>
      </c>
      <c r="L135" s="44">
        <f>+COUNTIF([1]Monitoring!AN:AN,K135)</f>
        <v>0</v>
      </c>
    </row>
    <row r="136" spans="1:12" x14ac:dyDescent="0.3">
      <c r="A136" s="47" t="s">
        <v>28</v>
      </c>
      <c r="B136" s="47" t="s">
        <v>32</v>
      </c>
      <c r="C136" s="47" t="s">
        <v>33</v>
      </c>
      <c r="D136" s="47" t="str">
        <f>+IFERROR(IF(E136="#N/C","#N/C",INDEX([1]ClassificationClasses!D:D,MATCH(E136,[1]ClassificationClasses!E:E,0))),"ERROR")</f>
        <v>Parasitica</v>
      </c>
      <c r="E136" s="47" t="s">
        <v>62</v>
      </c>
      <c r="F136" s="47" t="s">
        <v>63</v>
      </c>
      <c r="G136" s="47" t="s">
        <v>76</v>
      </c>
      <c r="H136" s="49" t="s">
        <v>77</v>
      </c>
      <c r="I136" s="49" t="s">
        <v>78</v>
      </c>
      <c r="J136" s="67" t="str" cm="1">
        <f t="array" ref="J136">_xlfn.LET(_xlpm.cls,A136, _xlpm.ord,IFERROR(B136,"#N/C"), _xlpm.subord,IFERROR(C136,"#N/C"), _xlpm.infr,IFERROR(D136,"#N/C"), _xlpm.sf,IFERROR(E136,"#N/C"), _xlpm.fam,IFERROR(F136,"#N/C"), _xlpm.subfam,IF(TRIM(G136)="-","#N/C",IFERROR(G136,"#N/C")),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_xlpm.fallback,IF(IFERROR(B136,"#N/C")="#N/C",A136,IF(IFERROR(C136,"#N/C")="#N/C",B136,IF(IFERROR(D136,"#N/C")="#N/C",C136,IF(IFERROR(E136,"#N/C")="#N/C",D136,IF(IFERROR(F136,"#N/C")="#N/C",E136,IF(IFERROR(G136,"#N/C")="#N/C",F136,"#N/C")))))), _xlpm.finalResult,IF(OR(_xlpm.computedResult="",_xlpm.computedResult="#N/C"),_xlpm.fallback,_xlpm.computedResult), INDEX(_xlpm.finalResult,1))</f>
        <v>Ichneumonidae</v>
      </c>
      <c r="K136" s="45" t="str">
        <f t="shared" si="2"/>
        <v>Insecta.Hymenoptera.Apocrita.Parasitica.Ichneumonoidea.Ichneumonidae.Diplazontinae.Diplazon.laetatorius</v>
      </c>
      <c r="L136" s="44">
        <f>+COUNTIF([1]Monitoring!AN:AN,K136)</f>
        <v>0</v>
      </c>
    </row>
    <row r="137" spans="1:12" x14ac:dyDescent="0.3">
      <c r="A137" s="47" t="s">
        <v>28</v>
      </c>
      <c r="B137" s="47" t="s">
        <v>32</v>
      </c>
      <c r="C137" s="47" t="s">
        <v>33</v>
      </c>
      <c r="D137" s="47" t="str">
        <f>+IFERROR(IF(E137="#N/C","#N/C",INDEX([1]ClassificationClasses!D:D,MATCH(E137,[1]ClassificationClasses!E:E,0))),"ERROR")</f>
        <v>Parasitica</v>
      </c>
      <c r="E137" s="47" t="s">
        <v>62</v>
      </c>
      <c r="F137" s="47" t="s">
        <v>63</v>
      </c>
      <c r="G137" s="47" t="s">
        <v>656</v>
      </c>
      <c r="H137" s="49" t="s">
        <v>26</v>
      </c>
      <c r="I137" s="49" t="s">
        <v>26</v>
      </c>
      <c r="J137" s="67" t="str" cm="1">
        <f t="array" ref="J137">_xlfn.LET(_xlpm.cls,A137, _xlpm.ord,IFERROR(B137,"#N/C"), _xlpm.subord,IFERROR(C137,"#N/C"), _xlpm.infr,IFERROR(D137,"#N/C"), _xlpm.sf,IFERROR(E137,"#N/C"), _xlpm.fam,IFERROR(F137,"#N/C"), _xlpm.subfam,IF(TRIM(G137)="-","#N/C",IFERROR(G137,"#N/C")),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_xlpm.fallback,IF(IFERROR(B137,"#N/C")="#N/C",A137,IF(IFERROR(C137,"#N/C")="#N/C",B137,IF(IFERROR(D137,"#N/C")="#N/C",C137,IF(IFERROR(E137,"#N/C")="#N/C",D137,IF(IFERROR(F137,"#N/C")="#N/C",E137,IF(IFERROR(G137,"#N/C")="#N/C",F137,"#N/C")))))), _xlpm.finalResult,IF(OR(_xlpm.computedResult="",_xlpm.computedResult="#N/C"),_xlpm.fallback,_xlpm.computedResult), INDEX(_xlpm.finalResult,1))</f>
        <v>Ichneumonidae</v>
      </c>
      <c r="K137" s="45" t="str">
        <f t="shared" si="2"/>
        <v>Insecta.Hymenoptera.Apocrita.Parasitica.Ichneumonoidea.Ichneumonidae.Ichneumoninae.#N/C.#N/C</v>
      </c>
      <c r="L137" s="44">
        <f>+COUNTIF([1]Monitoring!AN:AN,K137)</f>
        <v>0</v>
      </c>
    </row>
    <row r="138" spans="1:12" x14ac:dyDescent="0.3">
      <c r="A138" s="47" t="s">
        <v>28</v>
      </c>
      <c r="B138" s="47" t="s">
        <v>32</v>
      </c>
      <c r="C138" s="47" t="s">
        <v>33</v>
      </c>
      <c r="D138" s="47" t="str">
        <f>+IFERROR(IF(E138="#N/C","#N/C",INDEX([1]ClassificationClasses!D:D,MATCH(E138,[1]ClassificationClasses!E:E,0))),"ERROR")</f>
        <v>Parasitica</v>
      </c>
      <c r="E138" s="47" t="s">
        <v>62</v>
      </c>
      <c r="F138" s="47" t="s">
        <v>63</v>
      </c>
      <c r="G138" s="47" t="s">
        <v>316</v>
      </c>
      <c r="H138" s="49" t="s">
        <v>317</v>
      </c>
      <c r="I138" s="49" t="s">
        <v>26</v>
      </c>
      <c r="J138" s="67" t="str" cm="1">
        <f t="array" ref="J138">_xlfn.LET(_xlpm.cls,A138, _xlpm.ord,IFERROR(B138,"#N/C"), _xlpm.subord,IFERROR(C138,"#N/C"), _xlpm.infr,IFERROR(D138,"#N/C"), _xlpm.sf,IFERROR(E138,"#N/C"), _xlpm.fam,IFERROR(F138,"#N/C"), _xlpm.subfam,IF(TRIM(G138)="-","#N/C",IFERROR(G138,"#N/C")),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_xlpm.fallback,IF(IFERROR(B138,"#N/C")="#N/C",A138,IF(IFERROR(C138,"#N/C")="#N/C",B138,IF(IFERROR(D138,"#N/C")="#N/C",C138,IF(IFERROR(E138,"#N/C")="#N/C",D138,IF(IFERROR(F138,"#N/C")="#N/C",E138,IF(IFERROR(G138,"#N/C")="#N/C",F138,"#N/C")))))), _xlpm.finalResult,IF(OR(_xlpm.computedResult="",_xlpm.computedResult="#N/C"),_xlpm.fallback,_xlpm.computedResult), INDEX(_xlpm.finalResult,1))</f>
        <v>parasitoid_wasp_small</v>
      </c>
      <c r="K138" s="45" t="str">
        <f t="shared" si="2"/>
        <v>Insecta.Hymenoptera.Apocrita.Parasitica.Ichneumonoidea.Ichneumonidae.Phygadeuontinae.Gelis.#N/C</v>
      </c>
      <c r="L138" s="44">
        <f>+COUNTIF([1]Monitoring!AN:AN,K138)</f>
        <v>1</v>
      </c>
    </row>
    <row r="139" spans="1:12" x14ac:dyDescent="0.3">
      <c r="A139" s="47" t="s">
        <v>28</v>
      </c>
      <c r="B139" s="47" t="s">
        <v>32</v>
      </c>
      <c r="C139" s="47" t="s">
        <v>33</v>
      </c>
      <c r="D139" s="47" t="str">
        <f>+IFERROR(IF(E139="#N/C","#N/C",INDEX([1]ClassificationClasses!D:D,MATCH(E139,[1]ClassificationClasses!E:E,0))),"ERROR")</f>
        <v>Parasitica</v>
      </c>
      <c r="E139" s="47" t="s">
        <v>62</v>
      </c>
      <c r="F139" s="47" t="s">
        <v>63</v>
      </c>
      <c r="G139" s="47" t="s">
        <v>127</v>
      </c>
      <c r="H139" s="49" t="s">
        <v>810</v>
      </c>
      <c r="I139" s="49" t="s">
        <v>26</v>
      </c>
      <c r="J139" s="67" t="str" cm="1">
        <f t="array" ref="J139">_xlfn.LET(_xlpm.cls,A139, _xlpm.ord,IFERROR(B139,"#N/C"), _xlpm.subord,IFERROR(C139,"#N/C"), _xlpm.infr,IFERROR(D139,"#N/C"), _xlpm.sf,IFERROR(E139,"#N/C"), _xlpm.fam,IFERROR(F139,"#N/C"), _xlpm.subfam,IF(TRIM(G139)="-","#N/C",IFERROR(G139,"#N/C")),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_xlpm.fallback,IF(IFERROR(B139,"#N/C")="#N/C",A139,IF(IFERROR(C139,"#N/C")="#N/C",B139,IF(IFERROR(D139,"#N/C")="#N/C",C139,IF(IFERROR(E139,"#N/C")="#N/C",D139,IF(IFERROR(F139,"#N/C")="#N/C",E139,IF(IFERROR(G139,"#N/C")="#N/C",F139,"#N/C")))))), _xlpm.finalResult,IF(OR(_xlpm.computedResult="",_xlpm.computedResult="#N/C"),_xlpm.fallback,_xlpm.computedResult), INDEX(_xlpm.finalResult,1))</f>
        <v>Ichneumonidae</v>
      </c>
      <c r="K139" s="45" t="str">
        <f t="shared" si="2"/>
        <v>Insecta.Hymenoptera.Apocrita.Parasitica.Ichneumonoidea.Ichneumonidae.Pimplinae.Dolichomitus.#N/C</v>
      </c>
      <c r="L139" s="44">
        <f>+COUNTIF([1]Monitoring!AN:AN,K139)</f>
        <v>0</v>
      </c>
    </row>
    <row r="140" spans="1:12" x14ac:dyDescent="0.3">
      <c r="A140" s="47" t="s">
        <v>28</v>
      </c>
      <c r="B140" s="47" t="s">
        <v>32</v>
      </c>
      <c r="C140" s="47" t="s">
        <v>33</v>
      </c>
      <c r="D140" s="47" t="str">
        <f>+IFERROR(IF(E140="#N/C","#N/C",INDEX([1]ClassificationClasses!D:D,MATCH(E140,[1]ClassificationClasses!E:E,0))),"ERROR")</f>
        <v>Parasitica</v>
      </c>
      <c r="E140" s="47" t="s">
        <v>62</v>
      </c>
      <c r="F140" s="47" t="s">
        <v>63</v>
      </c>
      <c r="G140" s="47" t="s">
        <v>127</v>
      </c>
      <c r="H140" s="49" t="s">
        <v>128</v>
      </c>
      <c r="I140" s="49" t="s">
        <v>129</v>
      </c>
      <c r="J140" s="67" t="str" cm="1">
        <f t="array" ref="J140">_xlfn.LET(_xlpm.cls,A140, _xlpm.ord,IFERROR(B140,"#N/C"), _xlpm.subord,IFERROR(C140,"#N/C"), _xlpm.infr,IFERROR(D140,"#N/C"), _xlpm.sf,IFERROR(E140,"#N/C"), _xlpm.fam,IFERROR(F140,"#N/C"), _xlpm.subfam,IF(TRIM(G140)="-","#N/C",IFERROR(G140,"#N/C")),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_xlpm.fallback,IF(IFERROR(B140,"#N/C")="#N/C",A140,IF(IFERROR(C140,"#N/C")="#N/C",B140,IF(IFERROR(D140,"#N/C")="#N/C",C140,IF(IFERROR(E140,"#N/C")="#N/C",D140,IF(IFERROR(F140,"#N/C")="#N/C",E140,IF(IFERROR(G140,"#N/C")="#N/C",F140,"#N/C")))))), _xlpm.finalResult,IF(OR(_xlpm.computedResult="",_xlpm.computedResult="#N/C"),_xlpm.fallback,_xlpm.computedResult), INDEX(_xlpm.finalResult,1))</f>
        <v>Ichneumonidae</v>
      </c>
      <c r="K140" s="45" t="str">
        <f t="shared" si="2"/>
        <v>Insecta.Hymenoptera.Apocrita.Parasitica.Ichneumonoidea.Ichneumonidae.Pimplinae.Pimpla.rufipes</v>
      </c>
      <c r="L140" s="44">
        <f>+COUNTIF([1]Monitoring!AN:AN,K140)</f>
        <v>0</v>
      </c>
    </row>
    <row r="141" spans="1:12" x14ac:dyDescent="0.3">
      <c r="A141" s="47" t="s">
        <v>28</v>
      </c>
      <c r="B141" s="47" t="s">
        <v>32</v>
      </c>
      <c r="C141" s="47" t="s">
        <v>33</v>
      </c>
      <c r="D141" s="47" t="str">
        <f>+IFERROR(IF(E141="#N/C","#N/C",INDEX([1]ClassificationClasses!D:D,MATCH(E141,[1]ClassificationClasses!E:E,0))),"ERROR")</f>
        <v>Parasitica</v>
      </c>
      <c r="E141" s="47" t="s">
        <v>62</v>
      </c>
      <c r="F141" s="47" t="s">
        <v>63</v>
      </c>
      <c r="G141" s="47" t="s">
        <v>811</v>
      </c>
      <c r="H141" s="49" t="s">
        <v>812</v>
      </c>
      <c r="I141" s="49" t="s">
        <v>26</v>
      </c>
      <c r="J141" s="67" t="str" cm="1">
        <f t="array" ref="J141">_xlfn.LET(_xlpm.cls,A141, _xlpm.ord,IFERROR(B141,"#N/C"), _xlpm.subord,IFERROR(C141,"#N/C"), _xlpm.infr,IFERROR(D141,"#N/C"), _xlpm.sf,IFERROR(E141,"#N/C"), _xlpm.fam,IFERROR(F141,"#N/C"), _xlpm.subfam,IF(TRIM(G141)="-","#N/C",IFERROR(G141,"#N/C")),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_xlpm.fallback,IF(IFERROR(B141,"#N/C")="#N/C",A141,IF(IFERROR(C141,"#N/C")="#N/C",B141,IF(IFERROR(D141,"#N/C")="#N/C",C141,IF(IFERROR(E141,"#N/C")="#N/C",D141,IF(IFERROR(F141,"#N/C")="#N/C",E141,IF(IFERROR(G141,"#N/C")="#N/C",F141,"#N/C")))))), _xlpm.finalResult,IF(OR(_xlpm.computedResult="",_xlpm.computedResult="#N/C"),_xlpm.fallback,_xlpm.computedResult), INDEX(_xlpm.finalResult,1))</f>
        <v>Ichneumonidae</v>
      </c>
      <c r="K141" s="45" t="str">
        <f t="shared" si="2"/>
        <v>Insecta.Hymenoptera.Apocrita.Parasitica.Ichneumonoidea.Ichneumonidae.Xoridinae.Xorides.#N/C</v>
      </c>
      <c r="L141" s="44">
        <f>+COUNTIF([1]Monitoring!AN:AN,K141)</f>
        <v>1</v>
      </c>
    </row>
    <row r="142" spans="1:12" x14ac:dyDescent="0.3">
      <c r="A142" s="46" t="s">
        <v>28</v>
      </c>
      <c r="B142" s="46" t="s">
        <v>32</v>
      </c>
      <c r="C142" s="46" t="s">
        <v>33</v>
      </c>
      <c r="D142" s="47" t="str">
        <f>+IFERROR(IF(E142="#N/C","#N/C",INDEX([1]ClassificationClasses!D:D,MATCH(E142,[1]ClassificationClasses!E:E,0))),"ERROR")</f>
        <v>Parasitica</v>
      </c>
      <c r="E142" s="46" t="s">
        <v>62</v>
      </c>
      <c r="F142" s="46" t="s">
        <v>813</v>
      </c>
      <c r="G142" s="46" t="s">
        <v>26</v>
      </c>
      <c r="H142" s="48" t="s">
        <v>26</v>
      </c>
      <c r="I142" s="48" t="s">
        <v>26</v>
      </c>
      <c r="J142" s="67" t="str" cm="1">
        <f t="array" ref="J142">_xlfn.LET(_xlpm.cls,A142, _xlpm.ord,IFERROR(B142,"#N/C"), _xlpm.subord,IFERROR(C142,"#N/C"), _xlpm.infr,IFERROR(D142,"#N/C"), _xlpm.sf,IFERROR(E142,"#N/C"), _xlpm.fam,IFERROR(F142,"#N/C"), _xlpm.subfam,IF(TRIM(G142)="-","#N/C",IFERROR(G142,"#N/C")),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_xlpm.fallback,IF(IFERROR(B142,"#N/C")="#N/C",A142,IF(IFERROR(C142,"#N/C")="#N/C",B142,IF(IFERROR(D142,"#N/C")="#N/C",C142,IF(IFERROR(E142,"#N/C")="#N/C",D142,IF(IFERROR(F142,"#N/C")="#N/C",E142,IF(IFERROR(G142,"#N/C")="#N/C",F142,"#N/C")))))), _xlpm.finalResult,IF(OR(_xlpm.computedResult="",_xlpm.computedResult="#N/C"),_xlpm.fallback,_xlpm.computedResult), INDEX(_xlpm.finalResult,1))</f>
        <v>Ichneumonoidea</v>
      </c>
      <c r="K142" s="45" t="str">
        <f t="shared" si="2"/>
        <v>Insecta.Hymenoptera.Apocrita.Parasitica.Ichneumonoidea.Ichneumonoidae.#N/C.#N/C.#N/C</v>
      </c>
      <c r="L142" s="44">
        <f>+COUNTIF([1]Monitoring!AN:AN,K142)</f>
        <v>1</v>
      </c>
    </row>
    <row r="143" spans="1:12" x14ac:dyDescent="0.3">
      <c r="A143" s="47" t="s">
        <v>28</v>
      </c>
      <c r="B143" s="47" t="s">
        <v>32</v>
      </c>
      <c r="C143" s="47" t="s">
        <v>33</v>
      </c>
      <c r="D143" s="47" t="str">
        <f>+IFERROR(IF(E143="#N/C","#N/C",INDEX([1]ClassificationClasses!D:D,MATCH(E143,[1]ClassificationClasses!E:E,0))),"ERROR")</f>
        <v>Aculeata</v>
      </c>
      <c r="E143" s="47" t="s">
        <v>895</v>
      </c>
      <c r="F143" s="47" t="s">
        <v>111</v>
      </c>
      <c r="G143" s="47" t="s">
        <v>26</v>
      </c>
      <c r="H143" s="49" t="s">
        <v>26</v>
      </c>
      <c r="I143" s="49" t="s">
        <v>26</v>
      </c>
      <c r="J143" s="67" t="str" cm="1">
        <f t="array" ref="J143">_xlfn.LET(_xlpm.cls,A143, _xlpm.ord,IFERROR(B143,"#N/C"), _xlpm.subord,IFERROR(C143,"#N/C"), _xlpm.infr,IFERROR(D143,"#N/C"), _xlpm.sf,IFERROR(E143,"#N/C"), _xlpm.fam,IFERROR(F143,"#N/C"), _xlpm.subfam,IF(TRIM(G143)="-","#N/C",IFERROR(G143,"#N/C")),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_xlpm.fallback,IF(IFERROR(B143,"#N/C")="#N/C",A143,IF(IFERROR(C143,"#N/C")="#N/C",B143,IF(IFERROR(D143,"#N/C")="#N/C",C143,IF(IFERROR(E143,"#N/C")="#N/C",D143,IF(IFERROR(F143,"#N/C")="#N/C",E143,IF(IFERROR(G143,"#N/C")="#N/C",F143,"#N/C")))))), _xlpm.finalResult,IF(OR(_xlpm.computedResult="",_xlpm.computedResult="#N/C"),_xlpm.fallback,_xlpm.computedResult), INDEX(_xlpm.finalResult,1))</f>
        <v>ant</v>
      </c>
      <c r="K143" s="45" t="str">
        <f t="shared" si="2"/>
        <v>Insecta.Hymenoptera.Apocrita.Aculeata.Formicoidea.Formicidae.#N/C.#N/C.#N/C</v>
      </c>
      <c r="L143" s="44">
        <f>+COUNTIF([1]Monitoring!AN:AN,K143)</f>
        <v>1</v>
      </c>
    </row>
    <row r="144" spans="1:12" x14ac:dyDescent="0.3">
      <c r="A144" s="47" t="s">
        <v>28</v>
      </c>
      <c r="B144" s="47" t="s">
        <v>32</v>
      </c>
      <c r="C144" s="47" t="s">
        <v>33</v>
      </c>
      <c r="D144" s="47" t="str">
        <f>+IFERROR(IF(E144="#N/C","#N/C",INDEX([1]ClassificationClasses!D:D,MATCH(E144,[1]ClassificationClasses!E:E,0))),"ERROR")</f>
        <v>Aculeata</v>
      </c>
      <c r="E144" s="47" t="s">
        <v>895</v>
      </c>
      <c r="F144" s="47" t="s">
        <v>111</v>
      </c>
      <c r="G144" s="47" t="s">
        <v>112</v>
      </c>
      <c r="H144" s="49" t="s">
        <v>26</v>
      </c>
      <c r="I144" s="49" t="s">
        <v>26</v>
      </c>
      <c r="J144" s="67" t="str" cm="1">
        <f t="array" ref="J144">_xlfn.LET(_xlpm.cls,A144, _xlpm.ord,IFERROR(B144,"#N/C"), _xlpm.subord,IFERROR(C144,"#N/C"), _xlpm.infr,IFERROR(D144,"#N/C"), _xlpm.sf,IFERROR(E144,"#N/C"), _xlpm.fam,IFERROR(F144,"#N/C"), _xlpm.subfam,IF(TRIM(G144)="-","#N/C",IFERROR(G144,"#N/C")),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_xlpm.fallback,IF(IFERROR(B144,"#N/C")="#N/C",A144,IF(IFERROR(C144,"#N/C")="#N/C",B144,IF(IFERROR(D144,"#N/C")="#N/C",C144,IF(IFERROR(E144,"#N/C")="#N/C",D144,IF(IFERROR(F144,"#N/C")="#N/C",E144,IF(IFERROR(G144,"#N/C")="#N/C",F144,"#N/C")))))), _xlpm.finalResult,IF(OR(_xlpm.computedResult="",_xlpm.computedResult="#N/C"),_xlpm.fallback,_xlpm.computedResult), INDEX(_xlpm.finalResult,1))</f>
        <v>ant</v>
      </c>
      <c r="K144" s="45" t="str">
        <f t="shared" si="2"/>
        <v>Insecta.Hymenoptera.Apocrita.Aculeata.Formicoidea.Formicidae.Formicinae.#N/C.#N/C</v>
      </c>
      <c r="L144" s="44">
        <f>+COUNTIF([1]Monitoring!AN:AN,K144)</f>
        <v>0</v>
      </c>
    </row>
    <row r="145" spans="1:17" x14ac:dyDescent="0.3">
      <c r="A145" s="47" t="s">
        <v>28</v>
      </c>
      <c r="B145" s="47" t="s">
        <v>32</v>
      </c>
      <c r="C145" s="47" t="s">
        <v>33</v>
      </c>
      <c r="D145" s="47" t="str">
        <f>+IFERROR(IF(E145="#N/C","#N/C",INDEX([1]ClassificationClasses!D:D,MATCH(E145,[1]ClassificationClasses!E:E,0))),"ERROR")</f>
        <v>Aculeata</v>
      </c>
      <c r="E145" s="47" t="s">
        <v>895</v>
      </c>
      <c r="F145" s="47" t="s">
        <v>111</v>
      </c>
      <c r="G145" s="47" t="s">
        <v>112</v>
      </c>
      <c r="H145" s="49" t="s">
        <v>549</v>
      </c>
      <c r="I145" s="49" t="s">
        <v>26</v>
      </c>
      <c r="J145" s="67" t="str" cm="1">
        <f t="array" ref="J145">_xlfn.LET(_xlpm.cls,A145, _xlpm.ord,IFERROR(B145,"#N/C"), _xlpm.subord,IFERROR(C145,"#N/C"), _xlpm.infr,IFERROR(D145,"#N/C"), _xlpm.sf,IFERROR(E145,"#N/C"), _xlpm.fam,IFERROR(F145,"#N/C"), _xlpm.subfam,IF(TRIM(G145)="-","#N/C",IFERROR(G145,"#N/C")),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_xlpm.fallback,IF(IFERROR(B145,"#N/C")="#N/C",A145,IF(IFERROR(C145,"#N/C")="#N/C",B145,IF(IFERROR(D145,"#N/C")="#N/C",C145,IF(IFERROR(E145,"#N/C")="#N/C",D145,IF(IFERROR(F145,"#N/C")="#N/C",E145,IF(IFERROR(G145,"#N/C")="#N/C",F145,"#N/C")))))), _xlpm.finalResult,IF(OR(_xlpm.computedResult="",_xlpm.computedResult="#N/C"),_xlpm.fallback,_xlpm.computedResult), INDEX(_xlpm.finalResult,1))</f>
        <v>ant</v>
      </c>
      <c r="K145" s="45" t="str">
        <f t="shared" si="2"/>
        <v>Insecta.Hymenoptera.Apocrita.Aculeata.Formicoidea.Formicidae.Formicinae.Camponatus.#N/C</v>
      </c>
      <c r="L145" s="44">
        <f>+COUNTIF([1]Monitoring!AN:AN,K145)</f>
        <v>0</v>
      </c>
    </row>
    <row r="146" spans="1:17" x14ac:dyDescent="0.3">
      <c r="A146" s="47" t="s">
        <v>28</v>
      </c>
      <c r="B146" s="47" t="s">
        <v>32</v>
      </c>
      <c r="C146" s="47" t="s">
        <v>33</v>
      </c>
      <c r="D146" s="47" t="str">
        <f>+IFERROR(IF(E146="#N/C","#N/C",INDEX([1]ClassificationClasses!D:D,MATCH(E146,[1]ClassificationClasses!E:E,0))),"ERROR")</f>
        <v>Aculeata</v>
      </c>
      <c r="E146" s="47" t="s">
        <v>895</v>
      </c>
      <c r="F146" s="47" t="s">
        <v>111</v>
      </c>
      <c r="G146" s="47" t="s">
        <v>112</v>
      </c>
      <c r="H146" s="49" t="s">
        <v>312</v>
      </c>
      <c r="I146" s="49" t="s">
        <v>26</v>
      </c>
      <c r="J146" s="67" t="str" cm="1">
        <f t="array" ref="J146">_xlfn.LET(_xlpm.cls,A146, _xlpm.ord,IFERROR(B146,"#N/C"), _xlpm.subord,IFERROR(C146,"#N/C"), _xlpm.infr,IFERROR(D146,"#N/C"), _xlpm.sf,IFERROR(E146,"#N/C"), _xlpm.fam,IFERROR(F146,"#N/C"), _xlpm.subfam,IF(TRIM(G146)="-","#N/C",IFERROR(G146,"#N/C")),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_xlpm.fallback,IF(IFERROR(B146,"#N/C")="#N/C",A146,IF(IFERROR(C146,"#N/C")="#N/C",B146,IF(IFERROR(D146,"#N/C")="#N/C",C146,IF(IFERROR(E146,"#N/C")="#N/C",D146,IF(IFERROR(F146,"#N/C")="#N/C",E146,IF(IFERROR(G146,"#N/C")="#N/C",F146,"#N/C")))))), _xlpm.finalResult,IF(OR(_xlpm.computedResult="",_xlpm.computedResult="#N/C"),_xlpm.fallback,_xlpm.computedResult), INDEX(_xlpm.finalResult,1))</f>
        <v>ant</v>
      </c>
      <c r="K146" s="45" t="str">
        <f t="shared" si="2"/>
        <v>Insecta.Hymenoptera.Apocrita.Aculeata.Formicoidea.Formicidae.Formicinae.Formica.#N/C</v>
      </c>
      <c r="L146" s="44">
        <f>+COUNTIF([1]Monitoring!AN:AN,K146)</f>
        <v>0</v>
      </c>
    </row>
    <row r="147" spans="1:17" x14ac:dyDescent="0.3">
      <c r="A147" s="46" t="s">
        <v>28</v>
      </c>
      <c r="B147" s="46" t="s">
        <v>32</v>
      </c>
      <c r="C147" s="46" t="s">
        <v>33</v>
      </c>
      <c r="D147" s="47" t="str">
        <f>+IFERROR(IF(E147="#N/C","#N/C",INDEX([1]ClassificationClasses!D:D,MATCH(E147,[1]ClassificationClasses!E:E,0))),"ERROR")</f>
        <v>Aculeata</v>
      </c>
      <c r="E147" s="47" t="s">
        <v>895</v>
      </c>
      <c r="F147" s="46" t="s">
        <v>111</v>
      </c>
      <c r="G147" s="46" t="s">
        <v>112</v>
      </c>
      <c r="H147" s="48" t="s">
        <v>170</v>
      </c>
      <c r="I147" s="48" t="s">
        <v>26</v>
      </c>
      <c r="J147" s="67" t="str" cm="1">
        <f t="array" ref="J147">_xlfn.LET(_xlpm.cls,A147, _xlpm.ord,IFERROR(B147,"#N/C"), _xlpm.subord,IFERROR(C147,"#N/C"), _xlpm.infr,IFERROR(D147,"#N/C"), _xlpm.sf,IFERROR(E147,"#N/C"), _xlpm.fam,IFERROR(F147,"#N/C"), _xlpm.subfam,IF(TRIM(G147)="-","#N/C",IFERROR(G147,"#N/C")),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_xlpm.fallback,IF(IFERROR(B147,"#N/C")="#N/C",A147,IF(IFERROR(C147,"#N/C")="#N/C",B147,IF(IFERROR(D147,"#N/C")="#N/C",C147,IF(IFERROR(E147,"#N/C")="#N/C",D147,IF(IFERROR(F147,"#N/C")="#N/C",E147,IF(IFERROR(G147,"#N/C")="#N/C",F147,"#N/C")))))), _xlpm.finalResult,IF(OR(_xlpm.computedResult="",_xlpm.computedResult="#N/C"),_xlpm.fallback,_xlpm.computedResult), INDEX(_xlpm.finalResult,1))</f>
        <v>ant</v>
      </c>
      <c r="K147" s="45" t="str">
        <f t="shared" si="2"/>
        <v>Insecta.Hymenoptera.Apocrita.Aculeata.Formicoidea.Formicidae.Formicinae.Lasius.#N/C</v>
      </c>
      <c r="L147" s="44">
        <f>+COUNTIF([1]Monitoring!AN:AN,K147)</f>
        <v>0</v>
      </c>
    </row>
    <row r="148" spans="1:17" x14ac:dyDescent="0.3">
      <c r="A148" s="47" t="s">
        <v>28</v>
      </c>
      <c r="B148" s="47" t="s">
        <v>32</v>
      </c>
      <c r="C148" s="47" t="s">
        <v>33</v>
      </c>
      <c r="D148" s="47" t="str">
        <f>+IFERROR(IF(E148="#N/C","#N/C",INDEX([1]ClassificationClasses!D:D,MATCH(E148,[1]ClassificationClasses!E:E,0))),"ERROR")</f>
        <v>Aculeata</v>
      </c>
      <c r="E148" s="47" t="s">
        <v>895</v>
      </c>
      <c r="F148" s="47" t="s">
        <v>111</v>
      </c>
      <c r="G148" s="47" t="s">
        <v>112</v>
      </c>
      <c r="H148" s="49" t="s">
        <v>170</v>
      </c>
      <c r="I148" s="49" t="s">
        <v>814</v>
      </c>
      <c r="J148" s="67" t="str" cm="1">
        <f t="array" ref="J148">_xlfn.LET(_xlpm.cls,A148, _xlpm.ord,IFERROR(B148,"#N/C"), _xlpm.subord,IFERROR(C148,"#N/C"), _xlpm.infr,IFERROR(D148,"#N/C"), _xlpm.sf,IFERROR(E148,"#N/C"), _xlpm.fam,IFERROR(F148,"#N/C"), _xlpm.subfam,IF(TRIM(G148)="-","#N/C",IFERROR(G148,"#N/C")),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_xlpm.fallback,IF(IFERROR(B148,"#N/C")="#N/C",A148,IF(IFERROR(C148,"#N/C")="#N/C",B148,IF(IFERROR(D148,"#N/C")="#N/C",C148,IF(IFERROR(E148,"#N/C")="#N/C",D148,IF(IFERROR(F148,"#N/C")="#N/C",E148,IF(IFERROR(G148,"#N/C")="#N/C",F148,"#N/C")))))), _xlpm.finalResult,IF(OR(_xlpm.computedResult="",_xlpm.computedResult="#N/C"),_xlpm.fallback,_xlpm.computedResult), INDEX(_xlpm.finalResult,1))</f>
        <v>ant</v>
      </c>
      <c r="K148" s="45" t="str">
        <f t="shared" si="2"/>
        <v>Insecta.Hymenoptera.Apocrita.Aculeata.Formicoidea.Formicidae.Formicinae.Lasius.niger</v>
      </c>
      <c r="L148" s="44">
        <f>+COUNTIF([1]Monitoring!AN:AN,K148)</f>
        <v>0</v>
      </c>
    </row>
    <row r="149" spans="1:17" x14ac:dyDescent="0.3">
      <c r="A149" s="47" t="s">
        <v>28</v>
      </c>
      <c r="B149" s="47" t="s">
        <v>32</v>
      </c>
      <c r="C149" s="47" t="s">
        <v>33</v>
      </c>
      <c r="D149" s="47" t="str">
        <f>+IFERROR(IF(E149="#N/C","#N/C",INDEX([1]ClassificationClasses!D:D,MATCH(E149,[1]ClassificationClasses!E:E,0))),"ERROR")</f>
        <v>Aculeata</v>
      </c>
      <c r="E149" s="47" t="s">
        <v>897</v>
      </c>
      <c r="F149" s="47" t="s">
        <v>452</v>
      </c>
      <c r="G149" s="47" t="s">
        <v>26</v>
      </c>
      <c r="H149" s="49" t="s">
        <v>26</v>
      </c>
      <c r="I149" s="49" t="s">
        <v>26</v>
      </c>
      <c r="J149" s="67" t="str" cm="1">
        <f t="array" ref="J149">_xlfn.LET(_xlpm.cls,A149, _xlpm.ord,IFERROR(B149,"#N/C"), _xlpm.subord,IFERROR(C149,"#N/C"), _xlpm.infr,IFERROR(D149,"#N/C"), _xlpm.sf,IFERROR(E149,"#N/C"), _xlpm.fam,IFERROR(F149,"#N/C"), _xlpm.subfam,IF(TRIM(G149)="-","#N/C",IFERROR(G149,"#N/C")),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_xlpm.fallback,IF(IFERROR(B149,"#N/C")="#N/C",A149,IF(IFERROR(C149,"#N/C")="#N/C",B149,IF(IFERROR(D149,"#N/C")="#N/C",C149,IF(IFERROR(E149,"#N/C")="#N/C",D149,IF(IFERROR(F149,"#N/C")="#N/C",E149,IF(IFERROR(G149,"#N/C")="#N/C",F149,"#N/C")))))), _xlpm.finalResult,IF(OR(_xlpm.computedResult="",_xlpm.computedResult="#N/C"),_xlpm.fallback,_xlpm.computedResult), INDEX(_xlpm.finalResult,1))</f>
        <v>spider_wasp</v>
      </c>
      <c r="K149" s="45" t="str">
        <f t="shared" si="2"/>
        <v>Insecta.Hymenoptera.Apocrita.Aculeata.Pompiloidea.Pompilidae.#N/C.#N/C.#N/C</v>
      </c>
      <c r="L149" s="44">
        <f>+COUNTIF([1]Monitoring!AN:AN,K149)</f>
        <v>0</v>
      </c>
    </row>
    <row r="150" spans="1:17" x14ac:dyDescent="0.3">
      <c r="A150" s="47" t="s">
        <v>28</v>
      </c>
      <c r="B150" s="47" t="s">
        <v>32</v>
      </c>
      <c r="C150" s="47" t="s">
        <v>33</v>
      </c>
      <c r="D150" s="47" t="str">
        <f>+IFERROR(IF(E150="#N/C","#N/C",INDEX([1]ClassificationClasses!D:D,MATCH(E150,[1]ClassificationClasses!E:E,0))),"ERROR")</f>
        <v>Aculeata</v>
      </c>
      <c r="E150" s="47" t="s">
        <v>897</v>
      </c>
      <c r="F150" s="47" t="s">
        <v>452</v>
      </c>
      <c r="G150" s="47" t="s">
        <v>574</v>
      </c>
      <c r="H150" s="49" t="s">
        <v>815</v>
      </c>
      <c r="I150" s="49" t="s">
        <v>26</v>
      </c>
      <c r="J150" s="67" t="str" cm="1">
        <f t="array" ref="J150">_xlfn.LET(_xlpm.cls,A150, _xlpm.ord,IFERROR(B150,"#N/C"), _xlpm.subord,IFERROR(C150,"#N/C"), _xlpm.infr,IFERROR(D150,"#N/C"), _xlpm.sf,IFERROR(E150,"#N/C"), _xlpm.fam,IFERROR(F150,"#N/C"), _xlpm.subfam,IF(TRIM(G150)="-","#N/C",IFERROR(G150,"#N/C")),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_xlpm.fallback,IF(IFERROR(B150,"#N/C")="#N/C",A150,IF(IFERROR(C150,"#N/C")="#N/C",B150,IF(IFERROR(D150,"#N/C")="#N/C",C150,IF(IFERROR(E150,"#N/C")="#N/C",D150,IF(IFERROR(F150,"#N/C")="#N/C",E150,IF(IFERROR(G150,"#N/C")="#N/C",F150,"#N/C")))))), _xlpm.finalResult,IF(OR(_xlpm.computedResult="",_xlpm.computedResult="#N/C"),_xlpm.fallback,_xlpm.computedResult), INDEX(_xlpm.finalResult,1))</f>
        <v>spider_wasp</v>
      </c>
      <c r="K150" s="45" t="str">
        <f t="shared" si="2"/>
        <v>Insecta.Hymenoptera.Apocrita.Aculeata.Pompiloidea.Pompilidae.Pepsinae.Auplopus.#N/C</v>
      </c>
      <c r="L150" s="44">
        <f>+COUNTIF([1]Monitoring!AN:AN,K150)</f>
        <v>0</v>
      </c>
    </row>
    <row r="151" spans="1:17" x14ac:dyDescent="0.3">
      <c r="A151" s="47" t="s">
        <v>28</v>
      </c>
      <c r="B151" s="47" t="s">
        <v>32</v>
      </c>
      <c r="C151" s="47" t="s">
        <v>33</v>
      </c>
      <c r="D151" s="47" t="str">
        <f>+IFERROR(IF(E151="#N/C","#N/C",INDEX([1]ClassificationClasses!D:D,MATCH(E151,[1]ClassificationClasses!E:E,0))),"ERROR")</f>
        <v>Aculeata</v>
      </c>
      <c r="E151" s="47" t="s">
        <v>122</v>
      </c>
      <c r="F151" s="47" t="s">
        <v>893</v>
      </c>
      <c r="G151" s="47" t="s">
        <v>26</v>
      </c>
      <c r="H151" s="49" t="s">
        <v>26</v>
      </c>
      <c r="I151" s="49" t="s">
        <v>26</v>
      </c>
      <c r="J151" s="67" t="str" cm="1">
        <f t="array" ref="J151">_xlfn.LET(_xlpm.cls,A151, _xlpm.ord,IFERROR(B151,"#N/C"), _xlpm.subord,IFERROR(C151,"#N/C"), _xlpm.infr,IFERROR(D151,"#N/C"), _xlpm.sf,IFERROR(E151,"#N/C"), _xlpm.fam,IFERROR(F151,"#N/C"), _xlpm.subfam,IF(TRIM(G151)="-","#N/C",IFERROR(G151,"#N/C")),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_xlpm.fallback,IF(IFERROR(B151,"#N/C")="#N/C",A151,IF(IFERROR(C151,"#N/C")="#N/C",B151,IF(IFERROR(D151,"#N/C")="#N/C",C151,IF(IFERROR(E151,"#N/C")="#N/C",D151,IF(IFERROR(F151,"#N/C")="#N/C",E151,IF(IFERROR(G151,"#N/C")="#N/C",F151,"#N/C")))))), _xlpm.finalResult,IF(OR(_xlpm.computedResult="",_xlpm.computedResult="#N/C"),_xlpm.fallback,_xlpm.computedResult), INDEX(_xlpm.finalResult,1))</f>
        <v>digger_wasp</v>
      </c>
      <c r="K151" s="45" t="str">
        <f t="shared" si="2"/>
        <v>Insecta.Hymenoptera.Apocrita.Aculeata.Apoidea.Sphecidae.#N/C.#N/C.#N/C</v>
      </c>
      <c r="L151" s="44">
        <f>+COUNTIF([1]Monitoring!AN:AN,K151)</f>
        <v>0</v>
      </c>
    </row>
    <row r="152" spans="1:17" x14ac:dyDescent="0.3">
      <c r="A152" s="46" t="s">
        <v>28</v>
      </c>
      <c r="B152" s="46" t="s">
        <v>32</v>
      </c>
      <c r="C152" s="46" t="s">
        <v>33</v>
      </c>
      <c r="D152" s="47" t="str">
        <f>+IFERROR(IF(E152="#N/C","#N/C",INDEX([1]ClassificationClasses!D:D,MATCH(E152,[1]ClassificationClasses!E:E,0))),"ERROR")</f>
        <v>Aculeata</v>
      </c>
      <c r="E152" s="46" t="s">
        <v>110</v>
      </c>
      <c r="F152" s="46" t="s">
        <v>533</v>
      </c>
      <c r="G152" s="46" t="s">
        <v>816</v>
      </c>
      <c r="H152" s="48" t="s">
        <v>817</v>
      </c>
      <c r="I152" s="48" t="s">
        <v>26</v>
      </c>
      <c r="J152" s="67" t="str" cm="1">
        <f t="array" ref="J152">_xlfn.LET(_xlpm.cls,A152, _xlpm.ord,IFERROR(B152,"#N/C"), _xlpm.subord,IFERROR(C152,"#N/C"), _xlpm.infr,IFERROR(D152,"#N/C"), _xlpm.sf,IFERROR(E152,"#N/C"), _xlpm.fam,IFERROR(F152,"#N/C"), _xlpm.subfam,IF(TRIM(G152)="-","#N/C",IFERROR(G152,"#N/C")),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_xlpm.fallback,IF(IFERROR(B152,"#N/C")="#N/C",A152,IF(IFERROR(C152,"#N/C")="#N/C",B152,IF(IFERROR(D152,"#N/C")="#N/C",C152,IF(IFERROR(E152,"#N/C")="#N/C",D152,IF(IFERROR(F152,"#N/C")="#N/C",E152,IF(IFERROR(G152,"#N/C")="#N/C",F152,"#N/C")))))), _xlpm.finalResult,IF(OR(_xlpm.computedResult="",_xlpm.computedResult="#N/C"),_xlpm.fallback,_xlpm.computedResult), INDEX(_xlpm.finalResult,1))</f>
        <v>wasp</v>
      </c>
      <c r="K152" s="45" t="str">
        <f t="shared" si="2"/>
        <v>Insecta.Hymenoptera.Apocrita.Aculeata.Vespoidea.Vespidae.Eumeninae.Ancistrocerus.#N/C</v>
      </c>
      <c r="L152" s="44">
        <f>+COUNTIF([1]Monitoring!AN:AN,K152)</f>
        <v>1</v>
      </c>
    </row>
    <row r="153" spans="1:17" x14ac:dyDescent="0.3">
      <c r="A153" s="46" t="s">
        <v>28</v>
      </c>
      <c r="B153" s="46" t="s">
        <v>32</v>
      </c>
      <c r="C153" s="46" t="s">
        <v>33</v>
      </c>
      <c r="D153" s="47" t="str">
        <f>+IFERROR(IF(E153="#N/C","#N/C",INDEX([1]ClassificationClasses!D:D,MATCH(E153,[1]ClassificationClasses!E:E,0))),"ERROR")</f>
        <v>Aculeata</v>
      </c>
      <c r="E153" s="46" t="s">
        <v>110</v>
      </c>
      <c r="F153" s="46" t="s">
        <v>533</v>
      </c>
      <c r="G153" s="46" t="s">
        <v>534</v>
      </c>
      <c r="H153" s="48" t="s">
        <v>26</v>
      </c>
      <c r="I153" s="48" t="s">
        <v>26</v>
      </c>
      <c r="J153" s="67" t="str" cm="1">
        <f t="array" ref="J153">_xlfn.LET(_xlpm.cls,A153, _xlpm.ord,IFERROR(B153,"#N/C"), _xlpm.subord,IFERROR(C153,"#N/C"), _xlpm.infr,IFERROR(D153,"#N/C"), _xlpm.sf,IFERROR(E153,"#N/C"), _xlpm.fam,IFERROR(F153,"#N/C"), _xlpm.subfam,IF(TRIM(G153)="-","#N/C",IFERROR(G153,"#N/C")),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_xlpm.fallback,IF(IFERROR(B153,"#N/C")="#N/C",A153,IF(IFERROR(C153,"#N/C")="#N/C",B153,IF(IFERROR(D153,"#N/C")="#N/C",C153,IF(IFERROR(E153,"#N/C")="#N/C",D153,IF(IFERROR(F153,"#N/C")="#N/C",E153,IF(IFERROR(G153,"#N/C")="#N/C",F153,"#N/C")))))), _xlpm.finalResult,IF(OR(_xlpm.computedResult="",_xlpm.computedResult="#N/C"),_xlpm.fallback,_xlpm.computedResult), INDEX(_xlpm.finalResult,1))</f>
        <v>wasp</v>
      </c>
      <c r="K153" s="45" t="str">
        <f t="shared" si="2"/>
        <v>Insecta.Hymenoptera.Apocrita.Aculeata.Vespoidea.Vespidae.Vespinae.#N/C.#N/C</v>
      </c>
      <c r="L153" s="44">
        <f>+COUNTIF([1]Monitoring!AN:AN,K153)</f>
        <v>1</v>
      </c>
      <c r="Q153" s="54"/>
    </row>
    <row r="154" spans="1:17" x14ac:dyDescent="0.3">
      <c r="A154" s="47" t="s">
        <v>28</v>
      </c>
      <c r="B154" s="47" t="s">
        <v>32</v>
      </c>
      <c r="C154" s="47" t="s">
        <v>33</v>
      </c>
      <c r="D154" s="47" t="str">
        <f>+IFERROR(IF(E154="#N/C","#N/C",INDEX([1]ClassificationClasses!D:D,MATCH(E154,[1]ClassificationClasses!E:E,0))),"ERROR")</f>
        <v>Aculeata</v>
      </c>
      <c r="E154" s="47" t="s">
        <v>110</v>
      </c>
      <c r="F154" s="47" t="s">
        <v>533</v>
      </c>
      <c r="G154" s="47" t="s">
        <v>534</v>
      </c>
      <c r="H154" s="49" t="s">
        <v>582</v>
      </c>
      <c r="I154" s="49" t="s">
        <v>583</v>
      </c>
      <c r="J154" s="67" t="str" cm="1">
        <f t="array" ref="J154">_xlfn.LET(_xlpm.cls,A154, _xlpm.ord,IFERROR(B154,"#N/C"), _xlpm.subord,IFERROR(C154,"#N/C"), _xlpm.infr,IFERROR(D154,"#N/C"), _xlpm.sf,IFERROR(E154,"#N/C"), _xlpm.fam,IFERROR(F154,"#N/C"), _xlpm.subfam,IF(TRIM(G154)="-","#N/C",IFERROR(G154,"#N/C")),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_xlpm.fallback,IF(IFERROR(B154,"#N/C")="#N/C",A154,IF(IFERROR(C154,"#N/C")="#N/C",B154,IF(IFERROR(D154,"#N/C")="#N/C",C154,IF(IFERROR(E154,"#N/C")="#N/C",D154,IF(IFERROR(F154,"#N/C")="#N/C",E154,IF(IFERROR(G154,"#N/C")="#N/C",F154,"#N/C")))))), _xlpm.finalResult,IF(OR(_xlpm.computedResult="",_xlpm.computedResult="#N/C"),_xlpm.fallback,_xlpm.computedResult), INDEX(_xlpm.finalResult,1))</f>
        <v>wasp</v>
      </c>
      <c r="K154" s="45" t="str">
        <f t="shared" si="2"/>
        <v>Insecta.Hymenoptera.Apocrita.Aculeata.Vespoidea.Vespidae.Vespinae.Dolichovespula.media</v>
      </c>
      <c r="L154" s="44">
        <f>+COUNTIF([1]Monitoring!AN:AN,K154)</f>
        <v>0</v>
      </c>
    </row>
    <row r="155" spans="1:17" x14ac:dyDescent="0.3">
      <c r="A155" s="47" t="s">
        <v>28</v>
      </c>
      <c r="B155" s="47" t="s">
        <v>32</v>
      </c>
      <c r="C155" s="47" t="s">
        <v>33</v>
      </c>
      <c r="D155" s="47" t="str">
        <f>+IFERROR(IF(E155="#N/C","#N/C",INDEX([1]ClassificationClasses!D:D,MATCH(E155,[1]ClassificationClasses!E:E,0))),"ERROR")</f>
        <v>Aculeata</v>
      </c>
      <c r="E155" s="47" t="s">
        <v>110</v>
      </c>
      <c r="F155" s="47" t="s">
        <v>533</v>
      </c>
      <c r="G155" s="47" t="s">
        <v>534</v>
      </c>
      <c r="H155" s="49" t="s">
        <v>535</v>
      </c>
      <c r="I155" s="49" t="s">
        <v>26</v>
      </c>
      <c r="J155" s="67" t="str" cm="1">
        <f t="array" ref="J155">_xlfn.LET(_xlpm.cls,A155, _xlpm.ord,IFERROR(B155,"#N/C"), _xlpm.subord,IFERROR(C155,"#N/C"), _xlpm.infr,IFERROR(D155,"#N/C"), _xlpm.sf,IFERROR(E155,"#N/C"), _xlpm.fam,IFERROR(F155,"#N/C"), _xlpm.subfam,IF(TRIM(G155)="-","#N/C",IFERROR(G155,"#N/C")),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_xlpm.fallback,IF(IFERROR(B155,"#N/C")="#N/C",A155,IF(IFERROR(C155,"#N/C")="#N/C",B155,IF(IFERROR(D155,"#N/C")="#N/C",C155,IF(IFERROR(E155,"#N/C")="#N/C",D155,IF(IFERROR(F155,"#N/C")="#N/C",E155,IF(IFERROR(G155,"#N/C")="#N/C",F155,"#N/C")))))), _xlpm.finalResult,IF(OR(_xlpm.computedResult="",_xlpm.computedResult="#N/C"),_xlpm.fallback,_xlpm.computedResult), INDEX(_xlpm.finalResult,1))</f>
        <v>wasp</v>
      </c>
      <c r="K155" s="45" t="str">
        <f t="shared" si="2"/>
        <v>Insecta.Hymenoptera.Apocrita.Aculeata.Vespoidea.Vespidae.Vespinae.Vespula.#N/C</v>
      </c>
      <c r="L155" s="44">
        <f>+COUNTIF([1]Monitoring!AN:AN,K155)</f>
        <v>28</v>
      </c>
    </row>
    <row r="156" spans="1:17" x14ac:dyDescent="0.3">
      <c r="A156" s="47" t="s">
        <v>28</v>
      </c>
      <c r="B156" s="47" t="s">
        <v>32</v>
      </c>
      <c r="C156" s="47" t="s">
        <v>33</v>
      </c>
      <c r="D156" s="47" t="str">
        <f>+IFERROR(IF(E156="#N/C","#N/C",INDEX([1]ClassificationClasses!D:D,MATCH(E156,[1]ClassificationClasses!E:E,0))),"ERROR")</f>
        <v>Aculeata</v>
      </c>
      <c r="E156" s="47" t="s">
        <v>110</v>
      </c>
      <c r="F156" s="47" t="s">
        <v>533</v>
      </c>
      <c r="G156" s="47" t="s">
        <v>534</v>
      </c>
      <c r="H156" s="49" t="s">
        <v>535</v>
      </c>
      <c r="I156" s="49" t="s">
        <v>344</v>
      </c>
      <c r="J156" s="67" t="str" cm="1">
        <f t="array" ref="J156">_xlfn.LET(_xlpm.cls,A156, _xlpm.ord,IFERROR(B156,"#N/C"), _xlpm.subord,IFERROR(C156,"#N/C"), _xlpm.infr,IFERROR(D156,"#N/C"), _xlpm.sf,IFERROR(E156,"#N/C"), _xlpm.fam,IFERROR(F156,"#N/C"), _xlpm.subfam,IF(TRIM(G156)="-","#N/C",IFERROR(G156,"#N/C")),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_xlpm.fallback,IF(IFERROR(B156,"#N/C")="#N/C",A156,IF(IFERROR(C156,"#N/C")="#N/C",B156,IF(IFERROR(D156,"#N/C")="#N/C",C156,IF(IFERROR(E156,"#N/C")="#N/C",D156,IF(IFERROR(F156,"#N/C")="#N/C",E156,IF(IFERROR(G156,"#N/C")="#N/C",F156,"#N/C")))))), _xlpm.finalResult,IF(OR(_xlpm.computedResult="",_xlpm.computedResult="#N/C"),_xlpm.fallback,_xlpm.computedResult), INDEX(_xlpm.finalResult,1))</f>
        <v>wasp</v>
      </c>
      <c r="K156" s="45" t="str">
        <f t="shared" si="2"/>
        <v>Insecta.Hymenoptera.Apocrita.Aculeata.Vespoidea.Vespidae.Vespinae.Vespula.vulgaris</v>
      </c>
      <c r="L156" s="44">
        <f>+COUNTIF([1]Monitoring!AN:AN,K156)</f>
        <v>0</v>
      </c>
    </row>
    <row r="157" spans="1:17" x14ac:dyDescent="0.3">
      <c r="A157" s="47" t="s">
        <v>28</v>
      </c>
      <c r="B157" s="47" t="s">
        <v>32</v>
      </c>
      <c r="C157" s="47" t="s">
        <v>818</v>
      </c>
      <c r="D157" s="47"/>
      <c r="E157" s="47" t="s">
        <v>819</v>
      </c>
      <c r="F157" s="47" t="s">
        <v>820</v>
      </c>
      <c r="G157" s="47" t="s">
        <v>821</v>
      </c>
      <c r="H157" s="49" t="s">
        <v>822</v>
      </c>
      <c r="I157" s="49" t="s">
        <v>26</v>
      </c>
      <c r="J157" s="67" t="str" cm="1">
        <f t="array" ref="J157">_xlfn.LET(_xlpm.cls,A157, _xlpm.ord,IFERROR(B157,"#N/C"), _xlpm.subord,IFERROR(C157,"#N/C"), _xlpm.infr,IFERROR(D157,"#N/C"), _xlpm.sf,IFERROR(E157,"#N/C"), _xlpm.fam,IFERROR(F157,"#N/C"), _xlpm.subfam,IF(TRIM(G157)="-","#N/C",IFERROR(G157,"#N/C")),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_xlpm.fallback,IF(IFERROR(B157,"#N/C")="#N/C",A157,IF(IFERROR(C157,"#N/C")="#N/C",B157,IF(IFERROR(D157,"#N/C")="#N/C",C157,IF(IFERROR(E157,"#N/C")="#N/C",D157,IF(IFERROR(F157,"#N/C")="#N/C",E157,IF(IFERROR(G157,"#N/C")="#N/C",F157,"#N/C")))))), _xlpm.finalResult,IF(OR(_xlpm.computedResult="",_xlpm.computedResult="#N/C"),_xlpm.fallback,_xlpm.computedResult), INDEX(_xlpm.finalResult,1))</f>
        <v>saw_fly</v>
      </c>
      <c r="K157" s="45" t="str">
        <f t="shared" si="2"/>
        <v>Insecta.Hymenoptera.Symphyta..Tenthredinoidea.Tenthredinidae.Athaliinae.Athalia.#N/C</v>
      </c>
      <c r="L157" s="44">
        <f>+COUNTIF([1]Monitoring!AN:AN,K157)</f>
        <v>0</v>
      </c>
    </row>
    <row r="158" spans="1:17" x14ac:dyDescent="0.3">
      <c r="A158" s="46" t="s">
        <v>28</v>
      </c>
      <c r="B158" s="46" t="s">
        <v>47</v>
      </c>
      <c r="C158" s="46" t="s">
        <v>48</v>
      </c>
      <c r="D158" s="47" t="str">
        <f>+IFERROR(IF(E158="#N/C","#N/C",INDEX([1]ClassificationClasses!D:D,MATCH(E158,[1]ClassificationClasses!E:E,0))),"ERROR")</f>
        <v>Heterocera</v>
      </c>
      <c r="E158" s="46" t="s">
        <v>689</v>
      </c>
      <c r="F158" s="46" t="s">
        <v>26</v>
      </c>
      <c r="G158" s="46" t="s">
        <v>26</v>
      </c>
      <c r="H158" s="48" t="s">
        <v>26</v>
      </c>
      <c r="I158" s="48" t="s">
        <v>26</v>
      </c>
      <c r="J158" s="67" t="str" cm="1">
        <f t="array" ref="J158">_xlfn.LET(_xlpm.cls,A158, _xlpm.ord,IFERROR(B158,"#N/C"), _xlpm.subord,IFERROR(C158,"#N/C"), _xlpm.infr,IFERROR(D158,"#N/C"), _xlpm.sf,IFERROR(E158,"#N/C"), _xlpm.fam,IFERROR(F158,"#N/C"), _xlpm.subfam,IF(TRIM(G158)="-","#N/C",IFERROR(G158,"#N/C")),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_xlpm.fallback,IF(IFERROR(B158,"#N/C")="#N/C",A158,IF(IFERROR(C158,"#N/C")="#N/C",B158,IF(IFERROR(D158,"#N/C")="#N/C",C158,IF(IFERROR(E158,"#N/C")="#N/C",D158,IF(IFERROR(F158,"#N/C")="#N/C",E158,IF(IFERROR(G158,"#N/C")="#N/C",F158,"#N/C")))))), _xlpm.finalResult,IF(OR(_xlpm.computedResult="",_xlpm.computedResult="#N/C"),_xlpm.fallback,_xlpm.computedResult), INDEX(_xlpm.finalResult,1))</f>
        <v>Noctuoidea</v>
      </c>
      <c r="K158" s="45" t="str">
        <f t="shared" si="2"/>
        <v>Insecta.Lepidoptera.Glossata.Heterocera.Noctuoidea.#N/C.#N/C.#N/C.#N/C</v>
      </c>
      <c r="L158" s="44">
        <f>+COUNTIF([1]Monitoring!AN:AN,K158)</f>
        <v>1</v>
      </c>
    </row>
    <row r="159" spans="1:17" x14ac:dyDescent="0.3">
      <c r="A159" s="47" t="s">
        <v>28</v>
      </c>
      <c r="B159" s="47" t="s">
        <v>47</v>
      </c>
      <c r="C159" s="47" t="s">
        <v>26</v>
      </c>
      <c r="D159" s="47" t="str">
        <f>+IFERROR(IF(E159="#N/C","#N/C",INDEX([1]ClassificationClasses!D:D,MATCH(E159,[1]ClassificationClasses!E:E,0))),"ERROR")</f>
        <v>#N/C</v>
      </c>
      <c r="E159" s="47" t="s">
        <v>26</v>
      </c>
      <c r="F159" s="47" t="s">
        <v>26</v>
      </c>
      <c r="G159" s="47" t="s">
        <v>26</v>
      </c>
      <c r="H159" s="49" t="s">
        <v>26</v>
      </c>
      <c r="I159" s="49" t="s">
        <v>26</v>
      </c>
      <c r="J159" s="67" t="str" cm="1">
        <f t="array" ref="J159">_xlfn.LET(_xlpm.cls,A159, _xlpm.ord,IFERROR(B159,"#N/C"), _xlpm.subord,IFERROR(C159,"#N/C"), _xlpm.infr,IFERROR(D159,"#N/C"), _xlpm.sf,IFERROR(E159,"#N/C"), _xlpm.fam,IFERROR(F159,"#N/C"), _xlpm.subfam,IF(TRIM(G159)="-","#N/C",IFERROR(G159,"#N/C")),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_xlpm.fallback,IF(IFERROR(B159,"#N/C")="#N/C",A159,IF(IFERROR(C159,"#N/C")="#N/C",B159,IF(IFERROR(D159,"#N/C")="#N/C",C159,IF(IFERROR(E159,"#N/C")="#N/C",D159,IF(IFERROR(F159,"#N/C")="#N/C",E159,IF(IFERROR(G159,"#N/C")="#N/C",F159,"#N/C")))))), _xlpm.finalResult,IF(OR(_xlpm.computedResult="",_xlpm.computedResult="#N/C"),_xlpm.fallback,_xlpm.computedResult), INDEX(_xlpm.finalResult,1))</f>
        <v>Lepidoptera</v>
      </c>
      <c r="K159" s="45" t="str">
        <f t="shared" si="2"/>
        <v>Insecta.Lepidoptera.#N/C.#N/C.#N/C.#N/C.#N/C.#N/C.#N/C</v>
      </c>
      <c r="L159" s="44">
        <f>+COUNTIF([1]Monitoring!AN:AN,K159)</f>
        <v>0</v>
      </c>
    </row>
    <row r="160" spans="1:17" x14ac:dyDescent="0.3">
      <c r="A160" s="47" t="s">
        <v>28</v>
      </c>
      <c r="B160" s="47" t="s">
        <v>47</v>
      </c>
      <c r="C160" s="47" t="s">
        <v>48</v>
      </c>
      <c r="D160" s="47" t="str">
        <f>+IFERROR(IF(E160="#N/C","#N/C",INDEX([1]ClassificationClasses!D:D,MATCH(E160,[1]ClassificationClasses!E:E,0))),"ERROR")</f>
        <v>#N/C</v>
      </c>
      <c r="E160" s="47" t="s">
        <v>26</v>
      </c>
      <c r="F160" s="47" t="s">
        <v>26</v>
      </c>
      <c r="G160" s="47" t="s">
        <v>26</v>
      </c>
      <c r="H160" s="49" t="s">
        <v>26</v>
      </c>
      <c r="I160" s="49" t="s">
        <v>26</v>
      </c>
      <c r="J160" s="67" t="str" cm="1">
        <f t="array" ref="J160">_xlfn.LET(_xlpm.cls,A160, _xlpm.ord,IFERROR(B160,"#N/C"), _xlpm.subord,IFERROR(C160,"#N/C"), _xlpm.infr,IFERROR(D160,"#N/C"), _xlpm.sf,IFERROR(E160,"#N/C"), _xlpm.fam,IFERROR(F160,"#N/C"), _xlpm.subfam,IF(TRIM(G160)="-","#N/C",IFERROR(G160,"#N/C")),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_xlpm.fallback,IF(IFERROR(B160,"#N/C")="#N/C",A160,IF(IFERROR(C160,"#N/C")="#N/C",B160,IF(IFERROR(D160,"#N/C")="#N/C",C160,IF(IFERROR(E160,"#N/C")="#N/C",D160,IF(IFERROR(F160,"#N/C")="#N/C",E160,IF(IFERROR(G160,"#N/C")="#N/C",F160,"#N/C")))))), _xlpm.finalResult,IF(OR(_xlpm.computedResult="",_xlpm.computedResult="#N/C"),_xlpm.fallback,_xlpm.computedResult), INDEX(_xlpm.finalResult,1))</f>
        <v>Glossata</v>
      </c>
      <c r="K160" s="45" t="str">
        <f t="shared" si="2"/>
        <v>Insecta.Lepidoptera.Glossata.#N/C.#N/C.#N/C.#N/C.#N/C.#N/C</v>
      </c>
      <c r="L160" s="44">
        <f>+COUNTIF([1]Monitoring!AN:AN,K160)</f>
        <v>0</v>
      </c>
    </row>
    <row r="161" spans="1:12" x14ac:dyDescent="0.3">
      <c r="A161" s="47" t="s">
        <v>28</v>
      </c>
      <c r="B161" s="47" t="s">
        <v>47</v>
      </c>
      <c r="C161" s="47" t="s">
        <v>48</v>
      </c>
      <c r="D161" s="47" t="str">
        <f>+IFERROR(IF(E161="#N/C","#N/C",INDEX([1]ClassificationClasses!D:D,MATCH(E161,[1]ClassificationClasses!E:E,0))),"ERROR")</f>
        <v>Heterocera</v>
      </c>
      <c r="E161" s="47" t="s">
        <v>248</v>
      </c>
      <c r="F161" s="47" t="s">
        <v>26</v>
      </c>
      <c r="G161" s="47" t="s">
        <v>26</v>
      </c>
      <c r="H161" s="49" t="s">
        <v>26</v>
      </c>
      <c r="I161" s="49" t="s">
        <v>26</v>
      </c>
      <c r="J161" s="67" t="str" cm="1">
        <f t="array" ref="J161">_xlfn.LET(_xlpm.cls,A161, _xlpm.ord,IFERROR(B161,"#N/C"), _xlpm.subord,IFERROR(C161,"#N/C"), _xlpm.infr,IFERROR(D161,"#N/C"), _xlpm.sf,IFERROR(E161,"#N/C"), _xlpm.fam,IFERROR(F161,"#N/C"), _xlpm.subfam,IF(TRIM(G161)="-","#N/C",IFERROR(G161,"#N/C")),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_xlpm.fallback,IF(IFERROR(B161,"#N/C")="#N/C",A161,IF(IFERROR(C161,"#N/C")="#N/C",B161,IF(IFERROR(D161,"#N/C")="#N/C",C161,IF(IFERROR(E161,"#N/C")="#N/C",D161,IF(IFERROR(F161,"#N/C")="#N/C",E161,IF(IFERROR(G161,"#N/C")="#N/C",F161,"#N/C")))))), _xlpm.finalResult,IF(OR(_xlpm.computedResult="",_xlpm.computedResult="#N/C"),_xlpm.fallback,_xlpm.computedResult), INDEX(_xlpm.finalResult,1))</f>
        <v>Gelechioidea</v>
      </c>
      <c r="K161" s="45" t="str">
        <f t="shared" si="2"/>
        <v>Insecta.Lepidoptera.Glossata.Heterocera.Gelechioidea.#N/C.#N/C.#N/C.#N/C</v>
      </c>
      <c r="L161" s="44">
        <f>+COUNTIF([1]Monitoring!AN:AN,K161)</f>
        <v>0</v>
      </c>
    </row>
    <row r="162" spans="1:12" x14ac:dyDescent="0.3">
      <c r="A162" s="47" t="s">
        <v>28</v>
      </c>
      <c r="B162" s="47" t="s">
        <v>47</v>
      </c>
      <c r="C162" s="47" t="s">
        <v>48</v>
      </c>
      <c r="D162" s="47" t="str">
        <f>+IFERROR(IF(E162="#N/C","#N/C",INDEX([1]ClassificationClasses!D:D,MATCH(E162,[1]ClassificationClasses!E:E,0))),"ERROR")</f>
        <v>Heterocera</v>
      </c>
      <c r="E162" s="47" t="s">
        <v>248</v>
      </c>
      <c r="F162" s="47" t="s">
        <v>291</v>
      </c>
      <c r="G162" s="47" t="s">
        <v>26</v>
      </c>
      <c r="H162" s="49" t="s">
        <v>26</v>
      </c>
      <c r="I162" s="49" t="s">
        <v>26</v>
      </c>
      <c r="J162" s="67" t="str" cm="1">
        <f t="array" ref="J162">_xlfn.LET(_xlpm.cls,A162, _xlpm.ord,IFERROR(B162,"#N/C"), _xlpm.subord,IFERROR(C162,"#N/C"), _xlpm.infr,IFERROR(D162,"#N/C"), _xlpm.sf,IFERROR(E162,"#N/C"), _xlpm.fam,IFERROR(F162,"#N/C"), _xlpm.subfam,IF(TRIM(G162)="-","#N/C",IFERROR(G162,"#N/C")),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_xlpm.fallback,IF(IFERROR(B162,"#N/C")="#N/C",A162,IF(IFERROR(C162,"#N/C")="#N/C",B162,IF(IFERROR(D162,"#N/C")="#N/C",C162,IF(IFERROR(E162,"#N/C")="#N/C",D162,IF(IFERROR(F162,"#N/C")="#N/C",E162,IF(IFERROR(G162,"#N/C")="#N/C",F162,"#N/C")))))), _xlpm.finalResult,IF(OR(_xlpm.computedResult="",_xlpm.computedResult="#N/C"),_xlpm.fallback,_xlpm.computedResult), INDEX(_xlpm.finalResult,1))</f>
        <v>moth</v>
      </c>
      <c r="K162" s="45" t="str">
        <f t="shared" si="2"/>
        <v>Insecta.Lepidoptera.Glossata.Heterocera.Gelechioidea.Gelechiidae.#N/C.#N/C.#N/C</v>
      </c>
      <c r="L162" s="44">
        <f>+COUNTIF([1]Monitoring!AN:AN,K162)</f>
        <v>0</v>
      </c>
    </row>
    <row r="163" spans="1:12" x14ac:dyDescent="0.3">
      <c r="A163" s="46" t="s">
        <v>28</v>
      </c>
      <c r="B163" s="46" t="s">
        <v>47</v>
      </c>
      <c r="C163" s="46" t="s">
        <v>48</v>
      </c>
      <c r="D163" s="47" t="str">
        <f>+IFERROR(IF(E163="#N/C","#N/C",INDEX([1]ClassificationClasses!D:D,MATCH(E163,[1]ClassificationClasses!E:E,0))),"ERROR")</f>
        <v>Heterocera</v>
      </c>
      <c r="E163" s="46" t="s">
        <v>248</v>
      </c>
      <c r="F163" s="46" t="s">
        <v>823</v>
      </c>
      <c r="G163" s="46" t="s">
        <v>824</v>
      </c>
      <c r="H163" s="48" t="s">
        <v>651</v>
      </c>
      <c r="I163" s="48" t="s">
        <v>26</v>
      </c>
      <c r="J163" s="67" t="str" cm="1">
        <f t="array" ref="J163">_xlfn.LET(_xlpm.cls,A163, _xlpm.ord,IFERROR(B163,"#N/C"), _xlpm.subord,IFERROR(C163,"#N/C"), _xlpm.infr,IFERROR(D163,"#N/C"), _xlpm.sf,IFERROR(E163,"#N/C"), _xlpm.fam,IFERROR(F163,"#N/C"), _xlpm.subfam,IF(TRIM(G163)="-","#N/C",IFERROR(G163,"#N/C")),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_xlpm.fallback,IF(IFERROR(B163,"#N/C")="#N/C",A163,IF(IFERROR(C163,"#N/C")="#N/C",B163,IF(IFERROR(D163,"#N/C")="#N/C",C163,IF(IFERROR(E163,"#N/C")="#N/C",D163,IF(IFERROR(F163,"#N/C")="#N/C",E163,IF(IFERROR(G163,"#N/C")="#N/C",F163,"#N/C")))))), _xlpm.finalResult,IF(OR(_xlpm.computedResult="",_xlpm.computedResult="#N/C"),_xlpm.fallback,_xlpm.computedResult), INDEX(_xlpm.finalResult,1))</f>
        <v>moth</v>
      </c>
      <c r="K163" s="45" t="str">
        <f t="shared" si="2"/>
        <v>Insecta.Lepidoptera.Glossata.Heterocera.Gelechioidea.Oecophoridae.Oecophorinae.Carcina.#N/C</v>
      </c>
      <c r="L163" s="44">
        <f>+COUNTIF([1]Monitoring!AN:AN,K163)</f>
        <v>0</v>
      </c>
    </row>
    <row r="164" spans="1:12" x14ac:dyDescent="0.3">
      <c r="A164" s="47" t="s">
        <v>28</v>
      </c>
      <c r="B164" s="47" t="s">
        <v>47</v>
      </c>
      <c r="C164" s="47" t="s">
        <v>48</v>
      </c>
      <c r="D164" s="47" t="str">
        <f>+IFERROR(IF(E164="#N/C","#N/C",INDEX([1]ClassificationClasses!D:D,MATCH(E164,[1]ClassificationClasses!E:E,0))),"ERROR")</f>
        <v>Heterocera</v>
      </c>
      <c r="E164" s="47" t="s">
        <v>248</v>
      </c>
      <c r="F164" s="47" t="s">
        <v>823</v>
      </c>
      <c r="G164" s="47" t="s">
        <v>824</v>
      </c>
      <c r="H164" s="49" t="s">
        <v>825</v>
      </c>
      <c r="I164" s="49" t="s">
        <v>26</v>
      </c>
      <c r="J164" s="67" t="str" cm="1">
        <f t="array" ref="J164">_xlfn.LET(_xlpm.cls,A164, _xlpm.ord,IFERROR(B164,"#N/C"), _xlpm.subord,IFERROR(C164,"#N/C"), _xlpm.infr,IFERROR(D164,"#N/C"), _xlpm.sf,IFERROR(E164,"#N/C"), _xlpm.fam,IFERROR(F164,"#N/C"), _xlpm.subfam,IF(TRIM(G164)="-","#N/C",IFERROR(G164,"#N/C")),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_xlpm.fallback,IF(IFERROR(B164,"#N/C")="#N/C",A164,IF(IFERROR(C164,"#N/C")="#N/C",B164,IF(IFERROR(D164,"#N/C")="#N/C",C164,IF(IFERROR(E164,"#N/C")="#N/C",D164,IF(IFERROR(F164,"#N/C")="#N/C",E164,IF(IFERROR(G164,"#N/C")="#N/C",F164,"#N/C")))))), _xlpm.finalResult,IF(OR(_xlpm.computedResult="",_xlpm.computedResult="#N/C"),_xlpm.fallback,_xlpm.computedResult), INDEX(_xlpm.finalResult,1))</f>
        <v>moth</v>
      </c>
      <c r="K164" s="45" t="str">
        <f t="shared" si="2"/>
        <v>Insecta.Lepidoptera.Glossata.Heterocera.Gelechioidea.Oecophoridae.Oecophorinae.Hofmannophila.#N/C</v>
      </c>
      <c r="L164" s="44">
        <f>+COUNTIF([1]Monitoring!AN:AN,K164)</f>
        <v>0</v>
      </c>
    </row>
    <row r="165" spans="1:12" x14ac:dyDescent="0.3">
      <c r="A165" s="47" t="s">
        <v>28</v>
      </c>
      <c r="B165" s="47" t="s">
        <v>47</v>
      </c>
      <c r="C165" s="47" t="s">
        <v>48</v>
      </c>
      <c r="D165" s="47" t="str">
        <f>+IFERROR(IF(E165="#N/C","#N/C",INDEX([1]ClassificationClasses!D:D,MATCH(E165,[1]ClassificationClasses!E:E,0))),"ERROR")</f>
        <v>Heterocera</v>
      </c>
      <c r="E165" s="47" t="s">
        <v>509</v>
      </c>
      <c r="F165" s="47" t="s">
        <v>510</v>
      </c>
      <c r="G165" s="47" t="s">
        <v>511</v>
      </c>
      <c r="H165" s="49" t="s">
        <v>679</v>
      </c>
      <c r="I165" s="49" t="s">
        <v>680</v>
      </c>
      <c r="J165" s="67" t="str" cm="1">
        <f t="array" ref="J165">_xlfn.LET(_xlpm.cls,A165, _xlpm.ord,IFERROR(B165,"#N/C"), _xlpm.subord,IFERROR(C165,"#N/C"), _xlpm.infr,IFERROR(D165,"#N/C"), _xlpm.sf,IFERROR(E165,"#N/C"), _xlpm.fam,IFERROR(F165,"#N/C"), _xlpm.subfam,IF(TRIM(G165)="-","#N/C",IFERROR(G165,"#N/C")),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_xlpm.fallback,IF(IFERROR(B165,"#N/C")="#N/C",A165,IF(IFERROR(C165,"#N/C")="#N/C",B165,IF(IFERROR(D165,"#N/C")="#N/C",C165,IF(IFERROR(E165,"#N/C")="#N/C",D165,IF(IFERROR(F165,"#N/C")="#N/C",E165,IF(IFERROR(G165,"#N/C")="#N/C",F165,"#N/C")))))), _xlpm.finalResult,IF(OR(_xlpm.computedResult="",_xlpm.computedResult="#N/C"),_xlpm.fallback,_xlpm.computedResult), INDEX(_xlpm.finalResult,1))</f>
        <v>moth</v>
      </c>
      <c r="K165" s="45" t="str">
        <f t="shared" si="2"/>
        <v>Insecta.Lepidoptera.Glossata.Heterocera.Geometroidea.Geometridae.Larentiinae.Camptogramma.bilineata</v>
      </c>
      <c r="L165" s="44">
        <f>+COUNTIF([1]Monitoring!AN:AN,K165)</f>
        <v>0</v>
      </c>
    </row>
    <row r="166" spans="1:12" x14ac:dyDescent="0.3">
      <c r="A166" s="47" t="s">
        <v>28</v>
      </c>
      <c r="B166" s="47" t="s">
        <v>47</v>
      </c>
      <c r="C166" s="47" t="s">
        <v>48</v>
      </c>
      <c r="D166" s="47" t="str">
        <f>+IFERROR(IF(E166="#N/C","#N/C",INDEX([1]ClassificationClasses!D:D,MATCH(E166,[1]ClassificationClasses!E:E,0))),"ERROR")</f>
        <v>Heterocera</v>
      </c>
      <c r="E166" s="47" t="s">
        <v>509</v>
      </c>
      <c r="F166" s="47" t="s">
        <v>510</v>
      </c>
      <c r="G166" s="47" t="s">
        <v>511</v>
      </c>
      <c r="H166" s="49" t="s">
        <v>512</v>
      </c>
      <c r="I166" s="49" t="s">
        <v>513</v>
      </c>
      <c r="J166" s="67" t="str" cm="1">
        <f t="array" ref="J166">_xlfn.LET(_xlpm.cls,A166, _xlpm.ord,IFERROR(B166,"#N/C"), _xlpm.subord,IFERROR(C166,"#N/C"), _xlpm.infr,IFERROR(D166,"#N/C"), _xlpm.sf,IFERROR(E166,"#N/C"), _xlpm.fam,IFERROR(F166,"#N/C"), _xlpm.subfam,IF(TRIM(G166)="-","#N/C",IFERROR(G166,"#N/C")),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_xlpm.fallback,IF(IFERROR(B166,"#N/C")="#N/C",A166,IF(IFERROR(C166,"#N/C")="#N/C",B166,IF(IFERROR(D166,"#N/C")="#N/C",C166,IF(IFERROR(E166,"#N/C")="#N/C",D166,IF(IFERROR(F166,"#N/C")="#N/C",E166,IF(IFERROR(G166,"#N/C")="#N/C",F166,"#N/C")))))), _xlpm.finalResult,IF(OR(_xlpm.computedResult="",_xlpm.computedResult="#N/C"),_xlpm.fallback,_xlpm.computedResult), INDEX(_xlpm.finalResult,1))</f>
        <v>moth</v>
      </c>
      <c r="K166" s="45" t="str">
        <f t="shared" si="2"/>
        <v>Insecta.Lepidoptera.Glossata.Heterocera.Geometroidea.Geometridae.Larentiinae.Epirrhoe.alternata</v>
      </c>
      <c r="L166" s="44">
        <f>+COUNTIF([1]Monitoring!AN:AN,K166)</f>
        <v>0</v>
      </c>
    </row>
    <row r="167" spans="1:12" x14ac:dyDescent="0.3">
      <c r="A167" s="46" t="s">
        <v>28</v>
      </c>
      <c r="B167" s="46" t="s">
        <v>47</v>
      </c>
      <c r="C167" s="46" t="s">
        <v>48</v>
      </c>
      <c r="D167" s="47" t="str">
        <f>+IFERROR(IF(E167="#N/C","#N/C",INDEX([1]ClassificationClasses!D:D,MATCH(E167,[1]ClassificationClasses!E:E,0))),"ERROR")</f>
        <v>Heterocera</v>
      </c>
      <c r="E167" s="46" t="s">
        <v>689</v>
      </c>
      <c r="F167" s="46" t="s">
        <v>690</v>
      </c>
      <c r="G167" s="46" t="s">
        <v>26</v>
      </c>
      <c r="H167" s="48" t="s">
        <v>26</v>
      </c>
      <c r="I167" s="48" t="s">
        <v>26</v>
      </c>
      <c r="J167" s="67" t="str" cm="1">
        <f t="array" ref="J167">_xlfn.LET(_xlpm.cls,A167, _xlpm.ord,IFERROR(B167,"#N/C"), _xlpm.subord,IFERROR(C167,"#N/C"), _xlpm.infr,IFERROR(D167,"#N/C"), _xlpm.sf,IFERROR(E167,"#N/C"), _xlpm.fam,IFERROR(F167,"#N/C"), _xlpm.subfam,IF(TRIM(G167)="-","#N/C",IFERROR(G167,"#N/C")),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_xlpm.fallback,IF(IFERROR(B167,"#N/C")="#N/C",A167,IF(IFERROR(C167,"#N/C")="#N/C",B167,IF(IFERROR(D167,"#N/C")="#N/C",C167,IF(IFERROR(E167,"#N/C")="#N/C",D167,IF(IFERROR(F167,"#N/C")="#N/C",E167,IF(IFERROR(G167,"#N/C")="#N/C",F167,"#N/C")))))), _xlpm.finalResult,IF(OR(_xlpm.computedResult="",_xlpm.computedResult="#N/C"),_xlpm.fallback,_xlpm.computedResult), INDEX(_xlpm.finalResult,1))</f>
        <v>moth</v>
      </c>
      <c r="K167" s="45" t="str">
        <f t="shared" si="2"/>
        <v>Insecta.Lepidoptera.Glossata.Heterocera.Noctuoidea.Noctuidae.#N/C.#N/C.#N/C</v>
      </c>
      <c r="L167" s="44">
        <f>+COUNTIF([1]Monitoring!AN:AN,K167)</f>
        <v>1</v>
      </c>
    </row>
    <row r="168" spans="1:12" x14ac:dyDescent="0.3">
      <c r="A168" s="47" t="s">
        <v>28</v>
      </c>
      <c r="B168" s="47" t="s">
        <v>47</v>
      </c>
      <c r="C168" s="47" t="s">
        <v>48</v>
      </c>
      <c r="D168" s="47" t="str">
        <f>+IFERROR(IF(E168="#N/C","#N/C",INDEX([1]ClassificationClasses!D:D,MATCH(E168,[1]ClassificationClasses!E:E,0))),"ERROR")</f>
        <v>Heterocera</v>
      </c>
      <c r="E168" s="47" t="s">
        <v>689</v>
      </c>
      <c r="F168" s="47" t="s">
        <v>690</v>
      </c>
      <c r="G168" s="47" t="s">
        <v>699</v>
      </c>
      <c r="H168" s="49" t="s">
        <v>826</v>
      </c>
      <c r="I168" s="49" t="s">
        <v>26</v>
      </c>
      <c r="J168" s="67" t="str" cm="1">
        <f t="array" ref="J168">_xlfn.LET(_xlpm.cls,A168, _xlpm.ord,IFERROR(B168,"#N/C"), _xlpm.subord,IFERROR(C168,"#N/C"), _xlpm.infr,IFERROR(D168,"#N/C"), _xlpm.sf,IFERROR(E168,"#N/C"), _xlpm.fam,IFERROR(F168,"#N/C"), _xlpm.subfam,IF(TRIM(G168)="-","#N/C",IFERROR(G168,"#N/C")),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_xlpm.fallback,IF(IFERROR(B168,"#N/C")="#N/C",A168,IF(IFERROR(C168,"#N/C")="#N/C",B168,IF(IFERROR(D168,"#N/C")="#N/C",C168,IF(IFERROR(E168,"#N/C")="#N/C",D168,IF(IFERROR(F168,"#N/C")="#N/C",E168,IF(IFERROR(G168,"#N/C")="#N/C",F168,"#N/C")))))), _xlpm.finalResult,IF(OR(_xlpm.computedResult="",_xlpm.computedResult="#N/C"),_xlpm.fallback,_xlpm.computedResult), INDEX(_xlpm.finalResult,1))</f>
        <v>moth</v>
      </c>
      <c r="K168" s="45" t="str">
        <f t="shared" si="2"/>
        <v>Insecta.Lepidoptera.Glossata.Heterocera.Noctuoidea.Noctuidae.Noctuinae.Mythimna.#N/C</v>
      </c>
      <c r="L168" s="44">
        <f>+COUNTIF([1]Monitoring!AN:AN,K168)</f>
        <v>1</v>
      </c>
    </row>
    <row r="169" spans="1:12" x14ac:dyDescent="0.3">
      <c r="A169" s="47" t="s">
        <v>28</v>
      </c>
      <c r="B169" s="47" t="s">
        <v>47</v>
      </c>
      <c r="C169" s="47" t="s">
        <v>48</v>
      </c>
      <c r="D169" s="47" t="str">
        <f>+IFERROR(IF(E169="#N/C","#N/C",INDEX([1]ClassificationClasses!D:D,MATCH(E169,[1]ClassificationClasses!E:E,0))),"ERROR")</f>
        <v>Heterocera</v>
      </c>
      <c r="E169" s="47" t="s">
        <v>689</v>
      </c>
      <c r="F169" s="47" t="s">
        <v>690</v>
      </c>
      <c r="G169" s="47" t="s">
        <v>699</v>
      </c>
      <c r="H169" s="49" t="s">
        <v>700</v>
      </c>
      <c r="I169" s="49" t="s">
        <v>701</v>
      </c>
      <c r="J169" s="67" t="str" cm="1">
        <f t="array" ref="J169">_xlfn.LET(_xlpm.cls,A169, _xlpm.ord,IFERROR(B169,"#N/C"), _xlpm.subord,IFERROR(C169,"#N/C"), _xlpm.infr,IFERROR(D169,"#N/C"), _xlpm.sf,IFERROR(E169,"#N/C"), _xlpm.fam,IFERROR(F169,"#N/C"), _xlpm.subfam,IF(TRIM(G169)="-","#N/C",IFERROR(G169,"#N/C")),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_xlpm.fallback,IF(IFERROR(B169,"#N/C")="#N/C",A169,IF(IFERROR(C169,"#N/C")="#N/C",B169,IF(IFERROR(D169,"#N/C")="#N/C",C169,IF(IFERROR(E169,"#N/C")="#N/C",D169,IF(IFERROR(F169,"#N/C")="#N/C",E169,IF(IFERROR(G169,"#N/C")="#N/C",F169,"#N/C")))))), _xlpm.finalResult,IF(OR(_xlpm.computedResult="",_xlpm.computedResult="#N/C"),_xlpm.fallback,_xlpm.computedResult), INDEX(_xlpm.finalResult,1))</f>
        <v>moth</v>
      </c>
      <c r="K169" s="45" t="str">
        <f t="shared" si="2"/>
        <v>Insecta.Lepidoptera.Glossata.Heterocera.Noctuoidea.Noctuidae.Noctuinae.Xestia.xanthographa</v>
      </c>
      <c r="L169" s="44">
        <f>+COUNTIF([1]Monitoring!AN:AN,K169)</f>
        <v>0</v>
      </c>
    </row>
    <row r="170" spans="1:12" x14ac:dyDescent="0.3">
      <c r="A170" s="47" t="s">
        <v>28</v>
      </c>
      <c r="B170" s="47" t="s">
        <v>47</v>
      </c>
      <c r="C170" s="47" t="s">
        <v>48</v>
      </c>
      <c r="D170" s="47" t="str">
        <f>+IFERROR(IF(E170="#N/C","#N/C",INDEX([1]ClassificationClasses!D:D,MATCH(E170,[1]ClassificationClasses!E:E,0))),"ERROR")</f>
        <v>Heterocera</v>
      </c>
      <c r="E170" s="47" t="s">
        <v>689</v>
      </c>
      <c r="F170" s="47" t="s">
        <v>690</v>
      </c>
      <c r="G170" s="47" t="s">
        <v>691</v>
      </c>
      <c r="H170" s="49" t="s">
        <v>692</v>
      </c>
      <c r="I170" s="49" t="s">
        <v>26</v>
      </c>
      <c r="J170" s="67" t="str" cm="1">
        <f t="array" ref="J170">_xlfn.LET(_xlpm.cls,A170, _xlpm.ord,IFERROR(B170,"#N/C"), _xlpm.subord,IFERROR(C170,"#N/C"), _xlpm.infr,IFERROR(D170,"#N/C"), _xlpm.sf,IFERROR(E170,"#N/C"), _xlpm.fam,IFERROR(F170,"#N/C"), _xlpm.subfam,IF(TRIM(G170)="-","#N/C",IFERROR(G170,"#N/C")),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_xlpm.fallback,IF(IFERROR(B170,"#N/C")="#N/C",A170,IF(IFERROR(C170,"#N/C")="#N/C",B170,IF(IFERROR(D170,"#N/C")="#N/C",C170,IF(IFERROR(E170,"#N/C")="#N/C",D170,IF(IFERROR(F170,"#N/C")="#N/C",E170,IF(IFERROR(G170,"#N/C")="#N/C",F170,"#N/C")))))), _xlpm.finalResult,IF(OR(_xlpm.computedResult="",_xlpm.computedResult="#N/C"),_xlpm.fallback,_xlpm.computedResult), INDEX(_xlpm.finalResult,1))</f>
        <v>moth</v>
      </c>
      <c r="K170" s="45" t="str">
        <f t="shared" si="2"/>
        <v>Insecta.Lepidoptera.Glossata.Heterocera.Noctuoidea.Noctuidae.Plusiinae.Autographa.#N/C</v>
      </c>
      <c r="L170" s="44">
        <f>+COUNTIF([1]Monitoring!AN:AN,K170)</f>
        <v>0</v>
      </c>
    </row>
    <row r="171" spans="1:12" x14ac:dyDescent="0.3">
      <c r="A171" s="46" t="s">
        <v>28</v>
      </c>
      <c r="B171" s="46" t="s">
        <v>47</v>
      </c>
      <c r="C171" s="46" t="s">
        <v>48</v>
      </c>
      <c r="D171" s="47" t="str">
        <f>+IFERROR(IF(E171="#N/C","#N/C",INDEX([1]ClassificationClasses!D:D,MATCH(E171,[1]ClassificationClasses!E:E,0))),"ERROR")</f>
        <v>Heterocera</v>
      </c>
      <c r="E171" s="46" t="s">
        <v>689</v>
      </c>
      <c r="F171" s="46" t="s">
        <v>690</v>
      </c>
      <c r="G171" s="46" t="s">
        <v>691</v>
      </c>
      <c r="H171" s="48" t="s">
        <v>692</v>
      </c>
      <c r="I171" s="48" t="s">
        <v>693</v>
      </c>
      <c r="J171" s="67" t="str" cm="1">
        <f t="array" ref="J171">_xlfn.LET(_xlpm.cls,A171, _xlpm.ord,IFERROR(B171,"#N/C"), _xlpm.subord,IFERROR(C171,"#N/C"), _xlpm.infr,IFERROR(D171,"#N/C"), _xlpm.sf,IFERROR(E171,"#N/C"), _xlpm.fam,IFERROR(F171,"#N/C"), _xlpm.subfam,IF(TRIM(G171)="-","#N/C",IFERROR(G171,"#N/C")),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_xlpm.fallback,IF(IFERROR(B171,"#N/C")="#N/C",A171,IF(IFERROR(C171,"#N/C")="#N/C",B171,IF(IFERROR(D171,"#N/C")="#N/C",C171,IF(IFERROR(E171,"#N/C")="#N/C",D171,IF(IFERROR(F171,"#N/C")="#N/C",E171,IF(IFERROR(G171,"#N/C")="#N/C",F171,"#N/C")))))), _xlpm.finalResult,IF(OR(_xlpm.computedResult="",_xlpm.computedResult="#N/C"),_xlpm.fallback,_xlpm.computedResult), INDEX(_xlpm.finalResult,1))</f>
        <v>moth</v>
      </c>
      <c r="K171" s="45" t="str">
        <f t="shared" si="2"/>
        <v>Insecta.Lepidoptera.Glossata.Heterocera.Noctuoidea.Noctuidae.Plusiinae.Autographa.gamma</v>
      </c>
      <c r="L171" s="44">
        <f>+COUNTIF([1]Monitoring!AN:AN,K171)</f>
        <v>0</v>
      </c>
    </row>
    <row r="172" spans="1:12" x14ac:dyDescent="0.3">
      <c r="A172" s="47" t="s">
        <v>28</v>
      </c>
      <c r="B172" s="47" t="s">
        <v>47</v>
      </c>
      <c r="C172" s="47" t="s">
        <v>48</v>
      </c>
      <c r="D172" s="47" t="str">
        <f>+IFERROR(IF(E172="#N/C","#N/C",INDEX([1]ClassificationClasses!D:D,MATCH(E172,[1]ClassificationClasses!E:E,0))),"ERROR")</f>
        <v>Rhopalocera</v>
      </c>
      <c r="E172" s="47" t="s">
        <v>49</v>
      </c>
      <c r="F172" s="47" t="s">
        <v>26</v>
      </c>
      <c r="G172" s="47" t="s">
        <v>26</v>
      </c>
      <c r="H172" s="49" t="s">
        <v>26</v>
      </c>
      <c r="I172" s="49" t="s">
        <v>26</v>
      </c>
      <c r="J172" s="67" t="str" cm="1">
        <f t="array" ref="J172">_xlfn.LET(_xlpm.cls,A172, _xlpm.ord,IFERROR(B172,"#N/C"), _xlpm.subord,IFERROR(C172,"#N/C"), _xlpm.infr,IFERROR(D172,"#N/C"), _xlpm.sf,IFERROR(E172,"#N/C"), _xlpm.fam,IFERROR(F172,"#N/C"), _xlpm.subfam,IF(TRIM(G172)="-","#N/C",IFERROR(G172,"#N/C")),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_xlpm.fallback,IF(IFERROR(B172,"#N/C")="#N/C",A172,IF(IFERROR(C172,"#N/C")="#N/C",B172,IF(IFERROR(D172,"#N/C")="#N/C",C172,IF(IFERROR(E172,"#N/C")="#N/C",D172,IF(IFERROR(F172,"#N/C")="#N/C",E172,IF(IFERROR(G172,"#N/C")="#N/C",F172,"#N/C")))))), _xlpm.finalResult,IF(OR(_xlpm.computedResult="",_xlpm.computedResult="#N/C"),_xlpm.fallback,_xlpm.computedResult), INDEX(_xlpm.finalResult,1))</f>
        <v>Papilionoidea</v>
      </c>
      <c r="K172" s="45" t="str">
        <f t="shared" si="2"/>
        <v>Insecta.Lepidoptera.Glossata.Rhopalocera.Papilionoidea.#N/C.#N/C.#N/C.#N/C</v>
      </c>
      <c r="L172" s="44">
        <f>+COUNTIF([1]Monitoring!AN:AN,K172)</f>
        <v>0</v>
      </c>
    </row>
    <row r="173" spans="1:12" x14ac:dyDescent="0.3">
      <c r="A173" s="47" t="s">
        <v>28</v>
      </c>
      <c r="B173" s="47" t="s">
        <v>47</v>
      </c>
      <c r="C173" s="47" t="s">
        <v>48</v>
      </c>
      <c r="D173" s="47" t="str">
        <f>+IFERROR(IF(E173="#N/C","#N/C",INDEX([1]ClassificationClasses!D:D,MATCH(E173,[1]ClassificationClasses!E:E,0))),"ERROR")</f>
        <v>Rhopalocera</v>
      </c>
      <c r="E173" s="47" t="s">
        <v>49</v>
      </c>
      <c r="F173" s="47" t="s">
        <v>50</v>
      </c>
      <c r="G173" s="47" t="s">
        <v>51</v>
      </c>
      <c r="H173" s="49" t="s">
        <v>52</v>
      </c>
      <c r="I173" s="49" t="s">
        <v>26</v>
      </c>
      <c r="J173" s="67" t="str" cm="1">
        <f t="array" ref="J173">_xlfn.LET(_xlpm.cls,A173, _xlpm.ord,IFERROR(B173,"#N/C"), _xlpm.subord,IFERROR(C173,"#N/C"), _xlpm.infr,IFERROR(D173,"#N/C"), _xlpm.sf,IFERROR(E173,"#N/C"), _xlpm.fam,IFERROR(F173,"#N/C"), _xlpm.subfam,IF(TRIM(G173)="-","#N/C",IFERROR(G173,"#N/C")),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_xlpm.fallback,IF(IFERROR(B173,"#N/C")="#N/C",A173,IF(IFERROR(C173,"#N/C")="#N/C",B173,IF(IFERROR(D173,"#N/C")="#N/C",C173,IF(IFERROR(E173,"#N/C")="#N/C",D173,IF(IFERROR(F173,"#N/C")="#N/C",E173,IF(IFERROR(G173,"#N/C")="#N/C",F173,"#N/C")))))), _xlpm.finalResult,IF(OR(_xlpm.computedResult="",_xlpm.computedResult="#N/C"),_xlpm.fallback,_xlpm.computedResult), INDEX(_xlpm.finalResult,1))</f>
        <v>butterfly</v>
      </c>
      <c r="K173" s="45" t="str">
        <f t="shared" si="2"/>
        <v>Insecta.Lepidoptera.Glossata.Rhopalocera.Papilionoidea.Hesperiidae.Hesperiinae.Thymelicus.#N/C</v>
      </c>
      <c r="L173" s="44">
        <f>+COUNTIF([1]Monitoring!AN:AN,K173)</f>
        <v>0</v>
      </c>
    </row>
    <row r="174" spans="1:12" x14ac:dyDescent="0.3">
      <c r="A174" s="47" t="s">
        <v>28</v>
      </c>
      <c r="B174" s="47" t="s">
        <v>47</v>
      </c>
      <c r="C174" s="47" t="s">
        <v>48</v>
      </c>
      <c r="D174" s="47" t="str">
        <f>+IFERROR(IF(E174="#N/C","#N/C",INDEX([1]ClassificationClasses!D:D,MATCH(E174,[1]ClassificationClasses!E:E,0))),"ERROR")</f>
        <v>Heterocera</v>
      </c>
      <c r="E174" s="47" t="s">
        <v>234</v>
      </c>
      <c r="F174" s="47" t="s">
        <v>256</v>
      </c>
      <c r="G174" s="47" t="s">
        <v>257</v>
      </c>
      <c r="H174" s="49" t="s">
        <v>26</v>
      </c>
      <c r="I174" s="49" t="s">
        <v>26</v>
      </c>
      <c r="J174" s="67" t="str" cm="1">
        <f t="array" ref="J174">_xlfn.LET(_xlpm.cls,A174, _xlpm.ord,IFERROR(B174,"#N/C"), _xlpm.subord,IFERROR(C174,"#N/C"), _xlpm.infr,IFERROR(D174,"#N/C"), _xlpm.sf,IFERROR(E174,"#N/C"), _xlpm.fam,IFERROR(F174,"#N/C"), _xlpm.subfam,IF(TRIM(G174)="-","#N/C",IFERROR(G174,"#N/C")),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_xlpm.fallback,IF(IFERROR(B174,"#N/C")="#N/C",A174,IF(IFERROR(C174,"#N/C")="#N/C",B174,IF(IFERROR(D174,"#N/C")="#N/C",C174,IF(IFERROR(E174,"#N/C")="#N/C",D174,IF(IFERROR(F174,"#N/C")="#N/C",E174,IF(IFERROR(G174,"#N/C")="#N/C",F174,"#N/C")))))), _xlpm.finalResult,IF(OR(_xlpm.computedResult="",_xlpm.computedResult="#N/C"),_xlpm.fallback,_xlpm.computedResult), INDEX(_xlpm.finalResult,1))</f>
        <v>moth</v>
      </c>
      <c r="K174" s="45" t="str">
        <f t="shared" si="2"/>
        <v>Insecta.Lepidoptera.Glossata.Heterocera.Pyraloidea.Crambidae.Crambinae.#N/C.#N/C</v>
      </c>
      <c r="L174" s="44">
        <f>+COUNTIF([1]Monitoring!AN:AN,K174)</f>
        <v>0</v>
      </c>
    </row>
    <row r="175" spans="1:12" x14ac:dyDescent="0.3">
      <c r="A175" s="47" t="s">
        <v>28</v>
      </c>
      <c r="B175" s="47" t="s">
        <v>47</v>
      </c>
      <c r="C175" s="47" t="s">
        <v>48</v>
      </c>
      <c r="D175" s="47" t="str">
        <f>+IFERROR(IF(E175="#N/C","#N/C",INDEX([1]ClassificationClasses!D:D,MATCH(E175,[1]ClassificationClasses!E:E,0))),"ERROR")</f>
        <v>Heterocera</v>
      </c>
      <c r="E175" s="47" t="s">
        <v>234</v>
      </c>
      <c r="F175" s="47" t="s">
        <v>235</v>
      </c>
      <c r="G175" s="47" t="s">
        <v>236</v>
      </c>
      <c r="H175" s="49" t="s">
        <v>237</v>
      </c>
      <c r="I175" s="49" t="s">
        <v>26</v>
      </c>
      <c r="J175" s="67" t="str" cm="1">
        <f t="array" ref="J175">_xlfn.LET(_xlpm.cls,A175, _xlpm.ord,IFERROR(B175,"#N/C"), _xlpm.subord,IFERROR(C175,"#N/C"), _xlpm.infr,IFERROR(D175,"#N/C"), _xlpm.sf,IFERROR(E175,"#N/C"), _xlpm.fam,IFERROR(F175,"#N/C"), _xlpm.subfam,IF(TRIM(G175)="-","#N/C",IFERROR(G175,"#N/C")),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_xlpm.fallback,IF(IFERROR(B175,"#N/C")="#N/C",A175,IF(IFERROR(C175,"#N/C")="#N/C",B175,IF(IFERROR(D175,"#N/C")="#N/C",C175,IF(IFERROR(E175,"#N/C")="#N/C",D175,IF(IFERROR(F175,"#N/C")="#N/C",E175,IF(IFERROR(G175,"#N/C")="#N/C",F175,"#N/C")))))), _xlpm.finalResult,IF(OR(_xlpm.computedResult="",_xlpm.computedResult="#N/C"),_xlpm.fallback,_xlpm.computedResult), INDEX(_xlpm.finalResult,1))</f>
        <v>moth</v>
      </c>
      <c r="K175" s="45" t="str">
        <f t="shared" si="2"/>
        <v>Insecta.Lepidoptera.Glossata.Heterocera.Pyraloidea.Pyralidae.Phycitinae.Ephestia.#N/C</v>
      </c>
      <c r="L175" s="44">
        <f>+COUNTIF([1]Monitoring!AN:AN,K175)</f>
        <v>0</v>
      </c>
    </row>
    <row r="176" spans="1:12" x14ac:dyDescent="0.3">
      <c r="A176" s="47" t="s">
        <v>28</v>
      </c>
      <c r="B176" s="47" t="s">
        <v>47</v>
      </c>
      <c r="C176" s="47" t="s">
        <v>48</v>
      </c>
      <c r="D176" s="47" t="str">
        <f>+IFERROR(IF(E176="#N/C","#N/C",INDEX([1]ClassificationClasses!D:D,MATCH(E176,[1]ClassificationClasses!E:E,0))),"ERROR")</f>
        <v>Heterocera</v>
      </c>
      <c r="E176" s="47" t="s">
        <v>234</v>
      </c>
      <c r="F176" s="47" t="s">
        <v>235</v>
      </c>
      <c r="G176" s="47" t="s">
        <v>251</v>
      </c>
      <c r="H176" s="49" t="s">
        <v>252</v>
      </c>
      <c r="I176" s="49" t="s">
        <v>26</v>
      </c>
      <c r="J176" s="67" t="str" cm="1">
        <f t="array" ref="J176">_xlfn.LET(_xlpm.cls,A176, _xlpm.ord,IFERROR(B176,"#N/C"), _xlpm.subord,IFERROR(C176,"#N/C"), _xlpm.infr,IFERROR(D176,"#N/C"), _xlpm.sf,IFERROR(E176,"#N/C"), _xlpm.fam,IFERROR(F176,"#N/C"), _xlpm.subfam,IF(TRIM(G176)="-","#N/C",IFERROR(G176,"#N/C")),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_xlpm.fallback,IF(IFERROR(B176,"#N/C")="#N/C",A176,IF(IFERROR(C176,"#N/C")="#N/C",B176,IF(IFERROR(D176,"#N/C")="#N/C",C176,IF(IFERROR(E176,"#N/C")="#N/C",D176,IF(IFERROR(F176,"#N/C")="#N/C",E176,IF(IFERROR(G176,"#N/C")="#N/C",F176,"#N/C")))))), _xlpm.finalResult,IF(OR(_xlpm.computedResult="",_xlpm.computedResult="#N/C"),_xlpm.fallback,_xlpm.computedResult), INDEX(_xlpm.finalResult,1))</f>
        <v>moth</v>
      </c>
      <c r="K176" s="45" t="str">
        <f t="shared" si="2"/>
        <v>Insecta.Lepidoptera.Glossata.Heterocera.Pyraloidea.Pyralidae.Pyralinae.Endotricha.#N/C</v>
      </c>
      <c r="L176" s="44">
        <f>+COUNTIF([1]Monitoring!AN:AN,K176)</f>
        <v>0</v>
      </c>
    </row>
    <row r="177" spans="1:12" x14ac:dyDescent="0.3">
      <c r="A177" s="47" t="s">
        <v>28</v>
      </c>
      <c r="B177" s="47" t="s">
        <v>47</v>
      </c>
      <c r="C177" s="47" t="s">
        <v>48</v>
      </c>
      <c r="D177" s="47" t="str">
        <f>+IFERROR(IF(E177="#N/C","#N/C",INDEX([1]ClassificationClasses!D:D,MATCH(E177,[1]ClassificationClasses!E:E,0))),"ERROR")</f>
        <v>Heterocera</v>
      </c>
      <c r="E177" s="47" t="s">
        <v>234</v>
      </c>
      <c r="F177" s="47" t="s">
        <v>235</v>
      </c>
      <c r="G177" s="47" t="s">
        <v>251</v>
      </c>
      <c r="H177" s="49" t="s">
        <v>437</v>
      </c>
      <c r="I177" s="49" t="s">
        <v>438</v>
      </c>
      <c r="J177" s="67" t="str" cm="1">
        <f t="array" ref="J177">_xlfn.LET(_xlpm.cls,A177, _xlpm.ord,IFERROR(B177,"#N/C"), _xlpm.subord,IFERROR(C177,"#N/C"), _xlpm.infr,IFERROR(D177,"#N/C"), _xlpm.sf,IFERROR(E177,"#N/C"), _xlpm.fam,IFERROR(F177,"#N/C"), _xlpm.subfam,IF(TRIM(G177)="-","#N/C",IFERROR(G177,"#N/C")),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_xlpm.fallback,IF(IFERROR(B177,"#N/C")="#N/C",A177,IF(IFERROR(C177,"#N/C")="#N/C",B177,IF(IFERROR(D177,"#N/C")="#N/C",C177,IF(IFERROR(E177,"#N/C")="#N/C",D177,IF(IFERROR(F177,"#N/C")="#N/C",E177,IF(IFERROR(G177,"#N/C")="#N/C",F177,"#N/C")))))), _xlpm.finalResult,IF(OR(_xlpm.computedResult="",_xlpm.computedResult="#N/C"),_xlpm.fallback,_xlpm.computedResult), INDEX(_xlpm.finalResult,1))</f>
        <v>moth</v>
      </c>
      <c r="K177" s="45" t="str">
        <f t="shared" si="2"/>
        <v>Insecta.Lepidoptera.Glossata.Heterocera.Pyraloidea.Pyralidae.Pyralinae.Synaphe.punctalis</v>
      </c>
      <c r="L177" s="44">
        <f>+COUNTIF([1]Monitoring!AN:AN,K177)</f>
        <v>0</v>
      </c>
    </row>
    <row r="178" spans="1:12" x14ac:dyDescent="0.3">
      <c r="A178" s="46" t="s">
        <v>28</v>
      </c>
      <c r="B178" s="46" t="s">
        <v>47</v>
      </c>
      <c r="C178" s="46" t="s">
        <v>48</v>
      </c>
      <c r="D178" s="47" t="str">
        <f>+IFERROR(IF(E178="#N/C","#N/C",INDEX([1]ClassificationClasses!D:D,MATCH(E178,[1]ClassificationClasses!E:E,0))),"ERROR")</f>
        <v>Heterocera</v>
      </c>
      <c r="E178" s="46" t="s">
        <v>827</v>
      </c>
      <c r="F178" s="46" t="s">
        <v>828</v>
      </c>
      <c r="G178" s="46" t="s">
        <v>829</v>
      </c>
      <c r="H178" s="48" t="s">
        <v>830</v>
      </c>
      <c r="I178" s="48" t="s">
        <v>26</v>
      </c>
      <c r="J178" s="67" t="str" cm="1">
        <f t="array" ref="J178">_xlfn.LET(_xlpm.cls,A178, _xlpm.ord,IFERROR(B178,"#N/C"), _xlpm.subord,IFERROR(C178,"#N/C"), _xlpm.infr,IFERROR(D178,"#N/C"), _xlpm.sf,IFERROR(E178,"#N/C"), _xlpm.fam,IFERROR(F178,"#N/C"), _xlpm.subfam,IF(TRIM(G178)="-","#N/C",IFERROR(G178,"#N/C")),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_xlpm.fallback,IF(IFERROR(B178,"#N/C")="#N/C",A178,IF(IFERROR(C178,"#N/C")="#N/C",B178,IF(IFERROR(D178,"#N/C")="#N/C",C178,IF(IFERROR(E178,"#N/C")="#N/C",D178,IF(IFERROR(F178,"#N/C")="#N/C",E178,IF(IFERROR(G178,"#N/C")="#N/C",F178,"#N/C")))))), _xlpm.finalResult,IF(OR(_xlpm.computedResult="",_xlpm.computedResult="#N/C"),_xlpm.fallback,_xlpm.computedResult), INDEX(_xlpm.finalResult,1))</f>
        <v>moth_small</v>
      </c>
      <c r="K178" s="45" t="str">
        <f t="shared" si="2"/>
        <v>Insecta.Lepidoptera.Glossata.Heterocera.Tineoidea.Tineidae.	Nemapogoninae.Nemapogon.#N/C</v>
      </c>
      <c r="L178" s="44">
        <f>+COUNTIF([1]Monitoring!AN:AN,K178)</f>
        <v>0</v>
      </c>
    </row>
    <row r="179" spans="1:12" x14ac:dyDescent="0.3">
      <c r="A179" s="46" t="s">
        <v>28</v>
      </c>
      <c r="B179" s="46" t="s">
        <v>47</v>
      </c>
      <c r="C179" s="46" t="s">
        <v>48</v>
      </c>
      <c r="D179" s="47" t="str">
        <f>+IFERROR(IF(E179="#N/C","#N/C",INDEX([1]ClassificationClasses!D:D,MATCH(E179,[1]ClassificationClasses!E:E,0))),"ERROR")</f>
        <v>Heterocera</v>
      </c>
      <c r="E179" s="46" t="s">
        <v>831</v>
      </c>
      <c r="F179" s="46" t="s">
        <v>832</v>
      </c>
      <c r="G179" s="46" t="s">
        <v>833</v>
      </c>
      <c r="H179" s="48" t="s">
        <v>834</v>
      </c>
      <c r="I179" s="48" t="s">
        <v>835</v>
      </c>
      <c r="J179" s="67" t="str" cm="1">
        <f t="array" ref="J179">_xlfn.LET(_xlpm.cls,A179, _xlpm.ord,IFERROR(B179,"#N/C"), _xlpm.subord,IFERROR(C179,"#N/C"), _xlpm.infr,IFERROR(D179,"#N/C"), _xlpm.sf,IFERROR(E179,"#N/C"), _xlpm.fam,IFERROR(F179,"#N/C"), _xlpm.subfam,IF(TRIM(G179)="-","#N/C",IFERROR(G179,"#N/C")),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_xlpm.fallback,IF(IFERROR(B179,"#N/C")="#N/C",A179,IF(IFERROR(C179,"#N/C")="#N/C",B179,IF(IFERROR(D179,"#N/C")="#N/C",C179,IF(IFERROR(E179,"#N/C")="#N/C",D179,IF(IFERROR(F179,"#N/C")="#N/C",E179,IF(IFERROR(G179,"#N/C")="#N/C",F179,"#N/C")))))), _xlpm.finalResult,IF(OR(_xlpm.computedResult="",_xlpm.computedResult="#N/C"),_xlpm.fallback,_xlpm.computedResult), INDEX(_xlpm.finalResult,1))</f>
        <v>moth_small</v>
      </c>
      <c r="K179" s="45" t="str">
        <f t="shared" si="2"/>
        <v>Insecta.Lepidoptera.Glossata.Heterocera.Yponomeutoidea.Plutellidae.Plutellinae.Plutella.xylostella</v>
      </c>
      <c r="L179" s="44">
        <f>+COUNTIF([1]Monitoring!AN:AN,K179)</f>
        <v>0</v>
      </c>
    </row>
    <row r="180" spans="1:12" x14ac:dyDescent="0.3">
      <c r="A180" s="46" t="s">
        <v>28</v>
      </c>
      <c r="B180" s="46" t="s">
        <v>47</v>
      </c>
      <c r="C180" s="46" t="s">
        <v>48</v>
      </c>
      <c r="D180" s="47" t="str">
        <f>+IFERROR(IF(E180="#N/C","#N/C",INDEX([1]ClassificationClasses!D:D,MATCH(E180,[1]ClassificationClasses!E:E,0))),"ERROR")</f>
        <v>Rhopalocera</v>
      </c>
      <c r="E180" s="46" t="s">
        <v>207</v>
      </c>
      <c r="F180" s="46" t="s">
        <v>208</v>
      </c>
      <c r="G180" s="46" t="s">
        <v>209</v>
      </c>
      <c r="H180" s="48" t="s">
        <v>26</v>
      </c>
      <c r="I180" s="48" t="s">
        <v>26</v>
      </c>
      <c r="J180" s="67" t="str" cm="1">
        <f t="array" ref="J180">_xlfn.LET(_xlpm.cls,A180, _xlpm.ord,IFERROR(B180,"#N/C"), _xlpm.subord,IFERROR(C180,"#N/C"), _xlpm.infr,IFERROR(D180,"#N/C"), _xlpm.sf,IFERROR(E180,"#N/C"), _xlpm.fam,IFERROR(F180,"#N/C"), _xlpm.subfam,IF(TRIM(G180)="-","#N/C",IFERROR(G180,"#N/C")),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_xlpm.fallback,IF(IFERROR(B180,"#N/C")="#N/C",A180,IF(IFERROR(C180,"#N/C")="#N/C",B180,IF(IFERROR(D180,"#N/C")="#N/C",C180,IF(IFERROR(E180,"#N/C")="#N/C",D180,IF(IFERROR(F180,"#N/C")="#N/C",E180,IF(IFERROR(G180,"#N/C")="#N/C",F180,"#N/C")))))), _xlpm.finalResult,IF(OR(_xlpm.computedResult="",_xlpm.computedResult="#N/C"),_xlpm.fallback,_xlpm.computedResult), INDEX(_xlpm.finalResult,1))</f>
        <v>butterfly</v>
      </c>
      <c r="K180" s="45" t="str">
        <f t="shared" si="2"/>
        <v>Insecta.Lepidoptera.Glossata.Rhopalocera.Zygaenoidea.Zygaenidae.Procridinae.#N/C.#N/C</v>
      </c>
      <c r="L180" s="44">
        <f>+COUNTIF([1]Monitoring!AN:AN,K180)</f>
        <v>0</v>
      </c>
    </row>
    <row r="181" spans="1:12" x14ac:dyDescent="0.3">
      <c r="A181" s="46" t="s">
        <v>28</v>
      </c>
      <c r="B181" s="46" t="s">
        <v>101</v>
      </c>
      <c r="D181" s="47"/>
      <c r="E181" s="46" t="s">
        <v>102</v>
      </c>
      <c r="F181" s="46" t="s">
        <v>103</v>
      </c>
      <c r="H181" s="48" t="s">
        <v>104</v>
      </c>
      <c r="I181" s="48" t="s">
        <v>26</v>
      </c>
      <c r="J181" s="67" t="str" cm="1">
        <f t="array" ref="J181">_xlfn.LET(_xlpm.cls,A181, _xlpm.ord,IFERROR(B181,"#N/C"), _xlpm.subord,IFERROR(C181,"#N/C"), _xlpm.infr,IFERROR(D181,"#N/C"), _xlpm.sf,IFERROR(E181,"#N/C"), _xlpm.fam,IFERROR(F181,"#N/C"), _xlpm.subfam,IF(TRIM(G181)="-","#N/C",IFERROR(G181,"#N/C")),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_xlpm.fallback,IF(IFERROR(B181,"#N/C")="#N/C",A181,IF(IFERROR(C181,"#N/C")="#N/C",B181,IF(IFERROR(D181,"#N/C")="#N/C",C181,IF(IFERROR(E181,"#N/C")="#N/C",D181,IF(IFERROR(F181,"#N/C")="#N/C",E181,IF(IFERROR(G181,"#N/C")="#N/C",F181,"#N/C")))))), _xlpm.finalResult,IF(OR(_xlpm.computedResult="",_xlpm.computedResult="#N/C"),_xlpm.fallback,_xlpm.computedResult), INDEX(_xlpm.finalResult,1))</f>
        <v>scorpion_fly</v>
      </c>
      <c r="K181" s="45" t="str">
        <f t="shared" si="2"/>
        <v>Insecta.Mecoptera...Panorpoidea.Panorpidae..Panorpa.#N/C</v>
      </c>
      <c r="L181" s="44">
        <f>+COUNTIF([1]Monitoring!AN:AN,K181)</f>
        <v>0</v>
      </c>
    </row>
    <row r="182" spans="1:12" x14ac:dyDescent="0.3">
      <c r="A182" s="46" t="s">
        <v>28</v>
      </c>
      <c r="B182" s="46" t="s">
        <v>101</v>
      </c>
      <c r="D182" s="47"/>
      <c r="E182" s="46" t="s">
        <v>102</v>
      </c>
      <c r="F182" s="46" t="s">
        <v>103</v>
      </c>
      <c r="H182" s="48" t="s">
        <v>104</v>
      </c>
      <c r="I182" s="48" t="s">
        <v>344</v>
      </c>
      <c r="J182" s="67" t="str" cm="1">
        <f t="array" ref="J182">_xlfn.LET(_xlpm.cls,A182, _xlpm.ord,IFERROR(B182,"#N/C"), _xlpm.subord,IFERROR(C182,"#N/C"), _xlpm.infr,IFERROR(D182,"#N/C"), _xlpm.sf,IFERROR(E182,"#N/C"), _xlpm.fam,IFERROR(F182,"#N/C"), _xlpm.subfam,IF(TRIM(G182)="-","#N/C",IFERROR(G182,"#N/C")),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_xlpm.fallback,IF(IFERROR(B182,"#N/C")="#N/C",A182,IF(IFERROR(C182,"#N/C")="#N/C",B182,IF(IFERROR(D182,"#N/C")="#N/C",C182,IF(IFERROR(E182,"#N/C")="#N/C",D182,IF(IFERROR(F182,"#N/C")="#N/C",E182,IF(IFERROR(G182,"#N/C")="#N/C",F182,"#N/C")))))), _xlpm.finalResult,IF(OR(_xlpm.computedResult="",_xlpm.computedResult="#N/C"),_xlpm.fallback,_xlpm.computedResult), INDEX(_xlpm.finalResult,1))</f>
        <v>scorpion_fly</v>
      </c>
      <c r="K182" s="45" t="str">
        <f t="shared" si="2"/>
        <v>Insecta.Mecoptera...Panorpoidea.Panorpidae..Panorpa.vulgaris</v>
      </c>
      <c r="L182" s="44">
        <f>+COUNTIF([1]Monitoring!AN:AN,K182)</f>
        <v>0</v>
      </c>
    </row>
    <row r="183" spans="1:12" x14ac:dyDescent="0.3">
      <c r="A183" s="46" t="s">
        <v>28</v>
      </c>
      <c r="B183" s="46" t="s">
        <v>351</v>
      </c>
      <c r="C183" s="46" t="s">
        <v>352</v>
      </c>
      <c r="D183" s="47"/>
      <c r="E183" s="46" t="s">
        <v>353</v>
      </c>
      <c r="F183" s="46" t="s">
        <v>354</v>
      </c>
      <c r="G183" s="46" t="s">
        <v>355</v>
      </c>
      <c r="H183" s="48" t="s">
        <v>356</v>
      </c>
      <c r="I183" s="48" t="s">
        <v>26</v>
      </c>
      <c r="J183" s="67" t="str" cm="1">
        <f t="array" ref="J183">_xlfn.LET(_xlpm.cls,A183, _xlpm.ord,IFERROR(B183,"#N/C"), _xlpm.subord,IFERROR(C183,"#N/C"), _xlpm.infr,IFERROR(D183,"#N/C"), _xlpm.sf,IFERROR(E183,"#N/C"), _xlpm.fam,IFERROR(F183,"#N/C"), _xlpm.subfam,IF(TRIM(G183)="-","#N/C",IFERROR(G183,"#N/C")),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_xlpm.fallback,IF(IFERROR(B183,"#N/C")="#N/C",A183,IF(IFERROR(C183,"#N/C")="#N/C",B183,IF(IFERROR(D183,"#N/C")="#N/C",C183,IF(IFERROR(E183,"#N/C")="#N/C",D183,IF(IFERROR(F183,"#N/C")="#N/C",E183,IF(IFERROR(G183,"#N/C")="#N/C",F183,"#N/C")))))), _xlpm.finalResult,IF(OR(_xlpm.computedResult="",_xlpm.computedResult="#N/C"),_xlpm.fallback,_xlpm.computedResult), INDEX(_xlpm.finalResult,1))</f>
        <v>lacewing</v>
      </c>
      <c r="K183" s="45" t="str">
        <f t="shared" si="2"/>
        <v>Insecta.Neuroptera.Hemerobiiformia..Hemerobioidea.Chrysopidae.Chrysopinae.Chrysoperla.#N/C</v>
      </c>
      <c r="L183" s="44">
        <f>+COUNTIF([1]Monitoring!AN:AN,K183)</f>
        <v>0</v>
      </c>
    </row>
    <row r="184" spans="1:12" x14ac:dyDescent="0.3">
      <c r="A184" s="46" t="s">
        <v>28</v>
      </c>
      <c r="B184" s="46" t="s">
        <v>351</v>
      </c>
      <c r="C184" s="46" t="s">
        <v>352</v>
      </c>
      <c r="D184" s="47"/>
      <c r="E184" s="46" t="s">
        <v>353</v>
      </c>
      <c r="F184" s="46" t="s">
        <v>354</v>
      </c>
      <c r="G184" s="46" t="s">
        <v>355</v>
      </c>
      <c r="H184" s="48" t="s">
        <v>356</v>
      </c>
      <c r="I184" s="48" t="s">
        <v>357</v>
      </c>
      <c r="J184" s="67" t="str" cm="1">
        <f t="array" ref="J184">_xlfn.LET(_xlpm.cls,A184, _xlpm.ord,IFERROR(B184,"#N/C"), _xlpm.subord,IFERROR(C184,"#N/C"), _xlpm.infr,IFERROR(D184,"#N/C"), _xlpm.sf,IFERROR(E184,"#N/C"), _xlpm.fam,IFERROR(F184,"#N/C"), _xlpm.subfam,IF(TRIM(G184)="-","#N/C",IFERROR(G184,"#N/C")),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_xlpm.fallback,IF(IFERROR(B184,"#N/C")="#N/C",A184,IF(IFERROR(C184,"#N/C")="#N/C",B184,IF(IFERROR(D184,"#N/C")="#N/C",C184,IF(IFERROR(E184,"#N/C")="#N/C",D184,IF(IFERROR(F184,"#N/C")="#N/C",E184,IF(IFERROR(G184,"#N/C")="#N/C",F184,"#N/C")))))), _xlpm.finalResult,IF(OR(_xlpm.computedResult="",_xlpm.computedResult="#N/C"),_xlpm.fallback,_xlpm.computedResult), INDEX(_xlpm.finalResult,1))</f>
        <v>lacewing</v>
      </c>
      <c r="K184" s="45" t="str">
        <f t="shared" si="2"/>
        <v>Insecta.Neuroptera.Hemerobiiformia..Hemerobioidea.Chrysopidae.Chrysopinae.Chrysoperla.carnea</v>
      </c>
      <c r="L184" s="44">
        <f>+COUNTIF([1]Monitoring!AN:AN,K184)</f>
        <v>0</v>
      </c>
    </row>
    <row r="185" spans="1:12" x14ac:dyDescent="0.3">
      <c r="A185" s="46" t="s">
        <v>28</v>
      </c>
      <c r="B185" s="46" t="s">
        <v>351</v>
      </c>
      <c r="C185" s="46" t="s">
        <v>352</v>
      </c>
      <c r="D185" s="47"/>
      <c r="E185" s="46" t="s">
        <v>353</v>
      </c>
      <c r="F185" s="46" t="s">
        <v>625</v>
      </c>
      <c r="G185" s="46" t="s">
        <v>626</v>
      </c>
      <c r="H185" s="48" t="s">
        <v>627</v>
      </c>
      <c r="I185" s="48" t="s">
        <v>628</v>
      </c>
      <c r="J185" s="67" t="str" cm="1">
        <f t="array" ref="J185">_xlfn.LET(_xlpm.cls,A185, _xlpm.ord,IFERROR(B185,"#N/C"), _xlpm.subord,IFERROR(C185,"#N/C"), _xlpm.infr,IFERROR(D185,"#N/C"), _xlpm.sf,IFERROR(E185,"#N/C"), _xlpm.fam,IFERROR(F185,"#N/C"), _xlpm.subfam,IF(TRIM(G185)="-","#N/C",IFERROR(G185,"#N/C")),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_xlpm.fallback,IF(IFERROR(B185,"#N/C")="#N/C",A185,IF(IFERROR(C185,"#N/C")="#N/C",B185,IF(IFERROR(D185,"#N/C")="#N/C",C185,IF(IFERROR(E185,"#N/C")="#N/C",D185,IF(IFERROR(F185,"#N/C")="#N/C",E185,IF(IFERROR(G185,"#N/C")="#N/C",F185,"#N/C")))))), _xlpm.finalResult,IF(OR(_xlpm.computedResult="",_xlpm.computedResult="#N/C"),_xlpm.fallback,_xlpm.computedResult), INDEX(_xlpm.finalResult,1))</f>
        <v>lacewing</v>
      </c>
      <c r="K185" s="45" t="str">
        <f t="shared" si="2"/>
        <v>Insecta.Neuroptera.Hemerobiiformia..Hemerobioidea.Hemerobiidae.Microminae.Micromus.angulatus</v>
      </c>
      <c r="L185" s="44">
        <f>+COUNTIF([1]Monitoring!AN:AN,K185)</f>
        <v>0</v>
      </c>
    </row>
    <row r="186" spans="1:12" x14ac:dyDescent="0.3">
      <c r="A186" s="46" t="s">
        <v>28</v>
      </c>
      <c r="B186" s="46" t="s">
        <v>114</v>
      </c>
      <c r="C186" s="46" t="s">
        <v>115</v>
      </c>
      <c r="D186" s="47" t="s">
        <v>836</v>
      </c>
      <c r="E186" s="46" t="s">
        <v>116</v>
      </c>
      <c r="F186" s="46" t="s">
        <v>117</v>
      </c>
      <c r="G186" s="46" t="s">
        <v>26</v>
      </c>
      <c r="H186" s="48" t="s">
        <v>26</v>
      </c>
      <c r="I186" s="48" t="s">
        <v>26</v>
      </c>
      <c r="J186" s="67" t="str" cm="1">
        <f t="array" ref="J186">_xlfn.LET(_xlpm.cls,A186, _xlpm.ord,IFERROR(B186,"#N/C"), _xlpm.subord,IFERROR(C186,"#N/C"), _xlpm.infr,IFERROR(D186,"#N/C"), _xlpm.sf,IFERROR(E186,"#N/C"), _xlpm.fam,IFERROR(F186,"#N/C"), _xlpm.subfam,IF(TRIM(G186)="-","#N/C",IFERROR(G186,"#N/C")),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_xlpm.fallback,IF(IFERROR(B186,"#N/C")="#N/C",A186,IF(IFERROR(C186,"#N/C")="#N/C",B186,IF(IFERROR(D186,"#N/C")="#N/C",C186,IF(IFERROR(E186,"#N/C")="#N/C",D186,IF(IFERROR(F186,"#N/C")="#N/C",E186,IF(IFERROR(G186,"#N/C")="#N/C",F186,"#N/C")))))), _xlpm.finalResult,IF(OR(_xlpm.computedResult="",_xlpm.computedResult="#N/C"),_xlpm.fallback,_xlpm.computedResult), INDEX(_xlpm.finalResult,1))</f>
        <v>grasshopper</v>
      </c>
      <c r="K186" s="45" t="str">
        <f t="shared" si="2"/>
        <v>Insecta.Orthoptera.Caelifera.Acrididea.Acridoidea.Acrididae.#N/C.#N/C.#N/C</v>
      </c>
      <c r="L186" s="44">
        <f>+COUNTIF([1]Monitoring!AN:AN,K186)</f>
        <v>0</v>
      </c>
    </row>
    <row r="187" spans="1:12" x14ac:dyDescent="0.3">
      <c r="A187" s="46" t="s">
        <v>28</v>
      </c>
      <c r="B187" s="46" t="s">
        <v>114</v>
      </c>
      <c r="C187" s="46" t="s">
        <v>115</v>
      </c>
      <c r="D187" s="47" t="s">
        <v>836</v>
      </c>
      <c r="E187" s="46" t="s">
        <v>116</v>
      </c>
      <c r="F187" s="46" t="s">
        <v>117</v>
      </c>
      <c r="G187" s="46" t="s">
        <v>164</v>
      </c>
      <c r="H187" s="48" t="s">
        <v>26</v>
      </c>
      <c r="I187" s="48" t="s">
        <v>26</v>
      </c>
      <c r="J187" s="67" t="str" cm="1">
        <f t="array" ref="J187">_xlfn.LET(_xlpm.cls,A187, _xlpm.ord,IFERROR(B187,"#N/C"), _xlpm.subord,IFERROR(C187,"#N/C"), _xlpm.infr,IFERROR(D187,"#N/C"), _xlpm.sf,IFERROR(E187,"#N/C"), _xlpm.fam,IFERROR(F187,"#N/C"), _xlpm.subfam,IF(TRIM(G187)="-","#N/C",IFERROR(G187,"#N/C")),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_xlpm.fallback,IF(IFERROR(B187,"#N/C")="#N/C",A187,IF(IFERROR(C187,"#N/C")="#N/C",B187,IF(IFERROR(D187,"#N/C")="#N/C",C187,IF(IFERROR(E187,"#N/C")="#N/C",D187,IF(IFERROR(F187,"#N/C")="#N/C",E187,IF(IFERROR(G187,"#N/C")="#N/C",F187,"#N/C")))))), _xlpm.finalResult,IF(OR(_xlpm.computedResult="",_xlpm.computedResult="#N/C"),_xlpm.fallback,_xlpm.computedResult), INDEX(_xlpm.finalResult,1))</f>
        <v>grasshopper</v>
      </c>
      <c r="K187" s="45" t="str">
        <f t="shared" si="2"/>
        <v>Insecta.Orthoptera.Caelifera.Acrididea.Acridoidea.Acrididae.Gomphocerinae.#N/C.#N/C</v>
      </c>
      <c r="L187" s="44">
        <f>+COUNTIF([1]Monitoring!AN:AN,K187)</f>
        <v>0</v>
      </c>
    </row>
    <row r="188" spans="1:12" x14ac:dyDescent="0.3">
      <c r="A188" s="46" t="s">
        <v>28</v>
      </c>
      <c r="B188" s="46" t="s">
        <v>114</v>
      </c>
      <c r="C188" s="46" t="s">
        <v>115</v>
      </c>
      <c r="D188" s="47" t="s">
        <v>836</v>
      </c>
      <c r="E188" s="46" t="s">
        <v>116</v>
      </c>
      <c r="F188" s="46" t="s">
        <v>117</v>
      </c>
      <c r="G188" s="46" t="s">
        <v>164</v>
      </c>
      <c r="H188" s="48" t="s">
        <v>165</v>
      </c>
      <c r="I188" s="48" t="s">
        <v>26</v>
      </c>
      <c r="J188" s="67" t="str" cm="1">
        <f t="array" ref="J188">_xlfn.LET(_xlpm.cls,A188, _xlpm.ord,IFERROR(B188,"#N/C"), _xlpm.subord,IFERROR(C188,"#N/C"), _xlpm.infr,IFERROR(D188,"#N/C"), _xlpm.sf,IFERROR(E188,"#N/C"), _xlpm.fam,IFERROR(F188,"#N/C"), _xlpm.subfam,IF(TRIM(G188)="-","#N/C",IFERROR(G188,"#N/C")),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_xlpm.fallback,IF(IFERROR(B188,"#N/C")="#N/C",A188,IF(IFERROR(C188,"#N/C")="#N/C",B188,IF(IFERROR(D188,"#N/C")="#N/C",C188,IF(IFERROR(E188,"#N/C")="#N/C",D188,IF(IFERROR(F188,"#N/C")="#N/C",E188,IF(IFERROR(G188,"#N/C")="#N/C",F188,"#N/C")))))), _xlpm.finalResult,IF(OR(_xlpm.computedResult="",_xlpm.computedResult="#N/C"),_xlpm.fallback,_xlpm.computedResult), INDEX(_xlpm.finalResult,1))</f>
        <v>grasshopper</v>
      </c>
      <c r="K188" s="45" t="str">
        <f t="shared" si="2"/>
        <v>Insecta.Orthoptera.Caelifera.Acrididea.Acridoidea.Acrididae.Gomphocerinae.Chorthippus.#N/C</v>
      </c>
      <c r="L188" s="44">
        <f>+COUNTIF([1]Monitoring!AN:AN,K188)</f>
        <v>0</v>
      </c>
    </row>
    <row r="189" spans="1:12" x14ac:dyDescent="0.3">
      <c r="A189" s="46" t="s">
        <v>28</v>
      </c>
      <c r="B189" s="46" t="s">
        <v>114</v>
      </c>
      <c r="C189" s="46" t="s">
        <v>115</v>
      </c>
      <c r="D189" s="47" t="s">
        <v>836</v>
      </c>
      <c r="E189" s="46" t="s">
        <v>116</v>
      </c>
      <c r="F189" s="46" t="s">
        <v>117</v>
      </c>
      <c r="G189" s="46" t="s">
        <v>164</v>
      </c>
      <c r="H189" s="48" t="s">
        <v>165</v>
      </c>
      <c r="I189" s="48" t="s">
        <v>483</v>
      </c>
      <c r="J189" s="67" t="str" cm="1">
        <f t="array" ref="J189">_xlfn.LET(_xlpm.cls,A189, _xlpm.ord,IFERROR(B189,"#N/C"), _xlpm.subord,IFERROR(C189,"#N/C"), _xlpm.infr,IFERROR(D189,"#N/C"), _xlpm.sf,IFERROR(E189,"#N/C"), _xlpm.fam,IFERROR(F189,"#N/C"), _xlpm.subfam,IF(TRIM(G189)="-","#N/C",IFERROR(G189,"#N/C")),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_xlpm.fallback,IF(IFERROR(B189,"#N/C")="#N/C",A189,IF(IFERROR(C189,"#N/C")="#N/C",B189,IF(IFERROR(D189,"#N/C")="#N/C",C189,IF(IFERROR(E189,"#N/C")="#N/C",D189,IF(IFERROR(F189,"#N/C")="#N/C",E189,IF(IFERROR(G189,"#N/C")="#N/C",F189,"#N/C")))))), _xlpm.finalResult,IF(OR(_xlpm.computedResult="",_xlpm.computedResult="#N/C"),_xlpm.fallback,_xlpm.computedResult), INDEX(_xlpm.finalResult,1))</f>
        <v>grasshopper</v>
      </c>
      <c r="K189" s="45" t="str">
        <f t="shared" si="2"/>
        <v>Insecta.Orthoptera.Caelifera.Acrididea.Acridoidea.Acrididae.Gomphocerinae.Chorthippus.biguttulus</v>
      </c>
      <c r="L189" s="44">
        <f>+COUNTIF([1]Monitoring!AN:AN,K189)</f>
        <v>0</v>
      </c>
    </row>
    <row r="190" spans="1:12" x14ac:dyDescent="0.3">
      <c r="A190" s="46" t="s">
        <v>28</v>
      </c>
      <c r="B190" s="46" t="s">
        <v>114</v>
      </c>
      <c r="C190" s="46" t="s">
        <v>115</v>
      </c>
      <c r="D190" s="47" t="s">
        <v>836</v>
      </c>
      <c r="E190" s="46" t="s">
        <v>116</v>
      </c>
      <c r="F190" s="46" t="s">
        <v>117</v>
      </c>
      <c r="G190" s="46" t="s">
        <v>164</v>
      </c>
      <c r="H190" s="48" t="s">
        <v>165</v>
      </c>
      <c r="I190" s="48" t="s">
        <v>654</v>
      </c>
      <c r="J190" s="67" t="str" cm="1">
        <f t="array" ref="J190">_xlfn.LET(_xlpm.cls,A190, _xlpm.ord,IFERROR(B190,"#N/C"), _xlpm.subord,IFERROR(C190,"#N/C"), _xlpm.infr,IFERROR(D190,"#N/C"), _xlpm.sf,IFERROR(E190,"#N/C"), _xlpm.fam,IFERROR(F190,"#N/C"), _xlpm.subfam,IF(TRIM(G190)="-","#N/C",IFERROR(G190,"#N/C")),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_xlpm.fallback,IF(IFERROR(B190,"#N/C")="#N/C",A190,IF(IFERROR(C190,"#N/C")="#N/C",B190,IF(IFERROR(D190,"#N/C")="#N/C",C190,IF(IFERROR(E190,"#N/C")="#N/C",D190,IF(IFERROR(F190,"#N/C")="#N/C",E190,IF(IFERROR(G190,"#N/C")="#N/C",F190,"#N/C")))))), _xlpm.finalResult,IF(OR(_xlpm.computedResult="",_xlpm.computedResult="#N/C"),_xlpm.fallback,_xlpm.computedResult), INDEX(_xlpm.finalResult,1))</f>
        <v>grasshopper</v>
      </c>
      <c r="K190" s="45" t="str">
        <f t="shared" si="2"/>
        <v>Insecta.Orthoptera.Caelifera.Acrididea.Acridoidea.Acrididae.Gomphocerinae.Chorthippus.dorsatus</v>
      </c>
      <c r="L190" s="44">
        <f>+COUNTIF([1]Monitoring!AN:AN,K190)</f>
        <v>0</v>
      </c>
    </row>
    <row r="191" spans="1:12" x14ac:dyDescent="0.3">
      <c r="A191" s="46" t="s">
        <v>28</v>
      </c>
      <c r="B191" s="46" t="s">
        <v>114</v>
      </c>
      <c r="C191" s="46" t="s">
        <v>115</v>
      </c>
      <c r="D191" s="47" t="s">
        <v>836</v>
      </c>
      <c r="E191" s="46" t="s">
        <v>116</v>
      </c>
      <c r="F191" s="46" t="s">
        <v>117</v>
      </c>
      <c r="G191" s="46" t="s">
        <v>164</v>
      </c>
      <c r="H191" s="48" t="s">
        <v>262</v>
      </c>
      <c r="I191" s="48" t="s">
        <v>26</v>
      </c>
      <c r="J191" s="67" t="str" cm="1">
        <f t="array" ref="J191">_xlfn.LET(_xlpm.cls,A191, _xlpm.ord,IFERROR(B191,"#N/C"), _xlpm.subord,IFERROR(C191,"#N/C"), _xlpm.infr,IFERROR(D191,"#N/C"), _xlpm.sf,IFERROR(E191,"#N/C"), _xlpm.fam,IFERROR(F191,"#N/C"), _xlpm.subfam,IF(TRIM(G191)="-","#N/C",IFERROR(G191,"#N/C")),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_xlpm.fallback,IF(IFERROR(B191,"#N/C")="#N/C",A191,IF(IFERROR(C191,"#N/C")="#N/C",B191,IF(IFERROR(D191,"#N/C")="#N/C",C191,IF(IFERROR(E191,"#N/C")="#N/C",D191,IF(IFERROR(F191,"#N/C")="#N/C",E191,IF(IFERROR(G191,"#N/C")="#N/C",F191,"#N/C")))))), _xlpm.finalResult,IF(OR(_xlpm.computedResult="",_xlpm.computedResult="#N/C"),_xlpm.fallback,_xlpm.computedResult), INDEX(_xlpm.finalResult,1))</f>
        <v>grasshopper</v>
      </c>
      <c r="K191" s="45" t="str">
        <f t="shared" si="2"/>
        <v>Insecta.Orthoptera.Caelifera.Acrididea.Acridoidea.Acrididae.Gomphocerinae.Pseudochorthippus.#N/C</v>
      </c>
      <c r="L191" s="44">
        <f>+COUNTIF([1]Monitoring!AN:AN,K191)</f>
        <v>0</v>
      </c>
    </row>
    <row r="192" spans="1:12" x14ac:dyDescent="0.3">
      <c r="A192" s="46" t="s">
        <v>28</v>
      </c>
      <c r="B192" s="46" t="s">
        <v>114</v>
      </c>
      <c r="C192" s="46" t="s">
        <v>115</v>
      </c>
      <c r="D192" s="47" t="s">
        <v>836</v>
      </c>
      <c r="E192" s="46" t="s">
        <v>116</v>
      </c>
      <c r="F192" s="46" t="s">
        <v>117</v>
      </c>
      <c r="G192" s="46" t="s">
        <v>164</v>
      </c>
      <c r="H192" s="48" t="s">
        <v>262</v>
      </c>
      <c r="I192" s="48" t="s">
        <v>263</v>
      </c>
      <c r="J192" s="67" t="str" cm="1">
        <f t="array" ref="J192">_xlfn.LET(_xlpm.cls,A192, _xlpm.ord,IFERROR(B192,"#N/C"), _xlpm.subord,IFERROR(C192,"#N/C"), _xlpm.infr,IFERROR(D192,"#N/C"), _xlpm.sf,IFERROR(E192,"#N/C"), _xlpm.fam,IFERROR(F192,"#N/C"), _xlpm.subfam,IF(TRIM(G192)="-","#N/C",IFERROR(G192,"#N/C")),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_xlpm.fallback,IF(IFERROR(B192,"#N/C")="#N/C",A192,IF(IFERROR(C192,"#N/C")="#N/C",B192,IF(IFERROR(D192,"#N/C")="#N/C",C192,IF(IFERROR(E192,"#N/C")="#N/C",D192,IF(IFERROR(F192,"#N/C")="#N/C",E192,IF(IFERROR(G192,"#N/C")="#N/C",F192,"#N/C")))))), _xlpm.finalResult,IF(OR(_xlpm.computedResult="",_xlpm.computedResult="#N/C"),_xlpm.fallback,_xlpm.computedResult), INDEX(_xlpm.finalResult,1))</f>
        <v>grasshopper</v>
      </c>
      <c r="K192" s="45" t="str">
        <f t="shared" si="2"/>
        <v>Insecta.Orthoptera.Caelifera.Acrididea.Acridoidea.Acrididae.Gomphocerinae.Pseudochorthippus.parallelus</v>
      </c>
      <c r="L192" s="44">
        <f>+COUNTIF([1]Monitoring!AN:AN,K192)</f>
        <v>0</v>
      </c>
    </row>
    <row r="193" spans="1:12" x14ac:dyDescent="0.3">
      <c r="A193" s="46" t="s">
        <v>28</v>
      </c>
      <c r="B193" s="46" t="s">
        <v>114</v>
      </c>
      <c r="C193" s="46" t="s">
        <v>278</v>
      </c>
      <c r="D193" s="47" t="s">
        <v>837</v>
      </c>
      <c r="E193" s="46" t="s">
        <v>279</v>
      </c>
      <c r="F193" s="46" t="s">
        <v>280</v>
      </c>
      <c r="G193" s="46" t="s">
        <v>478</v>
      </c>
      <c r="H193" s="48" t="s">
        <v>479</v>
      </c>
      <c r="I193" s="48" t="s">
        <v>26</v>
      </c>
      <c r="J193" s="67" t="str" cm="1">
        <f t="array" ref="J193">_xlfn.LET(_xlpm.cls,A193, _xlpm.ord,IFERROR(B193,"#N/C"), _xlpm.subord,IFERROR(C193,"#N/C"), _xlpm.infr,IFERROR(D193,"#N/C"), _xlpm.sf,IFERROR(E193,"#N/C"), _xlpm.fam,IFERROR(F193,"#N/C"), _xlpm.subfam,IF(TRIM(G193)="-","#N/C",IFERROR(G193,"#N/C")),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_xlpm.fallback,IF(IFERROR(B193,"#N/C")="#N/C",A193,IF(IFERROR(C193,"#N/C")="#N/C",B193,IF(IFERROR(D193,"#N/C")="#N/C",C193,IF(IFERROR(E193,"#N/C")="#N/C",D193,IF(IFERROR(F193,"#N/C")="#N/C",E193,IF(IFERROR(G193,"#N/C")="#N/C",F193,"#N/C")))))), _xlpm.finalResult,IF(OR(_xlpm.computedResult="",_xlpm.computedResult="#N/C"),_xlpm.fallback,_xlpm.computedResult), INDEX(_xlpm.finalResult,1))</f>
        <v>grasshopper</v>
      </c>
      <c r="K193" s="45" t="str">
        <f t="shared" si="2"/>
        <v>Insecta.Orthoptera.Ensifera.Tettigoniidea.Tettigonioidea.Tettigoniidae.Conocephalinae.Conocephalus.#N/C</v>
      </c>
      <c r="L193" s="44">
        <f>+COUNTIF([1]Monitoring!AN:AN,K193)</f>
        <v>0</v>
      </c>
    </row>
    <row r="194" spans="1:12" x14ac:dyDescent="0.3">
      <c r="A194" s="46" t="s">
        <v>28</v>
      </c>
      <c r="B194" s="46" t="s">
        <v>114</v>
      </c>
      <c r="C194" s="46" t="s">
        <v>278</v>
      </c>
      <c r="D194" s="47" t="s">
        <v>837</v>
      </c>
      <c r="E194" s="46" t="s">
        <v>279</v>
      </c>
      <c r="F194" s="46" t="s">
        <v>280</v>
      </c>
      <c r="G194" s="46" t="s">
        <v>478</v>
      </c>
      <c r="H194" s="48" t="s">
        <v>479</v>
      </c>
      <c r="I194" s="48" t="s">
        <v>480</v>
      </c>
      <c r="J194" s="67" t="str" cm="1">
        <f t="array" ref="J194">_xlfn.LET(_xlpm.cls,A194, _xlpm.ord,IFERROR(B194,"#N/C"), _xlpm.subord,IFERROR(C194,"#N/C"), _xlpm.infr,IFERROR(D194,"#N/C"), _xlpm.sf,IFERROR(E194,"#N/C"), _xlpm.fam,IFERROR(F194,"#N/C"), _xlpm.subfam,IF(TRIM(G194)="-","#N/C",IFERROR(G194,"#N/C")),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_xlpm.fallback,IF(IFERROR(B194,"#N/C")="#N/C",A194,IF(IFERROR(C194,"#N/C")="#N/C",B194,IF(IFERROR(D194,"#N/C")="#N/C",C194,IF(IFERROR(E194,"#N/C")="#N/C",D194,IF(IFERROR(F194,"#N/C")="#N/C",E194,IF(IFERROR(G194,"#N/C")="#N/C",F194,"#N/C")))))), _xlpm.finalResult,IF(OR(_xlpm.computedResult="",_xlpm.computedResult="#N/C"),_xlpm.fallback,_xlpm.computedResult), INDEX(_xlpm.finalResult,1))</f>
        <v>grasshopper</v>
      </c>
      <c r="K194" s="45" t="str">
        <f t="shared" si="2"/>
        <v>Insecta.Orthoptera.Ensifera.Tettigoniidea.Tettigonioidea.Tettigoniidae.Conocephalinae.Conocephalus.fuscus</v>
      </c>
      <c r="L194" s="44">
        <f>+COUNTIF([1]Monitoring!AN:AN,K194)</f>
        <v>0</v>
      </c>
    </row>
    <row r="195" spans="1:12" x14ac:dyDescent="0.3">
      <c r="A195" s="46" t="s">
        <v>28</v>
      </c>
      <c r="B195" s="46" t="s">
        <v>114</v>
      </c>
      <c r="C195" s="46" t="s">
        <v>278</v>
      </c>
      <c r="D195" s="47" t="s">
        <v>837</v>
      </c>
      <c r="E195" s="46" t="s">
        <v>279</v>
      </c>
      <c r="F195" s="46" t="s">
        <v>280</v>
      </c>
      <c r="G195" s="46" t="s">
        <v>281</v>
      </c>
      <c r="H195" s="48" t="s">
        <v>282</v>
      </c>
      <c r="I195" s="48" t="s">
        <v>283</v>
      </c>
      <c r="J195" s="67" t="str" cm="1">
        <f t="array" ref="J195">_xlfn.LET(_xlpm.cls,A195, _xlpm.ord,IFERROR(B195,"#N/C"), _xlpm.subord,IFERROR(C195,"#N/C"), _xlpm.infr,IFERROR(D195,"#N/C"), _xlpm.sf,IFERROR(E195,"#N/C"), _xlpm.fam,IFERROR(F195,"#N/C"), _xlpm.subfam,IF(TRIM(G195)="-","#N/C",IFERROR(G195,"#N/C")),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_xlpm.fallback,IF(IFERROR(B195,"#N/C")="#N/C",A195,IF(IFERROR(C195,"#N/C")="#N/C",B195,IF(IFERROR(D195,"#N/C")="#N/C",C195,IF(IFERROR(E195,"#N/C")="#N/C",D195,IF(IFERROR(F195,"#N/C")="#N/C",E195,IF(IFERROR(G195,"#N/C")="#N/C",F195,"#N/C")))))), _xlpm.finalResult,IF(OR(_xlpm.computedResult="",_xlpm.computedResult="#N/C"),_xlpm.fallback,_xlpm.computedResult), INDEX(_xlpm.finalResult,1))</f>
        <v>grasshopper</v>
      </c>
      <c r="K195" s="45" t="str">
        <f t="shared" si="2"/>
        <v>Insecta.Orthoptera.Ensifera.Tettigoniidea.Tettigonioidea.Tettigoniidae.Phaneropterinae.Leptophyes.punctatissima</v>
      </c>
      <c r="L195" s="44">
        <f>+COUNTIF([1]Monitoring!AN:AN,K195)</f>
        <v>0</v>
      </c>
    </row>
    <row r="196" spans="1:12" x14ac:dyDescent="0.3">
      <c r="A196" s="46" t="s">
        <v>28</v>
      </c>
      <c r="B196" s="46" t="s">
        <v>114</v>
      </c>
      <c r="C196" s="46" t="s">
        <v>278</v>
      </c>
      <c r="D196" s="47" t="s">
        <v>837</v>
      </c>
      <c r="E196" s="46" t="s">
        <v>279</v>
      </c>
      <c r="F196" s="46" t="s">
        <v>280</v>
      </c>
      <c r="G196" s="46" t="s">
        <v>838</v>
      </c>
      <c r="H196" s="48" t="s">
        <v>839</v>
      </c>
      <c r="I196" s="48" t="s">
        <v>26</v>
      </c>
      <c r="J196" s="67" t="str" cm="1">
        <f t="array" ref="J196">_xlfn.LET(_xlpm.cls,A196, _xlpm.ord,IFERROR(B196,"#N/C"), _xlpm.subord,IFERROR(C196,"#N/C"), _xlpm.infr,IFERROR(D196,"#N/C"), _xlpm.sf,IFERROR(E196,"#N/C"), _xlpm.fam,IFERROR(F196,"#N/C"), _xlpm.subfam,IF(TRIM(G196)="-","#N/C",IFERROR(G196,"#N/C")),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_xlpm.fallback,IF(IFERROR(B196,"#N/C")="#N/C",A196,IF(IFERROR(C196,"#N/C")="#N/C",B196,IF(IFERROR(D196,"#N/C")="#N/C",C196,IF(IFERROR(E196,"#N/C")="#N/C",D196,IF(IFERROR(F196,"#N/C")="#N/C",E196,IF(IFERROR(G196,"#N/C")="#N/C",F196,"#N/C")))))), _xlpm.finalResult,IF(OR(_xlpm.computedResult="",_xlpm.computedResult="#N/C"),_xlpm.fallback,_xlpm.computedResult), INDEX(_xlpm.finalResult,1))</f>
        <v>grasshopper</v>
      </c>
      <c r="K196" s="45" t="str">
        <f t="shared" ref="K196:K197" si="3">+CONCATENATE(A196,".",B196,".",C196,".",D196,".",E196,".",F196,".",G196,".",H196,".",I196)</f>
        <v>Insecta.Orthoptera.Ensifera.Tettigoniidea.Tettigonioidea.Tettigoniidae.Tettigoniinae.Tettigonia.#N/C</v>
      </c>
      <c r="L196" s="44">
        <f>+COUNTIF([1]Monitoring!AN:AN,K196)</f>
        <v>1</v>
      </c>
    </row>
    <row r="197" spans="1:12" x14ac:dyDescent="0.3">
      <c r="A197" s="46" t="s">
        <v>28</v>
      </c>
      <c r="B197" s="46" t="s">
        <v>840</v>
      </c>
      <c r="C197" s="46" t="s">
        <v>841</v>
      </c>
      <c r="D197" s="47" t="s">
        <v>842</v>
      </c>
      <c r="E197" s="46" t="s">
        <v>843</v>
      </c>
      <c r="F197" s="46" t="s">
        <v>844</v>
      </c>
      <c r="G197" s="46" t="s">
        <v>845</v>
      </c>
      <c r="H197" s="48" t="s">
        <v>26</v>
      </c>
      <c r="I197" s="48" t="s">
        <v>26</v>
      </c>
      <c r="J197" s="67" t="str" cm="1">
        <f t="array" ref="J197">_xlfn.LET(_xlpm.cls,A197, _xlpm.ord,IFERROR(B197,"#N/C"), _xlpm.subord,IFERROR(C197,"#N/C"), _xlpm.infr,IFERROR(D197,"#N/C"), _xlpm.sf,IFERROR(E197,"#N/C"), _xlpm.fam,IFERROR(F197,"#N/C"), _xlpm.subfam,IF(TRIM(G197)="-","#N/C",IFERROR(G197,"#N/C")), _xlpm.subfamMatch,IFERROR(_xlfn._xlws.FILTER(ClassificationClasses[Classification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*(ClassificationClasses[Subfamily]=_xlpm.subfam),""),""), _xlpm.uniqueSubfam,IF(_xlpm.subfamMatch="","",_xlfn.UNIQUE(_xlpm.subfamMatch)), _xlpm.numUniqueSubfam,IF(_xlpm.uniqueSubfam="",0,ROWS(_xlpm.uniqueSubfam)), _xlpm.resultSubfam,IF(_xlpm.numUniqueSubfam=1,INDEX(_xlpm.uniqueSubfam,1),IF(_xlpm.numUniqueSubfam&gt;=1,_xlpm.subfam,"")), _xlpm.famMatch,IFERROR(_xlfn._xlws.FILTER(ClassificationClasses[Classification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Class],(ClassificationClasses[Class]=_xlpm.cls)*(ClassificationClasses[Order]=_xlpm.ord)*(ClassificationClasses[Suborder]=_xlpm.subord)*(ClassificationClasses[Infraorder]=_xlpm.infr)*(ClassificationClasses[Superfamily]=_xlpm.sf)*(ClassificationClasses[Family]=_xlpm.fam),""),""), _xlpm.uniqueFam,IF(_xlpm.famMatch="","",_xlfn.UNIQUE(_xlpm.famMatch)), _xlpm.numUniqueFam,IF(_xlpm.uniqueFam="",0,ROWS(_xlpm.uniqueFam)), _xlpm.resultFam,IF(_xlpm.numUniqueFam=1,INDEX(_xlpm.uniqueFam,1),IF(_xlpm.numUniqueFam&gt;=1,_xlpm.fam,"")), _xlpm.sfMatch,IFERROR(_xlfn._xlws.FILTER(ClassificationClasses[Classification Class],(ClassificationClasses[Class]=_xlpm.cls)*(ClassificationClasses[Order]=_xlpm.ord)*(ClassificationClasses[Suborder]=_xlpm.subord)*(ClassificationClasses[Infraorder]=_xlpm.infr)*(ClassificationClasses[Superfamily]=_xlpm.sf),""),""), _xlpm.uniqueSf,IF(_xlpm.sfMatch="","",_xlfn.UNIQUE(_xlpm.sfMatch)), _xlpm.numUniqueSf,IF(_xlpm.uniqueSf="",0,ROWS(_xlpm.uniqueSf)), _xlpm.resultSf,IF(_xlpm.numUniqueSf=1,INDEX(_xlpm.uniqueSf,1),IF(_xlpm.numUniqueSf&gt;=1,_xlpm.sf,"")), _xlpm.computedResult,IF(AND(_xlpm.fam="#N/C",_xlpm.subfam="#N/C"),_xlpm.sf,IF(_xlpm.resultSubfam&lt;&gt;"",_xlpm.resultSubfam,IF(_xlpm.resultFam&lt;&gt;"",_xlpm.resultFam,IF(_xlpm.resultSf&lt;&gt;"",_xlpm.resultSf,"")))), _xlpm.fallback,IF(IFERROR(B197,"#N/C")="#N/C",A197,IF(IFERROR(C197,"#N/C")="#N/C",B197,IF(IFERROR(D197,"#N/C")="#N/C",C197,IF(IFERROR(E197,"#N/C")="#N/C",D197,IF(IFERROR(F197,"#N/C")="#N/C",E197,IF(IFERROR(G197,"#N/C")="#N/C",F197,"#N/C")))))), _xlpm.finalResult,IF(OR(_xlpm.computedResult="",_xlpm.computedResult="#N/C"),_xlpm.fallback,_xlpm.computedResult), INDEX(_xlpm.finalResult,1))</f>
        <v>caddisfly</v>
      </c>
      <c r="K197" s="45" t="str">
        <f t="shared" si="3"/>
        <v>Insecta.Trichoptera.Integripalpia.Plenitentoria.Limnephiloidea.Limnephilidae.Limnephilinae.#N/C.#N/C</v>
      </c>
      <c r="L197" s="44">
        <f>+COUNTIF([1]Monitoring!AN:AN,K197)</f>
        <v>1</v>
      </c>
    </row>
  </sheetData>
  <autoFilter ref="A1:L196" xr:uid="{00000000-0001-0000-0200-000000000000}"/>
  <conditionalFormatting sqref="A1:K1 A2:I197 A198:J65359">
    <cfRule type="cellIs" dxfId="10" priority="3" operator="equal">
      <formula>"#N/C"</formula>
    </cfRule>
  </conditionalFormatting>
  <conditionalFormatting sqref="D1:D1048576">
    <cfRule type="cellIs" dxfId="9" priority="2" operator="equal">
      <formula>"ERROR"</formula>
    </cfRule>
  </conditionalFormatting>
  <conditionalFormatting sqref="K1:K1048576">
    <cfRule type="duplicateValues" dxfId="8" priority="1"/>
  </conditionalFormatting>
  <conditionalFormatting sqref="K2:K1048576">
    <cfRule type="duplicateValues" dxfId="7" priority="4"/>
  </conditionalFormatting>
  <conditionalFormatting sqref="N1:N1048576">
    <cfRule type="cellIs" dxfId="6" priority="5" operator="equal">
      <formula>"no"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1E13-287A-43DF-9C97-F2AEAC0B3554}">
  <dimension ref="A1:K70"/>
  <sheetViews>
    <sheetView workbookViewId="0">
      <pane ySplit="1" topLeftCell="A44" activePane="bottomLeft" state="frozen"/>
      <selection pane="bottomLeft" activeCell="H21" sqref="H21"/>
    </sheetView>
  </sheetViews>
  <sheetFormatPr baseColWidth="10" defaultColWidth="9.109375" defaultRowHeight="14.4" x14ac:dyDescent="0.3"/>
  <cols>
    <col min="1" max="1" width="8.109375" style="65" customWidth="1"/>
    <col min="2" max="2" width="12.6640625" style="65" bestFit="1" customWidth="1"/>
    <col min="3" max="3" width="16.109375" style="65" bestFit="1" customWidth="1"/>
    <col min="4" max="4" width="17.6640625" style="65" bestFit="1" customWidth="1"/>
    <col min="5" max="5" width="16.109375" style="65" bestFit="1" customWidth="1"/>
    <col min="6" max="6" width="15.44140625" style="65" bestFit="1" customWidth="1"/>
    <col min="7" max="7" width="16.44140625" style="65" bestFit="1" customWidth="1"/>
    <col min="8" max="8" width="18.6640625" style="65" bestFit="1" customWidth="1"/>
    <col min="9" max="9" width="22" style="65" bestFit="1" customWidth="1"/>
    <col min="10" max="10" width="85.6640625" style="57" bestFit="1" customWidth="1"/>
    <col min="11" max="16384" width="9.109375" style="58"/>
  </cols>
  <sheetData>
    <row r="1" spans="1:11" x14ac:dyDescent="0.3">
      <c r="A1" s="55" t="s">
        <v>11</v>
      </c>
      <c r="B1" s="56" t="s">
        <v>12</v>
      </c>
      <c r="C1" s="56" t="s">
        <v>13</v>
      </c>
      <c r="D1" s="56" t="s">
        <v>14</v>
      </c>
      <c r="E1" s="56" t="s">
        <v>15</v>
      </c>
      <c r="F1" s="56" t="s">
        <v>16</v>
      </c>
      <c r="G1" s="56" t="s">
        <v>17</v>
      </c>
      <c r="H1" s="56" t="s">
        <v>846</v>
      </c>
      <c r="I1" s="56" t="s">
        <v>847</v>
      </c>
      <c r="J1" s="57" t="s">
        <v>20</v>
      </c>
    </row>
    <row r="2" spans="1:11" x14ac:dyDescent="0.3">
      <c r="A2" s="59" t="s">
        <v>715</v>
      </c>
      <c r="B2" s="60" t="s">
        <v>716</v>
      </c>
      <c r="C2" s="60" t="s">
        <v>717</v>
      </c>
      <c r="D2" s="61" t="s">
        <v>848</v>
      </c>
      <c r="E2" s="60" t="s">
        <v>718</v>
      </c>
      <c r="F2" s="62"/>
      <c r="G2" s="62"/>
      <c r="H2" s="62"/>
      <c r="I2" s="62" t="s">
        <v>849</v>
      </c>
      <c r="J2" s="57" t="str">
        <f>+_xlfn.CONCAT(A2,".",B2,".",C2,".",D2,".",E2,".",F2,".",G2)</f>
        <v>Arachnida.Araneae.Arneomorphae.Araneomorphae.Araneoidea..</v>
      </c>
      <c r="K2" s="44"/>
    </row>
    <row r="3" spans="1:11" x14ac:dyDescent="0.3">
      <c r="A3" s="59" t="s">
        <v>715</v>
      </c>
      <c r="B3" s="60" t="s">
        <v>716</v>
      </c>
      <c r="C3" s="60" t="s">
        <v>717</v>
      </c>
      <c r="D3" s="61" t="s">
        <v>848</v>
      </c>
      <c r="E3" s="62" t="s">
        <v>722</v>
      </c>
      <c r="F3" s="62"/>
      <c r="G3" s="62"/>
      <c r="H3" s="62"/>
      <c r="I3" s="62" t="s">
        <v>849</v>
      </c>
      <c r="J3" s="57" t="str">
        <f t="shared" ref="J3:J66" si="0">+_xlfn.CONCAT(A3,".",B3,".",C3,".",D3,".",E3,".",F3,".",G3)</f>
        <v>Arachnida.Araneae.Arneomorphae.Araneomorphae.Dictynoidea..</v>
      </c>
    </row>
    <row r="4" spans="1:11" x14ac:dyDescent="0.3">
      <c r="A4" s="63" t="s">
        <v>28</v>
      </c>
      <c r="B4" s="62" t="s">
        <v>67</v>
      </c>
      <c r="C4" s="62" t="s">
        <v>68</v>
      </c>
      <c r="D4" s="62" t="s">
        <v>852</v>
      </c>
      <c r="E4" s="62" t="s">
        <v>134</v>
      </c>
      <c r="F4" s="62" t="s">
        <v>241</v>
      </c>
      <c r="G4" s="62"/>
      <c r="H4" s="62"/>
      <c r="I4" s="62" t="s">
        <v>1416</v>
      </c>
      <c r="J4" s="57" t="str">
        <f t="shared" si="0"/>
        <v>Insecta.Coleoptera.Polyphaga.Cucujiformia.Tenebrionoidea.Anthicidae.</v>
      </c>
    </row>
    <row r="5" spans="1:11" x14ac:dyDescent="0.3">
      <c r="A5" s="63" t="s">
        <v>28</v>
      </c>
      <c r="B5" s="62" t="s">
        <v>67</v>
      </c>
      <c r="C5" s="62"/>
      <c r="D5" s="62"/>
      <c r="E5" s="62"/>
      <c r="F5" s="62"/>
      <c r="G5" s="62"/>
      <c r="H5" s="62"/>
      <c r="I5" s="62" t="s">
        <v>856</v>
      </c>
      <c r="J5" s="57" t="str">
        <f t="shared" si="0"/>
        <v>Insecta.Coleoptera.....</v>
      </c>
    </row>
    <row r="6" spans="1:11" x14ac:dyDescent="0.3">
      <c r="A6" s="64" t="s">
        <v>28</v>
      </c>
      <c r="B6" s="61" t="s">
        <v>67</v>
      </c>
      <c r="C6" s="61" t="s">
        <v>68</v>
      </c>
      <c r="D6" s="62" t="s">
        <v>852</v>
      </c>
      <c r="E6" s="62" t="s">
        <v>69</v>
      </c>
      <c r="F6" s="62"/>
      <c r="G6" s="62"/>
      <c r="H6" s="62"/>
      <c r="I6" s="62" t="s">
        <v>853</v>
      </c>
      <c r="J6" s="57" t="str">
        <f t="shared" si="0"/>
        <v>Insecta.Coleoptera.Polyphaga.Cucujiformia.Coccinelloidea..</v>
      </c>
    </row>
    <row r="7" spans="1:11" x14ac:dyDescent="0.3">
      <c r="A7" s="64" t="s">
        <v>28</v>
      </c>
      <c r="B7" s="61" t="s">
        <v>67</v>
      </c>
      <c r="C7" s="61" t="s">
        <v>68</v>
      </c>
      <c r="D7" s="62" t="s">
        <v>852</v>
      </c>
      <c r="E7" s="65" t="s">
        <v>412</v>
      </c>
      <c r="F7" s="62" t="s">
        <v>413</v>
      </c>
      <c r="G7" s="62"/>
      <c r="H7" s="62"/>
      <c r="I7" s="62" t="s">
        <v>1414</v>
      </c>
      <c r="J7" s="57" t="str">
        <f t="shared" si="0"/>
        <v>Insecta.Coleoptera.Polyphaga.Cucujiformia.Chrysomeloidea.Chrysomelidae.</v>
      </c>
    </row>
    <row r="8" spans="1:11" x14ac:dyDescent="0.3">
      <c r="A8" s="64" t="s">
        <v>28</v>
      </c>
      <c r="B8" s="61" t="s">
        <v>67</v>
      </c>
      <c r="C8" s="61" t="s">
        <v>68</v>
      </c>
      <c r="D8" s="62" t="s">
        <v>852</v>
      </c>
      <c r="E8" s="62" t="s">
        <v>134</v>
      </c>
      <c r="F8" s="62" t="s">
        <v>135</v>
      </c>
      <c r="G8" s="62"/>
      <c r="H8" s="62"/>
      <c r="I8" s="62" t="s">
        <v>855</v>
      </c>
      <c r="J8" s="57" t="str">
        <f t="shared" si="0"/>
        <v>Insecta.Coleoptera.Polyphaga.Cucujiformia.Tenebrionoidea.Oedemeridae.</v>
      </c>
    </row>
    <row r="9" spans="1:11" x14ac:dyDescent="0.3">
      <c r="A9" s="63" t="s">
        <v>28</v>
      </c>
      <c r="B9" s="62" t="s">
        <v>67</v>
      </c>
      <c r="C9" s="62" t="s">
        <v>68</v>
      </c>
      <c r="D9" s="62" t="s">
        <v>852</v>
      </c>
      <c r="E9" s="62" t="s">
        <v>419</v>
      </c>
      <c r="F9" s="62"/>
      <c r="G9" s="62"/>
      <c r="H9" s="62"/>
      <c r="I9" s="62" t="s">
        <v>854</v>
      </c>
      <c r="J9" s="57" t="str">
        <f t="shared" si="0"/>
        <v>Insecta.Coleoptera.Polyphaga.Cucujiformia.Curculionoidea..</v>
      </c>
    </row>
    <row r="10" spans="1:11" x14ac:dyDescent="0.3">
      <c r="A10" s="63" t="s">
        <v>28</v>
      </c>
      <c r="B10" s="62" t="s">
        <v>196</v>
      </c>
      <c r="C10" s="62" t="s">
        <v>197</v>
      </c>
      <c r="D10" s="62"/>
      <c r="E10" s="62" t="s">
        <v>198</v>
      </c>
      <c r="F10" s="62"/>
      <c r="G10" s="62"/>
      <c r="H10" s="62"/>
      <c r="I10" s="62" t="s">
        <v>857</v>
      </c>
      <c r="J10" s="57" t="str">
        <f t="shared" si="0"/>
        <v>Insecta.Dermaptera.Forficulina..Forficuloidea..</v>
      </c>
    </row>
    <row r="11" spans="1:11" x14ac:dyDescent="0.3">
      <c r="A11" s="63" t="s">
        <v>28</v>
      </c>
      <c r="B11" s="62" t="s">
        <v>29</v>
      </c>
      <c r="C11" s="62" t="s">
        <v>176</v>
      </c>
      <c r="D11" s="62" t="s">
        <v>884</v>
      </c>
      <c r="E11" s="62" t="s">
        <v>227</v>
      </c>
      <c r="F11" s="62"/>
      <c r="G11" s="62"/>
      <c r="H11" s="62"/>
      <c r="I11" s="62" t="s">
        <v>885</v>
      </c>
      <c r="J11" s="57" t="str">
        <f t="shared" si="0"/>
        <v>Insecta.Diptera.Nematocera.Tipulomorpha.Tipuloidea..</v>
      </c>
    </row>
    <row r="12" spans="1:11" x14ac:dyDescent="0.3">
      <c r="A12" s="63" t="s">
        <v>28</v>
      </c>
      <c r="B12" s="62" t="s">
        <v>29</v>
      </c>
      <c r="C12" s="62" t="s">
        <v>30</v>
      </c>
      <c r="D12" s="62" t="s">
        <v>858</v>
      </c>
      <c r="E12" s="62" t="s">
        <v>430</v>
      </c>
      <c r="F12" s="62"/>
      <c r="G12" s="62"/>
      <c r="H12" s="62"/>
      <c r="I12" s="62" t="s">
        <v>860</v>
      </c>
      <c r="J12" s="57" t="str">
        <f t="shared" si="0"/>
        <v>Insecta.Diptera.Brachycera.Asilomorpha.Empidoidea..</v>
      </c>
    </row>
    <row r="13" spans="1:11" x14ac:dyDescent="0.3">
      <c r="A13" s="63" t="s">
        <v>28</v>
      </c>
      <c r="B13" s="62" t="s">
        <v>29</v>
      </c>
      <c r="C13" s="62" t="s">
        <v>30</v>
      </c>
      <c r="D13" s="62" t="s">
        <v>861</v>
      </c>
      <c r="E13" s="62" t="s">
        <v>166</v>
      </c>
      <c r="F13" s="62" t="s">
        <v>748</v>
      </c>
      <c r="G13" s="62"/>
      <c r="H13" s="62"/>
      <c r="I13" s="62" t="s">
        <v>864</v>
      </c>
      <c r="J13" s="57" t="str">
        <f t="shared" si="0"/>
        <v>Insecta.Diptera.Brachycera.Muscomorpha.Muscoidea.Scathophagidae.</v>
      </c>
    </row>
    <row r="14" spans="1:11" x14ac:dyDescent="0.3">
      <c r="A14" s="63" t="s">
        <v>28</v>
      </c>
      <c r="B14" s="62" t="s">
        <v>29</v>
      </c>
      <c r="C14" s="62" t="s">
        <v>176</v>
      </c>
      <c r="D14" s="62" t="s">
        <v>874</v>
      </c>
      <c r="E14" s="62" t="s">
        <v>785</v>
      </c>
      <c r="F14" s="62" t="s">
        <v>878</v>
      </c>
      <c r="G14" s="62"/>
      <c r="H14" s="62"/>
      <c r="I14" s="62" t="s">
        <v>879</v>
      </c>
      <c r="J14" s="57" t="str">
        <f t="shared" si="0"/>
        <v>Insecta.Diptera.Nematocera.Bibionomorpha.Bibionoidea.Bibionidae.</v>
      </c>
    </row>
    <row r="15" spans="1:11" x14ac:dyDescent="0.3">
      <c r="A15" s="63" t="s">
        <v>28</v>
      </c>
      <c r="B15" s="62" t="s">
        <v>29</v>
      </c>
      <c r="C15" s="62" t="s">
        <v>30</v>
      </c>
      <c r="D15" s="62" t="s">
        <v>861</v>
      </c>
      <c r="E15" s="62" t="s">
        <v>326</v>
      </c>
      <c r="F15" s="62" t="s">
        <v>751</v>
      </c>
      <c r="G15" s="62"/>
      <c r="H15" s="62"/>
      <c r="I15" s="62" t="s">
        <v>865</v>
      </c>
      <c r="J15" s="57" t="str">
        <f t="shared" si="0"/>
        <v>Insecta.Diptera.Brachycera.Muscomorpha.Oestroidea.Calliphoridae.</v>
      </c>
    </row>
    <row r="16" spans="1:11" x14ac:dyDescent="0.3">
      <c r="A16" s="63" t="s">
        <v>28</v>
      </c>
      <c r="B16" s="62" t="s">
        <v>29</v>
      </c>
      <c r="C16" s="62" t="s">
        <v>30</v>
      </c>
      <c r="D16" s="62" t="s">
        <v>861</v>
      </c>
      <c r="E16" s="62" t="s">
        <v>326</v>
      </c>
      <c r="F16" s="62" t="s">
        <v>754</v>
      </c>
      <c r="G16" s="62"/>
      <c r="H16" s="62"/>
      <c r="I16" s="62" t="s">
        <v>865</v>
      </c>
      <c r="J16" s="57" t="str">
        <f t="shared" si="0"/>
        <v>Insecta.Diptera.Brachycera.Muscomorpha.Oestroidea.Rhinophoridae.</v>
      </c>
    </row>
    <row r="17" spans="1:10" x14ac:dyDescent="0.3">
      <c r="A17" s="63" t="s">
        <v>28</v>
      </c>
      <c r="B17" s="62" t="s">
        <v>29</v>
      </c>
      <c r="C17" s="62" t="s">
        <v>30</v>
      </c>
      <c r="D17" s="62" t="s">
        <v>861</v>
      </c>
      <c r="E17" s="62" t="s">
        <v>326</v>
      </c>
      <c r="F17" s="62" t="s">
        <v>366</v>
      </c>
      <c r="G17" s="62"/>
      <c r="H17" s="62"/>
      <c r="I17" s="62" t="s">
        <v>865</v>
      </c>
      <c r="J17" s="57" t="str">
        <f t="shared" si="0"/>
        <v>Insecta.Diptera.Brachycera.Muscomorpha.Oestroidea.Sarcophagidae.</v>
      </c>
    </row>
    <row r="18" spans="1:10" x14ac:dyDescent="0.3">
      <c r="A18" s="63" t="s">
        <v>28</v>
      </c>
      <c r="B18" s="62" t="s">
        <v>29</v>
      </c>
      <c r="C18" s="62" t="s">
        <v>30</v>
      </c>
      <c r="D18" s="62" t="s">
        <v>861</v>
      </c>
      <c r="E18" s="62" t="s">
        <v>326</v>
      </c>
      <c r="F18" s="62" t="s">
        <v>516</v>
      </c>
      <c r="G18" s="62"/>
      <c r="H18" s="62"/>
      <c r="I18" s="62" t="s">
        <v>865</v>
      </c>
      <c r="J18" s="57" t="str">
        <f t="shared" si="0"/>
        <v>Insecta.Diptera.Brachycera.Muscomorpha.Oestroidea.Tachinidae.</v>
      </c>
    </row>
    <row r="19" spans="1:10" x14ac:dyDescent="0.3">
      <c r="A19" s="63" t="s">
        <v>28</v>
      </c>
      <c r="B19" s="62" t="s">
        <v>29</v>
      </c>
      <c r="C19" s="62" t="s">
        <v>30</v>
      </c>
      <c r="D19" s="62" t="s">
        <v>861</v>
      </c>
      <c r="E19" s="62" t="s">
        <v>736</v>
      </c>
      <c r="F19" s="62"/>
      <c r="G19" s="62"/>
      <c r="H19" s="62"/>
      <c r="I19" s="62" t="s">
        <v>862</v>
      </c>
      <c r="J19" s="57" t="str">
        <f t="shared" si="0"/>
        <v>Insecta.Diptera.Brachycera.Muscomorpha.Carnoidea..</v>
      </c>
    </row>
    <row r="20" spans="1:10" x14ac:dyDescent="0.3">
      <c r="A20" s="63" t="s">
        <v>28</v>
      </c>
      <c r="B20" s="62" t="s">
        <v>29</v>
      </c>
      <c r="C20" s="62" t="s">
        <v>30</v>
      </c>
      <c r="D20" s="62" t="s">
        <v>861</v>
      </c>
      <c r="E20" s="62" t="s">
        <v>166</v>
      </c>
      <c r="F20" s="62" t="s">
        <v>603</v>
      </c>
      <c r="G20" s="62"/>
      <c r="H20" s="62"/>
      <c r="I20" s="62" t="s">
        <v>862</v>
      </c>
      <c r="J20" s="57" t="str">
        <f t="shared" si="0"/>
        <v>Insecta.Diptera.Brachycera.Muscomorpha.Muscoidea.Anthomyiidae.</v>
      </c>
    </row>
    <row r="21" spans="1:10" x14ac:dyDescent="0.3">
      <c r="A21" s="63" t="s">
        <v>28</v>
      </c>
      <c r="B21" s="62" t="s">
        <v>29</v>
      </c>
      <c r="C21" s="62" t="s">
        <v>30</v>
      </c>
      <c r="D21" s="62" t="s">
        <v>861</v>
      </c>
      <c r="E21" s="62" t="s">
        <v>166</v>
      </c>
      <c r="F21" s="62" t="s">
        <v>167</v>
      </c>
      <c r="G21" s="62"/>
      <c r="H21" s="62"/>
      <c r="I21" s="62" t="s">
        <v>862</v>
      </c>
      <c r="J21" s="57" t="str">
        <f t="shared" si="0"/>
        <v>Insecta.Diptera.Brachycera.Muscomorpha.Muscoidea.Fanniidae.</v>
      </c>
    </row>
    <row r="22" spans="1:10" x14ac:dyDescent="0.3">
      <c r="A22" s="63" t="s">
        <v>28</v>
      </c>
      <c r="B22" s="62" t="s">
        <v>29</v>
      </c>
      <c r="C22" s="62" t="s">
        <v>30</v>
      </c>
      <c r="D22" s="62" t="s">
        <v>861</v>
      </c>
      <c r="E22" s="62" t="s">
        <v>166</v>
      </c>
      <c r="F22" s="62" t="s">
        <v>486</v>
      </c>
      <c r="G22" s="62"/>
      <c r="H22" s="62"/>
      <c r="I22" s="62" t="s">
        <v>862</v>
      </c>
      <c r="J22" s="57" t="str">
        <f t="shared" si="0"/>
        <v>Insecta.Diptera.Brachycera.Muscomorpha.Muscoidea.Muscidae.</v>
      </c>
    </row>
    <row r="23" spans="1:10" x14ac:dyDescent="0.3">
      <c r="A23" s="63" t="s">
        <v>28</v>
      </c>
      <c r="B23" s="62" t="s">
        <v>29</v>
      </c>
      <c r="C23" s="62" t="s">
        <v>30</v>
      </c>
      <c r="D23" s="62" t="s">
        <v>861</v>
      </c>
      <c r="E23" s="62" t="s">
        <v>224</v>
      </c>
      <c r="F23" s="62"/>
      <c r="G23" s="62"/>
      <c r="H23" s="62"/>
      <c r="I23" s="62" t="s">
        <v>862</v>
      </c>
      <c r="J23" s="57" t="str">
        <f t="shared" si="0"/>
        <v>Insecta.Diptera.Brachycera.Muscomorpha.Opomyzoidea..</v>
      </c>
    </row>
    <row r="24" spans="1:10" x14ac:dyDescent="0.3">
      <c r="A24" s="63" t="s">
        <v>28</v>
      </c>
      <c r="B24" s="62" t="s">
        <v>29</v>
      </c>
      <c r="C24" s="62" t="s">
        <v>30</v>
      </c>
      <c r="D24" s="62" t="s">
        <v>861</v>
      </c>
      <c r="E24" s="62" t="s">
        <v>762</v>
      </c>
      <c r="F24" s="62"/>
      <c r="G24" s="62"/>
      <c r="H24" s="62"/>
      <c r="I24" s="62" t="s">
        <v>862</v>
      </c>
      <c r="J24" s="57" t="str">
        <f t="shared" si="0"/>
        <v>Insecta.Diptera.Brachycera.Muscomorpha.Phoroidea..</v>
      </c>
    </row>
    <row r="25" spans="1:10" x14ac:dyDescent="0.3">
      <c r="A25" s="63" t="s">
        <v>28</v>
      </c>
      <c r="B25" s="62" t="s">
        <v>29</v>
      </c>
      <c r="C25" s="62" t="s">
        <v>30</v>
      </c>
      <c r="D25" s="62" t="s">
        <v>861</v>
      </c>
      <c r="E25" s="62" t="s">
        <v>769</v>
      </c>
      <c r="F25" s="62"/>
      <c r="G25" s="62"/>
      <c r="H25" s="62"/>
      <c r="I25" s="62" t="s">
        <v>862</v>
      </c>
      <c r="J25" s="57" t="str">
        <f t="shared" si="0"/>
        <v>Insecta.Diptera.Brachycera.Muscomorpha.Sphaeroceroidea..</v>
      </c>
    </row>
    <row r="26" spans="1:10" x14ac:dyDescent="0.3">
      <c r="A26" s="63" t="s">
        <v>28</v>
      </c>
      <c r="B26" s="62" t="s">
        <v>29</v>
      </c>
      <c r="C26" s="62" t="s">
        <v>30</v>
      </c>
      <c r="D26" s="62" t="s">
        <v>861</v>
      </c>
      <c r="E26" s="62" t="s">
        <v>54</v>
      </c>
      <c r="F26" s="62" t="s">
        <v>55</v>
      </c>
      <c r="G26" s="62"/>
      <c r="H26" s="62"/>
      <c r="I26" s="62" t="s">
        <v>863</v>
      </c>
      <c r="J26" s="57" t="str">
        <f t="shared" si="0"/>
        <v>Insecta.Diptera.Brachycera.Muscomorpha.Ephydroidea.Drosophilidae.</v>
      </c>
    </row>
    <row r="27" spans="1:10" x14ac:dyDescent="0.3">
      <c r="A27" s="63" t="s">
        <v>28</v>
      </c>
      <c r="B27" s="62" t="s">
        <v>29</v>
      </c>
      <c r="C27" s="62" t="s">
        <v>30</v>
      </c>
      <c r="D27" s="62" t="s">
        <v>861</v>
      </c>
      <c r="E27" s="62" t="s">
        <v>54</v>
      </c>
      <c r="F27" s="62" t="s">
        <v>743</v>
      </c>
      <c r="G27" s="62"/>
      <c r="H27" s="62"/>
      <c r="I27" s="62" t="s">
        <v>863</v>
      </c>
      <c r="J27" s="57" t="str">
        <f t="shared" si="0"/>
        <v>Insecta.Diptera.Brachycera.Muscomorpha.Ephydroidea.Ephydroidae.</v>
      </c>
    </row>
    <row r="28" spans="1:10" x14ac:dyDescent="0.3">
      <c r="A28" s="63" t="s">
        <v>28</v>
      </c>
      <c r="B28" s="62" t="s">
        <v>29</v>
      </c>
      <c r="C28" s="62" t="s">
        <v>30</v>
      </c>
      <c r="D28" s="62" t="s">
        <v>861</v>
      </c>
      <c r="E28" s="62" t="s">
        <v>321</v>
      </c>
      <c r="F28" s="62"/>
      <c r="G28" s="62"/>
      <c r="H28" s="62"/>
      <c r="I28" s="62" t="s">
        <v>863</v>
      </c>
      <c r="J28" s="57" t="str">
        <f t="shared" si="0"/>
        <v>Insecta.Diptera.Brachycera.Muscomorpha.Lauxanioidea..</v>
      </c>
    </row>
    <row r="29" spans="1:10" x14ac:dyDescent="0.3">
      <c r="A29" s="63" t="s">
        <v>28</v>
      </c>
      <c r="B29" s="62" t="s">
        <v>29</v>
      </c>
      <c r="C29" s="62" t="s">
        <v>30</v>
      </c>
      <c r="D29" s="62" t="s">
        <v>861</v>
      </c>
      <c r="E29" s="66" t="s">
        <v>443</v>
      </c>
      <c r="F29" s="62" t="s">
        <v>444</v>
      </c>
      <c r="G29" s="62"/>
      <c r="H29" s="62"/>
      <c r="I29" s="62" t="s">
        <v>863</v>
      </c>
      <c r="J29" s="57" t="str">
        <f t="shared" si="0"/>
        <v>Insecta.Diptera.Brachycera.Muscomorpha.Tephritoidea.Pallopteridae.</v>
      </c>
    </row>
    <row r="30" spans="1:10" x14ac:dyDescent="0.3">
      <c r="A30" s="63" t="s">
        <v>28</v>
      </c>
      <c r="B30" s="62" t="s">
        <v>29</v>
      </c>
      <c r="C30" s="62" t="s">
        <v>30</v>
      </c>
      <c r="D30" s="62" t="s">
        <v>861</v>
      </c>
      <c r="E30" s="62" t="s">
        <v>443</v>
      </c>
      <c r="F30" s="62" t="s">
        <v>780</v>
      </c>
      <c r="G30" s="62"/>
      <c r="H30" s="62"/>
      <c r="I30" s="62" t="s">
        <v>863</v>
      </c>
      <c r="J30" s="57" t="str">
        <f t="shared" si="0"/>
        <v>Insecta.Diptera.Brachycera.Muscomorpha.Tephritoidea.Tephritidae.</v>
      </c>
    </row>
    <row r="31" spans="1:10" x14ac:dyDescent="0.3">
      <c r="A31" s="63" t="s">
        <v>28</v>
      </c>
      <c r="B31" s="62" t="s">
        <v>29</v>
      </c>
      <c r="C31" s="62" t="s">
        <v>176</v>
      </c>
      <c r="D31" s="62" t="s">
        <v>874</v>
      </c>
      <c r="E31" s="62" t="s">
        <v>875</v>
      </c>
      <c r="F31" s="62" t="s">
        <v>876</v>
      </c>
      <c r="G31" s="62"/>
      <c r="H31" s="62"/>
      <c r="I31" s="62" t="s">
        <v>877</v>
      </c>
      <c r="J31" s="57" t="str">
        <f t="shared" si="0"/>
        <v>Insecta.Diptera.Nematocera.Bibionomorpha.Anisopodoidea. Anisopodidae.</v>
      </c>
    </row>
    <row r="32" spans="1:10" x14ac:dyDescent="0.3">
      <c r="A32" s="63" t="s">
        <v>28</v>
      </c>
      <c r="B32" s="62" t="s">
        <v>29</v>
      </c>
      <c r="C32" s="62" t="s">
        <v>176</v>
      </c>
      <c r="D32" s="62" t="s">
        <v>874</v>
      </c>
      <c r="E32" s="62" t="s">
        <v>177</v>
      </c>
      <c r="F32" s="62" t="s">
        <v>880</v>
      </c>
      <c r="G32" s="62"/>
      <c r="H32" s="62"/>
      <c r="I32" s="62" t="s">
        <v>877</v>
      </c>
      <c r="J32" s="57" t="str">
        <f t="shared" si="0"/>
        <v>Insecta.Diptera.Nematocera.Bibionomorpha.Sciaroidea. Mycetophilidae.</v>
      </c>
    </row>
    <row r="33" spans="1:10" x14ac:dyDescent="0.3">
      <c r="A33" s="63" t="s">
        <v>28</v>
      </c>
      <c r="B33" s="62" t="s">
        <v>29</v>
      </c>
      <c r="C33" s="62" t="s">
        <v>176</v>
      </c>
      <c r="D33" s="62" t="s">
        <v>874</v>
      </c>
      <c r="E33" s="62" t="s">
        <v>177</v>
      </c>
      <c r="F33" s="62" t="s">
        <v>881</v>
      </c>
      <c r="G33" s="62"/>
      <c r="H33" s="62"/>
      <c r="I33" s="62" t="s">
        <v>877</v>
      </c>
      <c r="J33" s="57" t="str">
        <f t="shared" si="0"/>
        <v>Insecta.Diptera.Nematocera.Bibionomorpha.Sciaroidea.Sciaridae.</v>
      </c>
    </row>
    <row r="34" spans="1:10" x14ac:dyDescent="0.3">
      <c r="A34" s="63" t="s">
        <v>28</v>
      </c>
      <c r="B34" s="62" t="s">
        <v>29</v>
      </c>
      <c r="C34" s="62" t="s">
        <v>30</v>
      </c>
      <c r="D34" s="62" t="s">
        <v>861</v>
      </c>
      <c r="E34" s="62" t="s">
        <v>37</v>
      </c>
      <c r="F34" s="62" t="s">
        <v>38</v>
      </c>
      <c r="G34" s="62"/>
      <c r="H34" s="62"/>
      <c r="I34" s="62" t="s">
        <v>868</v>
      </c>
      <c r="J34" s="57" t="str">
        <f t="shared" si="0"/>
        <v>Insecta.Diptera.Brachycera.Muscomorpha.Syrphoidea.Syrphidae.</v>
      </c>
    </row>
    <row r="35" spans="1:10" x14ac:dyDescent="0.3">
      <c r="A35" s="63" t="s">
        <v>28</v>
      </c>
      <c r="B35" s="62" t="s">
        <v>29</v>
      </c>
      <c r="C35" s="62" t="s">
        <v>30</v>
      </c>
      <c r="D35" s="62" t="s">
        <v>861</v>
      </c>
      <c r="E35" s="62" t="s">
        <v>152</v>
      </c>
      <c r="F35" s="62" t="s">
        <v>630</v>
      </c>
      <c r="G35" s="62"/>
      <c r="H35" s="62"/>
      <c r="I35" s="62" t="s">
        <v>866</v>
      </c>
      <c r="J35" s="57" t="str">
        <f t="shared" si="0"/>
        <v>Insecta.Diptera.Brachycera.Muscomorpha.Sciomyzoidea.Sciomyzidae.</v>
      </c>
    </row>
    <row r="36" spans="1:10" x14ac:dyDescent="0.3">
      <c r="A36" s="63" t="s">
        <v>28</v>
      </c>
      <c r="B36" s="62" t="s">
        <v>29</v>
      </c>
      <c r="C36" s="62" t="s">
        <v>176</v>
      </c>
      <c r="D36" s="62" t="s">
        <v>882</v>
      </c>
      <c r="E36" s="62" t="s">
        <v>788</v>
      </c>
      <c r="F36" s="62"/>
      <c r="G36" s="62"/>
      <c r="H36" s="62"/>
      <c r="I36" s="62" t="s">
        <v>883</v>
      </c>
      <c r="J36" s="57" t="str">
        <f t="shared" si="0"/>
        <v>Insecta.Diptera.Nematocera.Culicomorpha.Chironomoidea..</v>
      </c>
    </row>
    <row r="37" spans="1:10" x14ac:dyDescent="0.3">
      <c r="A37" s="63" t="s">
        <v>28</v>
      </c>
      <c r="B37" s="62" t="s">
        <v>29</v>
      </c>
      <c r="C37" s="62" t="s">
        <v>176</v>
      </c>
      <c r="D37" s="62" t="s">
        <v>882</v>
      </c>
      <c r="E37" s="62" t="s">
        <v>302</v>
      </c>
      <c r="F37" s="62"/>
      <c r="G37" s="62"/>
      <c r="H37" s="62"/>
      <c r="I37" s="62" t="s">
        <v>883</v>
      </c>
      <c r="J37" s="57" t="str">
        <f t="shared" si="0"/>
        <v>Insecta.Diptera.Nematocera.Culicomorpha.Culicoidea..</v>
      </c>
    </row>
    <row r="38" spans="1:10" x14ac:dyDescent="0.3">
      <c r="A38" s="63" t="s">
        <v>28</v>
      </c>
      <c r="B38" s="62" t="s">
        <v>29</v>
      </c>
      <c r="C38" s="62" t="s">
        <v>30</v>
      </c>
      <c r="D38" s="62" t="s">
        <v>858</v>
      </c>
      <c r="E38" s="62" t="s">
        <v>140</v>
      </c>
      <c r="F38" s="62"/>
      <c r="G38" s="62"/>
      <c r="H38" s="62"/>
      <c r="I38" s="62" t="s">
        <v>859</v>
      </c>
      <c r="J38" s="57" t="str">
        <f t="shared" si="0"/>
        <v>Insecta.Diptera.Brachycera.Asilomorpha.Asiloidea..</v>
      </c>
    </row>
    <row r="39" spans="1:10" x14ac:dyDescent="0.3">
      <c r="A39" s="63" t="s">
        <v>28</v>
      </c>
      <c r="B39" s="62" t="s">
        <v>29</v>
      </c>
      <c r="C39" s="62" t="s">
        <v>30</v>
      </c>
      <c r="D39" s="62" t="s">
        <v>861</v>
      </c>
      <c r="E39" s="62" t="s">
        <v>152</v>
      </c>
      <c r="F39" s="62" t="s">
        <v>153</v>
      </c>
      <c r="G39" s="62"/>
      <c r="H39" s="62"/>
      <c r="I39" s="62" t="s">
        <v>867</v>
      </c>
      <c r="J39" s="57" t="str">
        <f t="shared" si="0"/>
        <v>Insecta.Diptera.Brachycera.Muscomorpha.Sciomyzoidea.Sepsidae.</v>
      </c>
    </row>
    <row r="40" spans="1:10" x14ac:dyDescent="0.3">
      <c r="A40" s="63" t="s">
        <v>28</v>
      </c>
      <c r="B40" s="62" t="s">
        <v>29</v>
      </c>
      <c r="C40" s="62" t="s">
        <v>30</v>
      </c>
      <c r="D40" s="62" t="s">
        <v>872</v>
      </c>
      <c r="E40" s="62" t="s">
        <v>633</v>
      </c>
      <c r="F40" s="62" t="s">
        <v>634</v>
      </c>
      <c r="G40" s="62"/>
      <c r="H40" s="62"/>
      <c r="I40" s="62" t="s">
        <v>873</v>
      </c>
      <c r="J40" s="57" t="str">
        <f t="shared" si="0"/>
        <v>Insecta.Diptera.Brachycera.Tabanomorpha.Rhagionoidea.Rhagionidae.</v>
      </c>
    </row>
    <row r="41" spans="1:10" x14ac:dyDescent="0.3">
      <c r="A41" s="63" t="s">
        <v>28</v>
      </c>
      <c r="B41" s="62" t="s">
        <v>29</v>
      </c>
      <c r="C41" s="62" t="s">
        <v>30</v>
      </c>
      <c r="D41" s="62" t="s">
        <v>869</v>
      </c>
      <c r="E41" s="62" t="s">
        <v>396</v>
      </c>
      <c r="F41" s="62" t="s">
        <v>870</v>
      </c>
      <c r="G41" s="62"/>
      <c r="H41" s="62"/>
      <c r="I41" s="62" t="s">
        <v>871</v>
      </c>
      <c r="J41" s="57" t="str">
        <f t="shared" si="0"/>
        <v>Insecta.Diptera.Brachycera.Stratiomyomorpha.Stratiomyoidea.Stratiomyidae.</v>
      </c>
    </row>
    <row r="42" spans="1:10" x14ac:dyDescent="0.3">
      <c r="A42" s="63" t="s">
        <v>28</v>
      </c>
      <c r="B42" s="62" t="s">
        <v>265</v>
      </c>
      <c r="C42" s="62" t="s">
        <v>266</v>
      </c>
      <c r="D42" s="62" t="s">
        <v>797</v>
      </c>
      <c r="E42" s="62" t="s">
        <v>798</v>
      </c>
      <c r="F42" s="62"/>
      <c r="G42" s="62"/>
      <c r="H42" s="62"/>
      <c r="I42" s="62" t="s">
        <v>890</v>
      </c>
      <c r="J42" s="57" t="str">
        <f t="shared" si="0"/>
        <v>Insecta.Hemiptera.Heteroptera.Pentatomomorpha.Lygaeoidea..</v>
      </c>
    </row>
    <row r="43" spans="1:10" x14ac:dyDescent="0.3">
      <c r="A43" s="63" t="s">
        <v>28</v>
      </c>
      <c r="B43" s="62" t="s">
        <v>265</v>
      </c>
      <c r="C43" s="62" t="s">
        <v>266</v>
      </c>
      <c r="D43" s="62" t="s">
        <v>797</v>
      </c>
      <c r="E43" s="62" t="s">
        <v>267</v>
      </c>
      <c r="F43" s="62"/>
      <c r="G43" s="62"/>
      <c r="H43" s="62"/>
      <c r="I43" s="62" t="s">
        <v>890</v>
      </c>
      <c r="J43" s="57" t="str">
        <f t="shared" si="0"/>
        <v>Insecta.Hemiptera.Heteroptera.Pentatomomorpha.Miroidea..</v>
      </c>
    </row>
    <row r="44" spans="1:10" x14ac:dyDescent="0.3">
      <c r="A44" s="63" t="s">
        <v>28</v>
      </c>
      <c r="B44" s="62" t="s">
        <v>265</v>
      </c>
      <c r="C44" s="62" t="s">
        <v>332</v>
      </c>
      <c r="D44" s="62" t="s">
        <v>886</v>
      </c>
      <c r="E44" s="62" t="s">
        <v>887</v>
      </c>
      <c r="F44" s="62"/>
      <c r="G44" s="62"/>
      <c r="H44" s="62"/>
      <c r="I44" s="62" t="s">
        <v>888</v>
      </c>
      <c r="J44" s="57" t="str">
        <f t="shared" si="0"/>
        <v>Insecta.Hemiptera.Auchenorrhyncha.Cicadomorpha.Cicadoidea..</v>
      </c>
    </row>
    <row r="45" spans="1:10" x14ac:dyDescent="0.3">
      <c r="A45" s="63" t="s">
        <v>28</v>
      </c>
      <c r="B45" s="62" t="s">
        <v>265</v>
      </c>
      <c r="C45" s="62" t="s">
        <v>332</v>
      </c>
      <c r="D45" s="62" t="s">
        <v>886</v>
      </c>
      <c r="E45" s="62" t="s">
        <v>793</v>
      </c>
      <c r="F45" s="62"/>
      <c r="G45" s="62"/>
      <c r="H45" s="62"/>
      <c r="I45" s="62" t="s">
        <v>889</v>
      </c>
      <c r="J45" s="57" t="str">
        <f t="shared" si="0"/>
        <v>Insecta.Hemiptera.Auchenorrhyncha.Cicadomorpha.Membracoidea..</v>
      </c>
    </row>
    <row r="46" spans="1:10" x14ac:dyDescent="0.3">
      <c r="A46" s="63" t="s">
        <v>28</v>
      </c>
      <c r="B46" s="62" t="s">
        <v>32</v>
      </c>
      <c r="C46" s="62" t="s">
        <v>33</v>
      </c>
      <c r="D46" s="62" t="s">
        <v>891</v>
      </c>
      <c r="E46" s="62" t="s">
        <v>895</v>
      </c>
      <c r="F46" s="62" t="s">
        <v>111</v>
      </c>
      <c r="G46" s="62"/>
      <c r="H46" s="62"/>
      <c r="I46" s="62" t="s">
        <v>896</v>
      </c>
      <c r="J46" s="57" t="str">
        <f t="shared" si="0"/>
        <v>Insecta.Hymenoptera.Apocrita.Aculeata.Formicoidea.Formicidae.</v>
      </c>
    </row>
    <row r="47" spans="1:10" x14ac:dyDescent="0.3">
      <c r="A47" s="63" t="s">
        <v>28</v>
      </c>
      <c r="B47" s="62" t="s">
        <v>32</v>
      </c>
      <c r="C47" s="62" t="s">
        <v>33</v>
      </c>
      <c r="D47" s="62" t="s">
        <v>891</v>
      </c>
      <c r="E47" s="62" t="s">
        <v>122</v>
      </c>
      <c r="F47" s="62" t="s">
        <v>123</v>
      </c>
      <c r="G47" s="62"/>
      <c r="H47" s="62"/>
      <c r="I47" s="62" t="s">
        <v>892</v>
      </c>
      <c r="J47" s="57" t="str">
        <f t="shared" si="0"/>
        <v>Insecta.Hymenoptera.Apocrita.Aculeata.Apoidea.Apidae.</v>
      </c>
    </row>
    <row r="48" spans="1:10" x14ac:dyDescent="0.3">
      <c r="A48" s="63" t="s">
        <v>28</v>
      </c>
      <c r="B48" s="62" t="s">
        <v>32</v>
      </c>
      <c r="C48" s="62" t="s">
        <v>33</v>
      </c>
      <c r="D48" s="62" t="s">
        <v>891</v>
      </c>
      <c r="E48" s="62" t="s">
        <v>122</v>
      </c>
      <c r="F48" s="62" t="s">
        <v>893</v>
      </c>
      <c r="G48" s="62"/>
      <c r="H48" s="62"/>
      <c r="I48" s="62" t="s">
        <v>894</v>
      </c>
      <c r="J48" s="57" t="str">
        <f t="shared" si="0"/>
        <v>Insecta.Hymenoptera.Apocrita.Aculeata.Apoidea.Sphecidae.</v>
      </c>
    </row>
    <row r="49" spans="1:10" x14ac:dyDescent="0.3">
      <c r="A49" s="63" t="s">
        <v>28</v>
      </c>
      <c r="B49" s="62" t="s">
        <v>32</v>
      </c>
      <c r="C49" s="62" t="s">
        <v>33</v>
      </c>
      <c r="D49" s="62" t="s">
        <v>900</v>
      </c>
      <c r="E49" s="62" t="s">
        <v>62</v>
      </c>
      <c r="F49" s="62" t="s">
        <v>63</v>
      </c>
      <c r="G49" s="62"/>
      <c r="H49" s="62"/>
      <c r="I49" s="62" t="s">
        <v>902</v>
      </c>
      <c r="J49" s="57" t="str">
        <f t="shared" si="0"/>
        <v>Insecta.Hymenoptera.Apocrita.Parasitica.Ichneumonoidea.Ichneumonidae.</v>
      </c>
    </row>
    <row r="50" spans="1:10" x14ac:dyDescent="0.3">
      <c r="A50" s="63" t="s">
        <v>28</v>
      </c>
      <c r="B50" s="62" t="s">
        <v>32</v>
      </c>
      <c r="C50" s="62" t="s">
        <v>33</v>
      </c>
      <c r="D50" s="62" t="s">
        <v>900</v>
      </c>
      <c r="E50" s="62" t="s">
        <v>807</v>
      </c>
      <c r="F50" s="62" t="s">
        <v>808</v>
      </c>
      <c r="G50" s="62"/>
      <c r="H50" s="62"/>
      <c r="I50" s="62" t="s">
        <v>901</v>
      </c>
      <c r="J50" s="57" t="str">
        <f t="shared" si="0"/>
        <v>Insecta.Hymenoptera.Apocrita.Parasitica.Chalcidoidea.Eulophidae.</v>
      </c>
    </row>
    <row r="51" spans="1:10" x14ac:dyDescent="0.3">
      <c r="A51" s="63" t="s">
        <v>28</v>
      </c>
      <c r="B51" s="62" t="s">
        <v>32</v>
      </c>
      <c r="C51" s="62" t="s">
        <v>33</v>
      </c>
      <c r="D51" s="62" t="s">
        <v>900</v>
      </c>
      <c r="E51" s="62" t="s">
        <v>62</v>
      </c>
      <c r="F51" s="62" t="s">
        <v>63</v>
      </c>
      <c r="G51" s="62" t="s">
        <v>316</v>
      </c>
      <c r="H51" s="62"/>
      <c r="I51" s="62" t="s">
        <v>901</v>
      </c>
      <c r="J51" s="57" t="str">
        <f t="shared" si="0"/>
        <v>Insecta.Hymenoptera.Apocrita.Parasitica.Ichneumonoidea.Ichneumonidae.Phygadeuontinae</v>
      </c>
    </row>
    <row r="52" spans="1:10" x14ac:dyDescent="0.3">
      <c r="A52" s="63" t="s">
        <v>28</v>
      </c>
      <c r="B52" s="62" t="s">
        <v>32</v>
      </c>
      <c r="C52" s="62" t="s">
        <v>818</v>
      </c>
      <c r="D52" s="62"/>
      <c r="E52" s="62" t="s">
        <v>819</v>
      </c>
      <c r="F52" s="62" t="s">
        <v>820</v>
      </c>
      <c r="G52" s="62"/>
      <c r="H52" s="62"/>
      <c r="I52" s="62" t="s">
        <v>903</v>
      </c>
      <c r="J52" s="57" t="str">
        <f t="shared" si="0"/>
        <v>Insecta.Hymenoptera.Symphyta..Tenthredinoidea.Tenthredinidae.</v>
      </c>
    </row>
    <row r="53" spans="1:10" x14ac:dyDescent="0.3">
      <c r="A53" s="63" t="s">
        <v>28</v>
      </c>
      <c r="B53" s="62" t="s">
        <v>32</v>
      </c>
      <c r="C53" s="62" t="s">
        <v>33</v>
      </c>
      <c r="D53" s="62" t="s">
        <v>891</v>
      </c>
      <c r="E53" s="62" t="s">
        <v>897</v>
      </c>
      <c r="F53" s="62" t="s">
        <v>452</v>
      </c>
      <c r="G53" s="62"/>
      <c r="H53" s="62"/>
      <c r="I53" s="62" t="s">
        <v>898</v>
      </c>
      <c r="J53" s="57" t="str">
        <f t="shared" si="0"/>
        <v>Insecta.Hymenoptera.Apocrita.Aculeata.Pompiloidea.Pompilidae.</v>
      </c>
    </row>
    <row r="54" spans="1:10" x14ac:dyDescent="0.3">
      <c r="A54" s="63" t="s">
        <v>28</v>
      </c>
      <c r="B54" s="62" t="s">
        <v>32</v>
      </c>
      <c r="C54" s="62" t="s">
        <v>33</v>
      </c>
      <c r="D54" s="62" t="s">
        <v>891</v>
      </c>
      <c r="E54" s="62" t="s">
        <v>110</v>
      </c>
      <c r="F54" s="62" t="s">
        <v>533</v>
      </c>
      <c r="G54" s="62"/>
      <c r="H54" s="62"/>
      <c r="I54" s="62" t="s">
        <v>899</v>
      </c>
      <c r="J54" s="57" t="str">
        <f t="shared" si="0"/>
        <v>Insecta.Hymenoptera.Apocrita.Aculeata.Vespoidea.Vespidae.</v>
      </c>
    </row>
    <row r="55" spans="1:10" x14ac:dyDescent="0.3">
      <c r="A55" s="63" t="s">
        <v>28</v>
      </c>
      <c r="B55" s="62" t="s">
        <v>47</v>
      </c>
      <c r="C55" s="62" t="s">
        <v>48</v>
      </c>
      <c r="D55" s="62" t="s">
        <v>908</v>
      </c>
      <c r="E55" s="62" t="s">
        <v>49</v>
      </c>
      <c r="F55" s="62"/>
      <c r="G55" s="62"/>
      <c r="H55" s="62"/>
      <c r="I55" s="62" t="s">
        <v>909</v>
      </c>
      <c r="J55" s="57" t="str">
        <f t="shared" si="0"/>
        <v>Insecta.Lepidoptera.Glossata.Rhopalocera.Papilionoidea..</v>
      </c>
    </row>
    <row r="56" spans="1:10" x14ac:dyDescent="0.3">
      <c r="A56" s="63" t="s">
        <v>28</v>
      </c>
      <c r="B56" s="62" t="s">
        <v>47</v>
      </c>
      <c r="C56" s="62" t="s">
        <v>48</v>
      </c>
      <c r="D56" s="62" t="s">
        <v>908</v>
      </c>
      <c r="E56" s="62" t="s">
        <v>207</v>
      </c>
      <c r="F56" s="62"/>
      <c r="G56" s="62"/>
      <c r="H56" s="62"/>
      <c r="I56" s="62" t="s">
        <v>909</v>
      </c>
      <c r="J56" s="57" t="str">
        <f t="shared" si="0"/>
        <v>Insecta.Lepidoptera.Glossata.Rhopalocera.Zygaenoidea..</v>
      </c>
    </row>
    <row r="57" spans="1:10" x14ac:dyDescent="0.3">
      <c r="A57" s="63" t="s">
        <v>28</v>
      </c>
      <c r="B57" s="62" t="s">
        <v>47</v>
      </c>
      <c r="C57" s="62" t="s">
        <v>48</v>
      </c>
      <c r="D57" s="62" t="s">
        <v>904</v>
      </c>
      <c r="E57" s="62" t="s">
        <v>248</v>
      </c>
      <c r="F57" s="62"/>
      <c r="G57" s="62"/>
      <c r="H57" s="62"/>
      <c r="I57" s="62" t="s">
        <v>905</v>
      </c>
      <c r="J57" s="57" t="str">
        <f t="shared" si="0"/>
        <v>Insecta.Lepidoptera.Glossata.Heterocera.Gelechioidea..</v>
      </c>
    </row>
    <row r="58" spans="1:10" x14ac:dyDescent="0.3">
      <c r="A58" s="63" t="s">
        <v>28</v>
      </c>
      <c r="B58" s="62" t="s">
        <v>47</v>
      </c>
      <c r="C58" s="62" t="s">
        <v>48</v>
      </c>
      <c r="D58" s="62" t="s">
        <v>904</v>
      </c>
      <c r="E58" s="62" t="s">
        <v>509</v>
      </c>
      <c r="F58" s="62"/>
      <c r="G58" s="62"/>
      <c r="H58" s="62"/>
      <c r="I58" s="62" t="s">
        <v>905</v>
      </c>
      <c r="J58" s="57" t="str">
        <f t="shared" si="0"/>
        <v>Insecta.Lepidoptera.Glossata.Heterocera.Geometroidea..</v>
      </c>
    </row>
    <row r="59" spans="1:10" x14ac:dyDescent="0.3">
      <c r="A59" s="63" t="s">
        <v>28</v>
      </c>
      <c r="B59" s="62" t="s">
        <v>47</v>
      </c>
      <c r="C59" s="62" t="s">
        <v>48</v>
      </c>
      <c r="D59" s="62" t="s">
        <v>904</v>
      </c>
      <c r="E59" s="62" t="s">
        <v>689</v>
      </c>
      <c r="F59" s="62"/>
      <c r="G59" s="62"/>
      <c r="H59" s="62"/>
      <c r="I59" s="62" t="s">
        <v>905</v>
      </c>
      <c r="J59" s="57" t="str">
        <f t="shared" si="0"/>
        <v>Insecta.Lepidoptera.Glossata.Heterocera.Noctuoidea..</v>
      </c>
    </row>
    <row r="60" spans="1:10" x14ac:dyDescent="0.3">
      <c r="A60" s="63" t="s">
        <v>28</v>
      </c>
      <c r="B60" s="62" t="s">
        <v>47</v>
      </c>
      <c r="C60" s="62" t="s">
        <v>48</v>
      </c>
      <c r="D60" s="62" t="s">
        <v>904</v>
      </c>
      <c r="E60" s="62" t="s">
        <v>234</v>
      </c>
      <c r="F60" s="62"/>
      <c r="G60" s="62"/>
      <c r="H60" s="62"/>
      <c r="I60" s="62" t="s">
        <v>905</v>
      </c>
      <c r="J60" s="57" t="str">
        <f t="shared" si="0"/>
        <v>Insecta.Lepidoptera.Glossata.Heterocera.Pyraloidea..</v>
      </c>
    </row>
    <row r="61" spans="1:10" x14ac:dyDescent="0.3">
      <c r="A61" s="63" t="s">
        <v>28</v>
      </c>
      <c r="B61" s="62" t="s">
        <v>47</v>
      </c>
      <c r="C61" s="62" t="s">
        <v>48</v>
      </c>
      <c r="D61" s="62" t="s">
        <v>904</v>
      </c>
      <c r="E61" s="62" t="s">
        <v>827</v>
      </c>
      <c r="F61" s="62"/>
      <c r="G61" s="62"/>
      <c r="H61" s="62" t="s">
        <v>906</v>
      </c>
      <c r="I61" s="62" t="s">
        <v>907</v>
      </c>
      <c r="J61" s="57" t="str">
        <f t="shared" si="0"/>
        <v>Insecta.Lepidoptera.Glossata.Heterocera.Tineoidea..</v>
      </c>
    </row>
    <row r="62" spans="1:10" x14ac:dyDescent="0.3">
      <c r="A62" s="63" t="s">
        <v>28</v>
      </c>
      <c r="B62" s="62" t="s">
        <v>47</v>
      </c>
      <c r="C62" s="62" t="s">
        <v>48</v>
      </c>
      <c r="D62" s="62" t="s">
        <v>904</v>
      </c>
      <c r="E62" s="62" t="s">
        <v>831</v>
      </c>
      <c r="F62" s="62"/>
      <c r="G62" s="62"/>
      <c r="H62" s="62" t="s">
        <v>906</v>
      </c>
      <c r="I62" s="62" t="s">
        <v>907</v>
      </c>
      <c r="J62" s="57" t="str">
        <f t="shared" si="0"/>
        <v>Insecta.Lepidoptera.Glossata.Heterocera.Yponomeutoidea..</v>
      </c>
    </row>
    <row r="63" spans="1:10" x14ac:dyDescent="0.3">
      <c r="A63" s="63" t="s">
        <v>28</v>
      </c>
      <c r="B63" s="62" t="s">
        <v>101</v>
      </c>
      <c r="C63" s="62"/>
      <c r="D63" s="62"/>
      <c r="E63" s="62" t="s">
        <v>102</v>
      </c>
      <c r="F63" s="62" t="s">
        <v>103</v>
      </c>
      <c r="G63" s="62"/>
      <c r="H63" s="62"/>
      <c r="I63" s="62" t="s">
        <v>910</v>
      </c>
      <c r="J63" s="57" t="str">
        <f t="shared" si="0"/>
        <v>Insecta.Mecoptera...Panorpoidea.Panorpidae.</v>
      </c>
    </row>
    <row r="64" spans="1:10" x14ac:dyDescent="0.3">
      <c r="A64" s="63" t="s">
        <v>28</v>
      </c>
      <c r="B64" s="62" t="s">
        <v>351</v>
      </c>
      <c r="C64" s="62" t="s">
        <v>352</v>
      </c>
      <c r="D64" s="62"/>
      <c r="E64" s="62" t="s">
        <v>353</v>
      </c>
      <c r="F64" s="62"/>
      <c r="G64" s="62"/>
      <c r="H64" s="62"/>
      <c r="I64" s="62" t="s">
        <v>1415</v>
      </c>
      <c r="J64" s="57" t="str">
        <f t="shared" si="0"/>
        <v>Insecta.Neuroptera.Hemerobiiformia..Hemerobioidea..</v>
      </c>
    </row>
    <row r="65" spans="1:10" x14ac:dyDescent="0.3">
      <c r="A65" s="63" t="s">
        <v>28</v>
      </c>
      <c r="B65" s="62" t="s">
        <v>351</v>
      </c>
      <c r="C65" s="62" t="s">
        <v>352</v>
      </c>
      <c r="D65" s="62"/>
      <c r="E65" s="62" t="s">
        <v>911</v>
      </c>
      <c r="F65" s="62"/>
      <c r="G65" s="62"/>
      <c r="H65" s="62"/>
      <c r="I65" s="62" t="s">
        <v>1415</v>
      </c>
      <c r="J65" s="57" t="str">
        <f t="shared" si="0"/>
        <v>Insecta.Neuroptera.Hemerobiiformia..Chrysopoidea..</v>
      </c>
    </row>
    <row r="66" spans="1:10" x14ac:dyDescent="0.3">
      <c r="A66" s="63" t="s">
        <v>28</v>
      </c>
      <c r="B66" s="62" t="s">
        <v>114</v>
      </c>
      <c r="C66" s="62" t="s">
        <v>115</v>
      </c>
      <c r="D66" s="62" t="s">
        <v>836</v>
      </c>
      <c r="E66" s="62" t="s">
        <v>116</v>
      </c>
      <c r="F66" s="62"/>
      <c r="G66" s="62"/>
      <c r="H66" s="62"/>
      <c r="I66" s="62" t="s">
        <v>912</v>
      </c>
      <c r="J66" s="57" t="str">
        <f t="shared" si="0"/>
        <v>Insecta.Orthoptera.Caelifera.Acrididea.Acridoidea..</v>
      </c>
    </row>
    <row r="67" spans="1:10" x14ac:dyDescent="0.3">
      <c r="A67" s="63" t="s">
        <v>28</v>
      </c>
      <c r="B67" s="62" t="s">
        <v>114</v>
      </c>
      <c r="C67" s="62" t="s">
        <v>278</v>
      </c>
      <c r="D67" s="62" t="s">
        <v>837</v>
      </c>
      <c r="E67" s="62" t="s">
        <v>279</v>
      </c>
      <c r="F67" s="62"/>
      <c r="G67" s="62"/>
      <c r="H67" s="62"/>
      <c r="I67" s="62" t="s">
        <v>912</v>
      </c>
      <c r="J67" s="57" t="str">
        <f t="shared" ref="J67:J70" si="1">+_xlfn.CONCAT(A67,".",B67,".",C67,".",D67,".",E67,".",F67,".",G67)</f>
        <v>Insecta.Orthoptera.Ensifera.Tettigoniidea.Tettigonioidea..</v>
      </c>
    </row>
    <row r="68" spans="1:10" x14ac:dyDescent="0.3">
      <c r="A68" s="63" t="s">
        <v>28</v>
      </c>
      <c r="B68" s="62" t="s">
        <v>840</v>
      </c>
      <c r="C68" s="62" t="s">
        <v>841</v>
      </c>
      <c r="D68" s="62" t="s">
        <v>842</v>
      </c>
      <c r="E68" s="62" t="s">
        <v>843</v>
      </c>
      <c r="F68" s="62"/>
      <c r="G68" s="62"/>
      <c r="H68" s="62"/>
      <c r="I68" s="62" t="s">
        <v>913</v>
      </c>
      <c r="J68" s="57" t="str">
        <f t="shared" si="1"/>
        <v>Insecta.Trichoptera.Integripalpia.Plenitentoria.Limnephiloidea..</v>
      </c>
    </row>
    <row r="69" spans="1:10" x14ac:dyDescent="0.3">
      <c r="A69" s="63" t="s">
        <v>28</v>
      </c>
      <c r="B69" s="62"/>
      <c r="C69" s="62"/>
      <c r="D69" s="62"/>
      <c r="E69" s="62"/>
      <c r="F69" s="62"/>
      <c r="G69" s="62"/>
      <c r="H69" s="62" t="s">
        <v>850</v>
      </c>
      <c r="I69" s="62" t="s">
        <v>851</v>
      </c>
      <c r="J69" s="57" t="str">
        <f t="shared" si="1"/>
        <v>Insecta......</v>
      </c>
    </row>
    <row r="70" spans="1:10" x14ac:dyDescent="0.3">
      <c r="A70" s="63" t="s">
        <v>28</v>
      </c>
      <c r="B70" s="62"/>
      <c r="C70" s="62"/>
      <c r="D70" s="62"/>
      <c r="E70" s="62"/>
      <c r="F70" s="62"/>
      <c r="G70" s="62"/>
      <c r="H70" s="62" t="s">
        <v>850</v>
      </c>
      <c r="I70" s="62" t="s">
        <v>851</v>
      </c>
      <c r="J70" s="57" t="str">
        <f t="shared" si="1"/>
        <v>Insecta......</v>
      </c>
    </row>
  </sheetData>
  <conditionalFormatting sqref="A68:C70">
    <cfRule type="cellIs" dxfId="5" priority="1" operator="equal">
      <formula>"#N/C"</formula>
    </cfRule>
  </conditionalFormatting>
  <conditionalFormatting sqref="A66:E66 A67:D67">
    <cfRule type="cellIs" dxfId="4" priority="3" operator="equal">
      <formula>"#N/C"</formula>
    </cfRule>
  </conditionalFormatting>
  <conditionalFormatting sqref="A1:G2 F3:G4 A3:E6 F5:F7 G5:G40 A7:D7 A8:F40 A41:G59 A60:E65 F60:F68 G60:G70 E67 D68:E68 D69:F70 A71:G1048576">
    <cfRule type="cellIs" dxfId="3" priority="4" operator="equal">
      <formula>"#N/C"</formula>
    </cfRule>
  </conditionalFormatting>
  <conditionalFormatting sqref="D66:D67">
    <cfRule type="cellIs" dxfId="2" priority="2" operator="equal">
      <formula>"ERROR"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2"/>
  <sheetViews>
    <sheetView topLeftCell="A474" workbookViewId="0">
      <selection activeCell="K493" sqref="K493"/>
    </sheetView>
  </sheetViews>
  <sheetFormatPr baseColWidth="10" defaultColWidth="11.44140625" defaultRowHeight="14.4" x14ac:dyDescent="0.3"/>
  <cols>
    <col min="1" max="1" width="10.109375" style="1" bestFit="1" customWidth="1"/>
    <col min="2" max="4" width="10.109375" style="1" customWidth="1"/>
    <col min="5" max="6" width="23.88671875" style="3" customWidth="1"/>
    <col min="7" max="16384" width="11.44140625" style="3"/>
  </cols>
  <sheetData>
    <row r="1" spans="1:10" x14ac:dyDescent="0.3">
      <c r="A1" s="33" t="s">
        <v>1</v>
      </c>
      <c r="B1" s="33" t="s">
        <v>914</v>
      </c>
      <c r="C1" s="33" t="s">
        <v>915</v>
      </c>
      <c r="D1" s="68" t="s">
        <v>916</v>
      </c>
      <c r="E1" s="19" t="s">
        <v>917</v>
      </c>
      <c r="F1" s="19" t="s">
        <v>918</v>
      </c>
      <c r="G1" s="36" t="s">
        <v>6</v>
      </c>
      <c r="H1" s="36" t="s">
        <v>919</v>
      </c>
      <c r="I1" s="19" t="s">
        <v>920</v>
      </c>
      <c r="J1" s="19" t="s">
        <v>921</v>
      </c>
    </row>
    <row r="2" spans="1:10" x14ac:dyDescent="0.3">
      <c r="A2" s="1">
        <f>VALUE(MID(F2,1,10))</f>
        <v>44389</v>
      </c>
      <c r="B2" s="34">
        <f>IF(ISBLANK(F2),"",TIME(LEFT(RIGHT(F2,8),2),LEFT(RIGHT(F2,5),2),RIGHT(F2,2)))</f>
        <v>0.5846527777777778</v>
      </c>
      <c r="C2" s="34">
        <f t="shared" ref="C2" si="0">+A2+B2</f>
        <v>44389.584652777776</v>
      </c>
      <c r="D2" s="69" t="str">
        <f>+_xlfn.CONCAT(YEAR(A2),"-",TEXT(MONTH(A2),"00"),"-",TEXT(DAY(A2),"00"))</f>
        <v>2021-07-12</v>
      </c>
      <c r="E2" s="36" t="s">
        <v>922</v>
      </c>
      <c r="F2" s="35" t="str">
        <f t="shared" ref="F2:F65" si="1">+LEFT(E2,19)</f>
        <v>2021-07-12_14-01-54</v>
      </c>
      <c r="G2" s="37">
        <v>5896484</v>
      </c>
      <c r="H2" s="38">
        <v>7042916</v>
      </c>
      <c r="I2" s="19" t="str">
        <f>IF(OR(COUNTIF(Monitoring!C:C, F2) &gt; 0, COUNTIF(Monitoring!D:D, F2) &gt; 0), "yes", "no")</f>
        <v>yes</v>
      </c>
      <c r="J2" s="70" t="str">
        <f t="shared" ref="J2:J65" si="2">HYPERLINK(_xlfn.CONCAT("Z:\FAIR_Device_data\Experiment_JulAug_2021","\","Video_captures","\",D2,"\",E2))</f>
        <v>Z:\FAIR_Device_data\Experiment_JulAug_2021\Video_captures\2021-07-12\2021-07-12_14-01-54.mp4</v>
      </c>
    </row>
    <row r="3" spans="1:10" x14ac:dyDescent="0.3">
      <c r="A3" s="1">
        <f t="shared" ref="A3:A66" si="3">VALUE(MID(F3,1,10))</f>
        <v>44389</v>
      </c>
      <c r="B3" s="34">
        <f t="shared" ref="B3:B66" si="4">IF(ISBLANK(F3),"",TIME(LEFT(RIGHT(F3,8),2),LEFT(RIGHT(F3,5),2),RIGHT(F3,2)))</f>
        <v>0.58528935185185182</v>
      </c>
      <c r="C3" s="34">
        <f t="shared" ref="C3:C66" si="5">+A3+B3</f>
        <v>44389.585289351853</v>
      </c>
      <c r="D3" s="69" t="str">
        <f t="shared" ref="D3:D66" si="6">+_xlfn.CONCAT(YEAR(A3),"-",TEXT(MONTH(A3),"00"),"-",TEXT(DAY(A3),"00"))</f>
        <v>2021-07-12</v>
      </c>
      <c r="E3" s="36" t="s">
        <v>923</v>
      </c>
      <c r="F3" s="35" t="str">
        <f t="shared" si="1"/>
        <v>2021-07-12_14-02-49</v>
      </c>
      <c r="G3" s="37">
        <v>7532682</v>
      </c>
      <c r="H3" s="38">
        <v>9211275</v>
      </c>
      <c r="I3" s="19" t="str">
        <f>IF(OR(COUNTIF(Monitoring!C:C, F3) &gt; 0, COUNTIF(Monitoring!D:D, F3) &gt; 0), "yes", "no")</f>
        <v>no</v>
      </c>
      <c r="J3" s="70" t="str">
        <f t="shared" si="2"/>
        <v>Z:\FAIR_Device_data\Experiment_JulAug_2021\Video_captures\2021-07-12\2021-07-12_14-02-49.mp4</v>
      </c>
    </row>
    <row r="4" spans="1:10" x14ac:dyDescent="0.3">
      <c r="A4" s="1">
        <f t="shared" si="3"/>
        <v>44389</v>
      </c>
      <c r="B4" s="34">
        <f t="shared" si="4"/>
        <v>0.58597222222222223</v>
      </c>
      <c r="C4" s="34">
        <f t="shared" si="5"/>
        <v>44389.585972222223</v>
      </c>
      <c r="D4" s="69" t="str">
        <f t="shared" si="6"/>
        <v>2021-07-12</v>
      </c>
      <c r="E4" s="36" t="s">
        <v>924</v>
      </c>
      <c r="F4" s="35" t="str">
        <f t="shared" si="1"/>
        <v>2021-07-12_14-03-48</v>
      </c>
      <c r="G4" s="37">
        <v>5563607</v>
      </c>
      <c r="H4" s="38">
        <v>6703183</v>
      </c>
      <c r="I4" s="19" t="str">
        <f>IF(OR(COUNTIF(Monitoring!C:C, F4) &gt; 0, COUNTIF(Monitoring!D:D, F4) &gt; 0), "yes", "no")</f>
        <v>yes</v>
      </c>
      <c r="J4" s="70" t="str">
        <f t="shared" si="2"/>
        <v>Z:\FAIR_Device_data\Experiment_JulAug_2021\Video_captures\2021-07-12\2021-07-12_14-03-48.mp4</v>
      </c>
    </row>
    <row r="5" spans="1:10" x14ac:dyDescent="0.3">
      <c r="A5" s="1">
        <f t="shared" si="3"/>
        <v>44389</v>
      </c>
      <c r="B5" s="34">
        <f t="shared" si="4"/>
        <v>0.62450231481481477</v>
      </c>
      <c r="C5" s="34">
        <f t="shared" si="5"/>
        <v>44389.624502314815</v>
      </c>
      <c r="D5" s="69" t="str">
        <f t="shared" si="6"/>
        <v>2021-07-12</v>
      </c>
      <c r="E5" s="36" t="s">
        <v>925</v>
      </c>
      <c r="F5" s="35" t="str">
        <f t="shared" si="1"/>
        <v>2021-07-12_14-59-17</v>
      </c>
      <c r="G5" s="37">
        <v>4621549</v>
      </c>
      <c r="H5" s="38">
        <v>5333515</v>
      </c>
      <c r="I5" s="19" t="str">
        <f>IF(OR(COUNTIF(Monitoring!C:C, F5) &gt; 0, COUNTIF(Monitoring!D:D, F5) &gt; 0), "yes", "no")</f>
        <v>yes</v>
      </c>
      <c r="J5" s="70" t="str">
        <f t="shared" si="2"/>
        <v>Z:\FAIR_Device_data\Experiment_JulAug_2021\Video_captures\2021-07-12\2021-07-12_14-59-17.mp4</v>
      </c>
    </row>
    <row r="6" spans="1:10" x14ac:dyDescent="0.3">
      <c r="A6" s="1">
        <f t="shared" si="3"/>
        <v>44389</v>
      </c>
      <c r="B6" s="34">
        <f t="shared" si="4"/>
        <v>0.62876157407407407</v>
      </c>
      <c r="C6" s="34">
        <f t="shared" si="5"/>
        <v>44389.628761574073</v>
      </c>
      <c r="D6" s="69" t="str">
        <f t="shared" si="6"/>
        <v>2021-07-12</v>
      </c>
      <c r="E6" s="36" t="s">
        <v>926</v>
      </c>
      <c r="F6" s="35" t="str">
        <f t="shared" si="1"/>
        <v>2021-07-12_15-05-25</v>
      </c>
      <c r="G6" s="37">
        <v>19913607</v>
      </c>
      <c r="H6" s="38">
        <v>23708787</v>
      </c>
      <c r="I6" s="19" t="str">
        <f>IF(OR(COUNTIF(Monitoring!C:C, F6) &gt; 0, COUNTIF(Monitoring!D:D, F6) &gt; 0), "yes", "no")</f>
        <v>yes</v>
      </c>
      <c r="J6" s="70" t="str">
        <f t="shared" si="2"/>
        <v>Z:\FAIR_Device_data\Experiment_JulAug_2021\Video_captures\2021-07-12\2021-07-12_15-05-25.mp4</v>
      </c>
    </row>
    <row r="7" spans="1:10" x14ac:dyDescent="0.3">
      <c r="A7" s="1">
        <f t="shared" si="3"/>
        <v>44389</v>
      </c>
      <c r="B7" s="34">
        <f t="shared" si="4"/>
        <v>0.63880787037037035</v>
      </c>
      <c r="C7" s="34">
        <f t="shared" si="5"/>
        <v>44389.638807870368</v>
      </c>
      <c r="D7" s="69" t="str">
        <f t="shared" si="6"/>
        <v>2021-07-12</v>
      </c>
      <c r="E7" s="36" t="s">
        <v>927</v>
      </c>
      <c r="F7" s="35" t="str">
        <f t="shared" si="1"/>
        <v>2021-07-12_15-19-53</v>
      </c>
      <c r="G7" s="37">
        <v>4903971</v>
      </c>
      <c r="H7" s="38">
        <v>5834986</v>
      </c>
      <c r="I7" s="19" t="str">
        <f>IF(OR(COUNTIF(Monitoring!C:C, F7) &gt; 0, COUNTIF(Monitoring!D:D, F7) &gt; 0), "yes", "no")</f>
        <v>yes</v>
      </c>
      <c r="J7" s="70" t="str">
        <f t="shared" si="2"/>
        <v>Z:\FAIR_Device_data\Experiment_JulAug_2021\Video_captures\2021-07-12\2021-07-12_15-19-53.mp4</v>
      </c>
    </row>
    <row r="8" spans="1:10" x14ac:dyDescent="0.3">
      <c r="A8" s="1">
        <f t="shared" si="3"/>
        <v>44389</v>
      </c>
      <c r="B8" s="34">
        <f t="shared" si="4"/>
        <v>0.65008101851851852</v>
      </c>
      <c r="C8" s="34">
        <f t="shared" si="5"/>
        <v>44389.650081018517</v>
      </c>
      <c r="D8" s="69" t="str">
        <f t="shared" si="6"/>
        <v>2021-07-12</v>
      </c>
      <c r="E8" s="36" t="s">
        <v>928</v>
      </c>
      <c r="F8" s="35" t="str">
        <f t="shared" si="1"/>
        <v>2021-07-12_15-36-07</v>
      </c>
      <c r="G8" s="37">
        <v>10867578</v>
      </c>
      <c r="H8" s="38">
        <v>13066759</v>
      </c>
      <c r="I8" s="19" t="str">
        <f>IF(OR(COUNTIF(Monitoring!C:C, F8) &gt; 0, COUNTIF(Monitoring!D:D, F8) &gt; 0), "yes", "no")</f>
        <v>yes</v>
      </c>
      <c r="J8" s="70" t="str">
        <f t="shared" si="2"/>
        <v>Z:\FAIR_Device_data\Experiment_JulAug_2021\Video_captures\2021-07-12\2021-07-12_15-36-07.mp4</v>
      </c>
    </row>
    <row r="9" spans="1:10" x14ac:dyDescent="0.3">
      <c r="A9" s="1">
        <f t="shared" si="3"/>
        <v>44389</v>
      </c>
      <c r="B9" s="34">
        <f t="shared" si="4"/>
        <v>0.65494212962962961</v>
      </c>
      <c r="C9" s="34">
        <f t="shared" si="5"/>
        <v>44389.654942129629</v>
      </c>
      <c r="D9" s="69" t="str">
        <f t="shared" si="6"/>
        <v>2021-07-12</v>
      </c>
      <c r="E9" s="36" t="s">
        <v>929</v>
      </c>
      <c r="F9" s="35" t="str">
        <f t="shared" si="1"/>
        <v>2021-07-12_15-43-07</v>
      </c>
      <c r="G9" s="37">
        <v>5565365</v>
      </c>
      <c r="H9" s="38">
        <v>6644701</v>
      </c>
      <c r="I9" s="19" t="str">
        <f>IF(OR(COUNTIF(Monitoring!C:C, F9) &gt; 0, COUNTIF(Monitoring!D:D, F9) &gt; 0), "yes", "no")</f>
        <v>yes</v>
      </c>
      <c r="J9" s="70" t="str">
        <f t="shared" si="2"/>
        <v>Z:\FAIR_Device_data\Experiment_JulAug_2021\Video_captures\2021-07-12\2021-07-12_15-43-07.mp4</v>
      </c>
    </row>
    <row r="10" spans="1:10" x14ac:dyDescent="0.3">
      <c r="A10" s="1">
        <f t="shared" si="3"/>
        <v>44389</v>
      </c>
      <c r="B10" s="34">
        <f t="shared" si="4"/>
        <v>0.65586805555555561</v>
      </c>
      <c r="C10" s="34">
        <f t="shared" si="5"/>
        <v>44389.655868055554</v>
      </c>
      <c r="D10" s="69" t="str">
        <f t="shared" si="6"/>
        <v>2021-07-12</v>
      </c>
      <c r="E10" s="36" t="s">
        <v>930</v>
      </c>
      <c r="F10" s="35" t="str">
        <f t="shared" si="1"/>
        <v>2021-07-12_15-44-27</v>
      </c>
      <c r="G10" s="37">
        <v>4557943</v>
      </c>
      <c r="H10" s="38">
        <v>5440487</v>
      </c>
      <c r="I10" s="19" t="str">
        <f>IF(OR(COUNTIF(Monitoring!C:C, F10) &gt; 0, COUNTIF(Monitoring!D:D, F10) &gt; 0), "yes", "no")</f>
        <v>yes</v>
      </c>
      <c r="J10" s="70" t="str">
        <f t="shared" si="2"/>
        <v>Z:\FAIR_Device_data\Experiment_JulAug_2021\Video_captures\2021-07-12\2021-07-12_15-44-27.mp4</v>
      </c>
    </row>
    <row r="11" spans="1:10" x14ac:dyDescent="0.3">
      <c r="A11" s="1">
        <f t="shared" si="3"/>
        <v>44389</v>
      </c>
      <c r="B11" s="34">
        <f t="shared" si="4"/>
        <v>0.66810185185185189</v>
      </c>
      <c r="C11" s="34">
        <f t="shared" si="5"/>
        <v>44389.66810185185</v>
      </c>
      <c r="D11" s="69" t="str">
        <f t="shared" si="6"/>
        <v>2021-07-12</v>
      </c>
      <c r="E11" s="36" t="s">
        <v>931</v>
      </c>
      <c r="F11" s="35" t="str">
        <f t="shared" si="1"/>
        <v>2021-07-12_16-02-04</v>
      </c>
      <c r="G11" s="37">
        <v>4904297</v>
      </c>
      <c r="H11" s="38">
        <v>5846543</v>
      </c>
      <c r="I11" s="19" t="str">
        <f>IF(OR(COUNTIF(Monitoring!C:C, F11) &gt; 0, COUNTIF(Monitoring!D:D, F11) &gt; 0), "yes", "no")</f>
        <v>yes</v>
      </c>
      <c r="J11" s="70" t="str">
        <f t="shared" si="2"/>
        <v>Z:\FAIR_Device_data\Experiment_JulAug_2021\Video_captures\2021-07-12\2021-07-12_16-02-04.mp4</v>
      </c>
    </row>
    <row r="12" spans="1:10" x14ac:dyDescent="0.3">
      <c r="A12" s="1">
        <f t="shared" si="3"/>
        <v>44389</v>
      </c>
      <c r="B12" s="34">
        <f t="shared" si="4"/>
        <v>0.66858796296296297</v>
      </c>
      <c r="C12" s="34">
        <f t="shared" si="5"/>
        <v>44389.668587962966</v>
      </c>
      <c r="D12" s="69" t="str">
        <f t="shared" si="6"/>
        <v>2021-07-12</v>
      </c>
      <c r="E12" s="36" t="s">
        <v>932</v>
      </c>
      <c r="F12" s="35" t="str">
        <f t="shared" si="1"/>
        <v>2021-07-12_16-02-46</v>
      </c>
      <c r="G12" s="37">
        <v>150109961</v>
      </c>
      <c r="H12" s="38">
        <v>179019283</v>
      </c>
      <c r="I12" s="19" t="str">
        <f>IF(OR(COUNTIF(Monitoring!C:C, F12) &gt; 0, COUNTIF(Monitoring!D:D, F12) &gt; 0), "yes", "no")</f>
        <v>yes</v>
      </c>
      <c r="J12" s="70" t="str">
        <f t="shared" si="2"/>
        <v>Z:\FAIR_Device_data\Experiment_JulAug_2021\Video_captures\2021-07-12\2021-07-12_16-02-46.mp4</v>
      </c>
    </row>
    <row r="13" spans="1:10" x14ac:dyDescent="0.3">
      <c r="A13" s="1">
        <f t="shared" si="3"/>
        <v>44389</v>
      </c>
      <c r="B13" s="34">
        <f t="shared" si="4"/>
        <v>0.70534722222222224</v>
      </c>
      <c r="C13" s="34">
        <f t="shared" si="5"/>
        <v>44389.705347222225</v>
      </c>
      <c r="D13" s="69" t="str">
        <f t="shared" si="6"/>
        <v>2021-07-12</v>
      </c>
      <c r="E13" s="36" t="s">
        <v>933</v>
      </c>
      <c r="F13" s="35" t="str">
        <f t="shared" si="1"/>
        <v>2021-07-12_16-55-42</v>
      </c>
      <c r="G13" s="37">
        <v>14204427</v>
      </c>
      <c r="H13" s="38">
        <v>16984086</v>
      </c>
      <c r="I13" s="19" t="str">
        <f>IF(OR(COUNTIF(Monitoring!C:C, F13) &gt; 0, COUNTIF(Monitoring!D:D, F13) &gt; 0), "yes", "no")</f>
        <v>yes</v>
      </c>
      <c r="J13" s="70" t="str">
        <f t="shared" si="2"/>
        <v>Z:\FAIR_Device_data\Experiment_JulAug_2021\Video_captures\2021-07-12\2021-07-12_16-55-42.mp4</v>
      </c>
    </row>
    <row r="14" spans="1:10" x14ac:dyDescent="0.3">
      <c r="A14" s="1">
        <f t="shared" si="3"/>
        <v>44389</v>
      </c>
      <c r="B14" s="34">
        <f t="shared" si="4"/>
        <v>0.71104166666666668</v>
      </c>
      <c r="C14" s="34">
        <f t="shared" si="5"/>
        <v>44389.711041666669</v>
      </c>
      <c r="D14" s="69" t="str">
        <f t="shared" si="6"/>
        <v>2021-07-12</v>
      </c>
      <c r="E14" s="36" t="s">
        <v>934</v>
      </c>
      <c r="F14" s="35" t="str">
        <f t="shared" si="1"/>
        <v>2021-07-12_17-03-54</v>
      </c>
      <c r="G14" s="37">
        <v>14150195</v>
      </c>
      <c r="H14" s="38">
        <v>16891120</v>
      </c>
      <c r="I14" s="19" t="str">
        <f>IF(OR(COUNTIF(Monitoring!C:C, F14) &gt; 0, COUNTIF(Monitoring!D:D, F14) &gt; 0), "yes", "no")</f>
        <v>yes</v>
      </c>
      <c r="J14" s="70" t="str">
        <f t="shared" si="2"/>
        <v>Z:\FAIR_Device_data\Experiment_JulAug_2021\Video_captures\2021-07-12\2021-07-12_17-03-54.mp4</v>
      </c>
    </row>
    <row r="15" spans="1:10" x14ac:dyDescent="0.3">
      <c r="A15" s="1">
        <f t="shared" si="3"/>
        <v>44389</v>
      </c>
      <c r="B15" s="34">
        <f t="shared" si="4"/>
        <v>0.71851851851851856</v>
      </c>
      <c r="C15" s="34">
        <f t="shared" si="5"/>
        <v>44389.718518518515</v>
      </c>
      <c r="D15" s="69" t="str">
        <f t="shared" si="6"/>
        <v>2021-07-12</v>
      </c>
      <c r="E15" s="36" t="s">
        <v>935</v>
      </c>
      <c r="F15" s="35" t="str">
        <f t="shared" si="1"/>
        <v>2021-07-12_17-14-40</v>
      </c>
      <c r="G15" s="37">
        <v>10559701</v>
      </c>
      <c r="H15" s="38">
        <v>12588511</v>
      </c>
      <c r="I15" s="19" t="str">
        <f>IF(OR(COUNTIF(Monitoring!C:C, F15) &gt; 0, COUNTIF(Monitoring!D:D, F15) &gt; 0), "yes", "no")</f>
        <v>yes</v>
      </c>
      <c r="J15" s="70" t="str">
        <f t="shared" si="2"/>
        <v>Z:\FAIR_Device_data\Experiment_JulAug_2021\Video_captures\2021-07-12\2021-07-12_17-14-40.mp4</v>
      </c>
    </row>
    <row r="16" spans="1:10" x14ac:dyDescent="0.3">
      <c r="A16" s="1">
        <f t="shared" si="3"/>
        <v>44389</v>
      </c>
      <c r="B16" s="34">
        <f t="shared" si="4"/>
        <v>0.72137731481481482</v>
      </c>
      <c r="C16" s="34">
        <f t="shared" si="5"/>
        <v>44389.721377314818</v>
      </c>
      <c r="D16" s="69" t="str">
        <f t="shared" si="6"/>
        <v>2021-07-12</v>
      </c>
      <c r="E16" s="36" t="s">
        <v>936</v>
      </c>
      <c r="F16" s="35" t="str">
        <f t="shared" si="1"/>
        <v>2021-07-12_17-18-47</v>
      </c>
      <c r="G16" s="37">
        <v>6563086</v>
      </c>
      <c r="H16" s="38">
        <v>7701569</v>
      </c>
      <c r="I16" s="19" t="str">
        <f>IF(OR(COUNTIF(Monitoring!C:C, F16) &gt; 0, COUNTIF(Monitoring!D:D, F16) &gt; 0), "yes", "no")</f>
        <v>yes</v>
      </c>
      <c r="J16" s="70" t="str">
        <f t="shared" si="2"/>
        <v>Z:\FAIR_Device_data\Experiment_JulAug_2021\Video_captures\2021-07-12\2021-07-12_17-18-47.mp4</v>
      </c>
    </row>
    <row r="17" spans="1:10" x14ac:dyDescent="0.3">
      <c r="A17" s="1">
        <f t="shared" si="3"/>
        <v>44389</v>
      </c>
      <c r="B17" s="34">
        <f t="shared" si="4"/>
        <v>0.72921296296296301</v>
      </c>
      <c r="C17" s="34">
        <f t="shared" si="5"/>
        <v>44389.729212962964</v>
      </c>
      <c r="D17" s="69" t="str">
        <f t="shared" si="6"/>
        <v>2021-07-12</v>
      </c>
      <c r="E17" s="36" t="s">
        <v>937</v>
      </c>
      <c r="F17" s="35" t="str">
        <f t="shared" si="1"/>
        <v>2021-07-12_17-30-04</v>
      </c>
      <c r="G17" s="37">
        <v>4330990</v>
      </c>
      <c r="H17" s="38">
        <v>5136351</v>
      </c>
      <c r="I17" s="19" t="str">
        <f>IF(OR(COUNTIF(Monitoring!C:C, F17) &gt; 0, COUNTIF(Monitoring!D:D, F17) &gt; 0), "yes", "no")</f>
        <v>yes</v>
      </c>
      <c r="J17" s="70" t="str">
        <f t="shared" si="2"/>
        <v>Z:\FAIR_Device_data\Experiment_JulAug_2021\Video_captures\2021-07-12\2021-07-12_17-30-04.mp4</v>
      </c>
    </row>
    <row r="18" spans="1:10" x14ac:dyDescent="0.3">
      <c r="A18" s="1">
        <f t="shared" si="3"/>
        <v>44389</v>
      </c>
      <c r="B18" s="34">
        <f t="shared" si="4"/>
        <v>0.72980324074074077</v>
      </c>
      <c r="C18" s="34">
        <f t="shared" si="5"/>
        <v>44389.729803240742</v>
      </c>
      <c r="D18" s="69" t="str">
        <f t="shared" si="6"/>
        <v>2021-07-12</v>
      </c>
      <c r="E18" s="36" t="s">
        <v>938</v>
      </c>
      <c r="F18" s="35" t="str">
        <f t="shared" si="1"/>
        <v>2021-07-12_17-30-55</v>
      </c>
      <c r="G18" s="37">
        <v>4895247</v>
      </c>
      <c r="H18" s="38">
        <v>5910495</v>
      </c>
      <c r="I18" s="19" t="str">
        <f>IF(OR(COUNTIF(Monitoring!C:C, F18) &gt; 0, COUNTIF(Monitoring!D:D, F18) &gt; 0), "yes", "no")</f>
        <v>yes</v>
      </c>
      <c r="J18" s="70" t="str">
        <f t="shared" si="2"/>
        <v>Z:\FAIR_Device_data\Experiment_JulAug_2021\Video_captures\2021-07-12\2021-07-12_17-30-55.mp4</v>
      </c>
    </row>
    <row r="19" spans="1:10" x14ac:dyDescent="0.3">
      <c r="A19" s="1">
        <f t="shared" si="3"/>
        <v>44389</v>
      </c>
      <c r="B19" s="34">
        <f t="shared" si="4"/>
        <v>0.73932870370370374</v>
      </c>
      <c r="C19" s="34">
        <f t="shared" si="5"/>
        <v>44389.739328703705</v>
      </c>
      <c r="D19" s="69" t="str">
        <f t="shared" si="6"/>
        <v>2021-07-12</v>
      </c>
      <c r="E19" s="36" t="s">
        <v>939</v>
      </c>
      <c r="F19" s="35" t="str">
        <f t="shared" si="1"/>
        <v>2021-07-12_17-44-38</v>
      </c>
      <c r="G19" s="37">
        <v>5531250</v>
      </c>
      <c r="H19" s="38">
        <v>6529160</v>
      </c>
      <c r="I19" s="19" t="str">
        <f>IF(OR(COUNTIF(Monitoring!C:C, F19) &gt; 0, COUNTIF(Monitoring!D:D, F19) &gt; 0), "yes", "no")</f>
        <v>yes</v>
      </c>
      <c r="J19" s="70" t="str">
        <f t="shared" si="2"/>
        <v>Z:\FAIR_Device_data\Experiment_JulAug_2021\Video_captures\2021-07-12\2021-07-12_17-44-38.mp4</v>
      </c>
    </row>
    <row r="20" spans="1:10" x14ac:dyDescent="0.3">
      <c r="A20" s="1">
        <f t="shared" si="3"/>
        <v>44389</v>
      </c>
      <c r="B20" s="34">
        <f t="shared" si="4"/>
        <v>0.73979166666666663</v>
      </c>
      <c r="C20" s="34">
        <f t="shared" si="5"/>
        <v>44389.739791666667</v>
      </c>
      <c r="D20" s="69" t="str">
        <f t="shared" si="6"/>
        <v>2021-07-12</v>
      </c>
      <c r="E20" s="36" t="s">
        <v>940</v>
      </c>
      <c r="F20" s="35" t="str">
        <f t="shared" si="1"/>
        <v>2021-07-12_17-45-18</v>
      </c>
      <c r="G20" s="37">
        <v>4900195</v>
      </c>
      <c r="H20" s="38">
        <v>5847833</v>
      </c>
      <c r="I20" s="19" t="str">
        <f>IF(OR(COUNTIF(Monitoring!C:C, F20) &gt; 0, COUNTIF(Monitoring!D:D, F20) &gt; 0), "yes", "no")</f>
        <v>yes</v>
      </c>
      <c r="J20" s="70" t="str">
        <f t="shared" si="2"/>
        <v>Z:\FAIR_Device_data\Experiment_JulAug_2021\Video_captures\2021-07-12\2021-07-12_17-45-18.mp4</v>
      </c>
    </row>
    <row r="21" spans="1:10" x14ac:dyDescent="0.3">
      <c r="A21" s="1">
        <f t="shared" si="3"/>
        <v>44389</v>
      </c>
      <c r="B21" s="34">
        <f t="shared" si="4"/>
        <v>0.74068287037037039</v>
      </c>
      <c r="C21" s="34">
        <f t="shared" si="5"/>
        <v>44389.740682870368</v>
      </c>
      <c r="D21" s="69" t="str">
        <f t="shared" si="6"/>
        <v>2021-07-12</v>
      </c>
      <c r="E21" s="36" t="s">
        <v>941</v>
      </c>
      <c r="F21" s="35" t="str">
        <f t="shared" si="1"/>
        <v>2021-07-12_17-46-35</v>
      </c>
      <c r="G21" s="37">
        <v>5232813</v>
      </c>
      <c r="H21" s="38">
        <v>6331475</v>
      </c>
      <c r="I21" s="19" t="str">
        <f>IF(OR(COUNTIF(Monitoring!C:C, F21) &gt; 0, COUNTIF(Monitoring!D:D, F21) &gt; 0), "yes", "no")</f>
        <v>yes</v>
      </c>
      <c r="J21" s="70" t="str">
        <f t="shared" si="2"/>
        <v>Z:\FAIR_Device_data\Experiment_JulAug_2021\Video_captures\2021-07-12\2021-07-12_17-46-35.mp4</v>
      </c>
    </row>
    <row r="22" spans="1:10" x14ac:dyDescent="0.3">
      <c r="A22" s="1">
        <f t="shared" si="3"/>
        <v>44389</v>
      </c>
      <c r="B22" s="34">
        <f t="shared" si="4"/>
        <v>0.75814814814814813</v>
      </c>
      <c r="C22" s="34">
        <f t="shared" si="5"/>
        <v>44389.758148148147</v>
      </c>
      <c r="D22" s="69" t="str">
        <f t="shared" si="6"/>
        <v>2021-07-12</v>
      </c>
      <c r="E22" s="36" t="s">
        <v>942</v>
      </c>
      <c r="F22" s="35" t="str">
        <f t="shared" si="1"/>
        <v>2021-07-12_18-11-44</v>
      </c>
      <c r="G22" s="37">
        <v>6175391</v>
      </c>
      <c r="H22" s="38">
        <v>6926421</v>
      </c>
      <c r="I22" s="19" t="str">
        <f>IF(OR(COUNTIF(Monitoring!C:C, F22) &gt; 0, COUNTIF(Monitoring!D:D, F22) &gt; 0), "yes", "no")</f>
        <v>yes</v>
      </c>
      <c r="J22" s="70" t="str">
        <f t="shared" si="2"/>
        <v>Z:\FAIR_Device_data\Experiment_JulAug_2021\Video_captures\2021-07-12\2021-07-12_18-11-44.mp4</v>
      </c>
    </row>
    <row r="23" spans="1:10" x14ac:dyDescent="0.3">
      <c r="A23" s="1">
        <f t="shared" si="3"/>
        <v>44389</v>
      </c>
      <c r="B23" s="34">
        <f t="shared" si="4"/>
        <v>0.76056712962962958</v>
      </c>
      <c r="C23" s="34">
        <f t="shared" si="5"/>
        <v>44389.760567129626</v>
      </c>
      <c r="D23" s="69" t="str">
        <f t="shared" si="6"/>
        <v>2021-07-12</v>
      </c>
      <c r="E23" s="36" t="s">
        <v>943</v>
      </c>
      <c r="F23" s="35" t="str">
        <f t="shared" si="1"/>
        <v>2021-07-12_18-15-13</v>
      </c>
      <c r="G23" s="37">
        <v>4498633</v>
      </c>
      <c r="H23" s="38">
        <v>5086416</v>
      </c>
      <c r="I23" s="19" t="str">
        <f>IF(OR(COUNTIF(Monitoring!C:C, F23) &gt; 0, COUNTIF(Monitoring!D:D, F23) &gt; 0), "yes", "no")</f>
        <v>yes</v>
      </c>
      <c r="J23" s="70" t="str">
        <f t="shared" si="2"/>
        <v>Z:\FAIR_Device_data\Experiment_JulAug_2021\Video_captures\2021-07-12\2021-07-12_18-15-13.mp4</v>
      </c>
    </row>
    <row r="24" spans="1:10" x14ac:dyDescent="0.3">
      <c r="A24" s="1">
        <f t="shared" si="3"/>
        <v>44389</v>
      </c>
      <c r="B24" s="34">
        <f t="shared" si="4"/>
        <v>0.77012731481481478</v>
      </c>
      <c r="C24" s="34">
        <f t="shared" si="5"/>
        <v>44389.770127314812</v>
      </c>
      <c r="D24" s="69" t="str">
        <f t="shared" si="6"/>
        <v>2021-07-12</v>
      </c>
      <c r="E24" s="36" t="s">
        <v>944</v>
      </c>
      <c r="F24" s="35" t="str">
        <f t="shared" si="1"/>
        <v>2021-07-12_18-28-59</v>
      </c>
      <c r="G24" s="37">
        <v>11444661</v>
      </c>
      <c r="H24" s="38">
        <v>12626085</v>
      </c>
      <c r="I24" s="19" t="str">
        <f>IF(OR(COUNTIF(Monitoring!C:C, F24) &gt; 0, COUNTIF(Monitoring!D:D, F24) &gt; 0), "yes", "no")</f>
        <v>yes</v>
      </c>
      <c r="J24" s="70" t="str">
        <f t="shared" si="2"/>
        <v>Z:\FAIR_Device_data\Experiment_JulAug_2021\Video_captures\2021-07-12\2021-07-12_18-28-59.mp4</v>
      </c>
    </row>
    <row r="25" spans="1:10" x14ac:dyDescent="0.3">
      <c r="A25" s="1">
        <f t="shared" si="3"/>
        <v>44389</v>
      </c>
      <c r="B25" s="34">
        <f t="shared" si="4"/>
        <v>0.77162037037037035</v>
      </c>
      <c r="C25" s="34">
        <f t="shared" si="5"/>
        <v>44389.771620370368</v>
      </c>
      <c r="D25" s="69" t="str">
        <f t="shared" si="6"/>
        <v>2021-07-12</v>
      </c>
      <c r="E25" s="36" t="s">
        <v>945</v>
      </c>
      <c r="F25" s="35" t="str">
        <f t="shared" si="1"/>
        <v>2021-07-12_18-31-08</v>
      </c>
      <c r="G25" s="37">
        <v>7792773</v>
      </c>
      <c r="H25" s="38">
        <v>8840139</v>
      </c>
      <c r="I25" s="19" t="str">
        <f>IF(OR(COUNTIF(Monitoring!C:C, F25) &gt; 0, COUNTIF(Monitoring!D:D, F25) &gt; 0), "yes", "no")</f>
        <v>yes</v>
      </c>
      <c r="J25" s="70" t="str">
        <f t="shared" si="2"/>
        <v>Z:\FAIR_Device_data\Experiment_JulAug_2021\Video_captures\2021-07-12\2021-07-12_18-31-08.mp4</v>
      </c>
    </row>
    <row r="26" spans="1:10" x14ac:dyDescent="0.3">
      <c r="A26" s="1">
        <f t="shared" si="3"/>
        <v>44389</v>
      </c>
      <c r="B26" s="34">
        <f t="shared" si="4"/>
        <v>0.77440972222222226</v>
      </c>
      <c r="C26" s="34">
        <f t="shared" si="5"/>
        <v>44389.774409722224</v>
      </c>
      <c r="D26" s="69" t="str">
        <f t="shared" si="6"/>
        <v>2021-07-12</v>
      </c>
      <c r="E26" s="36" t="s">
        <v>946</v>
      </c>
      <c r="F26" s="35" t="str">
        <f t="shared" si="1"/>
        <v>2021-07-12_18-35-09</v>
      </c>
      <c r="G26" s="37">
        <v>4502088</v>
      </c>
      <c r="H26" s="38">
        <v>5090117</v>
      </c>
      <c r="I26" s="19" t="str">
        <f>IF(OR(COUNTIF(Monitoring!C:C, F26) &gt; 0, COUNTIF(Monitoring!D:D, F26) &gt; 0), "yes", "no")</f>
        <v>no</v>
      </c>
      <c r="J26" s="70" t="str">
        <f t="shared" si="2"/>
        <v>Z:\FAIR_Device_data\Experiment_JulAug_2021\Video_captures\2021-07-12\2021-07-12_18-35-09.mp4</v>
      </c>
    </row>
    <row r="27" spans="1:10" x14ac:dyDescent="0.3">
      <c r="A27" s="1">
        <f t="shared" si="3"/>
        <v>44389</v>
      </c>
      <c r="B27" s="34">
        <f t="shared" si="4"/>
        <v>0.77593749999999995</v>
      </c>
      <c r="C27" s="34">
        <f t="shared" si="5"/>
        <v>44389.775937500002</v>
      </c>
      <c r="D27" s="69" t="str">
        <f t="shared" si="6"/>
        <v>2021-07-12</v>
      </c>
      <c r="E27" s="36" t="s">
        <v>947</v>
      </c>
      <c r="F27" s="35" t="str">
        <f t="shared" si="1"/>
        <v>2021-07-12_18-37-21</v>
      </c>
      <c r="G27" s="37">
        <v>4629818</v>
      </c>
      <c r="H27" s="38">
        <v>5233161</v>
      </c>
      <c r="I27" s="19" t="str">
        <f>IF(OR(COUNTIF(Monitoring!C:C, F27) &gt; 0, COUNTIF(Monitoring!D:D, F27) &gt; 0), "yes", "no")</f>
        <v>no</v>
      </c>
      <c r="J27" s="70" t="str">
        <f t="shared" si="2"/>
        <v>Z:\FAIR_Device_data\Experiment_JulAug_2021\Video_captures\2021-07-12\2021-07-12_18-37-21.mp4</v>
      </c>
    </row>
    <row r="28" spans="1:10" x14ac:dyDescent="0.3">
      <c r="A28" s="1">
        <f t="shared" si="3"/>
        <v>44389</v>
      </c>
      <c r="B28" s="34">
        <f t="shared" si="4"/>
        <v>0.77652777777777782</v>
      </c>
      <c r="C28" s="34">
        <f t="shared" si="5"/>
        <v>44389.77652777778</v>
      </c>
      <c r="D28" s="69" t="str">
        <f t="shared" si="6"/>
        <v>2021-07-12</v>
      </c>
      <c r="E28" s="36" t="s">
        <v>948</v>
      </c>
      <c r="F28" s="35" t="str">
        <f t="shared" si="1"/>
        <v>2021-07-12_18-38-12</v>
      </c>
      <c r="G28" s="37">
        <v>4855859</v>
      </c>
      <c r="H28" s="38">
        <v>5398088</v>
      </c>
      <c r="I28" s="19" t="str">
        <f>IF(OR(COUNTIF(Monitoring!C:C, F28) &gt; 0, COUNTIF(Monitoring!D:D, F28) &gt; 0), "yes", "no")</f>
        <v>no</v>
      </c>
      <c r="J28" s="70" t="str">
        <f t="shared" si="2"/>
        <v>Z:\FAIR_Device_data\Experiment_JulAug_2021\Video_captures\2021-07-12\2021-07-12_18-38-12.mp4</v>
      </c>
    </row>
    <row r="29" spans="1:10" x14ac:dyDescent="0.3">
      <c r="A29" s="1">
        <f t="shared" si="3"/>
        <v>44389</v>
      </c>
      <c r="B29" s="34">
        <f t="shared" si="4"/>
        <v>0.77975694444444443</v>
      </c>
      <c r="C29" s="34">
        <f t="shared" si="5"/>
        <v>44389.779756944445</v>
      </c>
      <c r="D29" s="69" t="str">
        <f t="shared" si="6"/>
        <v>2021-07-12</v>
      </c>
      <c r="E29" s="36" t="s">
        <v>949</v>
      </c>
      <c r="F29" s="35" t="str">
        <f t="shared" si="1"/>
        <v>2021-07-12_18-42-51</v>
      </c>
      <c r="G29" s="37">
        <v>13444792</v>
      </c>
      <c r="H29" s="38">
        <v>15150556</v>
      </c>
      <c r="I29" s="19" t="str">
        <f>IF(OR(COUNTIF(Monitoring!C:C, F29) &gt; 0, COUNTIF(Monitoring!D:D, F29) &gt; 0), "yes", "no")</f>
        <v>yes</v>
      </c>
      <c r="J29" s="70" t="str">
        <f t="shared" si="2"/>
        <v>Z:\FAIR_Device_data\Experiment_JulAug_2021\Video_captures\2021-07-12\2021-07-12_18-42-51.mp4</v>
      </c>
    </row>
    <row r="30" spans="1:10" x14ac:dyDescent="0.3">
      <c r="A30" s="1">
        <f t="shared" si="3"/>
        <v>44389</v>
      </c>
      <c r="B30" s="34">
        <f t="shared" si="4"/>
        <v>0.78629629629629627</v>
      </c>
      <c r="C30" s="34">
        <f t="shared" si="5"/>
        <v>44389.786296296297</v>
      </c>
      <c r="D30" s="69" t="str">
        <f t="shared" si="6"/>
        <v>2021-07-12</v>
      </c>
      <c r="E30" s="36" t="s">
        <v>950</v>
      </c>
      <c r="F30" s="35" t="str">
        <f t="shared" si="1"/>
        <v>2021-07-12_18-52-16</v>
      </c>
      <c r="G30" s="37">
        <v>18240039</v>
      </c>
      <c r="H30" s="38">
        <v>19832589</v>
      </c>
      <c r="I30" s="19" t="str">
        <f>IF(OR(COUNTIF(Monitoring!C:C, F30) &gt; 0, COUNTIF(Monitoring!D:D, F30) &gt; 0), "yes", "no")</f>
        <v>yes</v>
      </c>
      <c r="J30" s="70" t="str">
        <f t="shared" si="2"/>
        <v>Z:\FAIR_Device_data\Experiment_JulAug_2021\Video_captures\2021-07-12\2021-07-12_18-52-16.mp4</v>
      </c>
    </row>
    <row r="31" spans="1:10" x14ac:dyDescent="0.3">
      <c r="A31" s="1">
        <f t="shared" si="3"/>
        <v>44389</v>
      </c>
      <c r="B31" s="34">
        <f t="shared" si="4"/>
        <v>0.78739583333333329</v>
      </c>
      <c r="C31" s="34">
        <f t="shared" si="5"/>
        <v>44389.787395833337</v>
      </c>
      <c r="D31" s="69" t="str">
        <f t="shared" si="6"/>
        <v>2021-07-12</v>
      </c>
      <c r="E31" s="36" t="s">
        <v>951</v>
      </c>
      <c r="F31" s="35" t="str">
        <f t="shared" si="1"/>
        <v>2021-07-12_18-53-51</v>
      </c>
      <c r="G31" s="37">
        <v>10294857</v>
      </c>
      <c r="H31" s="38">
        <v>10007024</v>
      </c>
      <c r="I31" s="19" t="str">
        <f>IF(OR(COUNTIF(Monitoring!C:C, F31) &gt; 0, COUNTIF(Monitoring!D:D, F31) &gt; 0), "yes", "no")</f>
        <v>yes</v>
      </c>
      <c r="J31" s="70" t="str">
        <f t="shared" si="2"/>
        <v>Z:\FAIR_Device_data\Experiment_JulAug_2021\Video_captures\2021-07-12\2021-07-12_18-53-51.mp4</v>
      </c>
    </row>
    <row r="32" spans="1:10" x14ac:dyDescent="0.3">
      <c r="A32" s="1">
        <f t="shared" si="3"/>
        <v>44389</v>
      </c>
      <c r="B32" s="34">
        <f t="shared" si="4"/>
        <v>0.7973958333333333</v>
      </c>
      <c r="C32" s="34">
        <f t="shared" si="5"/>
        <v>44389.797395833331</v>
      </c>
      <c r="D32" s="69" t="str">
        <f t="shared" si="6"/>
        <v>2021-07-12</v>
      </c>
      <c r="E32" s="36" t="s">
        <v>952</v>
      </c>
      <c r="F32" s="35" t="str">
        <f t="shared" si="1"/>
        <v>2021-07-12_19-08-15</v>
      </c>
      <c r="G32" s="37">
        <v>17935742</v>
      </c>
      <c r="H32" s="38">
        <v>20272969</v>
      </c>
      <c r="I32" s="19" t="str">
        <f>IF(OR(COUNTIF(Monitoring!C:C, F32) &gt; 0, COUNTIF(Monitoring!D:D, F32) &gt; 0), "yes", "no")</f>
        <v>yes</v>
      </c>
      <c r="J32" s="70" t="str">
        <f t="shared" si="2"/>
        <v>Z:\FAIR_Device_data\Experiment_JulAug_2021\Video_captures\2021-07-12\2021-07-12_19-08-15.mp4</v>
      </c>
    </row>
    <row r="33" spans="1:10" x14ac:dyDescent="0.3">
      <c r="A33" s="1">
        <f t="shared" si="3"/>
        <v>44389</v>
      </c>
      <c r="B33" s="34">
        <f t="shared" si="4"/>
        <v>0.79859953703703701</v>
      </c>
      <c r="C33" s="34">
        <f t="shared" si="5"/>
        <v>44389.79859953704</v>
      </c>
      <c r="D33" s="69" t="str">
        <f t="shared" si="6"/>
        <v>2021-07-12</v>
      </c>
      <c r="E33" s="36" t="s">
        <v>953</v>
      </c>
      <c r="F33" s="35" t="str">
        <f t="shared" si="1"/>
        <v>2021-07-12_19-09-59</v>
      </c>
      <c r="G33" s="37">
        <v>15221224</v>
      </c>
      <c r="H33" s="38">
        <v>17183760</v>
      </c>
      <c r="I33" s="19" t="str">
        <f>IF(OR(COUNTIF(Monitoring!C:C, F33) &gt; 0, COUNTIF(Monitoring!D:D, F33) &gt; 0), "yes", "no")</f>
        <v>yes</v>
      </c>
      <c r="J33" s="70" t="str">
        <f t="shared" si="2"/>
        <v>Z:\FAIR_Device_data\Experiment_JulAug_2021\Video_captures\2021-07-12\2021-07-12_19-09-59.mp4</v>
      </c>
    </row>
    <row r="34" spans="1:10" x14ac:dyDescent="0.3">
      <c r="A34" s="1">
        <f t="shared" si="3"/>
        <v>44389</v>
      </c>
      <c r="B34" s="34">
        <f t="shared" si="4"/>
        <v>0.79964120370370373</v>
      </c>
      <c r="C34" s="34">
        <f t="shared" si="5"/>
        <v>44389.799641203703</v>
      </c>
      <c r="D34" s="69" t="str">
        <f t="shared" si="6"/>
        <v>2021-07-12</v>
      </c>
      <c r="E34" s="36" t="s">
        <v>954</v>
      </c>
      <c r="F34" s="35" t="str">
        <f t="shared" si="1"/>
        <v>2021-07-12_19-11-29</v>
      </c>
      <c r="G34" s="37">
        <v>12034375</v>
      </c>
      <c r="H34" s="38">
        <v>13062669</v>
      </c>
      <c r="I34" s="19" t="str">
        <f>IF(OR(COUNTIF(Monitoring!C:C, F34) &gt; 0, COUNTIF(Monitoring!D:D, F34) &gt; 0), "yes", "no")</f>
        <v>yes</v>
      </c>
      <c r="J34" s="70" t="str">
        <f t="shared" si="2"/>
        <v>Z:\FAIR_Device_data\Experiment_JulAug_2021\Video_captures\2021-07-12\2021-07-12_19-11-29.mp4</v>
      </c>
    </row>
    <row r="35" spans="1:10" x14ac:dyDescent="0.3">
      <c r="A35" s="1">
        <f t="shared" si="3"/>
        <v>44389</v>
      </c>
      <c r="B35" s="34">
        <f t="shared" si="4"/>
        <v>0.80471064814814819</v>
      </c>
      <c r="C35" s="34">
        <f t="shared" si="5"/>
        <v>44389.804710648146</v>
      </c>
      <c r="D35" s="69" t="str">
        <f t="shared" si="6"/>
        <v>2021-07-12</v>
      </c>
      <c r="E35" s="36" t="s">
        <v>955</v>
      </c>
      <c r="F35" s="35" t="str">
        <f t="shared" si="1"/>
        <v>2021-07-12_19-18-47</v>
      </c>
      <c r="G35" s="37">
        <v>19628451</v>
      </c>
      <c r="H35" s="38">
        <v>21930260</v>
      </c>
      <c r="I35" s="19" t="str">
        <f>IF(OR(COUNTIF(Monitoring!C:C, F35) &gt; 0, COUNTIF(Monitoring!D:D, F35) &gt; 0), "yes", "no")</f>
        <v>yes</v>
      </c>
      <c r="J35" s="70" t="str">
        <f t="shared" si="2"/>
        <v>Z:\FAIR_Device_data\Experiment_JulAug_2021\Video_captures\2021-07-12\2021-07-12_19-18-47.mp4</v>
      </c>
    </row>
    <row r="36" spans="1:10" x14ac:dyDescent="0.3">
      <c r="A36" s="1">
        <f t="shared" si="3"/>
        <v>44389</v>
      </c>
      <c r="B36" s="34">
        <f t="shared" si="4"/>
        <v>0.80804398148148149</v>
      </c>
      <c r="C36" s="34">
        <f t="shared" si="5"/>
        <v>44389.80804398148</v>
      </c>
      <c r="D36" s="69" t="str">
        <f t="shared" si="6"/>
        <v>2021-07-12</v>
      </c>
      <c r="E36" s="36" t="s">
        <v>956</v>
      </c>
      <c r="F36" s="35" t="str">
        <f t="shared" si="1"/>
        <v>2021-07-12_19-23-35</v>
      </c>
      <c r="G36" s="37">
        <v>9111523</v>
      </c>
      <c r="H36" s="38">
        <v>10291479</v>
      </c>
      <c r="I36" s="19" t="str">
        <f>IF(OR(COUNTIF(Monitoring!C:C, F36) &gt; 0, COUNTIF(Monitoring!D:D, F36) &gt; 0), "yes", "no")</f>
        <v>yes</v>
      </c>
      <c r="J36" s="70" t="str">
        <f t="shared" si="2"/>
        <v>Z:\FAIR_Device_data\Experiment_JulAug_2021\Video_captures\2021-07-12\2021-07-12_19-23-35.mp4</v>
      </c>
    </row>
    <row r="37" spans="1:10" x14ac:dyDescent="0.3">
      <c r="A37" s="1">
        <f t="shared" si="3"/>
        <v>44389</v>
      </c>
      <c r="B37" s="34">
        <f t="shared" si="4"/>
        <v>0.81456018518518514</v>
      </c>
      <c r="C37" s="34">
        <f t="shared" si="5"/>
        <v>44389.814560185187</v>
      </c>
      <c r="D37" s="69" t="str">
        <f t="shared" si="6"/>
        <v>2021-07-12</v>
      </c>
      <c r="E37" s="36" t="s">
        <v>957</v>
      </c>
      <c r="F37" s="35" t="str">
        <f t="shared" si="1"/>
        <v>2021-07-12_19-32-58</v>
      </c>
      <c r="G37" s="37">
        <v>9713672</v>
      </c>
      <c r="H37" s="38">
        <v>11614329</v>
      </c>
      <c r="I37" s="19" t="str">
        <f>IF(OR(COUNTIF(Monitoring!C:C, F37) &gt; 0, COUNTIF(Monitoring!D:D, F37) &gt; 0), "yes", "no")</f>
        <v>yes</v>
      </c>
      <c r="J37" s="70" t="str">
        <f t="shared" si="2"/>
        <v>Z:\FAIR_Device_data\Experiment_JulAug_2021\Video_captures\2021-07-12\2021-07-12_19-32-58.mp4</v>
      </c>
    </row>
    <row r="38" spans="1:10" x14ac:dyDescent="0.3">
      <c r="A38" s="1">
        <f t="shared" si="3"/>
        <v>44389</v>
      </c>
      <c r="B38" s="34">
        <f t="shared" si="4"/>
        <v>0.81721064814814814</v>
      </c>
      <c r="C38" s="34">
        <f t="shared" si="5"/>
        <v>44389.817210648151</v>
      </c>
      <c r="D38" s="69" t="str">
        <f t="shared" si="6"/>
        <v>2021-07-12</v>
      </c>
      <c r="E38" s="36" t="s">
        <v>958</v>
      </c>
      <c r="F38" s="35" t="str">
        <f t="shared" si="1"/>
        <v>2021-07-12_19-36-47</v>
      </c>
      <c r="G38" s="37">
        <v>4600000</v>
      </c>
      <c r="H38" s="38">
        <v>5209497</v>
      </c>
      <c r="I38" s="19" t="str">
        <f>IF(OR(COUNTIF(Monitoring!C:C, F38) &gt; 0, COUNTIF(Monitoring!D:D, F38) &gt; 0), "yes", "no")</f>
        <v>yes</v>
      </c>
      <c r="J38" s="70" t="str">
        <f t="shared" si="2"/>
        <v>Z:\FAIR_Device_data\Experiment_JulAug_2021\Video_captures\2021-07-12\2021-07-12_19-36-47.mp4</v>
      </c>
    </row>
    <row r="39" spans="1:10" x14ac:dyDescent="0.3">
      <c r="A39" s="1">
        <f t="shared" si="3"/>
        <v>44389</v>
      </c>
      <c r="B39" s="34">
        <f t="shared" si="4"/>
        <v>0.81910879629629629</v>
      </c>
      <c r="C39" s="34">
        <f t="shared" si="5"/>
        <v>44389.819108796299</v>
      </c>
      <c r="D39" s="69" t="str">
        <f t="shared" si="6"/>
        <v>2021-07-12</v>
      </c>
      <c r="E39" s="36" t="s">
        <v>959</v>
      </c>
      <c r="F39" s="35" t="str">
        <f t="shared" si="1"/>
        <v>2021-07-12_19-39-31</v>
      </c>
      <c r="G39" s="37">
        <v>13396289</v>
      </c>
      <c r="H39" s="38">
        <v>14406588</v>
      </c>
      <c r="I39" s="19" t="str">
        <f>IF(OR(COUNTIF(Monitoring!C:C, F39) &gt; 0, COUNTIF(Monitoring!D:D, F39) &gt; 0), "yes", "no")</f>
        <v>yes</v>
      </c>
      <c r="J39" s="70" t="str">
        <f t="shared" si="2"/>
        <v>Z:\FAIR_Device_data\Experiment_JulAug_2021\Video_captures\2021-07-12\2021-07-12_19-39-31.mp4</v>
      </c>
    </row>
    <row r="40" spans="1:10" x14ac:dyDescent="0.3">
      <c r="A40" s="1">
        <f t="shared" si="3"/>
        <v>44389</v>
      </c>
      <c r="B40" s="34">
        <f t="shared" si="4"/>
        <v>0.84130787037037036</v>
      </c>
      <c r="C40" s="34">
        <f t="shared" si="5"/>
        <v>44389.841307870367</v>
      </c>
      <c r="D40" s="69" t="str">
        <f t="shared" si="6"/>
        <v>2021-07-12</v>
      </c>
      <c r="E40" s="36" t="s">
        <v>960</v>
      </c>
      <c r="F40" s="35" t="str">
        <f t="shared" si="1"/>
        <v>2021-07-12_20-11-29</v>
      </c>
      <c r="G40" s="37">
        <v>4789714</v>
      </c>
      <c r="H40" s="38">
        <v>5648046</v>
      </c>
      <c r="I40" s="19" t="str">
        <f>IF(OR(COUNTIF(Monitoring!C:C, F40) &gt; 0, COUNTIF(Monitoring!D:D, F40) &gt; 0), "yes", "no")</f>
        <v>yes</v>
      </c>
      <c r="J40" s="70" t="str">
        <f t="shared" si="2"/>
        <v>Z:\FAIR_Device_data\Experiment_JulAug_2021\Video_captures\2021-07-12\2021-07-12_20-11-29.mp4</v>
      </c>
    </row>
    <row r="41" spans="1:10" x14ac:dyDescent="0.3">
      <c r="A41" s="1">
        <f t="shared" si="3"/>
        <v>44389</v>
      </c>
      <c r="B41" s="34">
        <f t="shared" si="4"/>
        <v>0.85354166666666664</v>
      </c>
      <c r="C41" s="34">
        <f t="shared" si="5"/>
        <v>44389.853541666664</v>
      </c>
      <c r="D41" s="69" t="str">
        <f t="shared" si="6"/>
        <v>2021-07-12</v>
      </c>
      <c r="E41" s="36" t="s">
        <v>961</v>
      </c>
      <c r="F41" s="35" t="str">
        <f t="shared" si="1"/>
        <v>2021-07-12_20-29-06</v>
      </c>
      <c r="G41" s="37">
        <v>4933529</v>
      </c>
      <c r="H41" s="38">
        <v>6059446</v>
      </c>
      <c r="I41" s="19" t="str">
        <f>IF(OR(COUNTIF(Monitoring!C:C, F41) &gt; 0, COUNTIF(Monitoring!D:D, F41) &gt; 0), "yes", "no")</f>
        <v>yes</v>
      </c>
      <c r="J41" s="70" t="str">
        <f t="shared" si="2"/>
        <v>Z:\FAIR_Device_data\Experiment_JulAug_2021\Video_captures\2021-07-12\2021-07-12_20-29-06.mp4</v>
      </c>
    </row>
    <row r="42" spans="1:10" x14ac:dyDescent="0.3">
      <c r="A42" s="1">
        <f t="shared" si="3"/>
        <v>44389</v>
      </c>
      <c r="B42" s="34">
        <f t="shared" si="4"/>
        <v>0.86662037037037032</v>
      </c>
      <c r="C42" s="34">
        <f t="shared" si="5"/>
        <v>44389.866620370369</v>
      </c>
      <c r="D42" s="69" t="str">
        <f t="shared" si="6"/>
        <v>2021-07-12</v>
      </c>
      <c r="E42" s="36" t="s">
        <v>962</v>
      </c>
      <c r="F42" s="35" t="str">
        <f t="shared" si="1"/>
        <v>2021-07-12_20-47-56</v>
      </c>
      <c r="G42" s="37">
        <v>17738594</v>
      </c>
      <c r="H42" s="38">
        <v>20626615</v>
      </c>
      <c r="I42" s="19" t="str">
        <f>IF(OR(COUNTIF(Monitoring!C:C, F42) &gt; 0, COUNTIF(Monitoring!D:D, F42) &gt; 0), "yes", "no")</f>
        <v>yes</v>
      </c>
      <c r="J42" s="70" t="str">
        <f t="shared" si="2"/>
        <v>Z:\FAIR_Device_data\Experiment_JulAug_2021\Video_captures\2021-07-12\2021-07-12_20-47-56.mp4</v>
      </c>
    </row>
    <row r="43" spans="1:10" x14ac:dyDescent="0.3">
      <c r="A43" s="1">
        <f t="shared" si="3"/>
        <v>44389</v>
      </c>
      <c r="B43" s="34">
        <f t="shared" si="4"/>
        <v>0.87076388888888889</v>
      </c>
      <c r="C43" s="34">
        <f t="shared" si="5"/>
        <v>44389.870763888888</v>
      </c>
      <c r="D43" s="69" t="str">
        <f t="shared" si="6"/>
        <v>2021-07-12</v>
      </c>
      <c r="E43" s="36" t="s">
        <v>963</v>
      </c>
      <c r="F43" s="35" t="str">
        <f t="shared" si="1"/>
        <v>2021-07-12_20-53-54</v>
      </c>
      <c r="G43" s="37">
        <v>5610156</v>
      </c>
      <c r="H43" s="38">
        <v>6491731</v>
      </c>
      <c r="I43" s="19" t="str">
        <f>IF(OR(COUNTIF(Monitoring!C:C, F43) &gt; 0, COUNTIF(Monitoring!D:D, F43) &gt; 0), "yes", "no")</f>
        <v>yes</v>
      </c>
      <c r="J43" s="70" t="str">
        <f t="shared" si="2"/>
        <v>Z:\FAIR_Device_data\Experiment_JulAug_2021\Video_captures\2021-07-12\2021-07-12_20-53-54.mp4</v>
      </c>
    </row>
    <row r="44" spans="1:10" x14ac:dyDescent="0.3">
      <c r="A44" s="1">
        <f t="shared" si="3"/>
        <v>44390</v>
      </c>
      <c r="B44" s="34">
        <f t="shared" si="4"/>
        <v>0.29799768518518521</v>
      </c>
      <c r="C44" s="34">
        <f t="shared" si="5"/>
        <v>44390.297997685186</v>
      </c>
      <c r="D44" s="69" t="str">
        <f t="shared" si="6"/>
        <v>2021-07-13</v>
      </c>
      <c r="E44" s="36" t="s">
        <v>964</v>
      </c>
      <c r="F44" s="35" t="str">
        <f t="shared" si="1"/>
        <v>2021-07-13_07-09-07</v>
      </c>
      <c r="G44" s="37">
        <v>7745833</v>
      </c>
      <c r="H44" s="38">
        <v>8740757</v>
      </c>
      <c r="I44" s="19" t="str">
        <f>IF(OR(COUNTIF(Monitoring!C:C, F44) &gt; 0, COUNTIF(Monitoring!D:D, F44) &gt; 0), "yes", "no")</f>
        <v>yes</v>
      </c>
      <c r="J44" s="70" t="str">
        <f t="shared" si="2"/>
        <v>Z:\FAIR_Device_data\Experiment_JulAug_2021\Video_captures\2021-07-13\2021-07-13_07-09-07.mp4</v>
      </c>
    </row>
    <row r="45" spans="1:10" x14ac:dyDescent="0.3">
      <c r="A45" s="1">
        <f t="shared" si="3"/>
        <v>44390</v>
      </c>
      <c r="B45" s="34">
        <f t="shared" si="4"/>
        <v>0.31247685185185187</v>
      </c>
      <c r="C45" s="34">
        <f t="shared" si="5"/>
        <v>44390.312476851854</v>
      </c>
      <c r="D45" s="69" t="str">
        <f t="shared" si="6"/>
        <v>2021-07-13</v>
      </c>
      <c r="E45" s="36" t="s">
        <v>965</v>
      </c>
      <c r="F45" s="35" t="str">
        <f t="shared" si="1"/>
        <v>2021-07-13_07-29-58</v>
      </c>
      <c r="G45" s="37">
        <v>183137956</v>
      </c>
      <c r="H45" s="38">
        <v>191564138</v>
      </c>
      <c r="I45" s="19" t="str">
        <f>IF(OR(COUNTIF(Monitoring!C:C, F45) &gt; 0, COUNTIF(Monitoring!D:D, F45) &gt; 0), "yes", "no")</f>
        <v>yes</v>
      </c>
      <c r="J45" s="70" t="str">
        <f t="shared" si="2"/>
        <v>Z:\FAIR_Device_data\Experiment_JulAug_2021\Video_captures\2021-07-13\2021-07-13_07-29-58.mp4</v>
      </c>
    </row>
    <row r="46" spans="1:10" x14ac:dyDescent="0.3">
      <c r="A46" s="1">
        <f t="shared" si="3"/>
        <v>44390</v>
      </c>
      <c r="B46" s="34">
        <f t="shared" si="4"/>
        <v>0.32971064814814816</v>
      </c>
      <c r="C46" s="34">
        <f t="shared" si="5"/>
        <v>44390.329710648148</v>
      </c>
      <c r="D46" s="69" t="str">
        <f t="shared" si="6"/>
        <v>2021-07-13</v>
      </c>
      <c r="E46" s="36" t="s">
        <v>966</v>
      </c>
      <c r="F46" s="35" t="str">
        <f t="shared" si="1"/>
        <v>2021-07-13_07-54-47</v>
      </c>
      <c r="G46" s="37">
        <v>9279557</v>
      </c>
      <c r="H46" s="38">
        <v>10620721</v>
      </c>
      <c r="I46" s="19" t="str">
        <f>IF(OR(COUNTIF(Monitoring!C:C, F46) &gt; 0, COUNTIF(Monitoring!D:D, F46) &gt; 0), "yes", "no")</f>
        <v>yes</v>
      </c>
      <c r="J46" s="70" t="str">
        <f t="shared" si="2"/>
        <v>Z:\FAIR_Device_data\Experiment_JulAug_2021\Video_captures\2021-07-13\2021-07-13_07-54-47.mp4</v>
      </c>
    </row>
    <row r="47" spans="1:10" x14ac:dyDescent="0.3">
      <c r="A47" s="1">
        <f t="shared" si="3"/>
        <v>44390</v>
      </c>
      <c r="B47" s="34">
        <f t="shared" si="4"/>
        <v>0.40612268518518518</v>
      </c>
      <c r="C47" s="34">
        <f t="shared" si="5"/>
        <v>44390.406122685185</v>
      </c>
      <c r="D47" s="69" t="str">
        <f t="shared" si="6"/>
        <v>2021-07-13</v>
      </c>
      <c r="E47" s="36" t="s">
        <v>967</v>
      </c>
      <c r="F47" s="35" t="str">
        <f t="shared" si="1"/>
        <v>2021-07-13_09-44-49</v>
      </c>
      <c r="G47" s="37">
        <v>6268164</v>
      </c>
      <c r="H47" s="38">
        <v>6455857</v>
      </c>
      <c r="I47" s="19" t="str">
        <f>IF(OR(COUNTIF(Monitoring!C:C, F47) &gt; 0, COUNTIF(Monitoring!D:D, F47) &gt; 0), "yes", "no")</f>
        <v>yes</v>
      </c>
      <c r="J47" s="70" t="str">
        <f t="shared" si="2"/>
        <v>Z:\FAIR_Device_data\Experiment_JulAug_2021\Video_captures\2021-07-13\2021-07-13_09-44-49.mp4</v>
      </c>
    </row>
    <row r="48" spans="1:10" x14ac:dyDescent="0.3">
      <c r="A48" s="1">
        <f t="shared" si="3"/>
        <v>44390</v>
      </c>
      <c r="B48" s="34">
        <f t="shared" si="4"/>
        <v>0.41166666666666668</v>
      </c>
      <c r="C48" s="34">
        <f t="shared" si="5"/>
        <v>44390.411666666667</v>
      </c>
      <c r="D48" s="69" t="str">
        <f t="shared" si="6"/>
        <v>2021-07-13</v>
      </c>
      <c r="E48" s="36" t="s">
        <v>968</v>
      </c>
      <c r="F48" s="35" t="str">
        <f t="shared" si="1"/>
        <v>2021-07-13_09-52-48</v>
      </c>
      <c r="G48" s="37">
        <v>8747917</v>
      </c>
      <c r="H48" s="38">
        <v>9773802</v>
      </c>
      <c r="I48" s="19" t="str">
        <f>IF(OR(COUNTIF(Monitoring!C:C, F48) &gt; 0, COUNTIF(Monitoring!D:D, F48) &gt; 0), "yes", "no")</f>
        <v>yes</v>
      </c>
      <c r="J48" s="70" t="str">
        <f t="shared" si="2"/>
        <v>Z:\FAIR_Device_data\Experiment_JulAug_2021\Video_captures\2021-07-13\2021-07-13_09-52-48.mp4</v>
      </c>
    </row>
    <row r="49" spans="1:10" x14ac:dyDescent="0.3">
      <c r="A49" s="1">
        <f t="shared" si="3"/>
        <v>44390</v>
      </c>
      <c r="B49" s="34">
        <f t="shared" si="4"/>
        <v>0.41650462962962964</v>
      </c>
      <c r="C49" s="34">
        <f t="shared" si="5"/>
        <v>44390.416504629633</v>
      </c>
      <c r="D49" s="69" t="str">
        <f t="shared" si="6"/>
        <v>2021-07-13</v>
      </c>
      <c r="E49" s="36" t="s">
        <v>969</v>
      </c>
      <c r="F49" s="35" t="str">
        <f t="shared" si="1"/>
        <v>2021-07-13_09-59-46</v>
      </c>
      <c r="G49" s="37">
        <v>9605990</v>
      </c>
      <c r="H49" s="38">
        <v>10724909</v>
      </c>
      <c r="I49" s="19" t="str">
        <f>IF(OR(COUNTIF(Monitoring!C:C, F49) &gt; 0, COUNTIF(Monitoring!D:D, F49) &gt; 0), "yes", "no")</f>
        <v>yes</v>
      </c>
      <c r="J49" s="70" t="str">
        <f t="shared" si="2"/>
        <v>Z:\FAIR_Device_data\Experiment_JulAug_2021\Video_captures\2021-07-13\2021-07-13_09-59-46.mp4</v>
      </c>
    </row>
    <row r="50" spans="1:10" x14ac:dyDescent="0.3">
      <c r="A50" s="1">
        <f t="shared" si="3"/>
        <v>44390</v>
      </c>
      <c r="B50" s="34">
        <f t="shared" si="4"/>
        <v>0.43410879629629628</v>
      </c>
      <c r="C50" s="34">
        <f t="shared" si="5"/>
        <v>44390.434108796297</v>
      </c>
      <c r="D50" s="69" t="str">
        <f t="shared" si="6"/>
        <v>2021-07-13</v>
      </c>
      <c r="E50" s="36" t="s">
        <v>970</v>
      </c>
      <c r="F50" s="35" t="str">
        <f t="shared" si="1"/>
        <v>2021-07-13_10-25-07</v>
      </c>
      <c r="G50" s="37">
        <v>10686849</v>
      </c>
      <c r="H50" s="38">
        <v>10906581</v>
      </c>
      <c r="I50" s="19" t="str">
        <f>IF(OR(COUNTIF(Monitoring!C:C, F50) &gt; 0, COUNTIF(Monitoring!D:D, F50) &gt; 0), "yes", "no")</f>
        <v>yes</v>
      </c>
      <c r="J50" s="70" t="str">
        <f t="shared" si="2"/>
        <v>Z:\FAIR_Device_data\Experiment_JulAug_2021\Video_captures\2021-07-13\2021-07-13_10-25-07.mp4</v>
      </c>
    </row>
    <row r="51" spans="1:10" x14ac:dyDescent="0.3">
      <c r="A51" s="1">
        <f t="shared" si="3"/>
        <v>44390</v>
      </c>
      <c r="B51" s="34">
        <f t="shared" si="4"/>
        <v>0.46083333333333332</v>
      </c>
      <c r="C51" s="34">
        <f t="shared" si="5"/>
        <v>44390.460833333331</v>
      </c>
      <c r="D51" s="69" t="str">
        <f t="shared" si="6"/>
        <v>2021-07-13</v>
      </c>
      <c r="E51" s="36" t="s">
        <v>971</v>
      </c>
      <c r="F51" s="35" t="str">
        <f t="shared" si="1"/>
        <v>2021-07-13_11-03-36</v>
      </c>
      <c r="G51" s="37">
        <v>464728906</v>
      </c>
      <c r="H51" s="38">
        <v>356703990</v>
      </c>
      <c r="I51" s="19" t="str">
        <f>IF(OR(COUNTIF(Monitoring!C:C, F51) &gt; 0, COUNTIF(Monitoring!D:D, F51) &gt; 0), "yes", "no")</f>
        <v>yes</v>
      </c>
      <c r="J51" s="70" t="str">
        <f t="shared" si="2"/>
        <v>Z:\FAIR_Device_data\Experiment_JulAug_2021\Video_captures\2021-07-13\2021-07-13_11-03-36.mp4</v>
      </c>
    </row>
    <row r="52" spans="1:10" x14ac:dyDescent="0.3">
      <c r="A52" s="1">
        <f t="shared" si="3"/>
        <v>44390</v>
      </c>
      <c r="B52" s="34">
        <f t="shared" si="4"/>
        <v>0.46663194444444445</v>
      </c>
      <c r="C52" s="34">
        <f t="shared" si="5"/>
        <v>44390.466631944444</v>
      </c>
      <c r="D52" s="69" t="str">
        <f t="shared" si="6"/>
        <v>2021-07-13</v>
      </c>
      <c r="E52" s="36" t="s">
        <v>972</v>
      </c>
      <c r="F52" s="35" t="str">
        <f t="shared" si="1"/>
        <v>2021-07-13_11-11-57</v>
      </c>
      <c r="G52" s="37">
        <v>2060938802</v>
      </c>
      <c r="H52" s="38">
        <v>1293278218</v>
      </c>
      <c r="I52" s="19" t="str">
        <f>IF(OR(COUNTIF(Monitoring!C:C, F52) &gt; 0, COUNTIF(Monitoring!D:D, F52) &gt; 0), "yes", "no")</f>
        <v>yes</v>
      </c>
      <c r="J52" s="70" t="str">
        <f t="shared" si="2"/>
        <v>Z:\FAIR_Device_data\Experiment_JulAug_2021\Video_captures\2021-07-13\2021-07-13_11-11-57.mp4</v>
      </c>
    </row>
    <row r="53" spans="1:10" x14ac:dyDescent="0.3">
      <c r="A53" s="1">
        <f t="shared" si="3"/>
        <v>44390</v>
      </c>
      <c r="B53" s="34">
        <f t="shared" si="4"/>
        <v>0.49105324074074075</v>
      </c>
      <c r="C53" s="34">
        <f t="shared" si="5"/>
        <v>44390.491053240738</v>
      </c>
      <c r="D53" s="69" t="str">
        <f t="shared" si="6"/>
        <v>2021-07-13</v>
      </c>
      <c r="E53" s="36" t="s">
        <v>973</v>
      </c>
      <c r="F53" s="35" t="str">
        <f t="shared" si="1"/>
        <v>2021-07-13_11-47-07</v>
      </c>
      <c r="G53" s="37">
        <v>92592122</v>
      </c>
      <c r="H53" s="38">
        <v>100676297</v>
      </c>
      <c r="I53" s="19" t="str">
        <f>IF(OR(COUNTIF(Monitoring!C:C, F53) &gt; 0, COUNTIF(Monitoring!D:D, F53) &gt; 0), "yes", "no")</f>
        <v>no</v>
      </c>
      <c r="J53" s="70" t="str">
        <f t="shared" si="2"/>
        <v>Z:\FAIR_Device_data\Experiment_JulAug_2021\Video_captures\2021-07-13\2021-07-13_11-47-07.mp4</v>
      </c>
    </row>
    <row r="54" spans="1:10" x14ac:dyDescent="0.3">
      <c r="A54" s="1">
        <f t="shared" si="3"/>
        <v>44390</v>
      </c>
      <c r="B54" s="34">
        <f t="shared" si="4"/>
        <v>0.49359953703703702</v>
      </c>
      <c r="C54" s="34">
        <f t="shared" si="5"/>
        <v>44390.49359953704</v>
      </c>
      <c r="D54" s="69" t="str">
        <f t="shared" si="6"/>
        <v>2021-07-13</v>
      </c>
      <c r="E54" s="36" t="s">
        <v>974</v>
      </c>
      <c r="F54" s="35" t="str">
        <f t="shared" si="1"/>
        <v>2021-07-13_11-50-47</v>
      </c>
      <c r="G54" s="37">
        <v>797603971</v>
      </c>
      <c r="H54" s="38">
        <v>597818602</v>
      </c>
      <c r="I54" s="19" t="str">
        <f>IF(OR(COUNTIF(Monitoring!C:C, F54) &gt; 0, COUNTIF(Monitoring!D:D, F54) &gt; 0), "yes", "no")</f>
        <v>yes</v>
      </c>
      <c r="J54" s="70" t="str">
        <f t="shared" si="2"/>
        <v>Z:\FAIR_Device_data\Experiment_JulAug_2021\Video_captures\2021-07-13\2021-07-13_11-50-47.mp4</v>
      </c>
    </row>
    <row r="55" spans="1:10" x14ac:dyDescent="0.3">
      <c r="A55" s="1">
        <f t="shared" si="3"/>
        <v>44390</v>
      </c>
      <c r="B55" s="34">
        <f t="shared" si="4"/>
        <v>0.5153240740740741</v>
      </c>
      <c r="C55" s="34">
        <f t="shared" si="5"/>
        <v>44390.515324074076</v>
      </c>
      <c r="D55" s="69" t="str">
        <f t="shared" si="6"/>
        <v>2021-07-13</v>
      </c>
      <c r="E55" s="36" t="s">
        <v>975</v>
      </c>
      <c r="F55" s="35" t="str">
        <f t="shared" si="1"/>
        <v>2021-07-13_12-22-04</v>
      </c>
      <c r="G55" s="37">
        <v>7440495</v>
      </c>
      <c r="H55" s="38">
        <v>7107824</v>
      </c>
      <c r="I55" s="19" t="str">
        <f>IF(OR(COUNTIF(Monitoring!C:C, F55) &gt; 0, COUNTIF(Monitoring!D:D, F55) &gt; 0), "yes", "no")</f>
        <v>yes</v>
      </c>
      <c r="J55" s="70" t="str">
        <f t="shared" si="2"/>
        <v>Z:\FAIR_Device_data\Experiment_JulAug_2021\Video_captures\2021-07-13\2021-07-13_12-22-04.mp4</v>
      </c>
    </row>
    <row r="56" spans="1:10" x14ac:dyDescent="0.3">
      <c r="A56" s="1">
        <f t="shared" si="3"/>
        <v>44390</v>
      </c>
      <c r="B56" s="34">
        <f t="shared" si="4"/>
        <v>0.51854166666666668</v>
      </c>
      <c r="C56" s="34">
        <f t="shared" si="5"/>
        <v>44390.518541666665</v>
      </c>
      <c r="D56" s="69" t="str">
        <f t="shared" si="6"/>
        <v>2021-07-13</v>
      </c>
      <c r="E56" s="36" t="s">
        <v>976</v>
      </c>
      <c r="F56" s="35" t="str">
        <f t="shared" si="1"/>
        <v>2021-07-13_12-26-42</v>
      </c>
      <c r="G56" s="37">
        <v>5136849</v>
      </c>
      <c r="H56" s="38">
        <v>5758340</v>
      </c>
      <c r="I56" s="19" t="str">
        <f>IF(OR(COUNTIF(Monitoring!C:C, F56) &gt; 0, COUNTIF(Monitoring!D:D, F56) &gt; 0), "yes", "no")</f>
        <v>yes</v>
      </c>
      <c r="J56" s="70" t="str">
        <f t="shared" si="2"/>
        <v>Z:\FAIR_Device_data\Experiment_JulAug_2021\Video_captures\2021-07-13\2021-07-13_12-26-42.mp4</v>
      </c>
    </row>
    <row r="57" spans="1:10" x14ac:dyDescent="0.3">
      <c r="A57" s="1">
        <f t="shared" si="3"/>
        <v>44390</v>
      </c>
      <c r="B57" s="34">
        <f t="shared" si="4"/>
        <v>0.52716435185185184</v>
      </c>
      <c r="C57" s="34">
        <f t="shared" si="5"/>
        <v>44390.52716435185</v>
      </c>
      <c r="D57" s="69" t="str">
        <f t="shared" si="6"/>
        <v>2021-07-13</v>
      </c>
      <c r="E57" s="36" t="s">
        <v>977</v>
      </c>
      <c r="F57" s="35" t="str">
        <f t="shared" si="1"/>
        <v>2021-07-13_12-39-07</v>
      </c>
      <c r="G57" s="37">
        <v>7659375</v>
      </c>
      <c r="H57" s="38">
        <v>8334815</v>
      </c>
      <c r="I57" s="19" t="str">
        <f>IF(OR(COUNTIF(Monitoring!C:C, F57) &gt; 0, COUNTIF(Monitoring!D:D, F57) &gt; 0), "yes", "no")</f>
        <v>yes</v>
      </c>
      <c r="J57" s="70" t="str">
        <f t="shared" si="2"/>
        <v>Z:\FAIR_Device_data\Experiment_JulAug_2021\Video_captures\2021-07-13\2021-07-13_12-39-07.mp4</v>
      </c>
    </row>
    <row r="58" spans="1:10" x14ac:dyDescent="0.3">
      <c r="A58" s="1">
        <f t="shared" si="3"/>
        <v>44390</v>
      </c>
      <c r="B58" s="34">
        <f t="shared" si="4"/>
        <v>0.5466550925925926</v>
      </c>
      <c r="C58" s="34">
        <f t="shared" si="5"/>
        <v>44390.546655092592</v>
      </c>
      <c r="D58" s="69" t="str">
        <f t="shared" si="6"/>
        <v>2021-07-13</v>
      </c>
      <c r="E58" s="36" t="s">
        <v>978</v>
      </c>
      <c r="F58" s="35" t="str">
        <f t="shared" si="1"/>
        <v>2021-07-13_13-07-11</v>
      </c>
      <c r="G58" s="37">
        <v>4607943</v>
      </c>
      <c r="H58" s="38">
        <v>5219212</v>
      </c>
      <c r="I58" s="19" t="str">
        <f>IF(OR(COUNTIF(Monitoring!C:C, F58) &gt; 0, COUNTIF(Monitoring!D:D, F58) &gt; 0), "yes", "no")</f>
        <v>yes</v>
      </c>
      <c r="J58" s="70" t="str">
        <f t="shared" si="2"/>
        <v>Z:\FAIR_Device_data\Experiment_JulAug_2021\Video_captures\2021-07-13\2021-07-13_13-07-11.mp4</v>
      </c>
    </row>
    <row r="59" spans="1:10" x14ac:dyDescent="0.3">
      <c r="A59" s="1">
        <f t="shared" si="3"/>
        <v>44390</v>
      </c>
      <c r="B59" s="34">
        <f t="shared" si="4"/>
        <v>0.55600694444444443</v>
      </c>
      <c r="C59" s="34">
        <f t="shared" si="5"/>
        <v>44390.556006944447</v>
      </c>
      <c r="D59" s="69" t="str">
        <f t="shared" si="6"/>
        <v>2021-07-13</v>
      </c>
      <c r="E59" s="36" t="s">
        <v>979</v>
      </c>
      <c r="F59" s="35" t="str">
        <f t="shared" si="1"/>
        <v>2021-07-13_13-20-39</v>
      </c>
      <c r="G59" s="37">
        <v>10723893</v>
      </c>
      <c r="H59" s="38">
        <v>10791779</v>
      </c>
      <c r="I59" s="19" t="str">
        <f>IF(OR(COUNTIF(Monitoring!C:C, F59) &gt; 0, COUNTIF(Monitoring!D:D, F59) &gt; 0), "yes", "no")</f>
        <v>yes</v>
      </c>
      <c r="J59" s="70" t="str">
        <f t="shared" si="2"/>
        <v>Z:\FAIR_Device_data\Experiment_JulAug_2021\Video_captures\2021-07-13\2021-07-13_13-20-39.mp4</v>
      </c>
    </row>
    <row r="60" spans="1:10" x14ac:dyDescent="0.3">
      <c r="A60" s="1">
        <f t="shared" si="3"/>
        <v>44390</v>
      </c>
      <c r="B60" s="34">
        <f t="shared" si="4"/>
        <v>0.56077546296296299</v>
      </c>
      <c r="C60" s="34">
        <f t="shared" si="5"/>
        <v>44390.56077546296</v>
      </c>
      <c r="D60" s="69" t="str">
        <f t="shared" si="6"/>
        <v>2021-07-13</v>
      </c>
      <c r="E60" s="36" t="s">
        <v>980</v>
      </c>
      <c r="F60" s="35" t="str">
        <f t="shared" si="1"/>
        <v>2021-07-13_13-27-31</v>
      </c>
      <c r="G60" s="37">
        <v>4528451</v>
      </c>
      <c r="H60" s="38">
        <v>5115049</v>
      </c>
      <c r="I60" s="19" t="str">
        <f>IF(OR(COUNTIF(Monitoring!C:C, F60) &gt; 0, COUNTIF(Monitoring!D:D, F60) &gt; 0), "yes", "no")</f>
        <v>yes</v>
      </c>
      <c r="J60" s="70" t="str">
        <f t="shared" si="2"/>
        <v>Z:\FAIR_Device_data\Experiment_JulAug_2021\Video_captures\2021-07-13\2021-07-13_13-27-31.mp4</v>
      </c>
    </row>
    <row r="61" spans="1:10" x14ac:dyDescent="0.3">
      <c r="A61" s="1">
        <f t="shared" si="3"/>
        <v>44390</v>
      </c>
      <c r="B61" s="34">
        <f t="shared" si="4"/>
        <v>0.58339120370370368</v>
      </c>
      <c r="C61" s="34">
        <f t="shared" si="5"/>
        <v>44390.583391203705</v>
      </c>
      <c r="D61" s="69" t="str">
        <f t="shared" si="6"/>
        <v>2021-07-13</v>
      </c>
      <c r="E61" s="36" t="s">
        <v>981</v>
      </c>
      <c r="F61" s="35" t="str">
        <f t="shared" si="1"/>
        <v>2021-07-13_14-00-05</v>
      </c>
      <c r="G61" s="37">
        <v>4582747</v>
      </c>
      <c r="H61" s="38">
        <v>5258815</v>
      </c>
      <c r="I61" s="19" t="str">
        <f>IF(OR(COUNTIF(Monitoring!C:C, F61) &gt; 0, COUNTIF(Monitoring!D:D, F61) &gt; 0), "yes", "no")</f>
        <v>no</v>
      </c>
      <c r="J61" s="70" t="str">
        <f t="shared" si="2"/>
        <v>Z:\FAIR_Device_data\Experiment_JulAug_2021\Video_captures\2021-07-13\2021-07-13_14-00-05.mp4</v>
      </c>
    </row>
    <row r="62" spans="1:10" x14ac:dyDescent="0.3">
      <c r="A62" s="1">
        <f t="shared" si="3"/>
        <v>44390</v>
      </c>
      <c r="B62" s="34">
        <f t="shared" si="4"/>
        <v>0.59578703703703706</v>
      </c>
      <c r="C62" s="34">
        <f t="shared" si="5"/>
        <v>44390.59578703704</v>
      </c>
      <c r="D62" s="69" t="str">
        <f t="shared" si="6"/>
        <v>2021-07-13</v>
      </c>
      <c r="E62" s="36" t="s">
        <v>982</v>
      </c>
      <c r="F62" s="35" t="str">
        <f t="shared" si="1"/>
        <v>2021-07-13_14-17-56</v>
      </c>
      <c r="G62" s="37">
        <v>49994792</v>
      </c>
      <c r="H62" s="38">
        <v>53205789</v>
      </c>
      <c r="I62" s="19" t="str">
        <f>IF(OR(COUNTIF(Monitoring!C:C, F62) &gt; 0, COUNTIF(Monitoring!D:D, F62) &gt; 0), "yes", "no")</f>
        <v>yes</v>
      </c>
      <c r="J62" s="70" t="str">
        <f t="shared" si="2"/>
        <v>Z:\FAIR_Device_data\Experiment_JulAug_2021\Video_captures\2021-07-13\2021-07-13_14-17-56.mp4</v>
      </c>
    </row>
    <row r="63" spans="1:10" x14ac:dyDescent="0.3">
      <c r="A63" s="1">
        <f t="shared" si="3"/>
        <v>44390</v>
      </c>
      <c r="B63" s="34">
        <f t="shared" si="4"/>
        <v>0.60024305555555557</v>
      </c>
      <c r="C63" s="34">
        <f t="shared" si="5"/>
        <v>44390.600243055553</v>
      </c>
      <c r="D63" s="69" t="str">
        <f t="shared" si="6"/>
        <v>2021-07-13</v>
      </c>
      <c r="E63" s="36" t="s">
        <v>983</v>
      </c>
      <c r="F63" s="35" t="str">
        <f t="shared" si="1"/>
        <v>2021-07-13_14-24-21</v>
      </c>
      <c r="G63" s="37">
        <v>27716406</v>
      </c>
      <c r="H63" s="38">
        <v>30346326</v>
      </c>
      <c r="I63" s="19" t="str">
        <f>IF(OR(COUNTIF(Monitoring!C:C, F63) &gt; 0, COUNTIF(Monitoring!D:D, F63) &gt; 0), "yes", "no")</f>
        <v>yes</v>
      </c>
      <c r="J63" s="70" t="str">
        <f t="shared" si="2"/>
        <v>Z:\FAIR_Device_data\Experiment_JulAug_2021\Video_captures\2021-07-13\2021-07-13_14-24-21.mp4</v>
      </c>
    </row>
    <row r="64" spans="1:10" x14ac:dyDescent="0.3">
      <c r="A64" s="1">
        <f t="shared" si="3"/>
        <v>44390</v>
      </c>
      <c r="B64" s="34">
        <f t="shared" si="4"/>
        <v>0.60122685185185187</v>
      </c>
      <c r="C64" s="34">
        <f t="shared" si="5"/>
        <v>44390.601226851853</v>
      </c>
      <c r="D64" s="69" t="str">
        <f t="shared" si="6"/>
        <v>2021-07-13</v>
      </c>
      <c r="E64" s="36" t="s">
        <v>984</v>
      </c>
      <c r="F64" s="35" t="str">
        <f t="shared" si="1"/>
        <v>2021-07-13_14-25-46</v>
      </c>
      <c r="G64" s="37">
        <v>9517708</v>
      </c>
      <c r="H64" s="38">
        <v>10852506</v>
      </c>
      <c r="I64" s="19" t="str">
        <f>IF(OR(COUNTIF(Monitoring!C:C, F64) &gt; 0, COUNTIF(Monitoring!D:D, F64) &gt; 0), "yes", "no")</f>
        <v>yes</v>
      </c>
      <c r="J64" s="70" t="str">
        <f t="shared" si="2"/>
        <v>Z:\FAIR_Device_data\Experiment_JulAug_2021\Video_captures\2021-07-13\2021-07-13_14-25-46.mp4</v>
      </c>
    </row>
    <row r="65" spans="1:10" x14ac:dyDescent="0.3">
      <c r="A65" s="1">
        <f t="shared" si="3"/>
        <v>44390</v>
      </c>
      <c r="B65" s="34">
        <f t="shared" si="4"/>
        <v>0.60445601851851849</v>
      </c>
      <c r="C65" s="34">
        <f t="shared" si="5"/>
        <v>44390.604456018518</v>
      </c>
      <c r="D65" s="69" t="str">
        <f t="shared" si="6"/>
        <v>2021-07-13</v>
      </c>
      <c r="E65" s="36" t="s">
        <v>985</v>
      </c>
      <c r="F65" s="35" t="str">
        <f t="shared" si="1"/>
        <v>2021-07-13_14-30-25</v>
      </c>
      <c r="G65" s="37">
        <v>9791016</v>
      </c>
      <c r="H65" s="38">
        <v>11084359</v>
      </c>
      <c r="I65" s="19" t="str">
        <f>IF(OR(COUNTIF(Monitoring!C:C, F65) &gt; 0, COUNTIF(Monitoring!D:D, F65) &gt; 0), "yes", "no")</f>
        <v>yes</v>
      </c>
      <c r="J65" s="70" t="str">
        <f t="shared" si="2"/>
        <v>Z:\FAIR_Device_data\Experiment_JulAug_2021\Video_captures\2021-07-13\2021-07-13_14-30-25.mp4</v>
      </c>
    </row>
    <row r="66" spans="1:10" x14ac:dyDescent="0.3">
      <c r="A66" s="1">
        <f t="shared" si="3"/>
        <v>44390</v>
      </c>
      <c r="B66" s="34">
        <f t="shared" si="4"/>
        <v>0.61020833333333335</v>
      </c>
      <c r="C66" s="34">
        <f t="shared" si="5"/>
        <v>44390.610208333332</v>
      </c>
      <c r="D66" s="69" t="str">
        <f t="shared" si="6"/>
        <v>2021-07-13</v>
      </c>
      <c r="E66" s="36" t="s">
        <v>986</v>
      </c>
      <c r="F66" s="35" t="str">
        <f t="shared" ref="F66:F129" si="7">+LEFT(E66,19)</f>
        <v>2021-07-13_14-38-42</v>
      </c>
      <c r="G66" s="37">
        <v>43431439</v>
      </c>
      <c r="H66" s="38">
        <v>39493967</v>
      </c>
      <c r="I66" s="19" t="str">
        <f>IF(OR(COUNTIF(Monitoring!C:C, F66) &gt; 0, COUNTIF(Monitoring!D:D, F66) &gt; 0), "yes", "no")</f>
        <v>yes</v>
      </c>
      <c r="J66" s="70" t="str">
        <f t="shared" ref="J66:J129" si="8">HYPERLINK(_xlfn.CONCAT("Z:\FAIR_Device_data\Experiment_JulAug_2021","\","Video_captures","\",D66,"\",E66))</f>
        <v>Z:\FAIR_Device_data\Experiment_JulAug_2021\Video_captures\2021-07-13\2021-07-13_14-38-42.mp4</v>
      </c>
    </row>
    <row r="67" spans="1:10" x14ac:dyDescent="0.3">
      <c r="A67" s="1">
        <f t="shared" ref="A67:A130" si="9">VALUE(MID(F67,1,10))</f>
        <v>44390</v>
      </c>
      <c r="B67" s="34">
        <f t="shared" ref="B67:B130" si="10">IF(ISBLANK(F67),"",TIME(LEFT(RIGHT(F67,8),2),LEFT(RIGHT(F67,5),2),RIGHT(F67,2)))</f>
        <v>0.6111226851851852</v>
      </c>
      <c r="C67" s="34">
        <f t="shared" ref="C67:C130" si="11">+A67+B67</f>
        <v>44390.611122685186</v>
      </c>
      <c r="D67" s="69" t="str">
        <f t="shared" ref="D67:D130" si="12">+_xlfn.CONCAT(YEAR(A67),"-",TEXT(MONTH(A67),"00"),"-",TEXT(DAY(A67),"00"))</f>
        <v>2021-07-13</v>
      </c>
      <c r="E67" s="36" t="s">
        <v>987</v>
      </c>
      <c r="F67" s="35" t="str">
        <f t="shared" si="7"/>
        <v>2021-07-13_14-40-01</v>
      </c>
      <c r="G67" s="37">
        <v>4594987</v>
      </c>
      <c r="H67" s="38">
        <v>5133242</v>
      </c>
      <c r="I67" s="19" t="str">
        <f>IF(OR(COUNTIF(Monitoring!C:C, F67) &gt; 0, COUNTIF(Monitoring!D:D, F67) &gt; 0), "yes", "no")</f>
        <v>no</v>
      </c>
      <c r="J67" s="70" t="str">
        <f t="shared" si="8"/>
        <v>Z:\FAIR_Device_data\Experiment_JulAug_2021\Video_captures\2021-07-13\2021-07-13_14-40-01.mp4</v>
      </c>
    </row>
    <row r="68" spans="1:10" x14ac:dyDescent="0.3">
      <c r="A68" s="1">
        <f t="shared" si="9"/>
        <v>44390</v>
      </c>
      <c r="B68" s="34">
        <f t="shared" si="10"/>
        <v>0.61290509259259263</v>
      </c>
      <c r="C68" s="34">
        <f t="shared" si="11"/>
        <v>44390.612905092596</v>
      </c>
      <c r="D68" s="69" t="str">
        <f t="shared" si="12"/>
        <v>2021-07-13</v>
      </c>
      <c r="E68" s="36" t="s">
        <v>988</v>
      </c>
      <c r="F68" s="35" t="str">
        <f t="shared" si="7"/>
        <v>2021-07-13_14-42-35</v>
      </c>
      <c r="G68" s="37">
        <v>18397266</v>
      </c>
      <c r="H68" s="38">
        <v>21158550</v>
      </c>
      <c r="I68" s="19" t="str">
        <f>IF(OR(COUNTIF(Monitoring!C:C, F68) &gt; 0, COUNTIF(Monitoring!D:D, F68) &gt; 0), "yes", "no")</f>
        <v>no</v>
      </c>
      <c r="J68" s="70" t="str">
        <f t="shared" si="8"/>
        <v>Z:\FAIR_Device_data\Experiment_JulAug_2021\Video_captures\2021-07-13\2021-07-13_14-42-35.mp4</v>
      </c>
    </row>
    <row r="69" spans="1:10" x14ac:dyDescent="0.3">
      <c r="A69" s="1">
        <f t="shared" si="9"/>
        <v>44390</v>
      </c>
      <c r="B69" s="34">
        <f t="shared" si="10"/>
        <v>0.6146759259259259</v>
      </c>
      <c r="C69" s="34">
        <f t="shared" si="11"/>
        <v>44390.614675925928</v>
      </c>
      <c r="D69" s="69" t="str">
        <f t="shared" si="12"/>
        <v>2021-07-13</v>
      </c>
      <c r="E69" s="36" t="s">
        <v>989</v>
      </c>
      <c r="F69" s="35" t="str">
        <f t="shared" si="7"/>
        <v>2021-07-13_14-45-08</v>
      </c>
      <c r="G69" s="37">
        <v>12823047</v>
      </c>
      <c r="H69" s="38">
        <v>14394833</v>
      </c>
      <c r="I69" s="19" t="str">
        <f>IF(OR(COUNTIF(Monitoring!C:C, F69) &gt; 0, COUNTIF(Monitoring!D:D, F69) &gt; 0), "yes", "no")</f>
        <v>no</v>
      </c>
      <c r="J69" s="70" t="str">
        <f t="shared" si="8"/>
        <v>Z:\FAIR_Device_data\Experiment_JulAug_2021\Video_captures\2021-07-13\2021-07-13_14-45-08.mp4</v>
      </c>
    </row>
    <row r="70" spans="1:10" x14ac:dyDescent="0.3">
      <c r="A70" s="1">
        <f t="shared" si="9"/>
        <v>44390</v>
      </c>
      <c r="B70" s="34">
        <f t="shared" si="10"/>
        <v>0.61547453703703703</v>
      </c>
      <c r="C70" s="34">
        <f t="shared" si="11"/>
        <v>44390.615474537037</v>
      </c>
      <c r="D70" s="69" t="str">
        <f t="shared" si="12"/>
        <v>2021-07-13</v>
      </c>
      <c r="E70" s="36" t="s">
        <v>990</v>
      </c>
      <c r="F70" s="35" t="str">
        <f t="shared" si="7"/>
        <v>2021-07-13_14-46-17</v>
      </c>
      <c r="G70" s="37">
        <v>8111263</v>
      </c>
      <c r="H70" s="38">
        <v>8909575</v>
      </c>
      <c r="I70" s="19" t="str">
        <f>IF(OR(COUNTIF(Monitoring!C:C, F70) &gt; 0, COUNTIF(Monitoring!D:D, F70) &gt; 0), "yes", "no")</f>
        <v>yes</v>
      </c>
      <c r="J70" s="70" t="str">
        <f t="shared" si="8"/>
        <v>Z:\FAIR_Device_data\Experiment_JulAug_2021\Video_captures\2021-07-13\2021-07-13_14-46-17.mp4</v>
      </c>
    </row>
    <row r="71" spans="1:10" x14ac:dyDescent="0.3">
      <c r="A71" s="1">
        <f t="shared" si="9"/>
        <v>44390</v>
      </c>
      <c r="B71" s="34">
        <f t="shared" si="10"/>
        <v>0.61592592592592588</v>
      </c>
      <c r="C71" s="34">
        <f t="shared" si="11"/>
        <v>44390.615925925929</v>
      </c>
      <c r="D71" s="69" t="str">
        <f t="shared" si="12"/>
        <v>2021-07-13</v>
      </c>
      <c r="E71" s="36" t="s">
        <v>991</v>
      </c>
      <c r="F71" s="35" t="str">
        <f t="shared" si="7"/>
        <v>2021-07-13_14-46-56</v>
      </c>
      <c r="G71" s="37">
        <v>8137305</v>
      </c>
      <c r="H71" s="38">
        <v>9065516</v>
      </c>
      <c r="I71" s="19" t="str">
        <f>IF(OR(COUNTIF(Monitoring!C:C, F71) &gt; 0, COUNTIF(Monitoring!D:D, F71) &gt; 0), "yes", "no")</f>
        <v>yes</v>
      </c>
      <c r="J71" s="70" t="str">
        <f t="shared" si="8"/>
        <v>Z:\FAIR_Device_data\Experiment_JulAug_2021\Video_captures\2021-07-13\2021-07-13_14-46-56.mp4</v>
      </c>
    </row>
    <row r="72" spans="1:10" x14ac:dyDescent="0.3">
      <c r="A72" s="1">
        <f t="shared" si="9"/>
        <v>44390</v>
      </c>
      <c r="B72" s="34">
        <f t="shared" si="10"/>
        <v>0.62103009259259256</v>
      </c>
      <c r="C72" s="34">
        <f t="shared" si="11"/>
        <v>44390.621030092596</v>
      </c>
      <c r="D72" s="69" t="str">
        <f t="shared" si="12"/>
        <v>2021-07-13</v>
      </c>
      <c r="E72" s="36" t="s">
        <v>992</v>
      </c>
      <c r="F72" s="35" t="str">
        <f t="shared" si="7"/>
        <v>2021-07-13_14-54-17</v>
      </c>
      <c r="G72" s="37">
        <v>5780599</v>
      </c>
      <c r="H72" s="38">
        <v>6151971</v>
      </c>
      <c r="I72" s="19" t="str">
        <f>IF(OR(COUNTIF(Monitoring!C:C, F72) &gt; 0, COUNTIF(Monitoring!D:D, F72) &gt; 0), "yes", "no")</f>
        <v>yes</v>
      </c>
      <c r="J72" s="70" t="str">
        <f t="shared" si="8"/>
        <v>Z:\FAIR_Device_data\Experiment_JulAug_2021\Video_captures\2021-07-13\2021-07-13_14-54-17.mp4</v>
      </c>
    </row>
    <row r="73" spans="1:10" x14ac:dyDescent="0.3">
      <c r="A73" s="1">
        <f t="shared" si="9"/>
        <v>44390</v>
      </c>
      <c r="B73" s="34">
        <f t="shared" si="10"/>
        <v>0.64222222222222225</v>
      </c>
      <c r="C73" s="34">
        <f t="shared" si="11"/>
        <v>44390.642222222225</v>
      </c>
      <c r="D73" s="69" t="str">
        <f t="shared" si="12"/>
        <v>2021-07-13</v>
      </c>
      <c r="E73" s="36" t="s">
        <v>993</v>
      </c>
      <c r="F73" s="35" t="str">
        <f t="shared" si="7"/>
        <v>2021-07-13_15-24-48</v>
      </c>
      <c r="G73" s="37">
        <v>5366081</v>
      </c>
      <c r="H73" s="38">
        <v>5869479</v>
      </c>
      <c r="I73" s="19" t="str">
        <f>IF(OR(COUNTIF(Monitoring!C:C, F73) &gt; 0, COUNTIF(Monitoring!D:D, F73) &gt; 0), "yes", "no")</f>
        <v>yes</v>
      </c>
      <c r="J73" s="70" t="str">
        <f t="shared" si="8"/>
        <v>Z:\FAIR_Device_data\Experiment_JulAug_2021\Video_captures\2021-07-13\2021-07-13_15-24-48.mp4</v>
      </c>
    </row>
    <row r="74" spans="1:10" x14ac:dyDescent="0.3">
      <c r="A74" s="1">
        <f t="shared" si="9"/>
        <v>44390</v>
      </c>
      <c r="B74" s="34">
        <f t="shared" si="10"/>
        <v>0.65268518518518515</v>
      </c>
      <c r="C74" s="34">
        <f t="shared" si="11"/>
        <v>44390.652685185189</v>
      </c>
      <c r="D74" s="69" t="str">
        <f t="shared" si="12"/>
        <v>2021-07-13</v>
      </c>
      <c r="E74" s="36" t="s">
        <v>994</v>
      </c>
      <c r="F74" s="35" t="str">
        <f t="shared" si="7"/>
        <v>2021-07-13_15-39-52</v>
      </c>
      <c r="G74" s="37">
        <v>5726823</v>
      </c>
      <c r="H74" s="38">
        <v>6205935</v>
      </c>
      <c r="I74" s="19" t="str">
        <f>IF(OR(COUNTIF(Monitoring!C:C, F74) &gt; 0, COUNTIF(Monitoring!D:D, F74) &gt; 0), "yes", "no")</f>
        <v>yes</v>
      </c>
      <c r="J74" s="70" t="str">
        <f t="shared" si="8"/>
        <v>Z:\FAIR_Device_data\Experiment_JulAug_2021\Video_captures\2021-07-13\2021-07-13_15-39-52.mp4</v>
      </c>
    </row>
    <row r="75" spans="1:10" x14ac:dyDescent="0.3">
      <c r="A75" s="1">
        <f t="shared" si="9"/>
        <v>44390</v>
      </c>
      <c r="B75" s="34">
        <f t="shared" si="10"/>
        <v>0.66282407407407407</v>
      </c>
      <c r="C75" s="34">
        <f t="shared" si="11"/>
        <v>44390.662824074076</v>
      </c>
      <c r="D75" s="69" t="str">
        <f t="shared" si="12"/>
        <v>2021-07-13</v>
      </c>
      <c r="E75" s="36" t="s">
        <v>995</v>
      </c>
      <c r="F75" s="35" t="str">
        <f t="shared" si="7"/>
        <v>2021-07-13_15-54-28</v>
      </c>
      <c r="G75" s="37">
        <v>343789844</v>
      </c>
      <c r="H75" s="38">
        <v>316187195</v>
      </c>
      <c r="I75" s="19" t="str">
        <f>IF(OR(COUNTIF(Monitoring!C:C, F75) &gt; 0, COUNTIF(Monitoring!D:D, F75) &gt; 0), "yes", "no")</f>
        <v>yes</v>
      </c>
      <c r="J75" s="70" t="str">
        <f t="shared" si="8"/>
        <v>Z:\FAIR_Device_data\Experiment_JulAug_2021\Video_captures\2021-07-13\2021-07-13_15-54-28.mp4</v>
      </c>
    </row>
    <row r="76" spans="1:10" x14ac:dyDescent="0.3">
      <c r="A76" s="1">
        <f t="shared" si="9"/>
        <v>44390</v>
      </c>
      <c r="B76" s="34">
        <f t="shared" si="10"/>
        <v>0.66965277777777776</v>
      </c>
      <c r="C76" s="34">
        <f t="shared" si="11"/>
        <v>44390.669652777775</v>
      </c>
      <c r="D76" s="69" t="str">
        <f t="shared" si="12"/>
        <v>2021-07-13</v>
      </c>
      <c r="E76" s="36" t="s">
        <v>996</v>
      </c>
      <c r="F76" s="35" t="str">
        <f t="shared" si="7"/>
        <v>2021-07-13_16-04-18</v>
      </c>
      <c r="G76" s="37">
        <v>10370313</v>
      </c>
      <c r="H76" s="38">
        <v>11575527</v>
      </c>
      <c r="I76" s="19" t="str">
        <f>IF(OR(COUNTIF(Monitoring!C:C, F76) &gt; 0, COUNTIF(Monitoring!D:D, F76) &gt; 0), "yes", "no")</f>
        <v>yes</v>
      </c>
      <c r="J76" s="70" t="str">
        <f t="shared" si="8"/>
        <v>Z:\FAIR_Device_data\Experiment_JulAug_2021\Video_captures\2021-07-13\2021-07-13_16-04-18.mp4</v>
      </c>
    </row>
    <row r="77" spans="1:10" x14ac:dyDescent="0.3">
      <c r="A77" s="1">
        <f t="shared" si="9"/>
        <v>44390</v>
      </c>
      <c r="B77" s="34">
        <f t="shared" si="10"/>
        <v>0.69055555555555559</v>
      </c>
      <c r="C77" s="34">
        <f t="shared" si="11"/>
        <v>44390.690555555557</v>
      </c>
      <c r="D77" s="69" t="str">
        <f t="shared" si="12"/>
        <v>2021-07-13</v>
      </c>
      <c r="E77" s="36" t="s">
        <v>997</v>
      </c>
      <c r="F77" s="35" t="str">
        <f t="shared" si="7"/>
        <v>2021-07-13_16-34-24</v>
      </c>
      <c r="G77" s="37">
        <v>5844661</v>
      </c>
      <c r="H77" s="38">
        <v>6353654</v>
      </c>
      <c r="I77" s="19" t="str">
        <f>IF(OR(COUNTIF(Monitoring!C:C, F77) &gt; 0, COUNTIF(Monitoring!D:D, F77) &gt; 0), "yes", "no")</f>
        <v>yes</v>
      </c>
      <c r="J77" s="70" t="str">
        <f t="shared" si="8"/>
        <v>Z:\FAIR_Device_data\Experiment_JulAug_2021\Video_captures\2021-07-13\2021-07-13_16-34-24.mp4</v>
      </c>
    </row>
    <row r="78" spans="1:10" x14ac:dyDescent="0.3">
      <c r="A78" s="1">
        <f t="shared" si="9"/>
        <v>44390</v>
      </c>
      <c r="B78" s="34">
        <f t="shared" si="10"/>
        <v>0.69510416666666663</v>
      </c>
      <c r="C78" s="34">
        <f t="shared" si="11"/>
        <v>44390.695104166669</v>
      </c>
      <c r="D78" s="69" t="str">
        <f t="shared" si="12"/>
        <v>2021-07-13</v>
      </c>
      <c r="E78" s="36" t="s">
        <v>998</v>
      </c>
      <c r="F78" s="35" t="str">
        <f t="shared" si="7"/>
        <v>2021-07-13_16-40-57</v>
      </c>
      <c r="G78" s="37">
        <v>6455924</v>
      </c>
      <c r="H78" s="38">
        <v>6946839</v>
      </c>
      <c r="I78" s="19" t="str">
        <f>IF(OR(COUNTIF(Monitoring!C:C, F78) &gt; 0, COUNTIF(Monitoring!D:D, F78) &gt; 0), "yes", "no")</f>
        <v>yes</v>
      </c>
      <c r="J78" s="70" t="str">
        <f t="shared" si="8"/>
        <v>Z:\FAIR_Device_data\Experiment_JulAug_2021\Video_captures\2021-07-13\2021-07-13_16-40-57.mp4</v>
      </c>
    </row>
    <row r="79" spans="1:10" x14ac:dyDescent="0.3">
      <c r="A79" s="1">
        <f t="shared" si="9"/>
        <v>44390</v>
      </c>
      <c r="B79" s="34">
        <f t="shared" si="10"/>
        <v>0.69853009259259258</v>
      </c>
      <c r="C79" s="34">
        <f t="shared" si="11"/>
        <v>44390.698530092595</v>
      </c>
      <c r="D79" s="69" t="str">
        <f t="shared" si="12"/>
        <v>2021-07-13</v>
      </c>
      <c r="E79" s="36" t="s">
        <v>999</v>
      </c>
      <c r="F79" s="35" t="str">
        <f t="shared" si="7"/>
        <v>2021-07-13_16-45-53</v>
      </c>
      <c r="G79" s="37">
        <v>6458529</v>
      </c>
      <c r="H79" s="38">
        <v>7096832</v>
      </c>
      <c r="I79" s="19" t="str">
        <f>IF(OR(COUNTIF(Monitoring!C:C, F79) &gt; 0, COUNTIF(Monitoring!D:D, F79) &gt; 0), "yes", "no")</f>
        <v>yes</v>
      </c>
      <c r="J79" s="70" t="str">
        <f t="shared" si="8"/>
        <v>Z:\FAIR_Device_data\Experiment_JulAug_2021\Video_captures\2021-07-13\2021-07-13_16-45-53.mp4</v>
      </c>
    </row>
    <row r="80" spans="1:10" x14ac:dyDescent="0.3">
      <c r="A80" s="1">
        <f t="shared" si="9"/>
        <v>44390</v>
      </c>
      <c r="B80" s="34">
        <f t="shared" si="10"/>
        <v>0.70170138888888889</v>
      </c>
      <c r="C80" s="34">
        <f t="shared" si="11"/>
        <v>44390.701701388891</v>
      </c>
      <c r="D80" s="69" t="str">
        <f t="shared" si="12"/>
        <v>2021-07-13</v>
      </c>
      <c r="E80" s="36" t="s">
        <v>1000</v>
      </c>
      <c r="F80" s="35" t="str">
        <f t="shared" si="7"/>
        <v>2021-07-13_16-50-27</v>
      </c>
      <c r="G80" s="37">
        <v>11409896</v>
      </c>
      <c r="H80" s="38">
        <v>12121776</v>
      </c>
      <c r="I80" s="19" t="str">
        <f>IF(OR(COUNTIF(Monitoring!C:C, F80) &gt; 0, COUNTIF(Monitoring!D:D, F80) &gt; 0), "yes", "no")</f>
        <v>no</v>
      </c>
      <c r="J80" s="70" t="str">
        <f t="shared" si="8"/>
        <v>Z:\FAIR_Device_data\Experiment_JulAug_2021\Video_captures\2021-07-13\2021-07-13_16-50-27.mp4</v>
      </c>
    </row>
    <row r="81" spans="1:10" x14ac:dyDescent="0.3">
      <c r="A81" s="1">
        <f t="shared" si="9"/>
        <v>44390</v>
      </c>
      <c r="B81" s="34">
        <f t="shared" si="10"/>
        <v>0.70225694444444442</v>
      </c>
      <c r="C81" s="34">
        <f t="shared" si="11"/>
        <v>44390.702256944445</v>
      </c>
      <c r="D81" s="69" t="str">
        <f t="shared" si="12"/>
        <v>2021-07-13</v>
      </c>
      <c r="E81" s="36" t="s">
        <v>1001</v>
      </c>
      <c r="F81" s="35" t="str">
        <f t="shared" si="7"/>
        <v>2021-07-13_16-51-15</v>
      </c>
      <c r="G81" s="37">
        <v>11186719</v>
      </c>
      <c r="H81" s="38">
        <v>12443310</v>
      </c>
      <c r="I81" s="19" t="str">
        <f>IF(OR(COUNTIF(Monitoring!C:C, F81) &gt; 0, COUNTIF(Monitoring!D:D, F81) &gt; 0), "yes", "no")</f>
        <v>yes</v>
      </c>
      <c r="J81" s="70" t="str">
        <f t="shared" si="8"/>
        <v>Z:\FAIR_Device_data\Experiment_JulAug_2021\Video_captures\2021-07-13\2021-07-13_16-51-15.mp4</v>
      </c>
    </row>
    <row r="82" spans="1:10" x14ac:dyDescent="0.3">
      <c r="A82" s="1">
        <f t="shared" si="9"/>
        <v>44390</v>
      </c>
      <c r="B82" s="34">
        <f t="shared" si="10"/>
        <v>0.70384259259259263</v>
      </c>
      <c r="C82" s="34">
        <f t="shared" si="11"/>
        <v>44390.703842592593</v>
      </c>
      <c r="D82" s="69" t="str">
        <f t="shared" si="12"/>
        <v>2021-07-13</v>
      </c>
      <c r="E82" s="36" t="s">
        <v>1002</v>
      </c>
      <c r="F82" s="35" t="str">
        <f t="shared" si="7"/>
        <v>2021-07-13_16-53-32</v>
      </c>
      <c r="G82" s="37">
        <v>4919585</v>
      </c>
      <c r="H82" s="38">
        <v>5481927</v>
      </c>
      <c r="I82" s="19" t="str">
        <f>IF(OR(COUNTIF(Monitoring!C:C, F82) &gt; 0, COUNTIF(Monitoring!D:D, F82) &gt; 0), "yes", "no")</f>
        <v>yes</v>
      </c>
      <c r="J82" s="70" t="str">
        <f t="shared" si="8"/>
        <v>Z:\FAIR_Device_data\Experiment_JulAug_2021\Video_captures\2021-07-13\2021-07-13_16-53-32.mp4</v>
      </c>
    </row>
    <row r="83" spans="1:10" x14ac:dyDescent="0.3">
      <c r="A83" s="1">
        <f t="shared" si="9"/>
        <v>44390</v>
      </c>
      <c r="B83" s="34">
        <f t="shared" si="10"/>
        <v>0.70489583333333339</v>
      </c>
      <c r="C83" s="34">
        <f t="shared" si="11"/>
        <v>44390.704895833333</v>
      </c>
      <c r="D83" s="69" t="str">
        <f t="shared" si="12"/>
        <v>2021-07-13</v>
      </c>
      <c r="E83" s="36" t="s">
        <v>1003</v>
      </c>
      <c r="F83" s="35" t="str">
        <f t="shared" si="7"/>
        <v>2021-07-13_16-55-03</v>
      </c>
      <c r="G83" s="37">
        <v>4524935</v>
      </c>
      <c r="H83" s="38">
        <v>5130853</v>
      </c>
      <c r="I83" s="19" t="str">
        <f>IF(OR(COUNTIF(Monitoring!C:C, F83) &gt; 0, COUNTIF(Monitoring!D:D, F83) &gt; 0), "yes", "no")</f>
        <v>yes</v>
      </c>
      <c r="J83" s="70" t="str">
        <f t="shared" si="8"/>
        <v>Z:\FAIR_Device_data\Experiment_JulAug_2021\Video_captures\2021-07-13\2021-07-13_16-55-03.mp4</v>
      </c>
    </row>
    <row r="84" spans="1:10" x14ac:dyDescent="0.3">
      <c r="A84" s="1">
        <f t="shared" si="9"/>
        <v>44390</v>
      </c>
      <c r="B84" s="34">
        <f t="shared" si="10"/>
        <v>0.70634259259259258</v>
      </c>
      <c r="C84" s="34">
        <f t="shared" si="11"/>
        <v>44390.706342592595</v>
      </c>
      <c r="D84" s="69" t="str">
        <f t="shared" si="12"/>
        <v>2021-07-13</v>
      </c>
      <c r="E84" s="36" t="s">
        <v>1004</v>
      </c>
      <c r="F84" s="35" t="str">
        <f t="shared" si="7"/>
        <v>2021-07-13_16-57-08</v>
      </c>
      <c r="G84" s="37">
        <v>21197331</v>
      </c>
      <c r="H84" s="38">
        <v>23893085</v>
      </c>
      <c r="I84" s="19" t="str">
        <f>IF(OR(COUNTIF(Monitoring!C:C, F84) &gt; 0, COUNTIF(Monitoring!D:D, F84) &gt; 0), "yes", "no")</f>
        <v>yes</v>
      </c>
      <c r="J84" s="70" t="str">
        <f t="shared" si="8"/>
        <v>Z:\FAIR_Device_data\Experiment_JulAug_2021\Video_captures\2021-07-13\2021-07-13_16-57-08.mp4</v>
      </c>
    </row>
    <row r="85" spans="1:10" x14ac:dyDescent="0.3">
      <c r="A85" s="1">
        <f t="shared" si="9"/>
        <v>44390</v>
      </c>
      <c r="B85" s="34">
        <f t="shared" si="10"/>
        <v>0.71572916666666664</v>
      </c>
      <c r="C85" s="34">
        <f t="shared" si="11"/>
        <v>44390.715729166666</v>
      </c>
      <c r="D85" s="69" t="str">
        <f t="shared" si="12"/>
        <v>2021-07-13</v>
      </c>
      <c r="E85" s="36" t="s">
        <v>1005</v>
      </c>
      <c r="F85" s="35" t="str">
        <f t="shared" si="7"/>
        <v>2021-07-13_17-10-39</v>
      </c>
      <c r="G85" s="37">
        <v>5232943</v>
      </c>
      <c r="H85" s="38">
        <v>5938396</v>
      </c>
      <c r="I85" s="19" t="str">
        <f>IF(OR(COUNTIF(Monitoring!C:C, F85) &gt; 0, COUNTIF(Monitoring!D:D, F85) &gt; 0), "yes", "no")</f>
        <v>yes</v>
      </c>
      <c r="J85" s="70" t="str">
        <f t="shared" si="8"/>
        <v>Z:\FAIR_Device_data\Experiment_JulAug_2021\Video_captures\2021-07-13\2021-07-13_17-10-39.mp4</v>
      </c>
    </row>
    <row r="86" spans="1:10" x14ac:dyDescent="0.3">
      <c r="A86" s="1">
        <f t="shared" si="9"/>
        <v>44390</v>
      </c>
      <c r="B86" s="34">
        <f t="shared" si="10"/>
        <v>0.71799768518518514</v>
      </c>
      <c r="C86" s="34">
        <f t="shared" si="11"/>
        <v>44390.717997685184</v>
      </c>
      <c r="D86" s="69" t="str">
        <f t="shared" si="12"/>
        <v>2021-07-13</v>
      </c>
      <c r="E86" s="36" t="s">
        <v>1006</v>
      </c>
      <c r="F86" s="35" t="str">
        <f t="shared" si="7"/>
        <v>2021-07-13_17-13-55</v>
      </c>
      <c r="G86" s="37">
        <v>4590885</v>
      </c>
      <c r="H86" s="38">
        <v>5191975</v>
      </c>
      <c r="I86" s="19" t="str">
        <f>IF(OR(COUNTIF(Monitoring!C:C, F86) &gt; 0, COUNTIF(Monitoring!D:D, F86) &gt; 0), "yes", "no")</f>
        <v>yes</v>
      </c>
      <c r="J86" s="70" t="str">
        <f t="shared" si="8"/>
        <v>Z:\FAIR_Device_data\Experiment_JulAug_2021\Video_captures\2021-07-13\2021-07-13_17-13-55.mp4</v>
      </c>
    </row>
    <row r="87" spans="1:10" x14ac:dyDescent="0.3">
      <c r="A87" s="1">
        <f t="shared" si="9"/>
        <v>44390</v>
      </c>
      <c r="B87" s="34">
        <f t="shared" si="10"/>
        <v>0.73061342592592593</v>
      </c>
      <c r="C87" s="34">
        <f t="shared" si="11"/>
        <v>44390.730613425927</v>
      </c>
      <c r="D87" s="69" t="str">
        <f t="shared" si="12"/>
        <v>2021-07-13</v>
      </c>
      <c r="E87" s="36" t="s">
        <v>1007</v>
      </c>
      <c r="F87" s="35" t="str">
        <f t="shared" si="7"/>
        <v>2021-07-13_17-32-05</v>
      </c>
      <c r="G87" s="37">
        <v>8990299</v>
      </c>
      <c r="H87" s="38">
        <v>9993627</v>
      </c>
      <c r="I87" s="19" t="str">
        <f>IF(OR(COUNTIF(Monitoring!C:C, F87) &gt; 0, COUNTIF(Monitoring!D:D, F87) &gt; 0), "yes", "no")</f>
        <v>yes</v>
      </c>
      <c r="J87" s="70" t="str">
        <f t="shared" si="8"/>
        <v>Z:\FAIR_Device_data\Experiment_JulAug_2021\Video_captures\2021-07-13\2021-07-13_17-32-05.mp4</v>
      </c>
    </row>
    <row r="88" spans="1:10" x14ac:dyDescent="0.3">
      <c r="A88" s="1">
        <f t="shared" si="9"/>
        <v>44390</v>
      </c>
      <c r="B88" s="34">
        <f t="shared" si="10"/>
        <v>0.73995370370370372</v>
      </c>
      <c r="C88" s="34">
        <f t="shared" si="11"/>
        <v>44390.739953703705</v>
      </c>
      <c r="D88" s="69" t="str">
        <f t="shared" si="12"/>
        <v>2021-07-13</v>
      </c>
      <c r="E88" s="36" t="s">
        <v>1008</v>
      </c>
      <c r="F88" s="35" t="str">
        <f t="shared" si="7"/>
        <v>2021-07-13_17-45-32</v>
      </c>
      <c r="G88" s="37">
        <v>4560938</v>
      </c>
      <c r="H88" s="38">
        <v>5169277</v>
      </c>
      <c r="I88" s="19" t="str">
        <f>IF(OR(COUNTIF(Monitoring!C:C, F88) &gt; 0, COUNTIF(Monitoring!D:D, F88) &gt; 0), "yes", "no")</f>
        <v>yes</v>
      </c>
      <c r="J88" s="70" t="str">
        <f t="shared" si="8"/>
        <v>Z:\FAIR_Device_data\Experiment_JulAug_2021\Video_captures\2021-07-13\2021-07-13_17-45-32.mp4</v>
      </c>
    </row>
    <row r="89" spans="1:10" x14ac:dyDescent="0.3">
      <c r="A89" s="1">
        <f t="shared" si="9"/>
        <v>44390</v>
      </c>
      <c r="B89" s="34">
        <f t="shared" si="10"/>
        <v>0.74782407407407403</v>
      </c>
      <c r="C89" s="34">
        <f t="shared" si="11"/>
        <v>44390.747824074075</v>
      </c>
      <c r="D89" s="69" t="str">
        <f t="shared" si="12"/>
        <v>2021-07-13</v>
      </c>
      <c r="E89" s="36" t="s">
        <v>1009</v>
      </c>
      <c r="F89" s="35" t="str">
        <f t="shared" si="7"/>
        <v>2021-07-13_17-56-52</v>
      </c>
      <c r="G89" s="37">
        <v>9167969</v>
      </c>
      <c r="H89" s="38">
        <v>10039228</v>
      </c>
      <c r="I89" s="19" t="str">
        <f>IF(OR(COUNTIF(Monitoring!C:C, F89) &gt; 0, COUNTIF(Monitoring!D:D, F89) &gt; 0), "yes", "no")</f>
        <v>yes</v>
      </c>
      <c r="J89" s="70" t="str">
        <f t="shared" si="8"/>
        <v>Z:\FAIR_Device_data\Experiment_JulAug_2021\Video_captures\2021-07-13\2021-07-13_17-56-52.mp4</v>
      </c>
    </row>
    <row r="90" spans="1:10" x14ac:dyDescent="0.3">
      <c r="A90" s="1">
        <f t="shared" si="9"/>
        <v>44390</v>
      </c>
      <c r="B90" s="34">
        <f t="shared" si="10"/>
        <v>0.749537037037037</v>
      </c>
      <c r="C90" s="34">
        <f t="shared" si="11"/>
        <v>44390.749537037038</v>
      </c>
      <c r="D90" s="69" t="str">
        <f t="shared" si="12"/>
        <v>2021-07-13</v>
      </c>
      <c r="E90" s="36" t="s">
        <v>1010</v>
      </c>
      <c r="F90" s="35" t="str">
        <f t="shared" si="7"/>
        <v>2021-07-13_17-59-20</v>
      </c>
      <c r="G90" s="37">
        <v>7145541</v>
      </c>
      <c r="H90" s="38">
        <v>7220422</v>
      </c>
      <c r="I90" s="19" t="str">
        <f>IF(OR(COUNTIF(Monitoring!C:C, F90) &gt; 0, COUNTIF(Monitoring!D:D, F90) &gt; 0), "yes", "no")</f>
        <v>yes</v>
      </c>
      <c r="J90" s="70" t="str">
        <f t="shared" si="8"/>
        <v>Z:\FAIR_Device_data\Experiment_JulAug_2021\Video_captures\2021-07-13\2021-07-13_17-59-20.mp4</v>
      </c>
    </row>
    <row r="91" spans="1:10" x14ac:dyDescent="0.3">
      <c r="A91" s="1">
        <f t="shared" si="9"/>
        <v>44390</v>
      </c>
      <c r="B91" s="34">
        <f t="shared" si="10"/>
        <v>0.75217592592592597</v>
      </c>
      <c r="C91" s="34">
        <f t="shared" si="11"/>
        <v>44390.752175925925</v>
      </c>
      <c r="D91" s="69" t="str">
        <f t="shared" si="12"/>
        <v>2021-07-13</v>
      </c>
      <c r="E91" s="36" t="s">
        <v>1011</v>
      </c>
      <c r="F91" s="35" t="str">
        <f t="shared" si="7"/>
        <v>2021-07-13_18-03-08</v>
      </c>
      <c r="G91" s="37">
        <v>9468685</v>
      </c>
      <c r="H91" s="38">
        <v>10558293</v>
      </c>
      <c r="I91" s="19" t="str">
        <f>IF(OR(COUNTIF(Monitoring!C:C, F91) &gt; 0, COUNTIF(Monitoring!D:D, F91) &gt; 0), "yes", "no")</f>
        <v>yes</v>
      </c>
      <c r="J91" s="70" t="str">
        <f t="shared" si="8"/>
        <v>Z:\FAIR_Device_data\Experiment_JulAug_2021\Video_captures\2021-07-13\2021-07-13_18-03-08.mp4</v>
      </c>
    </row>
    <row r="92" spans="1:10" x14ac:dyDescent="0.3">
      <c r="A92" s="1">
        <f t="shared" si="9"/>
        <v>44390</v>
      </c>
      <c r="B92" s="34">
        <f t="shared" si="10"/>
        <v>0.77981481481481485</v>
      </c>
      <c r="C92" s="34">
        <f t="shared" si="11"/>
        <v>44390.779814814814</v>
      </c>
      <c r="D92" s="69" t="str">
        <f t="shared" si="12"/>
        <v>2021-07-13</v>
      </c>
      <c r="E92" s="36" t="s">
        <v>1012</v>
      </c>
      <c r="F92" s="35" t="str">
        <f t="shared" si="7"/>
        <v>2021-07-13_18-42-56</v>
      </c>
      <c r="G92" s="37">
        <v>9153320</v>
      </c>
      <c r="H92" s="38">
        <v>9557213</v>
      </c>
      <c r="I92" s="19" t="str">
        <f>IF(OR(COUNTIF(Monitoring!C:C, F92) &gt; 0, COUNTIF(Monitoring!D:D, F92) &gt; 0), "yes", "no")</f>
        <v>yes</v>
      </c>
      <c r="J92" s="70" t="str">
        <f t="shared" si="8"/>
        <v>Z:\FAIR_Device_data\Experiment_JulAug_2021\Video_captures\2021-07-13\2021-07-13_18-42-56.mp4</v>
      </c>
    </row>
    <row r="93" spans="1:10" x14ac:dyDescent="0.3">
      <c r="A93" s="1">
        <f t="shared" si="9"/>
        <v>44390</v>
      </c>
      <c r="B93" s="34">
        <f t="shared" si="10"/>
        <v>0.78228009259259257</v>
      </c>
      <c r="C93" s="34">
        <f t="shared" si="11"/>
        <v>44390.782280092593</v>
      </c>
      <c r="D93" s="69" t="str">
        <f t="shared" si="12"/>
        <v>2021-07-13</v>
      </c>
      <c r="E93" s="36" t="s">
        <v>1013</v>
      </c>
      <c r="F93" s="35" t="str">
        <f t="shared" si="7"/>
        <v>2021-07-13_18-46-29</v>
      </c>
      <c r="G93" s="37">
        <v>4596484</v>
      </c>
      <c r="H93" s="38">
        <v>5230126</v>
      </c>
      <c r="I93" s="19" t="str">
        <f>IF(OR(COUNTIF(Monitoring!C:C, F93) &gt; 0, COUNTIF(Monitoring!D:D, F93) &gt; 0), "yes", "no")</f>
        <v>yes</v>
      </c>
      <c r="J93" s="70" t="str">
        <f t="shared" si="8"/>
        <v>Z:\FAIR_Device_data\Experiment_JulAug_2021\Video_captures\2021-07-13\2021-07-13_18-46-29.mp4</v>
      </c>
    </row>
    <row r="94" spans="1:10" x14ac:dyDescent="0.3">
      <c r="A94" s="1">
        <f t="shared" si="9"/>
        <v>44390</v>
      </c>
      <c r="B94" s="34">
        <f t="shared" si="10"/>
        <v>0.78322916666666664</v>
      </c>
      <c r="C94" s="34">
        <f t="shared" si="11"/>
        <v>44390.783229166664</v>
      </c>
      <c r="D94" s="69" t="str">
        <f t="shared" si="12"/>
        <v>2021-07-13</v>
      </c>
      <c r="E94" s="36" t="s">
        <v>1014</v>
      </c>
      <c r="F94" s="35" t="str">
        <f t="shared" si="7"/>
        <v>2021-07-13_18-47-51</v>
      </c>
      <c r="G94" s="37">
        <v>7009115</v>
      </c>
      <c r="H94" s="38">
        <v>7638685</v>
      </c>
      <c r="I94" s="19" t="str">
        <f>IF(OR(COUNTIF(Monitoring!C:C, F94) &gt; 0, COUNTIF(Monitoring!D:D, F94) &gt; 0), "yes", "no")</f>
        <v>yes</v>
      </c>
      <c r="J94" s="70" t="str">
        <f t="shared" si="8"/>
        <v>Z:\FAIR_Device_data\Experiment_JulAug_2021\Video_captures\2021-07-13\2021-07-13_18-47-51.mp4</v>
      </c>
    </row>
    <row r="95" spans="1:10" x14ac:dyDescent="0.3">
      <c r="A95" s="1">
        <f t="shared" si="9"/>
        <v>44390</v>
      </c>
      <c r="B95" s="34">
        <f t="shared" si="10"/>
        <v>0.79484953703703709</v>
      </c>
      <c r="C95" s="34">
        <f t="shared" si="11"/>
        <v>44390.794849537036</v>
      </c>
      <c r="D95" s="69" t="str">
        <f t="shared" si="12"/>
        <v>2021-07-13</v>
      </c>
      <c r="E95" s="36" t="s">
        <v>1015</v>
      </c>
      <c r="F95" s="35" t="str">
        <f t="shared" si="7"/>
        <v>2021-07-13_19-04-35</v>
      </c>
      <c r="G95" s="37">
        <v>9085286</v>
      </c>
      <c r="H95" s="38">
        <v>9700915</v>
      </c>
      <c r="I95" s="19" t="str">
        <f>IF(OR(COUNTIF(Monitoring!C:C, F95) &gt; 0, COUNTIF(Monitoring!D:D, F95) &gt; 0), "yes", "no")</f>
        <v>yes</v>
      </c>
      <c r="J95" s="70" t="str">
        <f t="shared" si="8"/>
        <v>Z:\FAIR_Device_data\Experiment_JulAug_2021\Video_captures\2021-07-13\2021-07-13_19-04-35.mp4</v>
      </c>
    </row>
    <row r="96" spans="1:10" x14ac:dyDescent="0.3">
      <c r="A96" s="1">
        <f t="shared" si="9"/>
        <v>44390</v>
      </c>
      <c r="B96" s="34">
        <f t="shared" si="10"/>
        <v>0.79672453703703705</v>
      </c>
      <c r="C96" s="34">
        <f t="shared" si="11"/>
        <v>44390.796724537038</v>
      </c>
      <c r="D96" s="69" t="str">
        <f t="shared" si="12"/>
        <v>2021-07-13</v>
      </c>
      <c r="E96" s="36" t="s">
        <v>1016</v>
      </c>
      <c r="F96" s="35" t="str">
        <f t="shared" si="7"/>
        <v>2021-07-13_19-07-17</v>
      </c>
      <c r="G96" s="37">
        <v>4607096</v>
      </c>
      <c r="H96" s="38">
        <v>5247959</v>
      </c>
      <c r="I96" s="19" t="str">
        <f>IF(OR(COUNTIF(Monitoring!C:C, F96) &gt; 0, COUNTIF(Monitoring!D:D, F96) &gt; 0), "yes", "no")</f>
        <v>yes</v>
      </c>
      <c r="J96" s="70" t="str">
        <f t="shared" si="8"/>
        <v>Z:\FAIR_Device_data\Experiment_JulAug_2021\Video_captures\2021-07-13\2021-07-13_19-07-17.mp4</v>
      </c>
    </row>
    <row r="97" spans="1:10" x14ac:dyDescent="0.3">
      <c r="A97" s="1">
        <f t="shared" si="9"/>
        <v>44390</v>
      </c>
      <c r="B97" s="34">
        <f t="shared" si="10"/>
        <v>0.80475694444444446</v>
      </c>
      <c r="C97" s="34">
        <f t="shared" si="11"/>
        <v>44390.804756944446</v>
      </c>
      <c r="D97" s="69" t="str">
        <f t="shared" si="12"/>
        <v>2021-07-13</v>
      </c>
      <c r="E97" s="36" t="s">
        <v>1017</v>
      </c>
      <c r="F97" s="35" t="str">
        <f t="shared" si="7"/>
        <v>2021-07-13_19-18-51</v>
      </c>
      <c r="G97" s="37">
        <v>4973633</v>
      </c>
      <c r="H97" s="38">
        <v>5854003</v>
      </c>
      <c r="I97" s="19" t="str">
        <f>IF(OR(COUNTIF(Monitoring!C:C, F97) &gt; 0, COUNTIF(Monitoring!D:D, F97) &gt; 0), "yes", "no")</f>
        <v>yes</v>
      </c>
      <c r="J97" s="70" t="str">
        <f t="shared" si="8"/>
        <v>Z:\FAIR_Device_data\Experiment_JulAug_2021\Video_captures\2021-07-13\2021-07-13_19-18-51.mp4</v>
      </c>
    </row>
    <row r="98" spans="1:10" x14ac:dyDescent="0.3">
      <c r="A98" s="1">
        <f t="shared" si="9"/>
        <v>44390</v>
      </c>
      <c r="B98" s="34">
        <f t="shared" si="10"/>
        <v>0.82436342592592593</v>
      </c>
      <c r="C98" s="34">
        <f t="shared" si="11"/>
        <v>44390.824363425927</v>
      </c>
      <c r="D98" s="69" t="str">
        <f t="shared" si="12"/>
        <v>2021-07-13</v>
      </c>
      <c r="E98" s="36" t="s">
        <v>1018</v>
      </c>
      <c r="F98" s="35" t="str">
        <f t="shared" si="7"/>
        <v>2021-07-13_19-47-05</v>
      </c>
      <c r="G98" s="37">
        <v>4847526</v>
      </c>
      <c r="H98" s="38">
        <v>5723655</v>
      </c>
      <c r="I98" s="19" t="str">
        <f>IF(OR(COUNTIF(Monitoring!C:C, F98) &gt; 0, COUNTIF(Monitoring!D:D, F98) &gt; 0), "yes", "no")</f>
        <v>yes</v>
      </c>
      <c r="J98" s="70" t="str">
        <f t="shared" si="8"/>
        <v>Z:\FAIR_Device_data\Experiment_JulAug_2021\Video_captures\2021-07-13\2021-07-13_19-47-05.mp4</v>
      </c>
    </row>
    <row r="99" spans="1:10" x14ac:dyDescent="0.3">
      <c r="A99" s="1">
        <f t="shared" si="9"/>
        <v>44390</v>
      </c>
      <c r="B99" s="34">
        <f t="shared" si="10"/>
        <v>0.84180555555555558</v>
      </c>
      <c r="C99" s="34">
        <f t="shared" si="11"/>
        <v>44390.841805555552</v>
      </c>
      <c r="D99" s="69" t="str">
        <f t="shared" si="12"/>
        <v>2021-07-13</v>
      </c>
      <c r="E99" s="36" t="s">
        <v>1019</v>
      </c>
      <c r="F99" s="35" t="str">
        <f t="shared" si="7"/>
        <v>2021-07-13_20-12-12</v>
      </c>
      <c r="G99" s="37">
        <v>11928646</v>
      </c>
      <c r="H99" s="38">
        <v>13998048</v>
      </c>
      <c r="I99" s="19" t="str">
        <f>IF(OR(COUNTIF(Monitoring!C:C, F99) &gt; 0, COUNTIF(Monitoring!D:D, F99) &gt; 0), "yes", "no")</f>
        <v>yes</v>
      </c>
      <c r="J99" s="70" t="str">
        <f t="shared" si="8"/>
        <v>Z:\FAIR_Device_data\Experiment_JulAug_2021\Video_captures\2021-07-13\2021-07-13_20-12-12.mp4</v>
      </c>
    </row>
    <row r="100" spans="1:10" x14ac:dyDescent="0.3">
      <c r="A100" s="1">
        <f t="shared" si="9"/>
        <v>44390</v>
      </c>
      <c r="B100" s="34">
        <f t="shared" si="10"/>
        <v>0.85416666666666663</v>
      </c>
      <c r="C100" s="34">
        <f t="shared" si="11"/>
        <v>44390.854166666664</v>
      </c>
      <c r="D100" s="69" t="str">
        <f t="shared" si="12"/>
        <v>2021-07-13</v>
      </c>
      <c r="E100" s="36" t="s">
        <v>1020</v>
      </c>
      <c r="F100" s="35" t="str">
        <f t="shared" si="7"/>
        <v>2021-07-13_20-30-00</v>
      </c>
      <c r="G100" s="37">
        <v>4530990</v>
      </c>
      <c r="H100" s="38">
        <v>5693298</v>
      </c>
      <c r="I100" s="19" t="str">
        <f>IF(OR(COUNTIF(Monitoring!C:C, F100) &gt; 0, COUNTIF(Monitoring!D:D, F100) &gt; 0), "yes", "no")</f>
        <v>yes</v>
      </c>
      <c r="J100" s="70" t="str">
        <f t="shared" si="8"/>
        <v>Z:\FAIR_Device_data\Experiment_JulAug_2021\Video_captures\2021-07-13\2021-07-13_20-30-00.mp4</v>
      </c>
    </row>
    <row r="101" spans="1:10" x14ac:dyDescent="0.3">
      <c r="A101" s="1">
        <f t="shared" si="9"/>
        <v>44390</v>
      </c>
      <c r="B101" s="34">
        <f t="shared" si="10"/>
        <v>0.85943287037037042</v>
      </c>
      <c r="C101" s="34">
        <f t="shared" si="11"/>
        <v>44390.859432870369</v>
      </c>
      <c r="D101" s="69" t="str">
        <f t="shared" si="12"/>
        <v>2021-07-13</v>
      </c>
      <c r="E101" s="36" t="s">
        <v>1021</v>
      </c>
      <c r="F101" s="35" t="str">
        <f t="shared" si="7"/>
        <v>2021-07-13_20-37-35</v>
      </c>
      <c r="G101" s="37">
        <v>84969922</v>
      </c>
      <c r="H101" s="38">
        <v>78321960</v>
      </c>
      <c r="I101" s="19" t="str">
        <f>IF(OR(COUNTIF(Monitoring!C:C, F101) &gt; 0, COUNTIF(Monitoring!D:D, F101) &gt; 0), "yes", "no")</f>
        <v>yes</v>
      </c>
      <c r="J101" s="70" t="str">
        <f t="shared" si="8"/>
        <v>Z:\FAIR_Device_data\Experiment_JulAug_2021\Video_captures\2021-07-13\2021-07-13_20-37-35.mp4</v>
      </c>
    </row>
    <row r="102" spans="1:10" x14ac:dyDescent="0.3">
      <c r="A102" s="1">
        <f t="shared" si="9"/>
        <v>44390</v>
      </c>
      <c r="B102" s="34">
        <f t="shared" si="10"/>
        <v>0.867650462962963</v>
      </c>
      <c r="C102" s="34">
        <f t="shared" si="11"/>
        <v>44390.867650462962</v>
      </c>
      <c r="D102" s="69" t="str">
        <f t="shared" si="12"/>
        <v>2021-07-13</v>
      </c>
      <c r="E102" s="36" t="s">
        <v>1022</v>
      </c>
      <c r="F102" s="35" t="str">
        <f t="shared" si="7"/>
        <v>2021-07-13_20-49-25</v>
      </c>
      <c r="G102" s="37">
        <v>10000781</v>
      </c>
      <c r="H102" s="38">
        <v>10888789</v>
      </c>
      <c r="I102" s="19" t="str">
        <f>IF(OR(COUNTIF(Monitoring!C:C, F102) &gt; 0, COUNTIF(Monitoring!D:D, F102) &gt; 0), "yes", "no")</f>
        <v>yes</v>
      </c>
      <c r="J102" s="70" t="str">
        <f t="shared" si="8"/>
        <v>Z:\FAIR_Device_data\Experiment_JulAug_2021\Video_captures\2021-07-13\2021-07-13_20-49-25.mp4</v>
      </c>
    </row>
    <row r="103" spans="1:10" x14ac:dyDescent="0.3">
      <c r="A103" s="1">
        <f t="shared" si="9"/>
        <v>44391</v>
      </c>
      <c r="B103" s="34">
        <f t="shared" si="10"/>
        <v>0.31678240740740743</v>
      </c>
      <c r="C103" s="34">
        <f t="shared" si="11"/>
        <v>44391.316782407404</v>
      </c>
      <c r="D103" s="69" t="str">
        <f t="shared" si="12"/>
        <v>2021-07-14</v>
      </c>
      <c r="E103" s="36" t="s">
        <v>1023</v>
      </c>
      <c r="F103" s="35" t="str">
        <f t="shared" si="7"/>
        <v>2021-07-14_07-36-10</v>
      </c>
      <c r="G103" s="37">
        <v>4589388</v>
      </c>
      <c r="H103" s="38">
        <v>5429022</v>
      </c>
      <c r="I103" s="19" t="str">
        <f>IF(OR(COUNTIF(Monitoring!C:C, F103) &gt; 0, COUNTIF(Monitoring!D:D, F103) &gt; 0), "yes", "no")</f>
        <v>yes</v>
      </c>
      <c r="J103" s="70" t="str">
        <f t="shared" si="8"/>
        <v>Z:\FAIR_Device_data\Experiment_JulAug_2021\Video_captures\2021-07-14\2021-07-14_07-36-10.mp4</v>
      </c>
    </row>
    <row r="104" spans="1:10" x14ac:dyDescent="0.3">
      <c r="A104" s="1">
        <f t="shared" si="9"/>
        <v>44391</v>
      </c>
      <c r="B104" s="34">
        <f t="shared" si="10"/>
        <v>0.35890046296296296</v>
      </c>
      <c r="C104" s="34">
        <f t="shared" si="11"/>
        <v>44391.358900462961</v>
      </c>
      <c r="D104" s="69" t="str">
        <f t="shared" si="12"/>
        <v>2021-07-14</v>
      </c>
      <c r="E104" s="36" t="s">
        <v>1024</v>
      </c>
      <c r="F104" s="35" t="str">
        <f t="shared" si="7"/>
        <v>2021-07-14_08-36-49</v>
      </c>
      <c r="G104" s="37">
        <v>4468615</v>
      </c>
      <c r="H104" s="38">
        <v>5195281</v>
      </c>
      <c r="I104" s="19" t="str">
        <f>IF(OR(COUNTIF(Monitoring!C:C, F104) &gt; 0, COUNTIF(Monitoring!D:D, F104) &gt; 0), "yes", "no")</f>
        <v>yes</v>
      </c>
      <c r="J104" s="70" t="str">
        <f t="shared" si="8"/>
        <v>Z:\FAIR_Device_data\Experiment_JulAug_2021\Video_captures\2021-07-14\2021-07-14_08-36-49.mp4</v>
      </c>
    </row>
    <row r="105" spans="1:10" x14ac:dyDescent="0.3">
      <c r="A105" s="1">
        <f t="shared" si="9"/>
        <v>44391</v>
      </c>
      <c r="B105" s="34">
        <f t="shared" si="10"/>
        <v>0.38616898148148149</v>
      </c>
      <c r="C105" s="34">
        <f t="shared" si="11"/>
        <v>44391.38616898148</v>
      </c>
      <c r="D105" s="69" t="str">
        <f t="shared" si="12"/>
        <v>2021-07-14</v>
      </c>
      <c r="E105" s="36" t="s">
        <v>1025</v>
      </c>
      <c r="F105" s="35" t="str">
        <f t="shared" si="7"/>
        <v>2021-07-14_09-16-05</v>
      </c>
      <c r="G105" s="37">
        <v>4492969</v>
      </c>
      <c r="H105" s="38">
        <v>5007223</v>
      </c>
      <c r="I105" s="19" t="str">
        <f>IF(OR(COUNTIF(Monitoring!C:C, F105) &gt; 0, COUNTIF(Monitoring!D:D, F105) &gt; 0), "yes", "no")</f>
        <v>yes</v>
      </c>
      <c r="J105" s="70" t="str">
        <f t="shared" si="8"/>
        <v>Z:\FAIR_Device_data\Experiment_JulAug_2021\Video_captures\2021-07-14\2021-07-14_09-16-05.mp4</v>
      </c>
    </row>
    <row r="106" spans="1:10" x14ac:dyDescent="0.3">
      <c r="A106" s="1">
        <f t="shared" si="9"/>
        <v>44392</v>
      </c>
      <c r="B106" s="34">
        <f t="shared" si="10"/>
        <v>0.76960648148148147</v>
      </c>
      <c r="C106" s="34">
        <f t="shared" si="11"/>
        <v>44392.769606481481</v>
      </c>
      <c r="D106" s="69" t="str">
        <f t="shared" si="12"/>
        <v>2021-07-15</v>
      </c>
      <c r="E106" s="36" t="s">
        <v>1026</v>
      </c>
      <c r="F106" s="35" t="str">
        <f t="shared" si="7"/>
        <v>2021-07-15_18-28-14</v>
      </c>
      <c r="G106" s="37">
        <v>98651888</v>
      </c>
      <c r="H106" s="38">
        <v>64670841</v>
      </c>
      <c r="I106" s="19" t="str">
        <f>IF(OR(COUNTIF(Monitoring!C:C, F106) &gt; 0, COUNTIF(Monitoring!D:D, F106) &gt; 0), "yes", "no")</f>
        <v>yes</v>
      </c>
      <c r="J106" s="70" t="str">
        <f t="shared" si="8"/>
        <v>Z:\FAIR_Device_data\Experiment_JulAug_2021\Video_captures\2021-07-15\2021-07-15_18-28-14.mp4</v>
      </c>
    </row>
    <row r="107" spans="1:10" x14ac:dyDescent="0.3">
      <c r="A107" s="1">
        <f t="shared" si="9"/>
        <v>44392</v>
      </c>
      <c r="B107" s="34">
        <f t="shared" si="10"/>
        <v>0.7712268518518518</v>
      </c>
      <c r="C107" s="34">
        <f t="shared" si="11"/>
        <v>44392.771226851852</v>
      </c>
      <c r="D107" s="69" t="str">
        <f t="shared" si="12"/>
        <v>2021-07-15</v>
      </c>
      <c r="E107" s="36" t="s">
        <v>1027</v>
      </c>
      <c r="F107" s="35" t="str">
        <f t="shared" si="7"/>
        <v>2021-07-15_18-30-34</v>
      </c>
      <c r="G107" s="37">
        <v>70061230</v>
      </c>
      <c r="H107" s="38">
        <v>46947158</v>
      </c>
      <c r="I107" s="19" t="str">
        <f>IF(OR(COUNTIF(Monitoring!C:C, F107) &gt; 0, COUNTIF(Monitoring!D:D, F107) &gt; 0), "yes", "no")</f>
        <v>yes</v>
      </c>
      <c r="J107" s="70" t="str">
        <f t="shared" si="8"/>
        <v>Z:\FAIR_Device_data\Experiment_JulAug_2021\Video_captures\2021-07-15\2021-07-15_18-30-34.mp4</v>
      </c>
    </row>
    <row r="108" spans="1:10" x14ac:dyDescent="0.3">
      <c r="A108" s="1">
        <f t="shared" si="9"/>
        <v>44392</v>
      </c>
      <c r="B108" s="34">
        <f t="shared" si="10"/>
        <v>0.78696759259259264</v>
      </c>
      <c r="C108" s="34">
        <f t="shared" si="11"/>
        <v>44392.78696759259</v>
      </c>
      <c r="D108" s="69" t="str">
        <f t="shared" si="12"/>
        <v>2021-07-15</v>
      </c>
      <c r="E108" s="36" t="s">
        <v>1028</v>
      </c>
      <c r="F108" s="35" t="str">
        <f t="shared" si="7"/>
        <v>2021-07-15_18-53-14</v>
      </c>
      <c r="G108" s="37">
        <v>23504818</v>
      </c>
      <c r="H108" s="38">
        <v>23435324</v>
      </c>
      <c r="I108" s="19" t="str">
        <f>IF(OR(COUNTIF(Monitoring!C:C, F108) &gt; 0, COUNTIF(Monitoring!D:D, F108) &gt; 0), "yes", "no")</f>
        <v>yes</v>
      </c>
      <c r="J108" s="70" t="str">
        <f t="shared" si="8"/>
        <v>Z:\FAIR_Device_data\Experiment_JulAug_2021\Video_captures\2021-07-15\2021-07-15_18-53-14.mp4</v>
      </c>
    </row>
    <row r="109" spans="1:10" x14ac:dyDescent="0.3">
      <c r="A109" s="1">
        <f t="shared" si="9"/>
        <v>44392</v>
      </c>
      <c r="B109" s="34">
        <f t="shared" si="10"/>
        <v>0.7989236111111111</v>
      </c>
      <c r="C109" s="34">
        <f t="shared" si="11"/>
        <v>44392.79892361111</v>
      </c>
      <c r="D109" s="69" t="str">
        <f t="shared" si="12"/>
        <v>2021-07-15</v>
      </c>
      <c r="E109" s="36" t="s">
        <v>1029</v>
      </c>
      <c r="F109" s="35" t="str">
        <f t="shared" si="7"/>
        <v>2021-07-15_19-10-27</v>
      </c>
      <c r="G109" s="37">
        <v>9612240</v>
      </c>
      <c r="H109" s="38">
        <v>9313672</v>
      </c>
      <c r="I109" s="19" t="str">
        <f>IF(OR(COUNTIF(Monitoring!C:C, F109) &gt; 0, COUNTIF(Monitoring!D:D, F109) &gt; 0), "yes", "no")</f>
        <v>yes</v>
      </c>
      <c r="J109" s="70" t="str">
        <f t="shared" si="8"/>
        <v>Z:\FAIR_Device_data\Experiment_JulAug_2021\Video_captures\2021-07-15\2021-07-15_19-10-27.mp4</v>
      </c>
    </row>
    <row r="110" spans="1:10" x14ac:dyDescent="0.3">
      <c r="A110" s="1">
        <f t="shared" si="9"/>
        <v>44392</v>
      </c>
      <c r="B110" s="34">
        <f t="shared" si="10"/>
        <v>0.80210648148148145</v>
      </c>
      <c r="C110" s="34">
        <f t="shared" si="11"/>
        <v>44392.802106481482</v>
      </c>
      <c r="D110" s="69" t="str">
        <f t="shared" si="12"/>
        <v>2021-07-15</v>
      </c>
      <c r="E110" s="36" t="s">
        <v>1030</v>
      </c>
      <c r="F110" s="35" t="str">
        <f t="shared" si="7"/>
        <v>2021-07-15_19-15-02</v>
      </c>
      <c r="G110" s="37">
        <v>27061328</v>
      </c>
      <c r="H110" s="38">
        <v>29298942</v>
      </c>
      <c r="I110" s="19" t="str">
        <f>IF(OR(COUNTIF(Monitoring!C:C, F110) &gt; 0, COUNTIF(Monitoring!D:D, F110) &gt; 0), "yes", "no")</f>
        <v>yes</v>
      </c>
      <c r="J110" s="70" t="str">
        <f t="shared" si="8"/>
        <v>Z:\FAIR_Device_data\Experiment_JulAug_2021\Video_captures\2021-07-15\2021-07-15_19-15-02.mp4</v>
      </c>
    </row>
    <row r="111" spans="1:10" x14ac:dyDescent="0.3">
      <c r="A111" s="1">
        <f t="shared" si="9"/>
        <v>44392</v>
      </c>
      <c r="B111" s="34">
        <f t="shared" si="10"/>
        <v>0.80589120370370371</v>
      </c>
      <c r="C111" s="34">
        <f t="shared" si="11"/>
        <v>44392.805891203701</v>
      </c>
      <c r="D111" s="69" t="str">
        <f t="shared" si="12"/>
        <v>2021-07-15</v>
      </c>
      <c r="E111" s="36" t="s">
        <v>1031</v>
      </c>
      <c r="F111" s="35" t="str">
        <f t="shared" si="7"/>
        <v>2021-07-15_19-20-29</v>
      </c>
      <c r="G111" s="37">
        <v>8122721</v>
      </c>
      <c r="H111" s="38">
        <v>7706120</v>
      </c>
      <c r="I111" s="19" t="str">
        <f>IF(OR(COUNTIF(Monitoring!C:C, F111) &gt; 0, COUNTIF(Monitoring!D:D, F111) &gt; 0), "yes", "no")</f>
        <v>yes</v>
      </c>
      <c r="J111" s="70" t="str">
        <f t="shared" si="8"/>
        <v>Z:\FAIR_Device_data\Experiment_JulAug_2021\Video_captures\2021-07-15\2021-07-15_19-20-29.mp4</v>
      </c>
    </row>
    <row r="112" spans="1:10" x14ac:dyDescent="0.3">
      <c r="A112" s="1">
        <f t="shared" si="9"/>
        <v>44392</v>
      </c>
      <c r="B112" s="34">
        <f t="shared" si="10"/>
        <v>0.81171296296296291</v>
      </c>
      <c r="C112" s="34">
        <f t="shared" si="11"/>
        <v>44392.811712962961</v>
      </c>
      <c r="D112" s="69" t="str">
        <f t="shared" si="12"/>
        <v>2021-07-15</v>
      </c>
      <c r="E112" s="36" t="s">
        <v>1032</v>
      </c>
      <c r="F112" s="35" t="str">
        <f t="shared" si="7"/>
        <v>2021-07-15_19-28-52</v>
      </c>
      <c r="G112" s="37">
        <v>40942643</v>
      </c>
      <c r="H112" s="38">
        <v>44659163</v>
      </c>
      <c r="I112" s="19" t="str">
        <f>IF(OR(COUNTIF(Monitoring!C:C, F112) &gt; 0, COUNTIF(Monitoring!D:D, F112) &gt; 0), "yes", "no")</f>
        <v>yes</v>
      </c>
      <c r="J112" s="70" t="str">
        <f t="shared" si="8"/>
        <v>Z:\FAIR_Device_data\Experiment_JulAug_2021\Video_captures\2021-07-15\2021-07-15_19-28-52.mp4</v>
      </c>
    </row>
    <row r="113" spans="1:10" x14ac:dyDescent="0.3">
      <c r="A113" s="1">
        <f t="shared" si="9"/>
        <v>44392</v>
      </c>
      <c r="B113" s="34">
        <f t="shared" si="10"/>
        <v>0.8131828703703704</v>
      </c>
      <c r="C113" s="34">
        <f t="shared" si="11"/>
        <v>44392.81318287037</v>
      </c>
      <c r="D113" s="69" t="str">
        <f t="shared" si="12"/>
        <v>2021-07-15</v>
      </c>
      <c r="E113" s="36" t="s">
        <v>1033</v>
      </c>
      <c r="F113" s="35" t="str">
        <f t="shared" si="7"/>
        <v>2021-07-15_19-30-59</v>
      </c>
      <c r="G113" s="37">
        <v>8123503</v>
      </c>
      <c r="H113" s="38">
        <v>7533698</v>
      </c>
      <c r="I113" s="19" t="str">
        <f>IF(OR(COUNTIF(Monitoring!C:C, F113) &gt; 0, COUNTIF(Monitoring!D:D, F113) &gt; 0), "yes", "no")</f>
        <v>yes</v>
      </c>
      <c r="J113" s="70" t="str">
        <f t="shared" si="8"/>
        <v>Z:\FAIR_Device_data\Experiment_JulAug_2021\Video_captures\2021-07-15\2021-07-15_19-30-59.mp4</v>
      </c>
    </row>
    <row r="114" spans="1:10" x14ac:dyDescent="0.3">
      <c r="A114" s="1">
        <f t="shared" si="9"/>
        <v>44392</v>
      </c>
      <c r="B114" s="34">
        <f t="shared" si="10"/>
        <v>0.82894675925925931</v>
      </c>
      <c r="C114" s="34">
        <f t="shared" si="11"/>
        <v>44392.828946759262</v>
      </c>
      <c r="D114" s="69" t="str">
        <f t="shared" si="12"/>
        <v>2021-07-15</v>
      </c>
      <c r="E114" s="36" t="s">
        <v>1034</v>
      </c>
      <c r="F114" s="35" t="str">
        <f t="shared" si="7"/>
        <v>2021-07-15_19-53-41</v>
      </c>
      <c r="G114" s="37">
        <v>38759896</v>
      </c>
      <c r="H114" s="38">
        <v>44115616</v>
      </c>
      <c r="I114" s="19" t="str">
        <f>IF(OR(COUNTIF(Monitoring!C:C, F114) &gt; 0, COUNTIF(Monitoring!D:D, F114) &gt; 0), "yes", "no")</f>
        <v>yes</v>
      </c>
      <c r="J114" s="70" t="str">
        <f t="shared" si="8"/>
        <v>Z:\FAIR_Device_data\Experiment_JulAug_2021\Video_captures\2021-07-15\2021-07-15_19-53-41.mp4</v>
      </c>
    </row>
    <row r="115" spans="1:10" x14ac:dyDescent="0.3">
      <c r="A115" s="1">
        <f t="shared" si="9"/>
        <v>44392</v>
      </c>
      <c r="B115" s="34">
        <f t="shared" si="10"/>
        <v>0.83474537037037033</v>
      </c>
      <c r="C115" s="34">
        <f t="shared" si="11"/>
        <v>44392.834745370368</v>
      </c>
      <c r="D115" s="69" t="str">
        <f t="shared" si="12"/>
        <v>2021-07-15</v>
      </c>
      <c r="E115" s="36" t="s">
        <v>1035</v>
      </c>
      <c r="F115" s="35" t="str">
        <f t="shared" si="7"/>
        <v>2021-07-15_20-02-02</v>
      </c>
      <c r="G115" s="37">
        <v>8201758</v>
      </c>
      <c r="H115" s="38">
        <v>7503153</v>
      </c>
      <c r="I115" s="19" t="str">
        <f>IF(OR(COUNTIF(Monitoring!C:C, F115) &gt; 0, COUNTIF(Monitoring!D:D, F115) &gt; 0), "yes", "no")</f>
        <v>yes</v>
      </c>
      <c r="J115" s="70" t="str">
        <f t="shared" si="8"/>
        <v>Z:\FAIR_Device_data\Experiment_JulAug_2021\Video_captures\2021-07-15\2021-07-15_20-02-02.mp4</v>
      </c>
    </row>
    <row r="116" spans="1:10" x14ac:dyDescent="0.3">
      <c r="A116" s="1">
        <f t="shared" si="9"/>
        <v>44392</v>
      </c>
      <c r="B116" s="34">
        <f t="shared" si="10"/>
        <v>0.85288194444444443</v>
      </c>
      <c r="C116" s="34">
        <f t="shared" si="11"/>
        <v>44392.852881944447</v>
      </c>
      <c r="D116" s="69" t="str">
        <f t="shared" si="12"/>
        <v>2021-07-15</v>
      </c>
      <c r="E116" s="36" t="s">
        <v>1036</v>
      </c>
      <c r="F116" s="35" t="str">
        <f t="shared" si="7"/>
        <v>2021-07-15_20-28-09</v>
      </c>
      <c r="G116" s="37">
        <v>9209570</v>
      </c>
      <c r="H116" s="38">
        <v>9160590</v>
      </c>
      <c r="I116" s="19" t="str">
        <f>IF(OR(COUNTIF(Monitoring!C:C, F116) &gt; 0, COUNTIF(Monitoring!D:D, F116) &gt; 0), "yes", "no")</f>
        <v>yes</v>
      </c>
      <c r="J116" s="70" t="str">
        <f t="shared" si="8"/>
        <v>Z:\FAIR_Device_data\Experiment_JulAug_2021\Video_captures\2021-07-15\2021-07-15_20-28-09.mp4</v>
      </c>
    </row>
    <row r="117" spans="1:10" x14ac:dyDescent="0.3">
      <c r="A117" s="1">
        <f t="shared" si="9"/>
        <v>44392</v>
      </c>
      <c r="B117" s="34">
        <f t="shared" si="10"/>
        <v>0.86537037037037035</v>
      </c>
      <c r="C117" s="34">
        <f t="shared" si="11"/>
        <v>44392.865370370368</v>
      </c>
      <c r="D117" s="69" t="str">
        <f t="shared" si="12"/>
        <v>2021-07-15</v>
      </c>
      <c r="E117" s="36" t="s">
        <v>1037</v>
      </c>
      <c r="F117" s="35" t="str">
        <f t="shared" si="7"/>
        <v>2021-07-15_20-46-08</v>
      </c>
      <c r="G117" s="37">
        <v>9575911</v>
      </c>
      <c r="H117" s="38">
        <v>9733986</v>
      </c>
      <c r="I117" s="19" t="str">
        <f>IF(OR(COUNTIF(Monitoring!C:C, F117) &gt; 0, COUNTIF(Monitoring!D:D, F117) &gt; 0), "yes", "no")</f>
        <v>yes</v>
      </c>
      <c r="J117" s="70" t="str">
        <f t="shared" si="8"/>
        <v>Z:\FAIR_Device_data\Experiment_JulAug_2021\Video_captures\2021-07-15\2021-07-15_20-46-08.mp4</v>
      </c>
    </row>
    <row r="118" spans="1:10" x14ac:dyDescent="0.3">
      <c r="A118" s="1">
        <f t="shared" si="9"/>
        <v>44392</v>
      </c>
      <c r="B118" s="34">
        <f t="shared" si="10"/>
        <v>0.87526620370370367</v>
      </c>
      <c r="C118" s="34">
        <f t="shared" si="11"/>
        <v>44392.8752662037</v>
      </c>
      <c r="D118" s="69" t="str">
        <f t="shared" si="12"/>
        <v>2021-07-15</v>
      </c>
      <c r="E118" s="36" t="s">
        <v>1038</v>
      </c>
      <c r="F118" s="35" t="str">
        <f t="shared" si="7"/>
        <v>2021-07-15_21-00-23</v>
      </c>
      <c r="G118" s="37">
        <v>29577474</v>
      </c>
      <c r="H118" s="38">
        <v>33640679</v>
      </c>
      <c r="I118" s="19" t="str">
        <f>IF(OR(COUNTIF(Monitoring!C:C, F118) &gt; 0, COUNTIF(Monitoring!D:D, F118) &gt; 0), "yes", "no")</f>
        <v>yes</v>
      </c>
      <c r="J118" s="70" t="str">
        <f t="shared" si="8"/>
        <v>Z:\FAIR_Device_data\Experiment_JulAug_2021\Video_captures\2021-07-15\2021-07-15_21-00-23.mp4</v>
      </c>
    </row>
    <row r="119" spans="1:10" x14ac:dyDescent="0.3">
      <c r="A119" s="1">
        <f t="shared" si="9"/>
        <v>44392</v>
      </c>
      <c r="B119" s="34">
        <f t="shared" si="10"/>
        <v>0.87619212962962967</v>
      </c>
      <c r="C119" s="34">
        <f t="shared" si="11"/>
        <v>44392.876192129632</v>
      </c>
      <c r="D119" s="69" t="str">
        <f t="shared" si="12"/>
        <v>2021-07-15</v>
      </c>
      <c r="E119" s="36" t="s">
        <v>1039</v>
      </c>
      <c r="F119" s="35" t="str">
        <f t="shared" si="7"/>
        <v>2021-07-15_21-01-43</v>
      </c>
      <c r="G119" s="37">
        <v>14717513</v>
      </c>
      <c r="H119" s="38">
        <v>15460681</v>
      </c>
      <c r="I119" s="19" t="str">
        <f>IF(OR(COUNTIF(Monitoring!C:C, F119) &gt; 0, COUNTIF(Monitoring!D:D, F119) &gt; 0), "yes", "no")</f>
        <v>no</v>
      </c>
      <c r="J119" s="70" t="str">
        <f t="shared" si="8"/>
        <v>Z:\FAIR_Device_data\Experiment_JulAug_2021\Video_captures\2021-07-15\2021-07-15_21-01-43.mp4</v>
      </c>
    </row>
    <row r="120" spans="1:10" x14ac:dyDescent="0.3">
      <c r="A120" s="1">
        <f t="shared" si="9"/>
        <v>44392</v>
      </c>
      <c r="B120" s="34">
        <f t="shared" si="10"/>
        <v>0.87907407407407412</v>
      </c>
      <c r="C120" s="34">
        <f t="shared" si="11"/>
        <v>44392.879074074073</v>
      </c>
      <c r="D120" s="69" t="str">
        <f t="shared" si="12"/>
        <v>2021-07-15</v>
      </c>
      <c r="E120" s="36" t="s">
        <v>1040</v>
      </c>
      <c r="F120" s="35" t="str">
        <f t="shared" si="7"/>
        <v>2021-07-15_21-05-52</v>
      </c>
      <c r="G120" s="37">
        <v>43818499</v>
      </c>
      <c r="H120" s="38">
        <v>46394957</v>
      </c>
      <c r="I120" s="19" t="str">
        <f>IF(OR(COUNTIF(Monitoring!C:C, F120) &gt; 0, COUNTIF(Monitoring!D:D, F120) &gt; 0), "yes", "no")</f>
        <v>yes</v>
      </c>
      <c r="J120" s="70" t="str">
        <f t="shared" si="8"/>
        <v>Z:\FAIR_Device_data\Experiment_JulAug_2021\Video_captures\2021-07-15\2021-07-15_21-05-52.mp4</v>
      </c>
    </row>
    <row r="121" spans="1:10" x14ac:dyDescent="0.3">
      <c r="A121" s="1">
        <f t="shared" si="9"/>
        <v>44392</v>
      </c>
      <c r="B121" s="34">
        <f t="shared" si="10"/>
        <v>0.88130787037037039</v>
      </c>
      <c r="C121" s="34">
        <f t="shared" si="11"/>
        <v>44392.881307870368</v>
      </c>
      <c r="D121" s="69" t="str">
        <f t="shared" si="12"/>
        <v>2021-07-15</v>
      </c>
      <c r="E121" s="36" t="s">
        <v>1041</v>
      </c>
      <c r="F121" s="35" t="str">
        <f t="shared" si="7"/>
        <v>2021-07-15_21-09-05</v>
      </c>
      <c r="G121" s="37">
        <v>8044466</v>
      </c>
      <c r="H121" s="38">
        <v>8026049</v>
      </c>
      <c r="I121" s="19" t="str">
        <f>IF(OR(COUNTIF(Monitoring!C:C, F121) &gt; 0, COUNTIF(Monitoring!D:D, F121) &gt; 0), "yes", "no")</f>
        <v>yes</v>
      </c>
      <c r="J121" s="70" t="str">
        <f t="shared" si="8"/>
        <v>Z:\FAIR_Device_data\Experiment_JulAug_2021\Video_captures\2021-07-15\2021-07-15_21-09-05.mp4</v>
      </c>
    </row>
    <row r="122" spans="1:10" x14ac:dyDescent="0.3">
      <c r="A122" s="1">
        <f t="shared" si="9"/>
        <v>44392</v>
      </c>
      <c r="B122" s="34">
        <f t="shared" si="10"/>
        <v>0.88803240740740741</v>
      </c>
      <c r="C122" s="34">
        <f t="shared" si="11"/>
        <v>44392.888032407405</v>
      </c>
      <c r="D122" s="69" t="str">
        <f t="shared" si="12"/>
        <v>2021-07-15</v>
      </c>
      <c r="E122" s="36" t="s">
        <v>1042</v>
      </c>
      <c r="F122" s="35" t="str">
        <f t="shared" si="7"/>
        <v>2021-07-15_21-18-46</v>
      </c>
      <c r="G122" s="37">
        <v>29447201</v>
      </c>
      <c r="H122" s="38">
        <v>34311436</v>
      </c>
      <c r="I122" s="19" t="str">
        <f>IF(OR(COUNTIF(Monitoring!C:C, F122) &gt; 0, COUNTIF(Monitoring!D:D, F122) &gt; 0), "yes", "no")</f>
        <v>yes</v>
      </c>
      <c r="J122" s="70" t="str">
        <f t="shared" si="8"/>
        <v>Z:\FAIR_Device_data\Experiment_JulAug_2021\Video_captures\2021-07-15\2021-07-15_21-18-46.mp4</v>
      </c>
    </row>
    <row r="123" spans="1:10" x14ac:dyDescent="0.3">
      <c r="A123" s="1">
        <f t="shared" si="9"/>
        <v>44392</v>
      </c>
      <c r="B123" s="34">
        <f t="shared" si="10"/>
        <v>0.89516203703703701</v>
      </c>
      <c r="C123" s="34">
        <f t="shared" si="11"/>
        <v>44392.895162037035</v>
      </c>
      <c r="D123" s="69" t="str">
        <f t="shared" si="12"/>
        <v>2021-07-15</v>
      </c>
      <c r="E123" s="36" t="s">
        <v>1043</v>
      </c>
      <c r="F123" s="35" t="str">
        <f t="shared" si="7"/>
        <v>2021-07-15_21-29-02</v>
      </c>
      <c r="G123" s="37">
        <v>8134635</v>
      </c>
      <c r="H123" s="38">
        <v>8279982</v>
      </c>
      <c r="I123" s="19" t="str">
        <f>IF(OR(COUNTIF(Monitoring!C:C, F123) &gt; 0, COUNTIF(Monitoring!D:D, F123) &gt; 0), "yes", "no")</f>
        <v>yes</v>
      </c>
      <c r="J123" s="70" t="str">
        <f t="shared" si="8"/>
        <v>Z:\FAIR_Device_data\Experiment_JulAug_2021\Video_captures\2021-07-15\2021-07-15_21-29-02.mp4</v>
      </c>
    </row>
    <row r="124" spans="1:10" x14ac:dyDescent="0.3">
      <c r="A124" s="1">
        <f t="shared" si="9"/>
        <v>44392</v>
      </c>
      <c r="B124" s="34">
        <f t="shared" si="10"/>
        <v>0.89565972222222223</v>
      </c>
      <c r="C124" s="34">
        <f t="shared" si="11"/>
        <v>44392.89565972222</v>
      </c>
      <c r="D124" s="69" t="str">
        <f t="shared" si="12"/>
        <v>2021-07-15</v>
      </c>
      <c r="E124" s="36" t="s">
        <v>1044</v>
      </c>
      <c r="F124" s="35" t="str">
        <f t="shared" si="7"/>
        <v>2021-07-15_21-29-45</v>
      </c>
      <c r="G124" s="37">
        <v>13479492</v>
      </c>
      <c r="H124" s="38">
        <v>9816160</v>
      </c>
      <c r="I124" s="19" t="str">
        <f>IF(OR(COUNTIF(Monitoring!C:C, F124) &gt; 0, COUNTIF(Monitoring!D:D, F124) &gt; 0), "yes", "no")</f>
        <v>yes</v>
      </c>
      <c r="J124" s="70" t="str">
        <f t="shared" si="8"/>
        <v>Z:\FAIR_Device_data\Experiment_JulAug_2021\Video_captures\2021-07-15\2021-07-15_21-29-45.mp4</v>
      </c>
    </row>
    <row r="125" spans="1:10" x14ac:dyDescent="0.3">
      <c r="A125" s="1">
        <f t="shared" si="9"/>
        <v>44392</v>
      </c>
      <c r="B125" s="34">
        <f t="shared" si="10"/>
        <v>0.89805555555555561</v>
      </c>
      <c r="C125" s="34">
        <f t="shared" si="11"/>
        <v>44392.898055555554</v>
      </c>
      <c r="D125" s="69" t="str">
        <f t="shared" si="12"/>
        <v>2021-07-15</v>
      </c>
      <c r="E125" s="36" t="s">
        <v>1045</v>
      </c>
      <c r="F125" s="35" t="str">
        <f t="shared" si="7"/>
        <v>2021-07-15_21-33-12</v>
      </c>
      <c r="G125" s="37">
        <v>8409440</v>
      </c>
      <c r="H125" s="38">
        <v>8751747</v>
      </c>
      <c r="I125" s="19" t="str">
        <f>IF(OR(COUNTIF(Monitoring!C:C, F125) &gt; 0, COUNTIF(Monitoring!D:D, F125) &gt; 0), "yes", "no")</f>
        <v>no</v>
      </c>
      <c r="J125" s="70" t="str">
        <f t="shared" si="8"/>
        <v>Z:\FAIR_Device_data\Experiment_JulAug_2021\Video_captures\2021-07-15\2021-07-15_21-33-12.mp4</v>
      </c>
    </row>
    <row r="126" spans="1:10" x14ac:dyDescent="0.3">
      <c r="A126" s="1">
        <f t="shared" si="9"/>
        <v>44392</v>
      </c>
      <c r="B126" s="34">
        <f t="shared" si="10"/>
        <v>0.90054398148148151</v>
      </c>
      <c r="C126" s="34">
        <f t="shared" si="11"/>
        <v>44392.900543981479</v>
      </c>
      <c r="D126" s="69" t="str">
        <f t="shared" si="12"/>
        <v>2021-07-15</v>
      </c>
      <c r="E126" s="36" t="s">
        <v>1046</v>
      </c>
      <c r="F126" s="35" t="str">
        <f t="shared" si="7"/>
        <v>2021-07-15_21-36-47</v>
      </c>
      <c r="G126" s="37">
        <v>25067448</v>
      </c>
      <c r="H126" s="38">
        <v>30331015</v>
      </c>
      <c r="I126" s="19" t="str">
        <f>IF(OR(COUNTIF(Monitoring!C:C, F126) &gt; 0, COUNTIF(Monitoring!D:D, F126) &gt; 0), "yes", "no")</f>
        <v>yes</v>
      </c>
      <c r="J126" s="70" t="str">
        <f t="shared" si="8"/>
        <v>Z:\FAIR_Device_data\Experiment_JulAug_2021\Video_captures\2021-07-15\2021-07-15_21-36-47.mp4</v>
      </c>
    </row>
    <row r="127" spans="1:10" x14ac:dyDescent="0.3">
      <c r="A127" s="1">
        <f t="shared" si="9"/>
        <v>44392</v>
      </c>
      <c r="B127" s="34">
        <f t="shared" si="10"/>
        <v>0.90475694444444443</v>
      </c>
      <c r="C127" s="34">
        <f t="shared" si="11"/>
        <v>44392.904756944445</v>
      </c>
      <c r="D127" s="69" t="str">
        <f t="shared" si="12"/>
        <v>2021-07-15</v>
      </c>
      <c r="E127" s="36" t="s">
        <v>1047</v>
      </c>
      <c r="F127" s="35" t="str">
        <f t="shared" si="7"/>
        <v>2021-07-15_21-42-51</v>
      </c>
      <c r="G127" s="37">
        <v>24613411</v>
      </c>
      <c r="H127" s="38">
        <v>28474100</v>
      </c>
      <c r="I127" s="19" t="str">
        <f>IF(OR(COUNTIF(Monitoring!C:C, F127) &gt; 0, COUNTIF(Monitoring!D:D, F127) &gt; 0), "yes", "no")</f>
        <v>yes</v>
      </c>
      <c r="J127" s="70" t="str">
        <f t="shared" si="8"/>
        <v>Z:\FAIR_Device_data\Experiment_JulAug_2021\Video_captures\2021-07-15\2021-07-15_21-42-51.mp4</v>
      </c>
    </row>
    <row r="128" spans="1:10" x14ac:dyDescent="0.3">
      <c r="A128" s="1">
        <f t="shared" si="9"/>
        <v>44392</v>
      </c>
      <c r="B128" s="34">
        <f t="shared" si="10"/>
        <v>0.90726851851851853</v>
      </c>
      <c r="C128" s="34">
        <f t="shared" si="11"/>
        <v>44392.907268518517</v>
      </c>
      <c r="D128" s="69" t="str">
        <f t="shared" si="12"/>
        <v>2021-07-15</v>
      </c>
      <c r="E128" s="36" t="s">
        <v>1048</v>
      </c>
      <c r="F128" s="35" t="str">
        <f t="shared" si="7"/>
        <v>2021-07-15_21-46-28</v>
      </c>
      <c r="G128" s="37">
        <v>11663021</v>
      </c>
      <c r="H128" s="38">
        <v>13072088</v>
      </c>
      <c r="I128" s="19" t="str">
        <f>IF(OR(COUNTIF(Monitoring!C:C, F128) &gt; 0, COUNTIF(Monitoring!D:D, F128) &gt; 0), "yes", "no")</f>
        <v>yes</v>
      </c>
      <c r="J128" s="70" t="str">
        <f t="shared" si="8"/>
        <v>Z:\FAIR_Device_data\Experiment_JulAug_2021\Video_captures\2021-07-15\2021-07-15_21-46-28.mp4</v>
      </c>
    </row>
    <row r="129" spans="1:10" x14ac:dyDescent="0.3">
      <c r="A129" s="1">
        <f t="shared" si="9"/>
        <v>44392</v>
      </c>
      <c r="B129" s="34">
        <f t="shared" si="10"/>
        <v>0.90924768518518517</v>
      </c>
      <c r="C129" s="34">
        <f t="shared" si="11"/>
        <v>44392.909247685187</v>
      </c>
      <c r="D129" s="69" t="str">
        <f t="shared" si="12"/>
        <v>2021-07-15</v>
      </c>
      <c r="E129" s="36" t="s">
        <v>1049</v>
      </c>
      <c r="F129" s="35" t="str">
        <f t="shared" si="7"/>
        <v>2021-07-15_21-49-19</v>
      </c>
      <c r="G129" s="37">
        <v>28155599</v>
      </c>
      <c r="H129" s="38">
        <v>31693441</v>
      </c>
      <c r="I129" s="19" t="str">
        <f>IF(OR(COUNTIF(Monitoring!C:C, F129) &gt; 0, COUNTIF(Monitoring!D:D, F129) &gt; 0), "yes", "no")</f>
        <v>yes</v>
      </c>
      <c r="J129" s="70" t="str">
        <f t="shared" si="8"/>
        <v>Z:\FAIR_Device_data\Experiment_JulAug_2021\Video_captures\2021-07-15\2021-07-15_21-49-19.mp4</v>
      </c>
    </row>
    <row r="130" spans="1:10" x14ac:dyDescent="0.3">
      <c r="A130" s="1">
        <f t="shared" si="9"/>
        <v>44392</v>
      </c>
      <c r="B130" s="34">
        <f t="shared" si="10"/>
        <v>0.91260416666666666</v>
      </c>
      <c r="C130" s="34">
        <f t="shared" si="11"/>
        <v>44392.912604166668</v>
      </c>
      <c r="D130" s="69" t="str">
        <f t="shared" si="12"/>
        <v>2021-07-15</v>
      </c>
      <c r="E130" s="36" t="s">
        <v>1050</v>
      </c>
      <c r="F130" s="35" t="str">
        <f t="shared" ref="F130:F193" si="13">+LEFT(E130,19)</f>
        <v>2021-07-15_21-54-09</v>
      </c>
      <c r="G130" s="37">
        <v>25847396</v>
      </c>
      <c r="H130" s="38">
        <v>30010593</v>
      </c>
      <c r="I130" s="19" t="str">
        <f>IF(OR(COUNTIF(Monitoring!C:C, F130) &gt; 0, COUNTIF(Monitoring!D:D, F130) &gt; 0), "yes", "no")</f>
        <v>yes</v>
      </c>
      <c r="J130" s="70" t="str">
        <f t="shared" ref="J130:J193" si="14">HYPERLINK(_xlfn.CONCAT("Z:\FAIR_Device_data\Experiment_JulAug_2021","\","Video_captures","\",D130,"\",E130))</f>
        <v>Z:\FAIR_Device_data\Experiment_JulAug_2021\Video_captures\2021-07-15\2021-07-15_21-54-09.mp4</v>
      </c>
    </row>
    <row r="131" spans="1:10" x14ac:dyDescent="0.3">
      <c r="A131" s="1">
        <f t="shared" ref="A131:A194" si="15">VALUE(MID(F131,1,10))</f>
        <v>44392</v>
      </c>
      <c r="B131" s="34">
        <f t="shared" ref="B131:B194" si="16">IF(ISBLANK(F131),"",TIME(LEFT(RIGHT(F131,8),2),LEFT(RIGHT(F131,5),2),RIGHT(F131,2)))</f>
        <v>0.9146643518518518</v>
      </c>
      <c r="C131" s="34">
        <f t="shared" ref="C131:C194" si="17">+A131+B131</f>
        <v>44392.914664351854</v>
      </c>
      <c r="D131" s="69" t="str">
        <f t="shared" ref="D131:D194" si="18">+_xlfn.CONCAT(YEAR(A131),"-",TEXT(MONTH(A131),"00"),"-",TEXT(DAY(A131),"00"))</f>
        <v>2021-07-15</v>
      </c>
      <c r="E131" s="36" t="s">
        <v>1051</v>
      </c>
      <c r="F131" s="35" t="str">
        <f t="shared" si="13"/>
        <v>2021-07-15_21-57-07</v>
      </c>
      <c r="G131" s="37">
        <v>54503255</v>
      </c>
      <c r="H131" s="38">
        <v>69146089</v>
      </c>
      <c r="I131" s="19" t="str">
        <f>IF(OR(COUNTIF(Monitoring!C:C, F131) &gt; 0, COUNTIF(Monitoring!D:D, F131) &gt; 0), "yes", "no")</f>
        <v>yes</v>
      </c>
      <c r="J131" s="70" t="str">
        <f t="shared" si="14"/>
        <v>Z:\FAIR_Device_data\Experiment_JulAug_2021\Video_captures\2021-07-15\2021-07-15_21-57-07.mp4</v>
      </c>
    </row>
    <row r="132" spans="1:10" x14ac:dyDescent="0.3">
      <c r="A132" s="1">
        <f t="shared" si="15"/>
        <v>44392</v>
      </c>
      <c r="B132" s="34">
        <f t="shared" si="16"/>
        <v>0.9162731481481482</v>
      </c>
      <c r="C132" s="34">
        <f t="shared" si="17"/>
        <v>44392.916273148148</v>
      </c>
      <c r="D132" s="69" t="str">
        <f t="shared" si="18"/>
        <v>2021-07-15</v>
      </c>
      <c r="E132" s="36" t="s">
        <v>1052</v>
      </c>
      <c r="F132" s="35" t="str">
        <f t="shared" si="13"/>
        <v>2021-07-15_21-59-26</v>
      </c>
      <c r="G132" s="37">
        <v>62009961</v>
      </c>
      <c r="H132" s="38">
        <v>78717749</v>
      </c>
      <c r="I132" s="19" t="str">
        <f>IF(OR(COUNTIF(Monitoring!C:C, F132) &gt; 0, COUNTIF(Monitoring!D:D, F132) &gt; 0), "yes", "no")</f>
        <v>yes</v>
      </c>
      <c r="J132" s="70" t="str">
        <f t="shared" si="14"/>
        <v>Z:\FAIR_Device_data\Experiment_JulAug_2021\Video_captures\2021-07-15\2021-07-15_21-59-26.mp4</v>
      </c>
    </row>
    <row r="133" spans="1:10" x14ac:dyDescent="0.3">
      <c r="A133" s="1">
        <f t="shared" si="15"/>
        <v>44392</v>
      </c>
      <c r="B133" s="34">
        <f t="shared" si="16"/>
        <v>0.9173958333333333</v>
      </c>
      <c r="C133" s="34">
        <f t="shared" si="17"/>
        <v>44392.917395833334</v>
      </c>
      <c r="D133" s="69" t="str">
        <f t="shared" si="18"/>
        <v>2021-07-15</v>
      </c>
      <c r="E133" s="36" t="s">
        <v>1053</v>
      </c>
      <c r="F133" s="35" t="str">
        <f t="shared" si="13"/>
        <v>2021-07-15_22-01-03</v>
      </c>
      <c r="G133" s="37">
        <v>124595378</v>
      </c>
      <c r="H133" s="38">
        <v>145090413</v>
      </c>
      <c r="I133" s="19" t="str">
        <f>IF(OR(COUNTIF(Monitoring!C:C, F133) &gt; 0, COUNTIF(Monitoring!D:D, F133) &gt; 0), "yes", "no")</f>
        <v>yes</v>
      </c>
      <c r="J133" s="70" t="str">
        <f t="shared" si="14"/>
        <v>Z:\FAIR_Device_data\Experiment_JulAug_2021\Video_captures\2021-07-15\2021-07-15_22-01-03.mp4</v>
      </c>
    </row>
    <row r="134" spans="1:10" x14ac:dyDescent="0.3">
      <c r="A134" s="1">
        <f t="shared" si="15"/>
        <v>44392</v>
      </c>
      <c r="B134" s="34">
        <f t="shared" si="16"/>
        <v>0.9211111111111111</v>
      </c>
      <c r="C134" s="34">
        <f t="shared" si="17"/>
        <v>44392.921111111114</v>
      </c>
      <c r="D134" s="69" t="str">
        <f t="shared" si="18"/>
        <v>2021-07-15</v>
      </c>
      <c r="E134" s="36" t="s">
        <v>1054</v>
      </c>
      <c r="F134" s="35" t="str">
        <f t="shared" si="13"/>
        <v>2021-07-15_22-06-24</v>
      </c>
      <c r="G134" s="37">
        <v>135279102</v>
      </c>
      <c r="H134" s="38">
        <v>163301081</v>
      </c>
      <c r="I134" s="19" t="str">
        <f>IF(OR(COUNTIF(Monitoring!C:C, F134) &gt; 0, COUNTIF(Monitoring!D:D, F134) &gt; 0), "yes", "no")</f>
        <v>yes</v>
      </c>
      <c r="J134" s="70" t="str">
        <f t="shared" si="14"/>
        <v>Z:\FAIR_Device_data\Experiment_JulAug_2021\Video_captures\2021-07-15\2021-07-15_22-06-24.mp4</v>
      </c>
    </row>
    <row r="135" spans="1:10" x14ac:dyDescent="0.3">
      <c r="A135" s="1">
        <f t="shared" si="15"/>
        <v>44392</v>
      </c>
      <c r="B135" s="34">
        <f t="shared" si="16"/>
        <v>0.92501157407407408</v>
      </c>
      <c r="C135" s="34">
        <f t="shared" si="17"/>
        <v>44392.925011574072</v>
      </c>
      <c r="D135" s="69" t="str">
        <f t="shared" si="18"/>
        <v>2021-07-15</v>
      </c>
      <c r="E135" s="36" t="s">
        <v>1055</v>
      </c>
      <c r="F135" s="35" t="str">
        <f t="shared" si="13"/>
        <v>2021-07-15_22-12-01</v>
      </c>
      <c r="G135" s="37">
        <v>124929102</v>
      </c>
      <c r="H135" s="38">
        <v>158233390</v>
      </c>
      <c r="I135" s="19" t="str">
        <f>IF(OR(COUNTIF(Monitoring!C:C, F135) &gt; 0, COUNTIF(Monitoring!D:D, F135) &gt; 0), "yes", "no")</f>
        <v>yes</v>
      </c>
      <c r="J135" s="70" t="str">
        <f t="shared" si="14"/>
        <v>Z:\FAIR_Device_data\Experiment_JulAug_2021\Video_captures\2021-07-15\2021-07-15_22-12-01.mp4</v>
      </c>
    </row>
    <row r="136" spans="1:10" x14ac:dyDescent="0.3">
      <c r="A136" s="1">
        <f t="shared" si="15"/>
        <v>44392</v>
      </c>
      <c r="B136" s="34">
        <f t="shared" si="16"/>
        <v>0.92702546296296295</v>
      </c>
      <c r="C136" s="34">
        <f t="shared" si="17"/>
        <v>44392.927025462966</v>
      </c>
      <c r="D136" s="69" t="str">
        <f t="shared" si="18"/>
        <v>2021-07-15</v>
      </c>
      <c r="E136" s="36" t="s">
        <v>1056</v>
      </c>
      <c r="F136" s="35" t="str">
        <f t="shared" si="13"/>
        <v>2021-07-15_22-14-55</v>
      </c>
      <c r="G136" s="37">
        <v>8573047</v>
      </c>
      <c r="H136" s="38">
        <v>8818414</v>
      </c>
      <c r="I136" s="19" t="str">
        <f>IF(OR(COUNTIF(Monitoring!C:C, F136) &gt; 0, COUNTIF(Monitoring!D:D, F136) &gt; 0), "yes", "no")</f>
        <v>yes</v>
      </c>
      <c r="J136" s="70" t="str">
        <f t="shared" si="14"/>
        <v>Z:\FAIR_Device_data\Experiment_JulAug_2021\Video_captures\2021-07-15\2021-07-15_22-14-55.mp4</v>
      </c>
    </row>
    <row r="137" spans="1:10" x14ac:dyDescent="0.3">
      <c r="A137" s="1">
        <f t="shared" si="15"/>
        <v>44392</v>
      </c>
      <c r="B137" s="34">
        <f t="shared" si="16"/>
        <v>0.93243055555555554</v>
      </c>
      <c r="C137" s="34">
        <f t="shared" si="17"/>
        <v>44392.932430555556</v>
      </c>
      <c r="D137" s="69" t="str">
        <f t="shared" si="18"/>
        <v>2021-07-15</v>
      </c>
      <c r="E137" s="36" t="s">
        <v>1057</v>
      </c>
      <c r="F137" s="35" t="str">
        <f t="shared" si="13"/>
        <v>2021-07-15_22-22-42</v>
      </c>
      <c r="G137" s="37">
        <v>8001367</v>
      </c>
      <c r="H137" s="38">
        <v>8162474</v>
      </c>
      <c r="I137" s="19" t="str">
        <f>IF(OR(COUNTIF(Monitoring!C:C, F137) &gt; 0, COUNTIF(Monitoring!D:D, F137) &gt; 0), "yes", "no")</f>
        <v>yes</v>
      </c>
      <c r="J137" s="70" t="str">
        <f t="shared" si="14"/>
        <v>Z:\FAIR_Device_data\Experiment_JulAug_2021\Video_captures\2021-07-15\2021-07-15_22-22-42.mp4</v>
      </c>
    </row>
    <row r="138" spans="1:10" x14ac:dyDescent="0.3">
      <c r="A138" s="1">
        <f t="shared" si="15"/>
        <v>44392</v>
      </c>
      <c r="B138" s="34">
        <f t="shared" si="16"/>
        <v>0.93415509259259255</v>
      </c>
      <c r="C138" s="34">
        <f t="shared" si="17"/>
        <v>44392.934155092589</v>
      </c>
      <c r="D138" s="69" t="str">
        <f t="shared" si="18"/>
        <v>2021-07-15</v>
      </c>
      <c r="E138" s="36" t="s">
        <v>1058</v>
      </c>
      <c r="F138" s="35" t="str">
        <f t="shared" si="13"/>
        <v>2021-07-15_22-25-11</v>
      </c>
      <c r="G138" s="37">
        <v>132063411</v>
      </c>
      <c r="H138" s="38">
        <v>162154605</v>
      </c>
      <c r="I138" s="19" t="str">
        <f>IF(OR(COUNTIF(Monitoring!C:C, F138) &gt; 0, COUNTIF(Monitoring!D:D, F138) &gt; 0), "yes", "no")</f>
        <v>yes</v>
      </c>
      <c r="J138" s="70" t="str">
        <f t="shared" si="14"/>
        <v>Z:\FAIR_Device_data\Experiment_JulAug_2021\Video_captures\2021-07-15\2021-07-15_22-25-11.mp4</v>
      </c>
    </row>
    <row r="139" spans="1:10" x14ac:dyDescent="0.3">
      <c r="A139" s="1">
        <f t="shared" si="15"/>
        <v>44392</v>
      </c>
      <c r="B139" s="34">
        <f t="shared" si="16"/>
        <v>0.94555555555555559</v>
      </c>
      <c r="C139" s="34">
        <f t="shared" si="17"/>
        <v>44392.945555555554</v>
      </c>
      <c r="D139" s="69" t="str">
        <f t="shared" si="18"/>
        <v>2021-07-15</v>
      </c>
      <c r="E139" s="36" t="s">
        <v>1059</v>
      </c>
      <c r="F139" s="35" t="str">
        <f t="shared" si="13"/>
        <v>2021-07-15_22-41-36</v>
      </c>
      <c r="G139" s="37">
        <v>15812370</v>
      </c>
      <c r="H139" s="38">
        <v>16730405</v>
      </c>
      <c r="I139" s="19" t="str">
        <f>IF(OR(COUNTIF(Monitoring!C:C, F139) &gt; 0, COUNTIF(Monitoring!D:D, F139) &gt; 0), "yes", "no")</f>
        <v>yes</v>
      </c>
      <c r="J139" s="70" t="str">
        <f t="shared" si="14"/>
        <v>Z:\FAIR_Device_data\Experiment_JulAug_2021\Video_captures\2021-07-15\2021-07-15_22-41-36.mp4</v>
      </c>
    </row>
    <row r="140" spans="1:10" x14ac:dyDescent="0.3">
      <c r="A140" s="1">
        <f t="shared" si="15"/>
        <v>44392</v>
      </c>
      <c r="B140" s="34">
        <f t="shared" si="16"/>
        <v>0.95096064814814818</v>
      </c>
      <c r="C140" s="34">
        <f t="shared" si="17"/>
        <v>44392.950960648152</v>
      </c>
      <c r="D140" s="69" t="str">
        <f t="shared" si="18"/>
        <v>2021-07-15</v>
      </c>
      <c r="E140" s="36" t="s">
        <v>1060</v>
      </c>
      <c r="F140" s="35" t="str">
        <f t="shared" si="13"/>
        <v>2021-07-15_22-49-23</v>
      </c>
      <c r="G140" s="37">
        <v>24001628</v>
      </c>
      <c r="H140" s="38">
        <v>26671755</v>
      </c>
      <c r="I140" s="19" t="str">
        <f>IF(OR(COUNTIF(Monitoring!C:C, F140) &gt; 0, COUNTIF(Monitoring!D:D, F140) &gt; 0), "yes", "no")</f>
        <v>yes</v>
      </c>
      <c r="J140" s="70" t="str">
        <f t="shared" si="14"/>
        <v>Z:\FAIR_Device_data\Experiment_JulAug_2021\Video_captures\2021-07-15\2021-07-15_22-49-23.mp4</v>
      </c>
    </row>
    <row r="141" spans="1:10" x14ac:dyDescent="0.3">
      <c r="A141" s="1">
        <f t="shared" si="15"/>
        <v>44392</v>
      </c>
      <c r="B141" s="34">
        <f t="shared" si="16"/>
        <v>0.95329861111111114</v>
      </c>
      <c r="C141" s="34">
        <f t="shared" si="17"/>
        <v>44392.953298611108</v>
      </c>
      <c r="D141" s="69" t="str">
        <f t="shared" si="18"/>
        <v>2021-07-15</v>
      </c>
      <c r="E141" s="36" t="s">
        <v>1061</v>
      </c>
      <c r="F141" s="35" t="str">
        <f t="shared" si="13"/>
        <v>2021-07-15_22-52-45</v>
      </c>
      <c r="G141" s="37">
        <v>9337760</v>
      </c>
      <c r="H141" s="38">
        <v>9069677</v>
      </c>
      <c r="I141" s="19" t="str">
        <f>IF(OR(COUNTIF(Monitoring!C:C, F141) &gt; 0, COUNTIF(Monitoring!D:D, F141) &gt; 0), "yes", "no")</f>
        <v>yes</v>
      </c>
      <c r="J141" s="70" t="str">
        <f t="shared" si="14"/>
        <v>Z:\FAIR_Device_data\Experiment_JulAug_2021\Video_captures\2021-07-15\2021-07-15_22-52-45.mp4</v>
      </c>
    </row>
    <row r="142" spans="1:10" x14ac:dyDescent="0.3">
      <c r="A142" s="1">
        <f t="shared" si="15"/>
        <v>44392</v>
      </c>
      <c r="B142" s="34">
        <f t="shared" si="16"/>
        <v>0.95922453703703703</v>
      </c>
      <c r="C142" s="34">
        <f t="shared" si="17"/>
        <v>44392.959224537037</v>
      </c>
      <c r="D142" s="69" t="str">
        <f t="shared" si="18"/>
        <v>2021-07-15</v>
      </c>
      <c r="E142" s="36" t="s">
        <v>1062</v>
      </c>
      <c r="F142" s="35" t="str">
        <f t="shared" si="13"/>
        <v>2021-07-15_23-01-17</v>
      </c>
      <c r="G142" s="37">
        <v>43103971</v>
      </c>
      <c r="H142" s="38">
        <v>51757203</v>
      </c>
      <c r="I142" s="19" t="str">
        <f>IF(OR(COUNTIF(Monitoring!C:C, F142) &gt; 0, COUNTIF(Monitoring!D:D, F142) &gt; 0), "yes", "no")</f>
        <v>yes</v>
      </c>
      <c r="J142" s="70" t="str">
        <f t="shared" si="14"/>
        <v>Z:\FAIR_Device_data\Experiment_JulAug_2021\Video_captures\2021-07-15\2021-07-15_23-01-17.mp4</v>
      </c>
    </row>
    <row r="143" spans="1:10" x14ac:dyDescent="0.3">
      <c r="A143" s="1">
        <f t="shared" si="15"/>
        <v>44392</v>
      </c>
      <c r="B143" s="34">
        <f t="shared" si="16"/>
        <v>0.96045138888888892</v>
      </c>
      <c r="C143" s="34">
        <f t="shared" si="17"/>
        <v>44392.960451388892</v>
      </c>
      <c r="D143" s="69" t="str">
        <f t="shared" si="18"/>
        <v>2021-07-15</v>
      </c>
      <c r="E143" s="36" t="s">
        <v>1063</v>
      </c>
      <c r="F143" s="35" t="str">
        <f t="shared" si="13"/>
        <v>2021-07-15_23-03-03</v>
      </c>
      <c r="G143" s="37">
        <v>18427802</v>
      </c>
      <c r="H143" s="38">
        <v>21508996</v>
      </c>
      <c r="I143" s="19" t="str">
        <f>IF(OR(COUNTIF(Monitoring!C:C, F143) &gt; 0, COUNTIF(Monitoring!D:D, F143) &gt; 0), "yes", "no")</f>
        <v>yes</v>
      </c>
      <c r="J143" s="70" t="str">
        <f t="shared" si="14"/>
        <v>Z:\FAIR_Device_data\Experiment_JulAug_2021\Video_captures\2021-07-15\2021-07-15_23-03-03.mp4</v>
      </c>
    </row>
    <row r="144" spans="1:10" x14ac:dyDescent="0.3">
      <c r="A144" s="1">
        <f t="shared" si="15"/>
        <v>44392</v>
      </c>
      <c r="B144" s="34">
        <f t="shared" si="16"/>
        <v>0.96251157407407406</v>
      </c>
      <c r="C144" s="34">
        <f t="shared" si="17"/>
        <v>44392.962511574071</v>
      </c>
      <c r="D144" s="69" t="str">
        <f t="shared" si="18"/>
        <v>2021-07-15</v>
      </c>
      <c r="E144" s="36" t="s">
        <v>1064</v>
      </c>
      <c r="F144" s="35" t="str">
        <f t="shared" si="13"/>
        <v>2021-07-15_23-06-01</v>
      </c>
      <c r="G144" s="37">
        <v>10540690</v>
      </c>
      <c r="H144" s="38">
        <v>11367519</v>
      </c>
      <c r="I144" s="19" t="str">
        <f>IF(OR(COUNTIF(Monitoring!C:C, F144) &gt; 0, COUNTIF(Monitoring!D:D, F144) &gt; 0), "yes", "no")</f>
        <v>no</v>
      </c>
      <c r="J144" s="70" t="str">
        <f t="shared" si="14"/>
        <v>Z:\FAIR_Device_data\Experiment_JulAug_2021\Video_captures\2021-07-15\2021-07-15_23-06-01.mp4</v>
      </c>
    </row>
    <row r="145" spans="1:10" x14ac:dyDescent="0.3">
      <c r="A145" s="1">
        <f t="shared" si="15"/>
        <v>44392</v>
      </c>
      <c r="B145" s="34">
        <f t="shared" si="16"/>
        <v>0.96569444444444441</v>
      </c>
      <c r="C145" s="34">
        <f t="shared" si="17"/>
        <v>44392.965694444443</v>
      </c>
      <c r="D145" s="69" t="str">
        <f t="shared" si="18"/>
        <v>2021-07-15</v>
      </c>
      <c r="E145" s="36" t="s">
        <v>1065</v>
      </c>
      <c r="F145" s="35" t="str">
        <f t="shared" si="13"/>
        <v>2021-07-15_23-10-36</v>
      </c>
      <c r="G145" s="37">
        <v>15431641</v>
      </c>
      <c r="H145" s="38">
        <v>17395483</v>
      </c>
      <c r="I145" s="19" t="str">
        <f>IF(OR(COUNTIF(Monitoring!C:C, F145) &gt; 0, COUNTIF(Monitoring!D:D, F145) &gt; 0), "yes", "no")</f>
        <v>no</v>
      </c>
      <c r="J145" s="70" t="str">
        <f t="shared" si="14"/>
        <v>Z:\FAIR_Device_data\Experiment_JulAug_2021\Video_captures\2021-07-15\2021-07-15_23-10-36.mp4</v>
      </c>
    </row>
    <row r="146" spans="1:10" x14ac:dyDescent="0.3">
      <c r="A146" s="1">
        <f t="shared" si="15"/>
        <v>44392</v>
      </c>
      <c r="B146" s="34">
        <f t="shared" si="16"/>
        <v>0.98157407407407404</v>
      </c>
      <c r="C146" s="34">
        <f t="shared" si="17"/>
        <v>44392.981574074074</v>
      </c>
      <c r="D146" s="69" t="str">
        <f t="shared" si="18"/>
        <v>2021-07-15</v>
      </c>
      <c r="E146" s="36" t="s">
        <v>1066</v>
      </c>
      <c r="F146" s="35" t="str">
        <f t="shared" si="13"/>
        <v>2021-07-15_23-33-28</v>
      </c>
      <c r="G146" s="37">
        <v>70734442</v>
      </c>
      <c r="H146" s="38">
        <v>86137784</v>
      </c>
      <c r="I146" s="19" t="str">
        <f>IF(OR(COUNTIF(Monitoring!C:C, F146) &gt; 0, COUNTIF(Monitoring!D:D, F146) &gt; 0), "yes", "no")</f>
        <v>no</v>
      </c>
      <c r="J146" s="70" t="str">
        <f t="shared" si="14"/>
        <v>Z:\FAIR_Device_data\Experiment_JulAug_2021\Video_captures\2021-07-15\2021-07-15_23-33-28.mp4</v>
      </c>
    </row>
    <row r="147" spans="1:10" x14ac:dyDescent="0.3">
      <c r="A147" s="1">
        <f t="shared" si="15"/>
        <v>44393</v>
      </c>
      <c r="B147" s="34">
        <f t="shared" si="16"/>
        <v>3.8194444444444443E-3</v>
      </c>
      <c r="C147" s="34">
        <f t="shared" si="17"/>
        <v>44393.003819444442</v>
      </c>
      <c r="D147" s="69" t="str">
        <f t="shared" si="18"/>
        <v>2021-07-16</v>
      </c>
      <c r="E147" s="36" t="s">
        <v>1067</v>
      </c>
      <c r="F147" s="35" t="str">
        <f t="shared" si="13"/>
        <v>2021-07-16_00-05-30</v>
      </c>
      <c r="G147" s="37">
        <v>28068490</v>
      </c>
      <c r="H147" s="38">
        <v>34686087</v>
      </c>
      <c r="I147" s="19" t="str">
        <f>IF(OR(COUNTIF(Monitoring!C:C, F147) &gt; 0, COUNTIF(Monitoring!D:D, F147) &gt; 0), "yes", "no")</f>
        <v>yes</v>
      </c>
      <c r="J147" s="70" t="str">
        <f t="shared" si="14"/>
        <v>Z:\FAIR_Device_data\Experiment_JulAug_2021\Video_captures\2021-07-16\2021-07-16_00-05-30.mp4</v>
      </c>
    </row>
    <row r="148" spans="1:10" x14ac:dyDescent="0.3">
      <c r="A148" s="1">
        <f t="shared" si="15"/>
        <v>44393</v>
      </c>
      <c r="B148" s="34">
        <f t="shared" si="16"/>
        <v>7.8125E-3</v>
      </c>
      <c r="C148" s="34">
        <f t="shared" si="17"/>
        <v>44393.0078125</v>
      </c>
      <c r="D148" s="69" t="str">
        <f t="shared" si="18"/>
        <v>2021-07-16</v>
      </c>
      <c r="E148" s="36" t="s">
        <v>1068</v>
      </c>
      <c r="F148" s="35" t="str">
        <f t="shared" si="13"/>
        <v>2021-07-16_00-11-15</v>
      </c>
      <c r="G148" s="37">
        <v>8597070</v>
      </c>
      <c r="H148" s="38">
        <v>8930395</v>
      </c>
      <c r="I148" s="19" t="str">
        <f>IF(OR(COUNTIF(Monitoring!C:C, F148) &gt; 0, COUNTIF(Monitoring!D:D, F148) &gt; 0), "yes", "no")</f>
        <v>yes</v>
      </c>
      <c r="J148" s="70" t="str">
        <f t="shared" si="14"/>
        <v>Z:\FAIR_Device_data\Experiment_JulAug_2021\Video_captures\2021-07-16\2021-07-16_00-11-15.mp4</v>
      </c>
    </row>
    <row r="149" spans="1:10" x14ac:dyDescent="0.3">
      <c r="A149" s="1">
        <f t="shared" si="15"/>
        <v>44393</v>
      </c>
      <c r="B149" s="34">
        <f t="shared" si="16"/>
        <v>1.224537037037037E-2</v>
      </c>
      <c r="C149" s="34">
        <f t="shared" si="17"/>
        <v>44393.012245370373</v>
      </c>
      <c r="D149" s="69" t="str">
        <f t="shared" si="18"/>
        <v>2021-07-16</v>
      </c>
      <c r="E149" s="36" t="s">
        <v>1069</v>
      </c>
      <c r="F149" s="35" t="str">
        <f t="shared" si="13"/>
        <v>2021-07-16_00-17-38</v>
      </c>
      <c r="G149" s="37">
        <v>10606510</v>
      </c>
      <c r="H149" s="38">
        <v>11535259</v>
      </c>
      <c r="I149" s="19" t="str">
        <f>IF(OR(COUNTIF(Monitoring!C:C, F149) &gt; 0, COUNTIF(Monitoring!D:D, F149) &gt; 0), "yes", "no")</f>
        <v>yes</v>
      </c>
      <c r="J149" s="70" t="str">
        <f t="shared" si="14"/>
        <v>Z:\FAIR_Device_data\Experiment_JulAug_2021\Video_captures\2021-07-16\2021-07-16_00-17-38.mp4</v>
      </c>
    </row>
    <row r="150" spans="1:10" x14ac:dyDescent="0.3">
      <c r="A150" s="1">
        <f t="shared" si="15"/>
        <v>44393</v>
      </c>
      <c r="B150" s="34">
        <f t="shared" si="16"/>
        <v>8.1354166666666672E-2</v>
      </c>
      <c r="C150" s="34">
        <f t="shared" si="17"/>
        <v>44393.081354166665</v>
      </c>
      <c r="D150" s="69" t="str">
        <f t="shared" si="18"/>
        <v>2021-07-16</v>
      </c>
      <c r="E150" s="36" t="s">
        <v>1070</v>
      </c>
      <c r="F150" s="35" t="str">
        <f t="shared" si="13"/>
        <v>2021-07-16_01-57-09</v>
      </c>
      <c r="G150" s="37">
        <v>221674414</v>
      </c>
      <c r="H150" s="38">
        <v>260448999</v>
      </c>
      <c r="I150" s="19" t="str">
        <f>IF(OR(COUNTIF(Monitoring!C:C, F150) &gt; 0, COUNTIF(Monitoring!D:D, F150) &gt; 0), "yes", "no")</f>
        <v>yes</v>
      </c>
      <c r="J150" s="70" t="str">
        <f t="shared" si="14"/>
        <v>Z:\FAIR_Device_data\Experiment_JulAug_2021\Video_captures\2021-07-16\2021-07-16_01-57-09.mp4</v>
      </c>
    </row>
    <row r="151" spans="1:10" x14ac:dyDescent="0.3">
      <c r="A151" s="1">
        <f t="shared" si="15"/>
        <v>44393</v>
      </c>
      <c r="B151" s="34">
        <f t="shared" si="16"/>
        <v>8.4745370370370374E-2</v>
      </c>
      <c r="C151" s="34">
        <f t="shared" si="17"/>
        <v>44393.084745370368</v>
      </c>
      <c r="D151" s="69" t="str">
        <f t="shared" si="18"/>
        <v>2021-07-16</v>
      </c>
      <c r="E151" s="36" t="s">
        <v>1071</v>
      </c>
      <c r="F151" s="35" t="str">
        <f t="shared" si="13"/>
        <v>2021-07-16_02-02-02</v>
      </c>
      <c r="G151" s="37">
        <v>13988411</v>
      </c>
      <c r="H151" s="38">
        <v>15009288</v>
      </c>
      <c r="I151" s="19" t="str">
        <f>IF(OR(COUNTIF(Monitoring!C:C, F151) &gt; 0, COUNTIF(Monitoring!D:D, F151) &gt; 0), "yes", "no")</f>
        <v>no</v>
      </c>
      <c r="J151" s="70" t="str">
        <f t="shared" si="14"/>
        <v>Z:\FAIR_Device_data\Experiment_JulAug_2021\Video_captures\2021-07-16\2021-07-16_02-02-02.mp4</v>
      </c>
    </row>
    <row r="152" spans="1:10" x14ac:dyDescent="0.3">
      <c r="A152" s="1">
        <f t="shared" si="15"/>
        <v>44393</v>
      </c>
      <c r="B152" s="34">
        <f t="shared" si="16"/>
        <v>8.5891203703703706E-2</v>
      </c>
      <c r="C152" s="34">
        <f t="shared" si="17"/>
        <v>44393.0858912037</v>
      </c>
      <c r="D152" s="69" t="str">
        <f t="shared" si="18"/>
        <v>2021-07-16</v>
      </c>
      <c r="E152" s="36" t="s">
        <v>1072</v>
      </c>
      <c r="F152" s="35" t="str">
        <f t="shared" si="13"/>
        <v>2021-07-16_02-03-41</v>
      </c>
      <c r="G152" s="37">
        <v>17882487</v>
      </c>
      <c r="H152" s="38">
        <v>19177425</v>
      </c>
      <c r="I152" s="19" t="str">
        <f>IF(OR(COUNTIF(Monitoring!C:C, F152) &gt; 0, COUNTIF(Monitoring!D:D, F152) &gt; 0), "yes", "no")</f>
        <v>yes</v>
      </c>
      <c r="J152" s="70" t="str">
        <f t="shared" si="14"/>
        <v>Z:\FAIR_Device_data\Experiment_JulAug_2021\Video_captures\2021-07-16\2021-07-16_02-03-41.mp4</v>
      </c>
    </row>
    <row r="153" spans="1:10" x14ac:dyDescent="0.3">
      <c r="A153" s="1">
        <f t="shared" si="15"/>
        <v>44393</v>
      </c>
      <c r="B153" s="34">
        <f t="shared" si="16"/>
        <v>0.10930555555555556</v>
      </c>
      <c r="C153" s="34">
        <f t="shared" si="17"/>
        <v>44393.109305555554</v>
      </c>
      <c r="D153" s="69" t="str">
        <f t="shared" si="18"/>
        <v>2021-07-16</v>
      </c>
      <c r="E153" s="36" t="s">
        <v>1073</v>
      </c>
      <c r="F153" s="35" t="str">
        <f t="shared" si="13"/>
        <v>2021-07-16_02-37-24</v>
      </c>
      <c r="G153" s="37">
        <v>17157292</v>
      </c>
      <c r="H153" s="38">
        <v>18415124</v>
      </c>
      <c r="I153" s="19" t="str">
        <f>IF(OR(COUNTIF(Monitoring!C:C, F153) &gt; 0, COUNTIF(Monitoring!D:D, F153) &gt; 0), "yes", "no")</f>
        <v>yes</v>
      </c>
      <c r="J153" s="70" t="str">
        <f t="shared" si="14"/>
        <v>Z:\FAIR_Device_data\Experiment_JulAug_2021\Video_captures\2021-07-16\2021-07-16_02-37-24.mp4</v>
      </c>
    </row>
    <row r="154" spans="1:10" x14ac:dyDescent="0.3">
      <c r="A154" s="1">
        <f t="shared" si="15"/>
        <v>44393</v>
      </c>
      <c r="B154" s="34">
        <f t="shared" si="16"/>
        <v>0.12386574074074073</v>
      </c>
      <c r="C154" s="34">
        <f t="shared" si="17"/>
        <v>44393.123865740738</v>
      </c>
      <c r="D154" s="69" t="str">
        <f t="shared" si="18"/>
        <v>2021-07-16</v>
      </c>
      <c r="E154" s="36" t="s">
        <v>1074</v>
      </c>
      <c r="F154" s="35" t="str">
        <f t="shared" si="13"/>
        <v>2021-07-16_02-58-22</v>
      </c>
      <c r="G154" s="37">
        <v>16326823</v>
      </c>
      <c r="H154" s="38">
        <v>18915724</v>
      </c>
      <c r="I154" s="19" t="str">
        <f>IF(OR(COUNTIF(Monitoring!C:C, F154) &gt; 0, COUNTIF(Monitoring!D:D, F154) &gt; 0), "yes", "no")</f>
        <v>yes</v>
      </c>
      <c r="J154" s="70" t="str">
        <f t="shared" si="14"/>
        <v>Z:\FAIR_Device_data\Experiment_JulAug_2021\Video_captures\2021-07-16\2021-07-16_02-58-22.mp4</v>
      </c>
    </row>
    <row r="155" spans="1:10" x14ac:dyDescent="0.3">
      <c r="A155" s="1">
        <f t="shared" si="15"/>
        <v>44393</v>
      </c>
      <c r="B155" s="34">
        <f t="shared" si="16"/>
        <v>0.12487268518518518</v>
      </c>
      <c r="C155" s="34">
        <f t="shared" si="17"/>
        <v>44393.124872685185</v>
      </c>
      <c r="D155" s="69" t="str">
        <f t="shared" si="18"/>
        <v>2021-07-16</v>
      </c>
      <c r="E155" s="36" t="s">
        <v>1075</v>
      </c>
      <c r="F155" s="35" t="str">
        <f t="shared" si="13"/>
        <v>2021-07-16_02-59-49</v>
      </c>
      <c r="G155" s="37">
        <v>38726042</v>
      </c>
      <c r="H155" s="38">
        <v>44683787</v>
      </c>
      <c r="I155" s="19" t="str">
        <f>IF(OR(COUNTIF(Monitoring!C:C, F155) &gt; 0, COUNTIF(Monitoring!D:D, F155) &gt; 0), "yes", "no")</f>
        <v>yes</v>
      </c>
      <c r="J155" s="70" t="str">
        <f t="shared" si="14"/>
        <v>Z:\FAIR_Device_data\Experiment_JulAug_2021\Video_captures\2021-07-16\2021-07-16_02-59-49.mp4</v>
      </c>
    </row>
    <row r="156" spans="1:10" x14ac:dyDescent="0.3">
      <c r="A156" s="1">
        <f t="shared" si="15"/>
        <v>44393</v>
      </c>
      <c r="B156" s="34">
        <f t="shared" si="16"/>
        <v>0.12748842592592594</v>
      </c>
      <c r="C156" s="34">
        <f t="shared" si="17"/>
        <v>44393.127488425926</v>
      </c>
      <c r="D156" s="69" t="str">
        <f t="shared" si="18"/>
        <v>2021-07-16</v>
      </c>
      <c r="E156" s="36" t="s">
        <v>1076</v>
      </c>
      <c r="F156" s="35" t="str">
        <f t="shared" si="13"/>
        <v>2021-07-16_03-03-35</v>
      </c>
      <c r="G156" s="37">
        <v>10271289</v>
      </c>
      <c r="H156" s="38">
        <v>10496567</v>
      </c>
      <c r="I156" s="19" t="str">
        <f>IF(OR(COUNTIF(Monitoring!C:C, F156) &gt; 0, COUNTIF(Monitoring!D:D, F156) &gt; 0), "yes", "no")</f>
        <v>yes</v>
      </c>
      <c r="J156" s="70" t="str">
        <f t="shared" si="14"/>
        <v>Z:\FAIR_Device_data\Experiment_JulAug_2021\Video_captures\2021-07-16\2021-07-16_03-03-35.mp4</v>
      </c>
    </row>
    <row r="157" spans="1:10" x14ac:dyDescent="0.3">
      <c r="A157" s="1">
        <f t="shared" si="15"/>
        <v>44393</v>
      </c>
      <c r="B157" s="34">
        <f t="shared" si="16"/>
        <v>0.1330787037037037</v>
      </c>
      <c r="C157" s="34">
        <f t="shared" si="17"/>
        <v>44393.1330787037</v>
      </c>
      <c r="D157" s="69" t="str">
        <f t="shared" si="18"/>
        <v>2021-07-16</v>
      </c>
      <c r="E157" s="36" t="s">
        <v>1077</v>
      </c>
      <c r="F157" s="35" t="str">
        <f t="shared" si="13"/>
        <v>2021-07-16_03-11-38</v>
      </c>
      <c r="G157" s="37">
        <v>8296549</v>
      </c>
      <c r="H157" s="38">
        <v>8509286</v>
      </c>
      <c r="I157" s="19" t="str">
        <f>IF(OR(COUNTIF(Monitoring!C:C, F157) &gt; 0, COUNTIF(Monitoring!D:D, F157) &gt; 0), "yes", "no")</f>
        <v>yes</v>
      </c>
      <c r="J157" s="70" t="str">
        <f t="shared" si="14"/>
        <v>Z:\FAIR_Device_data\Experiment_JulAug_2021\Video_captures\2021-07-16\2021-07-16_03-11-38.mp4</v>
      </c>
    </row>
    <row r="158" spans="1:10" x14ac:dyDescent="0.3">
      <c r="A158" s="1">
        <f t="shared" si="15"/>
        <v>44393</v>
      </c>
      <c r="B158" s="34">
        <f t="shared" si="16"/>
        <v>0.13674768518518518</v>
      </c>
      <c r="C158" s="34">
        <f t="shared" si="17"/>
        <v>44393.136747685188</v>
      </c>
      <c r="D158" s="69" t="str">
        <f t="shared" si="18"/>
        <v>2021-07-16</v>
      </c>
      <c r="E158" s="36" t="s">
        <v>1078</v>
      </c>
      <c r="F158" s="35" t="str">
        <f t="shared" si="13"/>
        <v>2021-07-16_03-16-55</v>
      </c>
      <c r="G158" s="37">
        <v>8488086</v>
      </c>
      <c r="H158" s="38">
        <v>8503756</v>
      </c>
      <c r="I158" s="19" t="str">
        <f>IF(OR(COUNTIF(Monitoring!C:C, F158) &gt; 0, COUNTIF(Monitoring!D:D, F158) &gt; 0), "yes", "no")</f>
        <v>yes</v>
      </c>
      <c r="J158" s="70" t="str">
        <f t="shared" si="14"/>
        <v>Z:\FAIR_Device_data\Experiment_JulAug_2021\Video_captures\2021-07-16\2021-07-16_03-16-55.mp4</v>
      </c>
    </row>
    <row r="159" spans="1:10" x14ac:dyDescent="0.3">
      <c r="A159" s="1">
        <f t="shared" si="15"/>
        <v>44393</v>
      </c>
      <c r="B159" s="34">
        <f t="shared" si="16"/>
        <v>0.1373263888888889</v>
      </c>
      <c r="C159" s="34">
        <f t="shared" si="17"/>
        <v>44393.137326388889</v>
      </c>
      <c r="D159" s="69" t="str">
        <f t="shared" si="18"/>
        <v>2021-07-16</v>
      </c>
      <c r="E159" s="36" t="s">
        <v>1079</v>
      </c>
      <c r="F159" s="35" t="str">
        <f t="shared" si="13"/>
        <v>2021-07-16_03-17-45</v>
      </c>
      <c r="G159" s="37">
        <v>8430404</v>
      </c>
      <c r="H159" s="38">
        <v>8678696</v>
      </c>
      <c r="I159" s="19" t="str">
        <f>IF(OR(COUNTIF(Monitoring!C:C, F159) &gt; 0, COUNTIF(Monitoring!D:D, F159) &gt; 0), "yes", "no")</f>
        <v>yes</v>
      </c>
      <c r="J159" s="70" t="str">
        <f t="shared" si="14"/>
        <v>Z:\FAIR_Device_data\Experiment_JulAug_2021\Video_captures\2021-07-16\2021-07-16_03-17-45.mp4</v>
      </c>
    </row>
    <row r="160" spans="1:10" x14ac:dyDescent="0.3">
      <c r="A160" s="1">
        <f t="shared" si="15"/>
        <v>44393</v>
      </c>
      <c r="B160" s="34">
        <f t="shared" si="16"/>
        <v>0.13789351851851853</v>
      </c>
      <c r="C160" s="34">
        <f t="shared" si="17"/>
        <v>44393.13789351852</v>
      </c>
      <c r="D160" s="69" t="str">
        <f t="shared" si="18"/>
        <v>2021-07-16</v>
      </c>
      <c r="E160" s="36" t="s">
        <v>1080</v>
      </c>
      <c r="F160" s="35" t="str">
        <f t="shared" si="13"/>
        <v>2021-07-16_03-18-34</v>
      </c>
      <c r="G160" s="37">
        <v>23220182</v>
      </c>
      <c r="H160" s="38">
        <v>25875824</v>
      </c>
      <c r="I160" s="19" t="str">
        <f>IF(OR(COUNTIF(Monitoring!C:C, F160) &gt; 0, COUNTIF(Monitoring!D:D, F160) &gt; 0), "yes", "no")</f>
        <v>yes</v>
      </c>
      <c r="J160" s="70" t="str">
        <f t="shared" si="14"/>
        <v>Z:\FAIR_Device_data\Experiment_JulAug_2021\Video_captures\2021-07-16\2021-07-16_03-18-34.mp4</v>
      </c>
    </row>
    <row r="161" spans="1:10" x14ac:dyDescent="0.3">
      <c r="A161" s="1">
        <f t="shared" si="15"/>
        <v>44393</v>
      </c>
      <c r="B161" s="34">
        <f t="shared" si="16"/>
        <v>0.14055555555555554</v>
      </c>
      <c r="C161" s="34">
        <f t="shared" si="17"/>
        <v>44393.140555555554</v>
      </c>
      <c r="D161" s="69" t="str">
        <f t="shared" si="18"/>
        <v>2021-07-16</v>
      </c>
      <c r="E161" s="36" t="s">
        <v>1081</v>
      </c>
      <c r="F161" s="35" t="str">
        <f t="shared" si="13"/>
        <v>2021-07-16_03-22-24</v>
      </c>
      <c r="G161" s="37">
        <v>8457682</v>
      </c>
      <c r="H161" s="38">
        <v>8635897</v>
      </c>
      <c r="I161" s="19" t="str">
        <f>IF(OR(COUNTIF(Monitoring!C:C, F161) &gt; 0, COUNTIF(Monitoring!D:D, F161) &gt; 0), "yes", "no")</f>
        <v>yes</v>
      </c>
      <c r="J161" s="70" t="str">
        <f t="shared" si="14"/>
        <v>Z:\FAIR_Device_data\Experiment_JulAug_2021\Video_captures\2021-07-16\2021-07-16_03-22-24.mp4</v>
      </c>
    </row>
    <row r="162" spans="1:10" x14ac:dyDescent="0.3">
      <c r="A162" s="1">
        <f t="shared" si="15"/>
        <v>44393</v>
      </c>
      <c r="B162" s="34">
        <f t="shared" si="16"/>
        <v>0.1416550925925926</v>
      </c>
      <c r="C162" s="34">
        <f t="shared" si="17"/>
        <v>44393.141655092593</v>
      </c>
      <c r="D162" s="69" t="str">
        <f t="shared" si="18"/>
        <v>2021-07-16</v>
      </c>
      <c r="E162" s="36" t="s">
        <v>1082</v>
      </c>
      <c r="F162" s="35" t="str">
        <f t="shared" si="13"/>
        <v>2021-07-16_03-23-59</v>
      </c>
      <c r="G162" s="37">
        <v>33287565</v>
      </c>
      <c r="H162" s="38">
        <v>37883515</v>
      </c>
      <c r="I162" s="19" t="str">
        <f>IF(OR(COUNTIF(Monitoring!C:C, F162) &gt; 0, COUNTIF(Monitoring!D:D, F162) &gt; 0), "yes", "no")</f>
        <v>yes</v>
      </c>
      <c r="J162" s="70" t="str">
        <f t="shared" si="14"/>
        <v>Z:\FAIR_Device_data\Experiment_JulAug_2021\Video_captures\2021-07-16\2021-07-16_03-23-59.mp4</v>
      </c>
    </row>
    <row r="163" spans="1:10" x14ac:dyDescent="0.3">
      <c r="A163" s="1">
        <f t="shared" si="15"/>
        <v>44393</v>
      </c>
      <c r="B163" s="34">
        <f t="shared" si="16"/>
        <v>0.14421296296296296</v>
      </c>
      <c r="C163" s="34">
        <f t="shared" si="17"/>
        <v>44393.144212962965</v>
      </c>
      <c r="D163" s="69" t="str">
        <f t="shared" si="18"/>
        <v>2021-07-16</v>
      </c>
      <c r="E163" s="36" t="s">
        <v>1083</v>
      </c>
      <c r="F163" s="35" t="str">
        <f t="shared" si="13"/>
        <v>2021-07-16_03-27-40</v>
      </c>
      <c r="G163" s="37">
        <v>8121159</v>
      </c>
      <c r="H163" s="38">
        <v>8277262</v>
      </c>
      <c r="I163" s="19" t="str">
        <f>IF(OR(COUNTIF(Monitoring!C:C, F163) &gt; 0, COUNTIF(Monitoring!D:D, F163) &gt; 0), "yes", "no")</f>
        <v>yes</v>
      </c>
      <c r="J163" s="70" t="str">
        <f t="shared" si="14"/>
        <v>Z:\FAIR_Device_data\Experiment_JulAug_2021\Video_captures\2021-07-16\2021-07-16_03-27-40.mp4</v>
      </c>
    </row>
    <row r="164" spans="1:10" x14ac:dyDescent="0.3">
      <c r="A164" s="1">
        <f t="shared" si="15"/>
        <v>44393</v>
      </c>
      <c r="B164" s="34">
        <f t="shared" si="16"/>
        <v>0.14616898148148147</v>
      </c>
      <c r="C164" s="34">
        <f t="shared" si="17"/>
        <v>44393.146168981482</v>
      </c>
      <c r="D164" s="69" t="str">
        <f t="shared" si="18"/>
        <v>2021-07-16</v>
      </c>
      <c r="E164" s="36" t="s">
        <v>1084</v>
      </c>
      <c r="F164" s="35" t="str">
        <f t="shared" si="13"/>
        <v>2021-07-16_03-30-29</v>
      </c>
      <c r="G164" s="37">
        <v>8852018</v>
      </c>
      <c r="H164" s="38">
        <v>9154208</v>
      </c>
      <c r="I164" s="19" t="str">
        <f>IF(OR(COUNTIF(Monitoring!C:C, F164) &gt; 0, COUNTIF(Monitoring!D:D, F164) &gt; 0), "yes", "no")</f>
        <v>yes</v>
      </c>
      <c r="J164" s="70" t="str">
        <f t="shared" si="14"/>
        <v>Z:\FAIR_Device_data\Experiment_JulAug_2021\Video_captures\2021-07-16\2021-07-16_03-30-29.mp4</v>
      </c>
    </row>
    <row r="165" spans="1:10" x14ac:dyDescent="0.3">
      <c r="A165" s="1">
        <f t="shared" si="15"/>
        <v>44393</v>
      </c>
      <c r="B165" s="34">
        <f t="shared" si="16"/>
        <v>0.1582638888888889</v>
      </c>
      <c r="C165" s="34">
        <f t="shared" si="17"/>
        <v>44393.158263888887</v>
      </c>
      <c r="D165" s="69" t="str">
        <f t="shared" si="18"/>
        <v>2021-07-16</v>
      </c>
      <c r="E165" s="36" t="s">
        <v>1085</v>
      </c>
      <c r="F165" s="35" t="str">
        <f t="shared" si="13"/>
        <v>2021-07-16_03-47-54</v>
      </c>
      <c r="G165" s="37">
        <v>8741276</v>
      </c>
      <c r="H165" s="38">
        <v>9145587</v>
      </c>
      <c r="I165" s="19" t="str">
        <f>IF(OR(COUNTIF(Monitoring!C:C, F165) &gt; 0, COUNTIF(Monitoring!D:D, F165) &gt; 0), "yes", "no")</f>
        <v>yes</v>
      </c>
      <c r="J165" s="70" t="str">
        <f t="shared" si="14"/>
        <v>Z:\FAIR_Device_data\Experiment_JulAug_2021\Video_captures\2021-07-16\2021-07-16_03-47-54.mp4</v>
      </c>
    </row>
    <row r="166" spans="1:10" x14ac:dyDescent="0.3">
      <c r="A166" s="1">
        <f t="shared" si="15"/>
        <v>44393</v>
      </c>
      <c r="B166" s="34">
        <f t="shared" si="16"/>
        <v>0.17334490740740741</v>
      </c>
      <c r="C166" s="34">
        <f t="shared" si="17"/>
        <v>44393.173344907409</v>
      </c>
      <c r="D166" s="69" t="str">
        <f t="shared" si="18"/>
        <v>2021-07-16</v>
      </c>
      <c r="E166" s="36" t="s">
        <v>1086</v>
      </c>
      <c r="F166" s="35" t="str">
        <f t="shared" si="13"/>
        <v>2021-07-16_04-09-37</v>
      </c>
      <c r="G166" s="37">
        <v>8073698</v>
      </c>
      <c r="H166" s="38">
        <v>8198162</v>
      </c>
      <c r="I166" s="19" t="str">
        <f>IF(OR(COUNTIF(Monitoring!C:C, F166) &gt; 0, COUNTIF(Monitoring!D:D, F166) &gt; 0), "yes", "no")</f>
        <v>yes</v>
      </c>
      <c r="J166" s="70" t="str">
        <f t="shared" si="14"/>
        <v>Z:\FAIR_Device_data\Experiment_JulAug_2021\Video_captures\2021-07-16\2021-07-16_04-09-37.mp4</v>
      </c>
    </row>
    <row r="167" spans="1:10" x14ac:dyDescent="0.3">
      <c r="A167" s="1">
        <f t="shared" si="15"/>
        <v>44393</v>
      </c>
      <c r="B167" s="34">
        <f t="shared" si="16"/>
        <v>0.17731481481481481</v>
      </c>
      <c r="C167" s="34">
        <f t="shared" si="17"/>
        <v>44393.177314814813</v>
      </c>
      <c r="D167" s="69" t="str">
        <f t="shared" si="18"/>
        <v>2021-07-16</v>
      </c>
      <c r="E167" s="36" t="s">
        <v>1087</v>
      </c>
      <c r="F167" s="35" t="str">
        <f t="shared" si="13"/>
        <v>2021-07-16_04-15-20</v>
      </c>
      <c r="G167" s="37">
        <v>23457813</v>
      </c>
      <c r="H167" s="38">
        <v>28402366</v>
      </c>
      <c r="I167" s="19" t="str">
        <f>IF(OR(COUNTIF(Monitoring!C:C, F167) &gt; 0, COUNTIF(Monitoring!D:D, F167) &gt; 0), "yes", "no")</f>
        <v>yes</v>
      </c>
      <c r="J167" s="70" t="str">
        <f t="shared" si="14"/>
        <v>Z:\FAIR_Device_data\Experiment_JulAug_2021\Video_captures\2021-07-16\2021-07-16_04-15-20.mp4</v>
      </c>
    </row>
    <row r="168" spans="1:10" x14ac:dyDescent="0.3">
      <c r="A168" s="1">
        <f t="shared" si="15"/>
        <v>44393</v>
      </c>
      <c r="B168" s="34">
        <f t="shared" si="16"/>
        <v>0.21005787037037038</v>
      </c>
      <c r="C168" s="34">
        <f t="shared" si="17"/>
        <v>44393.210057870368</v>
      </c>
      <c r="D168" s="69" t="str">
        <f t="shared" si="18"/>
        <v>2021-07-16</v>
      </c>
      <c r="E168" s="36" t="s">
        <v>1088</v>
      </c>
      <c r="F168" s="35" t="str">
        <f t="shared" si="13"/>
        <v>2021-07-16_05-02-29</v>
      </c>
      <c r="G168" s="37">
        <v>12606185</v>
      </c>
      <c r="H168" s="38">
        <v>14021940</v>
      </c>
      <c r="I168" s="19" t="str">
        <f>IF(OR(COUNTIF(Monitoring!C:C, F168) &gt; 0, COUNTIF(Monitoring!D:D, F168) &gt; 0), "yes", "no")</f>
        <v>yes</v>
      </c>
      <c r="J168" s="70" t="str">
        <f t="shared" si="14"/>
        <v>Z:\FAIR_Device_data\Experiment_JulAug_2021\Video_captures\2021-07-16\2021-07-16_05-02-29.mp4</v>
      </c>
    </row>
    <row r="169" spans="1:10" x14ac:dyDescent="0.3">
      <c r="A169" s="1">
        <f t="shared" si="15"/>
        <v>44393</v>
      </c>
      <c r="B169" s="34">
        <f t="shared" si="16"/>
        <v>0.25953703703703701</v>
      </c>
      <c r="C169" s="34">
        <f t="shared" si="17"/>
        <v>44393.25953703704</v>
      </c>
      <c r="D169" s="69" t="str">
        <f t="shared" si="18"/>
        <v>2021-07-16</v>
      </c>
      <c r="E169" s="36" t="s">
        <v>1089</v>
      </c>
      <c r="F169" s="35" t="str">
        <f t="shared" si="13"/>
        <v>2021-07-16_06-13-44</v>
      </c>
      <c r="G169" s="37">
        <v>20227409</v>
      </c>
      <c r="H169" s="38">
        <v>23115592</v>
      </c>
      <c r="I169" s="19" t="str">
        <f>IF(OR(COUNTIF(Monitoring!C:C, F169) &gt; 0, COUNTIF(Monitoring!D:D, F169) &gt; 0), "yes", "no")</f>
        <v>yes</v>
      </c>
      <c r="J169" s="70" t="str">
        <f t="shared" si="14"/>
        <v>Z:\FAIR_Device_data\Experiment_JulAug_2021\Video_captures\2021-07-16\2021-07-16_06-13-44.mp4</v>
      </c>
    </row>
    <row r="170" spans="1:10" x14ac:dyDescent="0.3">
      <c r="A170" s="1">
        <f t="shared" si="15"/>
        <v>44393</v>
      </c>
      <c r="B170" s="34">
        <f t="shared" si="16"/>
        <v>0.35346064814814815</v>
      </c>
      <c r="C170" s="34">
        <f t="shared" si="17"/>
        <v>44393.353460648148</v>
      </c>
      <c r="D170" s="69" t="str">
        <f t="shared" si="18"/>
        <v>2021-07-16</v>
      </c>
      <c r="E170" s="36" t="s">
        <v>1090</v>
      </c>
      <c r="F170" s="35" t="str">
        <f t="shared" si="13"/>
        <v>2021-07-16_08-28-59</v>
      </c>
      <c r="G170" s="37">
        <v>8049284</v>
      </c>
      <c r="H170" s="38">
        <v>7741666</v>
      </c>
      <c r="I170" s="19" t="str">
        <f>IF(OR(COUNTIF(Monitoring!C:C, F170) &gt; 0, COUNTIF(Monitoring!D:D, F170) &gt; 0), "yes", "no")</f>
        <v>yes</v>
      </c>
      <c r="J170" s="70" t="str">
        <f t="shared" si="14"/>
        <v>Z:\FAIR_Device_data\Experiment_JulAug_2021\Video_captures\2021-07-16\2021-07-16_08-28-59.mp4</v>
      </c>
    </row>
    <row r="171" spans="1:10" x14ac:dyDescent="0.3">
      <c r="A171" s="1">
        <f t="shared" si="15"/>
        <v>44393</v>
      </c>
      <c r="B171" s="34">
        <f t="shared" si="16"/>
        <v>0.50510416666666669</v>
      </c>
      <c r="C171" s="34">
        <f t="shared" si="17"/>
        <v>44393.505104166667</v>
      </c>
      <c r="D171" s="69" t="str">
        <f t="shared" si="18"/>
        <v>2021-07-16</v>
      </c>
      <c r="E171" s="36" t="s">
        <v>1091</v>
      </c>
      <c r="F171" s="35" t="str">
        <f t="shared" si="13"/>
        <v>2021-07-16_12-07-21</v>
      </c>
      <c r="G171" s="37">
        <v>62685872</v>
      </c>
      <c r="H171" s="38">
        <v>69408728</v>
      </c>
      <c r="I171" s="19" t="str">
        <f>IF(OR(COUNTIF(Monitoring!C:C, F171) &gt; 0, COUNTIF(Monitoring!D:D, F171) &gt; 0), "yes", "no")</f>
        <v>yes</v>
      </c>
      <c r="J171" s="70" t="str">
        <f t="shared" si="14"/>
        <v>Z:\FAIR_Device_data\Experiment_JulAug_2021\Video_captures\2021-07-16\2021-07-16_12-07-21.mp4</v>
      </c>
    </row>
    <row r="172" spans="1:10" x14ac:dyDescent="0.3">
      <c r="A172" s="1">
        <f t="shared" si="15"/>
        <v>44393</v>
      </c>
      <c r="B172" s="34">
        <f t="shared" si="16"/>
        <v>0.53533564814814816</v>
      </c>
      <c r="C172" s="34">
        <f t="shared" si="17"/>
        <v>44393.53533564815</v>
      </c>
      <c r="D172" s="69" t="str">
        <f t="shared" si="18"/>
        <v>2021-07-16</v>
      </c>
      <c r="E172" s="36" t="s">
        <v>1092</v>
      </c>
      <c r="F172" s="35" t="str">
        <f t="shared" si="13"/>
        <v>2021-07-16_12-50-53</v>
      </c>
      <c r="G172" s="37">
        <v>106473503</v>
      </c>
      <c r="H172" s="38">
        <v>119475797</v>
      </c>
      <c r="I172" s="19" t="str">
        <f>IF(OR(COUNTIF(Monitoring!C:C, F172) &gt; 0, COUNTIF(Monitoring!D:D, F172) &gt; 0), "yes", "no")</f>
        <v>yes</v>
      </c>
      <c r="J172" s="70" t="str">
        <f t="shared" si="14"/>
        <v>Z:\FAIR_Device_data\Experiment_JulAug_2021\Video_captures\2021-07-16\2021-07-16_12-50-53.mp4</v>
      </c>
    </row>
    <row r="173" spans="1:10" x14ac:dyDescent="0.3">
      <c r="A173" s="1">
        <f t="shared" si="15"/>
        <v>44393</v>
      </c>
      <c r="B173" s="34">
        <f t="shared" si="16"/>
        <v>0.56333333333333335</v>
      </c>
      <c r="C173" s="34">
        <f t="shared" si="17"/>
        <v>44393.563333333332</v>
      </c>
      <c r="D173" s="69" t="str">
        <f t="shared" si="18"/>
        <v>2021-07-16</v>
      </c>
      <c r="E173" s="36" t="s">
        <v>1093</v>
      </c>
      <c r="F173" s="35" t="str">
        <f t="shared" si="13"/>
        <v>2021-07-16_13-31-12</v>
      </c>
      <c r="G173" s="37">
        <v>285912956</v>
      </c>
      <c r="H173" s="38">
        <v>315762199</v>
      </c>
      <c r="I173" s="19" t="str">
        <f>IF(OR(COUNTIF(Monitoring!C:C, F173) &gt; 0, COUNTIF(Monitoring!D:D, F173) &gt; 0), "yes", "no")</f>
        <v>yes</v>
      </c>
      <c r="J173" s="70" t="str">
        <f t="shared" si="14"/>
        <v>Z:\FAIR_Device_data\Experiment_JulAug_2021\Video_captures\2021-07-16\2021-07-16_13-31-12.mp4</v>
      </c>
    </row>
    <row r="174" spans="1:10" x14ac:dyDescent="0.3">
      <c r="A174" s="1">
        <f t="shared" si="15"/>
        <v>44393</v>
      </c>
      <c r="B174" s="34">
        <f t="shared" si="16"/>
        <v>0.65055555555555555</v>
      </c>
      <c r="C174" s="34">
        <f t="shared" si="17"/>
        <v>44393.650555555556</v>
      </c>
      <c r="D174" s="69" t="str">
        <f t="shared" si="18"/>
        <v>2021-07-16</v>
      </c>
      <c r="E174" s="36" t="s">
        <v>1094</v>
      </c>
      <c r="F174" s="35" t="str">
        <f t="shared" si="13"/>
        <v>2021-07-16_15-36-48</v>
      </c>
      <c r="G174" s="37">
        <v>27291602</v>
      </c>
      <c r="H174" s="38">
        <v>28838301</v>
      </c>
      <c r="I174" s="19" t="str">
        <f>IF(OR(COUNTIF(Monitoring!C:C, F174) &gt; 0, COUNTIF(Monitoring!D:D, F174) &gt; 0), "yes", "no")</f>
        <v>yes</v>
      </c>
      <c r="J174" s="70" t="str">
        <f t="shared" si="14"/>
        <v>Z:\FAIR_Device_data\Experiment_JulAug_2021\Video_captures\2021-07-16\2021-07-16_15-36-48.mp4</v>
      </c>
    </row>
    <row r="175" spans="1:10" x14ac:dyDescent="0.3">
      <c r="A175" s="1">
        <f t="shared" si="15"/>
        <v>44393</v>
      </c>
      <c r="B175" s="34">
        <f t="shared" si="16"/>
        <v>0.66391203703703705</v>
      </c>
      <c r="C175" s="34">
        <f t="shared" si="17"/>
        <v>44393.663912037038</v>
      </c>
      <c r="D175" s="69" t="str">
        <f t="shared" si="18"/>
        <v>2021-07-16</v>
      </c>
      <c r="E175" s="36" t="s">
        <v>1095</v>
      </c>
      <c r="F175" s="35" t="str">
        <f t="shared" si="13"/>
        <v>2021-07-16_15-56-02</v>
      </c>
      <c r="G175" s="37">
        <v>8027930</v>
      </c>
      <c r="H175" s="38">
        <v>7309703</v>
      </c>
      <c r="I175" s="19" t="str">
        <f>IF(OR(COUNTIF(Monitoring!C:C, F175) &gt; 0, COUNTIF(Monitoring!D:D, F175) &gt; 0), "yes", "no")</f>
        <v>yes</v>
      </c>
      <c r="J175" s="70" t="str">
        <f t="shared" si="14"/>
        <v>Z:\FAIR_Device_data\Experiment_JulAug_2021\Video_captures\2021-07-16\2021-07-16_15-56-02.mp4</v>
      </c>
    </row>
    <row r="176" spans="1:10" x14ac:dyDescent="0.3">
      <c r="A176" s="1">
        <f t="shared" si="15"/>
        <v>44393</v>
      </c>
      <c r="B176" s="34">
        <f t="shared" si="16"/>
        <v>0.72084490740740736</v>
      </c>
      <c r="C176" s="34">
        <f t="shared" si="17"/>
        <v>44393.72084490741</v>
      </c>
      <c r="D176" s="69" t="str">
        <f t="shared" si="18"/>
        <v>2021-07-16</v>
      </c>
      <c r="E176" s="36" t="s">
        <v>1096</v>
      </c>
      <c r="F176" s="35" t="str">
        <f t="shared" si="13"/>
        <v>2021-07-16_17-18-01</v>
      </c>
      <c r="G176" s="37">
        <v>10809570</v>
      </c>
      <c r="H176" s="38">
        <v>10544668</v>
      </c>
      <c r="I176" s="19" t="str">
        <f>IF(OR(COUNTIF(Monitoring!C:C, F176) &gt; 0, COUNTIF(Monitoring!D:D, F176) &gt; 0), "yes", "no")</f>
        <v>yes</v>
      </c>
      <c r="J176" s="70" t="str">
        <f t="shared" si="14"/>
        <v>Z:\FAIR_Device_data\Experiment_JulAug_2021\Video_captures\2021-07-16\2021-07-16_17-18-01.mp4</v>
      </c>
    </row>
    <row r="177" spans="1:10" x14ac:dyDescent="0.3">
      <c r="A177" s="1">
        <f t="shared" si="15"/>
        <v>44396</v>
      </c>
      <c r="B177" s="34">
        <f t="shared" si="16"/>
        <v>0.86537037037037035</v>
      </c>
      <c r="C177" s="34">
        <f t="shared" si="17"/>
        <v>44396.865370370368</v>
      </c>
      <c r="D177" s="69" t="str">
        <f t="shared" si="18"/>
        <v>2021-07-19</v>
      </c>
      <c r="E177" s="36" t="s">
        <v>1097</v>
      </c>
      <c r="F177" s="35" t="str">
        <f t="shared" si="13"/>
        <v>2021-07-19_20-46-08</v>
      </c>
      <c r="G177" s="37">
        <v>9575911</v>
      </c>
      <c r="H177" s="38">
        <v>9733986</v>
      </c>
      <c r="I177" s="19" t="str">
        <f>IF(OR(COUNTIF(Monitoring!C:C, F177) &gt; 0, COUNTIF(Monitoring!D:D, F177) &gt; 0), "yes", "no")</f>
        <v>yes</v>
      </c>
      <c r="J177" s="70" t="str">
        <f t="shared" si="14"/>
        <v>Z:\FAIR_Device_data\Experiment_JulAug_2021\Video_captures\2021-07-19\2021-07-19_20-46-08.mp4</v>
      </c>
    </row>
    <row r="178" spans="1:10" x14ac:dyDescent="0.3">
      <c r="A178" s="1">
        <f t="shared" si="15"/>
        <v>44396</v>
      </c>
      <c r="B178" s="34">
        <f t="shared" si="16"/>
        <v>0.87526620370370367</v>
      </c>
      <c r="C178" s="34">
        <f t="shared" si="17"/>
        <v>44396.8752662037</v>
      </c>
      <c r="D178" s="69" t="str">
        <f t="shared" si="18"/>
        <v>2021-07-19</v>
      </c>
      <c r="E178" s="36" t="s">
        <v>1098</v>
      </c>
      <c r="F178" s="35" t="str">
        <f t="shared" si="13"/>
        <v>2021-07-19_21-00-23</v>
      </c>
      <c r="G178" s="37">
        <v>29577474</v>
      </c>
      <c r="H178" s="38">
        <v>33640679</v>
      </c>
      <c r="I178" s="19" t="str">
        <f>IF(OR(COUNTIF(Monitoring!C:C, F178) &gt; 0, COUNTIF(Monitoring!D:D, F178) &gt; 0), "yes", "no")</f>
        <v>yes</v>
      </c>
      <c r="J178" s="70" t="str">
        <f t="shared" si="14"/>
        <v>Z:\FAIR_Device_data\Experiment_JulAug_2021\Video_captures\2021-07-19\2021-07-19_21-00-23.mp4</v>
      </c>
    </row>
    <row r="179" spans="1:10" x14ac:dyDescent="0.3">
      <c r="A179" s="1">
        <f t="shared" si="15"/>
        <v>44396</v>
      </c>
      <c r="B179" s="34">
        <f t="shared" si="16"/>
        <v>0.87619212962962967</v>
      </c>
      <c r="C179" s="34">
        <f t="shared" si="17"/>
        <v>44396.876192129632</v>
      </c>
      <c r="D179" s="69" t="str">
        <f t="shared" si="18"/>
        <v>2021-07-19</v>
      </c>
      <c r="E179" s="36" t="s">
        <v>1099</v>
      </c>
      <c r="F179" s="35" t="str">
        <f t="shared" si="13"/>
        <v>2021-07-19_21-01-43</v>
      </c>
      <c r="G179" s="37">
        <v>14717513</v>
      </c>
      <c r="H179" s="38">
        <v>15460681</v>
      </c>
      <c r="I179" s="19" t="str">
        <f>IF(OR(COUNTIF(Monitoring!C:C, F179) &gt; 0, COUNTIF(Monitoring!D:D, F179) &gt; 0), "yes", "no")</f>
        <v>no</v>
      </c>
      <c r="J179" s="70" t="str">
        <f t="shared" si="14"/>
        <v>Z:\FAIR_Device_data\Experiment_JulAug_2021\Video_captures\2021-07-19\2021-07-19_21-01-43.mp4</v>
      </c>
    </row>
    <row r="180" spans="1:10" x14ac:dyDescent="0.3">
      <c r="A180" s="1">
        <f t="shared" si="15"/>
        <v>44396</v>
      </c>
      <c r="B180" s="34">
        <f t="shared" si="16"/>
        <v>0.87907407407407412</v>
      </c>
      <c r="C180" s="34">
        <f t="shared" si="17"/>
        <v>44396.879074074073</v>
      </c>
      <c r="D180" s="69" t="str">
        <f t="shared" si="18"/>
        <v>2021-07-19</v>
      </c>
      <c r="E180" s="36" t="s">
        <v>1100</v>
      </c>
      <c r="F180" s="35" t="str">
        <f t="shared" si="13"/>
        <v>2021-07-19_21-05-52</v>
      </c>
      <c r="G180" s="37">
        <v>43818499</v>
      </c>
      <c r="H180" s="38">
        <v>46394957</v>
      </c>
      <c r="I180" s="19" t="str">
        <f>IF(OR(COUNTIF(Monitoring!C:C, F180) &gt; 0, COUNTIF(Monitoring!D:D, F180) &gt; 0), "yes", "no")</f>
        <v>yes</v>
      </c>
      <c r="J180" s="70" t="str">
        <f t="shared" si="14"/>
        <v>Z:\FAIR_Device_data\Experiment_JulAug_2021\Video_captures\2021-07-19\2021-07-19_21-05-52.mp4</v>
      </c>
    </row>
    <row r="181" spans="1:10" x14ac:dyDescent="0.3">
      <c r="A181" s="1">
        <f t="shared" si="15"/>
        <v>44396</v>
      </c>
      <c r="B181" s="34">
        <f t="shared" si="16"/>
        <v>0.88130787037037039</v>
      </c>
      <c r="C181" s="34">
        <f t="shared" si="17"/>
        <v>44396.881307870368</v>
      </c>
      <c r="D181" s="69" t="str">
        <f t="shared" si="18"/>
        <v>2021-07-19</v>
      </c>
      <c r="E181" s="36" t="s">
        <v>1101</v>
      </c>
      <c r="F181" s="35" t="str">
        <f t="shared" si="13"/>
        <v>2021-07-19_21-09-05</v>
      </c>
      <c r="G181" s="37">
        <v>8044466</v>
      </c>
      <c r="H181" s="38">
        <v>8026049</v>
      </c>
      <c r="I181" s="19" t="str">
        <f>IF(OR(COUNTIF(Monitoring!C:C, F181) &gt; 0, COUNTIF(Monitoring!D:D, F181) &gt; 0), "yes", "no")</f>
        <v>yes</v>
      </c>
      <c r="J181" s="70" t="str">
        <f t="shared" si="14"/>
        <v>Z:\FAIR_Device_data\Experiment_JulAug_2021\Video_captures\2021-07-19\2021-07-19_21-09-05.mp4</v>
      </c>
    </row>
    <row r="182" spans="1:10" x14ac:dyDescent="0.3">
      <c r="A182" s="1">
        <f t="shared" si="15"/>
        <v>44396</v>
      </c>
      <c r="B182" s="34">
        <f t="shared" si="16"/>
        <v>0.8970717592592593</v>
      </c>
      <c r="C182" s="34">
        <f t="shared" si="17"/>
        <v>44396.89707175926</v>
      </c>
      <c r="D182" s="69" t="str">
        <f t="shared" si="18"/>
        <v>2021-07-19</v>
      </c>
      <c r="E182" s="36" t="s">
        <v>1102</v>
      </c>
      <c r="F182" s="35" t="str">
        <f t="shared" si="13"/>
        <v>2021-07-19_21-31-47</v>
      </c>
      <c r="G182" s="37">
        <v>37170000</v>
      </c>
      <c r="H182" s="38">
        <v>49076441</v>
      </c>
      <c r="I182" s="19" t="str">
        <f>IF(OR(COUNTIF(Monitoring!C:C, F182) &gt; 0, COUNTIF(Monitoring!D:D, F182) &gt; 0), "yes", "no")</f>
        <v>yes</v>
      </c>
      <c r="J182" s="70" t="str">
        <f t="shared" si="14"/>
        <v>Z:\FAIR_Device_data\Experiment_JulAug_2021\Video_captures\2021-07-19\2021-07-19_21-31-47.mp4</v>
      </c>
    </row>
    <row r="183" spans="1:10" x14ac:dyDescent="0.3">
      <c r="A183" s="1">
        <f t="shared" si="15"/>
        <v>44396</v>
      </c>
      <c r="B183" s="34">
        <f t="shared" si="16"/>
        <v>0.91284722222222225</v>
      </c>
      <c r="C183" s="34">
        <f t="shared" si="17"/>
        <v>44396.912847222222</v>
      </c>
      <c r="D183" s="69" t="str">
        <f t="shared" si="18"/>
        <v>2021-07-19</v>
      </c>
      <c r="E183" s="36" t="s">
        <v>1103</v>
      </c>
      <c r="F183" s="35" t="str">
        <f t="shared" si="13"/>
        <v>2021-07-19_21-54-30</v>
      </c>
      <c r="G183" s="37">
        <v>10868516</v>
      </c>
      <c r="H183" s="38">
        <v>12070832</v>
      </c>
      <c r="I183" s="19" t="str">
        <f>IF(OR(COUNTIF(Monitoring!C:C, F183) &gt; 0, COUNTIF(Monitoring!D:D, F183) &gt; 0), "yes", "no")</f>
        <v>yes</v>
      </c>
      <c r="J183" s="70" t="str">
        <f t="shared" si="14"/>
        <v>Z:\FAIR_Device_data\Experiment_JulAug_2021\Video_captures\2021-07-19\2021-07-19_21-54-30.mp4</v>
      </c>
    </row>
    <row r="184" spans="1:10" x14ac:dyDescent="0.3">
      <c r="A184" s="1">
        <f t="shared" si="15"/>
        <v>44396</v>
      </c>
      <c r="B184" s="34">
        <f t="shared" si="16"/>
        <v>0.92510416666666662</v>
      </c>
      <c r="C184" s="34">
        <f t="shared" si="17"/>
        <v>44396.925104166665</v>
      </c>
      <c r="D184" s="69" t="str">
        <f t="shared" si="18"/>
        <v>2021-07-19</v>
      </c>
      <c r="E184" s="36" t="s">
        <v>1104</v>
      </c>
      <c r="F184" s="35" t="str">
        <f t="shared" si="13"/>
        <v>2021-07-19_22-12-09</v>
      </c>
      <c r="G184" s="37">
        <v>29689922</v>
      </c>
      <c r="H184" s="38">
        <v>38761930</v>
      </c>
      <c r="I184" s="19" t="str">
        <f>IF(OR(COUNTIF(Monitoring!C:C, F184) &gt; 0, COUNTIF(Monitoring!D:D, F184) &gt; 0), "yes", "no")</f>
        <v>yes</v>
      </c>
      <c r="J184" s="70" t="str">
        <f t="shared" si="14"/>
        <v>Z:\FAIR_Device_data\Experiment_JulAug_2021\Video_captures\2021-07-19\2021-07-19_22-12-09.mp4</v>
      </c>
    </row>
    <row r="185" spans="1:10" x14ac:dyDescent="0.3">
      <c r="A185" s="1">
        <f t="shared" si="15"/>
        <v>44396</v>
      </c>
      <c r="B185" s="34">
        <f t="shared" si="16"/>
        <v>0.93253472222222222</v>
      </c>
      <c r="C185" s="34">
        <f t="shared" si="17"/>
        <v>44396.932534722226</v>
      </c>
      <c r="D185" s="69" t="str">
        <f t="shared" si="18"/>
        <v>2021-07-19</v>
      </c>
      <c r="E185" s="36" t="s">
        <v>1105</v>
      </c>
      <c r="F185" s="35" t="str">
        <f t="shared" si="13"/>
        <v>2021-07-19_22-22-51</v>
      </c>
      <c r="G185" s="37">
        <v>14461719</v>
      </c>
      <c r="H185" s="38">
        <v>18377206</v>
      </c>
      <c r="I185" s="19" t="str">
        <f>IF(OR(COUNTIF(Monitoring!C:C, F185) &gt; 0, COUNTIF(Monitoring!D:D, F185) &gt; 0), "yes", "no")</f>
        <v>no</v>
      </c>
      <c r="J185" s="70" t="str">
        <f t="shared" si="14"/>
        <v>Z:\FAIR_Device_data\Experiment_JulAug_2021\Video_captures\2021-07-19\2021-07-19_22-22-51.mp4</v>
      </c>
    </row>
    <row r="186" spans="1:10" x14ac:dyDescent="0.3">
      <c r="A186" s="1">
        <f t="shared" si="15"/>
        <v>44396</v>
      </c>
      <c r="B186" s="34">
        <f t="shared" si="16"/>
        <v>0.93458333333333332</v>
      </c>
      <c r="C186" s="34">
        <f t="shared" si="17"/>
        <v>44396.934583333335</v>
      </c>
      <c r="D186" s="69" t="str">
        <f t="shared" si="18"/>
        <v>2021-07-19</v>
      </c>
      <c r="E186" s="36" t="s">
        <v>1106</v>
      </c>
      <c r="F186" s="35" t="str">
        <f t="shared" si="13"/>
        <v>2021-07-19_22-25-48</v>
      </c>
      <c r="G186" s="37">
        <v>39896016</v>
      </c>
      <c r="H186" s="38">
        <v>54554901</v>
      </c>
      <c r="I186" s="19" t="str">
        <f>IF(OR(COUNTIF(Monitoring!C:C, F186) &gt; 0, COUNTIF(Monitoring!D:D, F186) &gt; 0), "yes", "no")</f>
        <v>yes</v>
      </c>
      <c r="J186" s="70" t="str">
        <f t="shared" si="14"/>
        <v>Z:\FAIR_Device_data\Experiment_JulAug_2021\Video_captures\2021-07-19\2021-07-19_22-25-48.mp4</v>
      </c>
    </row>
    <row r="187" spans="1:10" x14ac:dyDescent="0.3">
      <c r="A187" s="1">
        <f t="shared" si="15"/>
        <v>44396</v>
      </c>
      <c r="B187" s="34">
        <f t="shared" si="16"/>
        <v>0.93679398148148152</v>
      </c>
      <c r="C187" s="34">
        <f t="shared" si="17"/>
        <v>44396.936793981484</v>
      </c>
      <c r="D187" s="69" t="str">
        <f t="shared" si="18"/>
        <v>2021-07-19</v>
      </c>
      <c r="E187" s="36" t="s">
        <v>1107</v>
      </c>
      <c r="F187" s="35" t="str">
        <f t="shared" si="13"/>
        <v>2021-07-19_22-28-59</v>
      </c>
      <c r="G187" s="37">
        <v>10603359</v>
      </c>
      <c r="H187" s="38">
        <v>12375521</v>
      </c>
      <c r="I187" s="19" t="str">
        <f>IF(OR(COUNTIF(Monitoring!C:C, F187) &gt; 0, COUNTIF(Monitoring!D:D, F187) &gt; 0), "yes", "no")</f>
        <v>yes</v>
      </c>
      <c r="J187" s="70" t="str">
        <f t="shared" si="14"/>
        <v>Z:\FAIR_Device_data\Experiment_JulAug_2021\Video_captures\2021-07-19\2021-07-19_22-28-59.mp4</v>
      </c>
    </row>
    <row r="188" spans="1:10" x14ac:dyDescent="0.3">
      <c r="A188" s="1">
        <f t="shared" si="15"/>
        <v>44396</v>
      </c>
      <c r="B188" s="34">
        <f t="shared" si="16"/>
        <v>0.93734953703703705</v>
      </c>
      <c r="C188" s="34">
        <f t="shared" si="17"/>
        <v>44396.937349537038</v>
      </c>
      <c r="D188" s="69" t="str">
        <f t="shared" si="18"/>
        <v>2021-07-19</v>
      </c>
      <c r="E188" s="36" t="s">
        <v>1108</v>
      </c>
      <c r="F188" s="35" t="str">
        <f t="shared" si="13"/>
        <v>2021-07-19_22-29-47</v>
      </c>
      <c r="G188" s="37">
        <v>33254063</v>
      </c>
      <c r="H188" s="38">
        <v>43632571</v>
      </c>
      <c r="I188" s="19" t="str">
        <f>IF(OR(COUNTIF(Monitoring!C:C, F188) &gt; 0, COUNTIF(Monitoring!D:D, F188) &gt; 0), "yes", "no")</f>
        <v>no</v>
      </c>
      <c r="J188" s="70" t="str">
        <f t="shared" si="14"/>
        <v>Z:\FAIR_Device_data\Experiment_JulAug_2021\Video_captures\2021-07-19\2021-07-19_22-29-47.mp4</v>
      </c>
    </row>
    <row r="189" spans="1:10" x14ac:dyDescent="0.3">
      <c r="A189" s="1">
        <f t="shared" si="15"/>
        <v>44396</v>
      </c>
      <c r="B189" s="34">
        <f t="shared" si="16"/>
        <v>0.94005787037037036</v>
      </c>
      <c r="C189" s="34">
        <f t="shared" si="17"/>
        <v>44396.940057870372</v>
      </c>
      <c r="D189" s="69" t="str">
        <f t="shared" si="18"/>
        <v>2021-07-19</v>
      </c>
      <c r="E189" s="36" t="s">
        <v>1109</v>
      </c>
      <c r="F189" s="35" t="str">
        <f t="shared" si="13"/>
        <v>2021-07-19_22-33-41</v>
      </c>
      <c r="G189" s="37">
        <v>79754297</v>
      </c>
      <c r="H189" s="38">
        <v>109487130</v>
      </c>
      <c r="I189" s="19" t="str">
        <f>IF(OR(COUNTIF(Monitoring!C:C, F189) &gt; 0, COUNTIF(Monitoring!D:D, F189) &gt; 0), "yes", "no")</f>
        <v>no</v>
      </c>
      <c r="J189" s="70" t="str">
        <f t="shared" si="14"/>
        <v>Z:\FAIR_Device_data\Experiment_JulAug_2021\Video_captures\2021-07-19\2021-07-19_22-33-41.mp4</v>
      </c>
    </row>
    <row r="190" spans="1:10" x14ac:dyDescent="0.3">
      <c r="A190" s="1">
        <f t="shared" si="15"/>
        <v>44396</v>
      </c>
      <c r="B190" s="34">
        <f t="shared" si="16"/>
        <v>0.94572916666666662</v>
      </c>
      <c r="C190" s="34">
        <f t="shared" si="17"/>
        <v>44396.945729166669</v>
      </c>
      <c r="D190" s="69" t="str">
        <f t="shared" si="18"/>
        <v>2021-07-19</v>
      </c>
      <c r="E190" s="36" t="s">
        <v>1110</v>
      </c>
      <c r="F190" s="35" t="str">
        <f t="shared" si="13"/>
        <v>2021-07-19_22-41-51</v>
      </c>
      <c r="G190" s="37">
        <v>41305625</v>
      </c>
      <c r="H190" s="38">
        <v>55351448</v>
      </c>
      <c r="I190" s="19" t="str">
        <f>IF(OR(COUNTIF(Monitoring!C:C, F190) &gt; 0, COUNTIF(Monitoring!D:D, F190) &gt; 0), "yes", "no")</f>
        <v>yes</v>
      </c>
      <c r="J190" s="70" t="str">
        <f t="shared" si="14"/>
        <v>Z:\FAIR_Device_data\Experiment_JulAug_2021\Video_captures\2021-07-19\2021-07-19_22-41-51.mp4</v>
      </c>
    </row>
    <row r="191" spans="1:10" x14ac:dyDescent="0.3">
      <c r="A191" s="1">
        <f t="shared" si="15"/>
        <v>44396</v>
      </c>
      <c r="B191" s="34">
        <f t="shared" si="16"/>
        <v>0.95672453703703708</v>
      </c>
      <c r="C191" s="34">
        <f t="shared" si="17"/>
        <v>44396.956724537034</v>
      </c>
      <c r="D191" s="69" t="str">
        <f t="shared" si="18"/>
        <v>2021-07-19</v>
      </c>
      <c r="E191" s="36" t="s">
        <v>1111</v>
      </c>
      <c r="F191" s="35" t="str">
        <f t="shared" si="13"/>
        <v>2021-07-19_22-57-41</v>
      </c>
      <c r="G191" s="37">
        <v>15381641</v>
      </c>
      <c r="H191" s="38">
        <v>19731544</v>
      </c>
      <c r="I191" s="19" t="str">
        <f>IF(OR(COUNTIF(Monitoring!C:C, F191) &gt; 0, COUNTIF(Monitoring!D:D, F191) &gt; 0), "yes", "no")</f>
        <v>yes</v>
      </c>
      <c r="J191" s="70" t="str">
        <f t="shared" si="14"/>
        <v>Z:\FAIR_Device_data\Experiment_JulAug_2021\Video_captures\2021-07-19\2021-07-19_22-57-41.mp4</v>
      </c>
    </row>
    <row r="192" spans="1:10" x14ac:dyDescent="0.3">
      <c r="A192" s="1">
        <f t="shared" si="15"/>
        <v>44397</v>
      </c>
      <c r="B192" s="34">
        <f t="shared" si="16"/>
        <v>0.17094907407407409</v>
      </c>
      <c r="C192" s="34">
        <f t="shared" si="17"/>
        <v>44397.170949074076</v>
      </c>
      <c r="D192" s="69" t="str">
        <f t="shared" si="18"/>
        <v>2021-07-20</v>
      </c>
      <c r="E192" s="36" t="s">
        <v>1112</v>
      </c>
      <c r="F192" s="35" t="str">
        <f t="shared" si="13"/>
        <v>2021-07-20_04-06-10</v>
      </c>
      <c r="G192" s="37">
        <v>10640469</v>
      </c>
      <c r="H192" s="38">
        <v>12045246</v>
      </c>
      <c r="I192" s="19" t="str">
        <f>IF(OR(COUNTIF(Monitoring!C:C, F192) &gt; 0, COUNTIF(Monitoring!D:D, F192) &gt; 0), "yes", "no")</f>
        <v>yes</v>
      </c>
      <c r="J192" s="70" t="str">
        <f t="shared" si="14"/>
        <v>Z:\FAIR_Device_data\Experiment_JulAug_2021\Video_captures\2021-07-20\2021-07-20_04-06-10.mp4</v>
      </c>
    </row>
    <row r="193" spans="1:10" x14ac:dyDescent="0.3">
      <c r="A193" s="1">
        <f t="shared" si="15"/>
        <v>44397</v>
      </c>
      <c r="B193" s="34">
        <f t="shared" si="16"/>
        <v>0.53861111111111115</v>
      </c>
      <c r="C193" s="34">
        <f t="shared" si="17"/>
        <v>44397.538611111115</v>
      </c>
      <c r="D193" s="69" t="str">
        <f t="shared" si="18"/>
        <v>2021-07-20</v>
      </c>
      <c r="E193" s="36" t="s">
        <v>1113</v>
      </c>
      <c r="F193" s="35" t="str">
        <f t="shared" si="13"/>
        <v>2021-07-20_12-55-36</v>
      </c>
      <c r="G193" s="37">
        <v>27404297</v>
      </c>
      <c r="H193" s="38">
        <v>34700630</v>
      </c>
      <c r="I193" s="19" t="str">
        <f>IF(OR(COUNTIF(Monitoring!C:C, F193) &gt; 0, COUNTIF(Monitoring!D:D, F193) &gt; 0), "yes", "no")</f>
        <v>yes</v>
      </c>
      <c r="J193" s="70" t="str">
        <f t="shared" si="14"/>
        <v>Z:\FAIR_Device_data\Experiment_JulAug_2021\Video_captures\2021-07-20\2021-07-20_12-55-36.mp4</v>
      </c>
    </row>
    <row r="194" spans="1:10" x14ac:dyDescent="0.3">
      <c r="A194" s="1">
        <f t="shared" si="15"/>
        <v>44397</v>
      </c>
      <c r="B194" s="34">
        <f t="shared" si="16"/>
        <v>0.56131944444444448</v>
      </c>
      <c r="C194" s="34">
        <f t="shared" si="17"/>
        <v>44397.561319444445</v>
      </c>
      <c r="D194" s="69" t="str">
        <f t="shared" si="18"/>
        <v>2021-07-20</v>
      </c>
      <c r="E194" s="36" t="s">
        <v>1114</v>
      </c>
      <c r="F194" s="35" t="str">
        <f t="shared" ref="F194:F257" si="19">+LEFT(E194,19)</f>
        <v>2021-07-20_13-28-18</v>
      </c>
      <c r="G194" s="37">
        <v>9597070</v>
      </c>
      <c r="H194" s="38">
        <v>9865359</v>
      </c>
      <c r="I194" s="19" t="str">
        <f>IF(OR(COUNTIF(Monitoring!C:C, F194) &gt; 0, COUNTIF(Monitoring!D:D, F194) &gt; 0), "yes", "no")</f>
        <v>yes</v>
      </c>
      <c r="J194" s="70" t="str">
        <f t="shared" ref="J194:J257" si="20">HYPERLINK(_xlfn.CONCAT("Z:\FAIR_Device_data\Experiment_JulAug_2021","\","Video_captures","\",D194,"\",E194))</f>
        <v>Z:\FAIR_Device_data\Experiment_JulAug_2021\Video_captures\2021-07-20\2021-07-20_13-28-18.mp4</v>
      </c>
    </row>
    <row r="195" spans="1:10" x14ac:dyDescent="0.3">
      <c r="A195" s="1">
        <f t="shared" ref="A195:A258" si="21">VALUE(MID(F195,1,10))</f>
        <v>44397</v>
      </c>
      <c r="B195" s="34">
        <f t="shared" ref="B195:B258" si="22">IF(ISBLANK(F195),"",TIME(LEFT(RIGHT(F195,8),2),LEFT(RIGHT(F195,5),2),RIGHT(F195,2)))</f>
        <v>0.58402777777777781</v>
      </c>
      <c r="C195" s="34">
        <f t="shared" ref="C195:C258" si="23">+A195+B195</f>
        <v>44397.584027777775</v>
      </c>
      <c r="D195" s="69" t="str">
        <f t="shared" ref="D195:D258" si="24">+_xlfn.CONCAT(YEAR(A195),"-",TEXT(MONTH(A195),"00"),"-",TEXT(DAY(A195),"00"))</f>
        <v>2021-07-20</v>
      </c>
      <c r="E195" s="36" t="s">
        <v>1115</v>
      </c>
      <c r="F195" s="35" t="str">
        <f t="shared" si="19"/>
        <v>2021-07-20_14-01-00</v>
      </c>
      <c r="G195" s="37">
        <v>13685412</v>
      </c>
      <c r="H195" s="38">
        <v>9602442</v>
      </c>
      <c r="I195" s="19" t="str">
        <f>IF(OR(COUNTIF(Monitoring!C:C, F195) &gt; 0, COUNTIF(Monitoring!D:D, F195) &gt; 0), "yes", "no")</f>
        <v>yes</v>
      </c>
      <c r="J195" s="70" t="str">
        <f t="shared" si="20"/>
        <v>Z:\FAIR_Device_data\Experiment_JulAug_2021\Video_captures\2021-07-20\2021-07-20_14-01-00.mp4</v>
      </c>
    </row>
    <row r="196" spans="1:10" x14ac:dyDescent="0.3">
      <c r="A196" s="1">
        <f t="shared" si="21"/>
        <v>44397</v>
      </c>
      <c r="B196" s="34">
        <f t="shared" si="22"/>
        <v>0.62641203703703707</v>
      </c>
      <c r="C196" s="34">
        <f t="shared" si="23"/>
        <v>44397.62641203704</v>
      </c>
      <c r="D196" s="69" t="str">
        <f t="shared" si="24"/>
        <v>2021-07-20</v>
      </c>
      <c r="E196" s="36" t="s">
        <v>1116</v>
      </c>
      <c r="F196" s="35" t="str">
        <f t="shared" si="19"/>
        <v>2021-07-20_15-02-02</v>
      </c>
      <c r="G196" s="37">
        <v>10971549</v>
      </c>
      <c r="H196" s="38">
        <v>11817078</v>
      </c>
      <c r="I196" s="19" t="str">
        <f>IF(OR(COUNTIF(Monitoring!C:C, F196) &gt; 0, COUNTIF(Monitoring!D:D, F196) &gt; 0), "yes", "no")</f>
        <v>yes</v>
      </c>
      <c r="J196" s="70" t="str">
        <f t="shared" si="20"/>
        <v>Z:\FAIR_Device_data\Experiment_JulAug_2021\Video_captures\2021-07-20\2021-07-20_15-02-02.mp4</v>
      </c>
    </row>
    <row r="197" spans="1:10" x14ac:dyDescent="0.3">
      <c r="A197" s="1">
        <f t="shared" si="21"/>
        <v>44397</v>
      </c>
      <c r="B197" s="34">
        <f t="shared" si="22"/>
        <v>0.6799884259259259</v>
      </c>
      <c r="C197" s="34">
        <f t="shared" si="23"/>
        <v>44397.679988425924</v>
      </c>
      <c r="D197" s="69" t="str">
        <f t="shared" si="24"/>
        <v>2021-07-20</v>
      </c>
      <c r="E197" s="36" t="s">
        <v>1117</v>
      </c>
      <c r="F197" s="35" t="str">
        <f t="shared" si="19"/>
        <v>2021-07-20_16-19-11</v>
      </c>
      <c r="G197" s="37">
        <v>12730334</v>
      </c>
      <c r="H197" s="38">
        <v>9476623</v>
      </c>
      <c r="I197" s="19" t="str">
        <f>IF(OR(COUNTIF(Monitoring!C:C, F197) &gt; 0, COUNTIF(Monitoring!D:D, F197) &gt; 0), "yes", "no")</f>
        <v>yes</v>
      </c>
      <c r="J197" s="70" t="str">
        <f t="shared" si="20"/>
        <v>Z:\FAIR_Device_data\Experiment_JulAug_2021\Video_captures\2021-07-20\2021-07-20_16-19-11.mp4</v>
      </c>
    </row>
    <row r="198" spans="1:10" x14ac:dyDescent="0.3">
      <c r="A198" s="1">
        <f t="shared" si="21"/>
        <v>44397</v>
      </c>
      <c r="B198" s="34">
        <f t="shared" si="22"/>
        <v>0.68364583333333329</v>
      </c>
      <c r="C198" s="34">
        <f t="shared" si="23"/>
        <v>44397.683645833335</v>
      </c>
      <c r="D198" s="69" t="str">
        <f t="shared" si="24"/>
        <v>2021-07-20</v>
      </c>
      <c r="E198" s="36" t="s">
        <v>1118</v>
      </c>
      <c r="F198" s="35" t="str">
        <f t="shared" si="19"/>
        <v>2021-07-20_16-24-27</v>
      </c>
      <c r="G198" s="37">
        <v>16613477</v>
      </c>
      <c r="H198" s="38">
        <v>19867406</v>
      </c>
      <c r="I198" s="19" t="str">
        <f>IF(OR(COUNTIF(Monitoring!C:C, F198) &gt; 0, COUNTIF(Monitoring!D:D, F198) &gt; 0), "yes", "no")</f>
        <v>yes</v>
      </c>
      <c r="J198" s="70" t="str">
        <f t="shared" si="20"/>
        <v>Z:\FAIR_Device_data\Experiment_JulAug_2021\Video_captures\2021-07-20\2021-07-20_16-24-27.mp4</v>
      </c>
    </row>
    <row r="199" spans="1:10" x14ac:dyDescent="0.3">
      <c r="A199" s="1">
        <f t="shared" si="21"/>
        <v>44397</v>
      </c>
      <c r="B199" s="34">
        <f t="shared" si="22"/>
        <v>0.68414351851851851</v>
      </c>
      <c r="C199" s="34">
        <f t="shared" si="23"/>
        <v>44397.68414351852</v>
      </c>
      <c r="D199" s="69" t="str">
        <f t="shared" si="24"/>
        <v>2021-07-20</v>
      </c>
      <c r="E199" s="36" t="s">
        <v>1119</v>
      </c>
      <c r="F199" s="35" t="str">
        <f t="shared" si="19"/>
        <v>2021-07-20_16-25-10</v>
      </c>
      <c r="G199" s="37">
        <v>29319857</v>
      </c>
      <c r="H199" s="38">
        <v>28413367</v>
      </c>
      <c r="I199" s="19" t="str">
        <f>IF(OR(COUNTIF(Monitoring!C:C, F199) &gt; 0, COUNTIF(Monitoring!D:D, F199) &gt; 0), "yes", "no")</f>
        <v>yes</v>
      </c>
      <c r="J199" s="70" t="str">
        <f t="shared" si="20"/>
        <v>Z:\FAIR_Device_data\Experiment_JulAug_2021\Video_captures\2021-07-20\2021-07-20_16-25-10.mp4</v>
      </c>
    </row>
    <row r="200" spans="1:10" x14ac:dyDescent="0.3">
      <c r="A200" s="1">
        <f t="shared" si="21"/>
        <v>44398</v>
      </c>
      <c r="B200" s="34">
        <f t="shared" si="22"/>
        <v>0.8104513888888889</v>
      </c>
      <c r="C200" s="34">
        <f t="shared" si="23"/>
        <v>44398.81045138889</v>
      </c>
      <c r="D200" s="69" t="str">
        <f t="shared" si="24"/>
        <v>2021-07-21</v>
      </c>
      <c r="E200" s="36" t="s">
        <v>1120</v>
      </c>
      <c r="F200" s="35" t="str">
        <f t="shared" si="19"/>
        <v>2021-07-21_19-27-03</v>
      </c>
      <c r="G200" s="37">
        <v>9537956</v>
      </c>
      <c r="H200" s="38">
        <v>10324787</v>
      </c>
      <c r="I200" s="19" t="str">
        <f>IF(OR(COUNTIF(Monitoring!C:C, F200) &gt; 0, COUNTIF(Monitoring!D:D, F200) &gt; 0), "yes", "no")</f>
        <v>yes</v>
      </c>
      <c r="J200" s="70" t="str">
        <f t="shared" si="20"/>
        <v>Z:\FAIR_Device_data\Experiment_JulAug_2021\Video_captures\2021-07-21\2021-07-21_19-27-03.mp4</v>
      </c>
    </row>
    <row r="201" spans="1:10" x14ac:dyDescent="0.3">
      <c r="A201" s="1">
        <f t="shared" si="21"/>
        <v>44398</v>
      </c>
      <c r="B201" s="34">
        <f t="shared" si="22"/>
        <v>0.8205324074074074</v>
      </c>
      <c r="C201" s="34">
        <f t="shared" si="23"/>
        <v>44398.820532407408</v>
      </c>
      <c r="D201" s="69" t="str">
        <f t="shared" si="24"/>
        <v>2021-07-21</v>
      </c>
      <c r="E201" s="36" t="s">
        <v>1121</v>
      </c>
      <c r="F201" s="35" t="str">
        <f t="shared" si="19"/>
        <v>2021-07-21_19-41-34</v>
      </c>
      <c r="G201" s="37">
        <v>74822982</v>
      </c>
      <c r="H201" s="38">
        <v>106425060</v>
      </c>
      <c r="I201" s="19" t="str">
        <f>IF(OR(COUNTIF(Monitoring!C:C, F201) &gt; 0, COUNTIF(Monitoring!D:D, F201) &gt; 0), "yes", "no")</f>
        <v>yes</v>
      </c>
      <c r="J201" s="70" t="str">
        <f t="shared" si="20"/>
        <v>Z:\FAIR_Device_data\Experiment_JulAug_2021\Video_captures\2021-07-21\2021-07-21_19-41-34.mp4</v>
      </c>
    </row>
    <row r="202" spans="1:10" x14ac:dyDescent="0.3">
      <c r="A202" s="1">
        <f t="shared" si="21"/>
        <v>44398</v>
      </c>
      <c r="B202" s="34">
        <f t="shared" si="22"/>
        <v>0.82769675925925923</v>
      </c>
      <c r="C202" s="34">
        <f t="shared" si="23"/>
        <v>44398.827696759261</v>
      </c>
      <c r="D202" s="69" t="str">
        <f t="shared" si="24"/>
        <v>2021-07-21</v>
      </c>
      <c r="E202" s="36" t="s">
        <v>1122</v>
      </c>
      <c r="F202" s="35" t="str">
        <f t="shared" si="19"/>
        <v>2021-07-21_19-51-53</v>
      </c>
      <c r="G202" s="37">
        <v>174386133</v>
      </c>
      <c r="H202" s="38">
        <v>253342711</v>
      </c>
      <c r="I202" s="19" t="str">
        <f>IF(OR(COUNTIF(Monitoring!C:C, F202) &gt; 0, COUNTIF(Monitoring!D:D, F202) &gt; 0), "yes", "no")</f>
        <v>yes</v>
      </c>
      <c r="J202" s="70" t="str">
        <f t="shared" si="20"/>
        <v>Z:\FAIR_Device_data\Experiment_JulAug_2021\Video_captures\2021-07-21\2021-07-21_19-51-53.mp4</v>
      </c>
    </row>
    <row r="203" spans="1:10" x14ac:dyDescent="0.3">
      <c r="A203" s="1">
        <f t="shared" si="21"/>
        <v>44398</v>
      </c>
      <c r="B203" s="34">
        <f t="shared" si="22"/>
        <v>0.87228009259259254</v>
      </c>
      <c r="C203" s="34">
        <f t="shared" si="23"/>
        <v>44398.87228009259</v>
      </c>
      <c r="D203" s="69" t="str">
        <f t="shared" si="24"/>
        <v>2021-07-21</v>
      </c>
      <c r="E203" s="36" t="s">
        <v>1123</v>
      </c>
      <c r="F203" s="35" t="str">
        <f t="shared" si="19"/>
        <v>2021-07-21_20-56-05</v>
      </c>
      <c r="G203" s="37">
        <v>26018034</v>
      </c>
      <c r="H203" s="38">
        <v>34536992</v>
      </c>
      <c r="I203" s="19" t="str">
        <f>IF(OR(COUNTIF(Monitoring!C:C, F203) &gt; 0, COUNTIF(Monitoring!D:D, F203) &gt; 0), "yes", "no")</f>
        <v>yes</v>
      </c>
      <c r="J203" s="70" t="str">
        <f t="shared" si="20"/>
        <v>Z:\FAIR_Device_data\Experiment_JulAug_2021\Video_captures\2021-07-21\2021-07-21_20-56-05.mp4</v>
      </c>
    </row>
    <row r="204" spans="1:10" x14ac:dyDescent="0.3">
      <c r="A204" s="1">
        <f t="shared" si="21"/>
        <v>44398</v>
      </c>
      <c r="B204" s="34">
        <f t="shared" si="22"/>
        <v>0.89597222222222217</v>
      </c>
      <c r="C204" s="34">
        <f t="shared" si="23"/>
        <v>44398.895972222221</v>
      </c>
      <c r="D204" s="69" t="str">
        <f t="shared" si="24"/>
        <v>2021-07-21</v>
      </c>
      <c r="E204" s="36" t="s">
        <v>1124</v>
      </c>
      <c r="F204" s="35" t="str">
        <f t="shared" si="19"/>
        <v>2021-07-21_21-30-12</v>
      </c>
      <c r="G204" s="37">
        <v>12566862</v>
      </c>
      <c r="H204" s="38">
        <v>16487266</v>
      </c>
      <c r="I204" s="19" t="str">
        <f>IF(OR(COUNTIF(Monitoring!C:C, F204) &gt; 0, COUNTIF(Monitoring!D:D, F204) &gt; 0), "yes", "no")</f>
        <v>yes</v>
      </c>
      <c r="J204" s="70" t="str">
        <f t="shared" si="20"/>
        <v>Z:\FAIR_Device_data\Experiment_JulAug_2021\Video_captures\2021-07-21\2021-07-21_21-30-12.mp4</v>
      </c>
    </row>
    <row r="205" spans="1:10" x14ac:dyDescent="0.3">
      <c r="A205" s="1">
        <f t="shared" si="21"/>
        <v>44398</v>
      </c>
      <c r="B205" s="34">
        <f t="shared" si="22"/>
        <v>0.89879629629629632</v>
      </c>
      <c r="C205" s="34">
        <f t="shared" si="23"/>
        <v>44398.898796296293</v>
      </c>
      <c r="D205" s="69" t="str">
        <f t="shared" si="24"/>
        <v>2021-07-21</v>
      </c>
      <c r="E205" s="36" t="s">
        <v>1125</v>
      </c>
      <c r="F205" s="35" t="str">
        <f t="shared" si="19"/>
        <v>2021-07-21_21-34-16</v>
      </c>
      <c r="G205" s="37">
        <v>887732422</v>
      </c>
      <c r="H205" s="38">
        <v>1408005527</v>
      </c>
      <c r="I205" s="19" t="str">
        <f>IF(OR(COUNTIF(Monitoring!C:C, F205) &gt; 0, COUNTIF(Monitoring!D:D, F205) &gt; 0), "yes", "no")</f>
        <v>yes</v>
      </c>
      <c r="J205" s="70" t="str">
        <f t="shared" si="20"/>
        <v>Z:\FAIR_Device_data\Experiment_JulAug_2021\Video_captures\2021-07-21\2021-07-21_21-34-16.mp4</v>
      </c>
    </row>
    <row r="206" spans="1:10" x14ac:dyDescent="0.3">
      <c r="A206" s="1">
        <f t="shared" si="21"/>
        <v>44398</v>
      </c>
      <c r="B206" s="34">
        <f t="shared" si="22"/>
        <v>0.93730324074074078</v>
      </c>
      <c r="C206" s="34">
        <f t="shared" si="23"/>
        <v>44398.937303240738</v>
      </c>
      <c r="D206" s="69" t="str">
        <f t="shared" si="24"/>
        <v>2021-07-21</v>
      </c>
      <c r="E206" s="36" t="s">
        <v>1126</v>
      </c>
      <c r="F206" s="35" t="str">
        <f t="shared" si="19"/>
        <v>2021-07-21_22-29-43</v>
      </c>
      <c r="G206" s="37">
        <v>21687956</v>
      </c>
      <c r="H206" s="38">
        <v>27024851</v>
      </c>
      <c r="I206" s="19" t="str">
        <f>IF(OR(COUNTIF(Monitoring!C:C, F206) &gt; 0, COUNTIF(Monitoring!D:D, F206) &gt; 0), "yes", "no")</f>
        <v>no</v>
      </c>
      <c r="J206" s="70" t="str">
        <f t="shared" si="20"/>
        <v>Z:\FAIR_Device_data\Experiment_JulAug_2021\Video_captures\2021-07-21\2021-07-21_22-29-43.mp4</v>
      </c>
    </row>
    <row r="207" spans="1:10" x14ac:dyDescent="0.3">
      <c r="A207" s="1">
        <f t="shared" si="21"/>
        <v>44398</v>
      </c>
      <c r="B207" s="34">
        <f t="shared" si="22"/>
        <v>0.99164351851851851</v>
      </c>
      <c r="C207" s="34">
        <f t="shared" si="23"/>
        <v>44398.991643518515</v>
      </c>
      <c r="D207" s="69" t="str">
        <f t="shared" si="24"/>
        <v>2021-07-21</v>
      </c>
      <c r="E207" s="36" t="s">
        <v>1127</v>
      </c>
      <c r="F207" s="35" t="str">
        <f t="shared" si="19"/>
        <v>2021-07-21_23-47-58</v>
      </c>
      <c r="G207" s="37">
        <v>67936719</v>
      </c>
      <c r="H207" s="38">
        <v>100080875</v>
      </c>
      <c r="I207" s="19" t="str">
        <f>IF(OR(COUNTIF(Monitoring!C:C, F207) &gt; 0, COUNTIF(Monitoring!D:D, F207) &gt; 0), "yes", "no")</f>
        <v>no</v>
      </c>
      <c r="J207" s="70" t="str">
        <f t="shared" si="20"/>
        <v>Z:\FAIR_Device_data\Experiment_JulAug_2021\Video_captures\2021-07-21\2021-07-21_23-47-58.mp4</v>
      </c>
    </row>
    <row r="208" spans="1:10" x14ac:dyDescent="0.3">
      <c r="A208" s="1">
        <f t="shared" si="21"/>
        <v>44399</v>
      </c>
      <c r="B208" s="34">
        <f t="shared" si="22"/>
        <v>0.11320601851851853</v>
      </c>
      <c r="C208" s="34">
        <f t="shared" si="23"/>
        <v>44399.113206018519</v>
      </c>
      <c r="D208" s="69" t="str">
        <f t="shared" si="24"/>
        <v>2021-07-22</v>
      </c>
      <c r="E208" s="36" t="s">
        <v>1128</v>
      </c>
      <c r="F208" s="35" t="str">
        <f t="shared" si="19"/>
        <v>2021-07-22_02-43-01</v>
      </c>
      <c r="G208" s="37">
        <v>9846713</v>
      </c>
      <c r="H208" s="38">
        <v>11538590</v>
      </c>
      <c r="I208" s="19" t="str">
        <f>IF(OR(COUNTIF(Monitoring!C:C, F208) &gt; 0, COUNTIF(Monitoring!D:D, F208) &gt; 0), "yes", "no")</f>
        <v>yes</v>
      </c>
      <c r="J208" s="70" t="str">
        <f t="shared" si="20"/>
        <v>Z:\FAIR_Device_data\Experiment_JulAug_2021\Video_captures\2021-07-22\2021-07-22_02-43-01.mp4</v>
      </c>
    </row>
    <row r="209" spans="1:10" x14ac:dyDescent="0.3">
      <c r="A209" s="1">
        <f t="shared" si="21"/>
        <v>44399</v>
      </c>
      <c r="B209" s="34">
        <f t="shared" si="22"/>
        <v>0.17657407407407408</v>
      </c>
      <c r="C209" s="34">
        <f t="shared" si="23"/>
        <v>44399.176574074074</v>
      </c>
      <c r="D209" s="69" t="str">
        <f t="shared" si="24"/>
        <v>2021-07-22</v>
      </c>
      <c r="E209" s="36" t="s">
        <v>1129</v>
      </c>
      <c r="F209" s="35" t="str">
        <f t="shared" si="19"/>
        <v>2021-07-22_04-14-16</v>
      </c>
      <c r="G209" s="37">
        <v>10589844</v>
      </c>
      <c r="H209" s="38">
        <v>12765908</v>
      </c>
      <c r="I209" s="19" t="str">
        <f>IF(OR(COUNTIF(Monitoring!C:C, F209) &gt; 0, COUNTIF(Monitoring!D:D, F209) &gt; 0), "yes", "no")</f>
        <v>yes</v>
      </c>
      <c r="J209" s="70" t="str">
        <f t="shared" si="20"/>
        <v>Z:\FAIR_Device_data\Experiment_JulAug_2021\Video_captures\2021-07-22\2021-07-22_04-14-16.mp4</v>
      </c>
    </row>
    <row r="210" spans="1:10" x14ac:dyDescent="0.3">
      <c r="A210" s="1">
        <f t="shared" si="21"/>
        <v>44399</v>
      </c>
      <c r="B210" s="34">
        <f t="shared" si="22"/>
        <v>0.21439814814814814</v>
      </c>
      <c r="C210" s="34">
        <f t="shared" si="23"/>
        <v>44399.214398148149</v>
      </c>
      <c r="D210" s="69" t="str">
        <f t="shared" si="24"/>
        <v>2021-07-22</v>
      </c>
      <c r="E210" s="36" t="s">
        <v>1130</v>
      </c>
      <c r="F210" s="35" t="str">
        <f t="shared" si="19"/>
        <v>2021-07-22_05-08-44</v>
      </c>
      <c r="G210" s="37">
        <v>11492726</v>
      </c>
      <c r="H210" s="38">
        <v>14285128</v>
      </c>
      <c r="I210" s="19" t="str">
        <f>IF(OR(COUNTIF(Monitoring!C:C, F210) &gt; 0, COUNTIF(Monitoring!D:D, F210) &gt; 0), "yes", "no")</f>
        <v>yes</v>
      </c>
      <c r="J210" s="70" t="str">
        <f t="shared" si="20"/>
        <v>Z:\FAIR_Device_data\Experiment_JulAug_2021\Video_captures\2021-07-22\2021-07-22_05-08-44.mp4</v>
      </c>
    </row>
    <row r="211" spans="1:10" x14ac:dyDescent="0.3">
      <c r="A211" s="1">
        <f t="shared" si="21"/>
        <v>44399</v>
      </c>
      <c r="B211" s="34">
        <f t="shared" si="22"/>
        <v>0.21615740740740741</v>
      </c>
      <c r="C211" s="34">
        <f t="shared" si="23"/>
        <v>44399.216157407405</v>
      </c>
      <c r="D211" s="69" t="str">
        <f t="shared" si="24"/>
        <v>2021-07-22</v>
      </c>
      <c r="E211" s="36" t="s">
        <v>1131</v>
      </c>
      <c r="F211" s="35" t="str">
        <f t="shared" si="19"/>
        <v>2021-07-22_05-11-16</v>
      </c>
      <c r="G211" s="37">
        <v>11920508</v>
      </c>
      <c r="H211" s="38">
        <v>14889575</v>
      </c>
      <c r="I211" s="19" t="str">
        <f>IF(OR(COUNTIF(Monitoring!C:C, F211) &gt; 0, COUNTIF(Monitoring!D:D, F211) &gt; 0), "yes", "no")</f>
        <v>yes</v>
      </c>
      <c r="J211" s="70" t="str">
        <f t="shared" si="20"/>
        <v>Z:\FAIR_Device_data\Experiment_JulAug_2021\Video_captures\2021-07-22\2021-07-22_05-11-16.mp4</v>
      </c>
    </row>
    <row r="212" spans="1:10" x14ac:dyDescent="0.3">
      <c r="A212" s="1">
        <f t="shared" si="21"/>
        <v>44399</v>
      </c>
      <c r="B212" s="34">
        <f t="shared" si="22"/>
        <v>0.46370370370370373</v>
      </c>
      <c r="C212" s="34">
        <f t="shared" si="23"/>
        <v>44399.463703703703</v>
      </c>
      <c r="D212" s="69" t="str">
        <f t="shared" si="24"/>
        <v>2021-07-22</v>
      </c>
      <c r="E212" s="36" t="s">
        <v>1132</v>
      </c>
      <c r="F212" s="35" t="str">
        <f t="shared" si="19"/>
        <v>2021-07-22_11-07-44</v>
      </c>
      <c r="G212" s="37">
        <v>292708984</v>
      </c>
      <c r="H212" s="38">
        <v>414611649</v>
      </c>
      <c r="I212" s="19" t="str">
        <f>IF(OR(COUNTIF(Monitoring!C:C, F212) &gt; 0, COUNTIF(Monitoring!D:D, F212) &gt; 0), "yes", "no")</f>
        <v>yes</v>
      </c>
      <c r="J212" s="70" t="str">
        <f t="shared" si="20"/>
        <v>Z:\FAIR_Device_data\Experiment_JulAug_2021\Video_captures\2021-07-22\2021-07-22_11-07-44.mp4</v>
      </c>
    </row>
    <row r="213" spans="1:10" x14ac:dyDescent="0.3">
      <c r="A213" s="1">
        <f t="shared" si="21"/>
        <v>44399</v>
      </c>
      <c r="B213" s="34">
        <f t="shared" si="22"/>
        <v>0.60879629629629628</v>
      </c>
      <c r="C213" s="34">
        <f t="shared" si="23"/>
        <v>44399.608796296299</v>
      </c>
      <c r="D213" s="69" t="str">
        <f t="shared" si="24"/>
        <v>2021-07-22</v>
      </c>
      <c r="E213" s="36" t="s">
        <v>1133</v>
      </c>
      <c r="F213" s="35" t="str">
        <f t="shared" si="19"/>
        <v>2021-07-22_14-36-40</v>
      </c>
      <c r="G213" s="37">
        <v>9532747</v>
      </c>
      <c r="H213" s="38">
        <v>9878409</v>
      </c>
      <c r="I213" s="19" t="str">
        <f>IF(OR(COUNTIF(Monitoring!C:C, F213) &gt; 0, COUNTIF(Monitoring!D:D, F213) &gt; 0), "yes", "no")</f>
        <v>yes</v>
      </c>
      <c r="J213" s="70" t="str">
        <f t="shared" si="20"/>
        <v>Z:\FAIR_Device_data\Experiment_JulAug_2021\Video_captures\2021-07-22\2021-07-22_14-36-40.mp4</v>
      </c>
    </row>
    <row r="214" spans="1:10" x14ac:dyDescent="0.3">
      <c r="A214" s="1">
        <f t="shared" si="21"/>
        <v>44399</v>
      </c>
      <c r="B214" s="34">
        <f t="shared" si="22"/>
        <v>0.62829861111111107</v>
      </c>
      <c r="C214" s="34">
        <f t="shared" si="23"/>
        <v>44399.628298611111</v>
      </c>
      <c r="D214" s="69" t="str">
        <f t="shared" si="24"/>
        <v>2021-07-22</v>
      </c>
      <c r="E214" s="36" t="s">
        <v>1134</v>
      </c>
      <c r="F214" s="35" t="str">
        <f t="shared" si="19"/>
        <v>2021-07-22_15-04-45</v>
      </c>
      <c r="G214" s="37">
        <v>16357422</v>
      </c>
      <c r="H214" s="38">
        <v>20306173</v>
      </c>
      <c r="I214" s="19" t="str">
        <f>IF(OR(COUNTIF(Monitoring!C:C, F214) &gt; 0, COUNTIF(Monitoring!D:D, F214) &gt; 0), "yes", "no")</f>
        <v>yes</v>
      </c>
      <c r="J214" s="70" t="str">
        <f t="shared" si="20"/>
        <v>Z:\FAIR_Device_data\Experiment_JulAug_2021\Video_captures\2021-07-22\2021-07-22_15-04-45.mp4</v>
      </c>
    </row>
    <row r="215" spans="1:10" x14ac:dyDescent="0.3">
      <c r="A215" s="1">
        <f t="shared" si="21"/>
        <v>44399</v>
      </c>
      <c r="B215" s="34">
        <f t="shared" si="22"/>
        <v>0.65817129629629634</v>
      </c>
      <c r="C215" s="34">
        <f t="shared" si="23"/>
        <v>44399.658171296294</v>
      </c>
      <c r="D215" s="69" t="str">
        <f t="shared" si="24"/>
        <v>2021-07-22</v>
      </c>
      <c r="E215" s="36" t="s">
        <v>1135</v>
      </c>
      <c r="F215" s="35" t="str">
        <f t="shared" si="19"/>
        <v>2021-07-22_15-47-46</v>
      </c>
      <c r="G215" s="37">
        <v>56806185</v>
      </c>
      <c r="H215" s="38">
        <v>72719656</v>
      </c>
      <c r="I215" s="19" t="str">
        <f>IF(OR(COUNTIF(Monitoring!C:C, F215) &gt; 0, COUNTIF(Monitoring!D:D, F215) &gt; 0), "yes", "no")</f>
        <v>yes</v>
      </c>
      <c r="J215" s="70" t="str">
        <f t="shared" si="20"/>
        <v>Z:\FAIR_Device_data\Experiment_JulAug_2021\Video_captures\2021-07-22\2021-07-22_15-47-46.mp4</v>
      </c>
    </row>
    <row r="216" spans="1:10" x14ac:dyDescent="0.3">
      <c r="A216" s="1">
        <f t="shared" si="21"/>
        <v>44399</v>
      </c>
      <c r="B216" s="34">
        <f t="shared" si="22"/>
        <v>0.72464120370370366</v>
      </c>
      <c r="C216" s="34">
        <f t="shared" si="23"/>
        <v>44399.724641203706</v>
      </c>
      <c r="D216" s="69" t="str">
        <f t="shared" si="24"/>
        <v>2021-07-22</v>
      </c>
      <c r="E216" s="36" t="s">
        <v>1136</v>
      </c>
      <c r="F216" s="35" t="str">
        <f t="shared" si="19"/>
        <v>2021-07-22_17-23-29</v>
      </c>
      <c r="G216" s="37">
        <v>26039467</v>
      </c>
      <c r="H216" s="38">
        <v>31284334</v>
      </c>
      <c r="I216" s="19" t="str">
        <f>IF(OR(COUNTIF(Monitoring!C:C, F216) &gt; 0, COUNTIF(Monitoring!D:D, F216) &gt; 0), "yes", "no")</f>
        <v>yes</v>
      </c>
      <c r="J216" s="70" t="str">
        <f t="shared" si="20"/>
        <v>Z:\FAIR_Device_data\Experiment_JulAug_2021\Video_captures\2021-07-22\2021-07-22_17-23-29.mp4</v>
      </c>
    </row>
    <row r="217" spans="1:10" x14ac:dyDescent="0.3">
      <c r="A217" s="1">
        <f t="shared" si="21"/>
        <v>44399</v>
      </c>
      <c r="B217" s="34">
        <f t="shared" si="22"/>
        <v>0.7707060185185185</v>
      </c>
      <c r="C217" s="34">
        <f t="shared" si="23"/>
        <v>44399.77070601852</v>
      </c>
      <c r="D217" s="69" t="str">
        <f t="shared" si="24"/>
        <v>2021-07-22</v>
      </c>
      <c r="E217" s="36" t="s">
        <v>1137</v>
      </c>
      <c r="F217" s="35" t="str">
        <f t="shared" si="19"/>
        <v>2021-07-22_18-29-49</v>
      </c>
      <c r="G217" s="37">
        <v>9654362</v>
      </c>
      <c r="H217" s="38">
        <v>9985146</v>
      </c>
      <c r="I217" s="19" t="str">
        <f>IF(OR(COUNTIF(Monitoring!C:C, F217) &gt; 0, COUNTIF(Monitoring!D:D, F217) &gt; 0), "yes", "no")</f>
        <v>yes</v>
      </c>
      <c r="J217" s="70" t="str">
        <f t="shared" si="20"/>
        <v>Z:\FAIR_Device_data\Experiment_JulAug_2021\Video_captures\2021-07-22\2021-07-22_18-29-49.mp4</v>
      </c>
    </row>
    <row r="218" spans="1:10" x14ac:dyDescent="0.3">
      <c r="A218" s="1">
        <f t="shared" si="21"/>
        <v>44399</v>
      </c>
      <c r="B218" s="34">
        <f t="shared" si="22"/>
        <v>0.90413194444444445</v>
      </c>
      <c r="C218" s="34">
        <f t="shared" si="23"/>
        <v>44399.904131944444</v>
      </c>
      <c r="D218" s="69" t="str">
        <f t="shared" si="24"/>
        <v>2021-07-22</v>
      </c>
      <c r="E218" s="36" t="s">
        <v>1138</v>
      </c>
      <c r="F218" s="35" t="str">
        <f t="shared" si="19"/>
        <v>2021-07-22_21-41-57</v>
      </c>
      <c r="G218" s="37">
        <v>9611003</v>
      </c>
      <c r="H218" s="38">
        <v>11434114</v>
      </c>
      <c r="I218" s="19" t="str">
        <f>IF(OR(COUNTIF(Monitoring!C:C, F218) &gt; 0, COUNTIF(Monitoring!D:D, F218) &gt; 0), "yes", "no")</f>
        <v>no</v>
      </c>
      <c r="J218" s="70" t="str">
        <f t="shared" si="20"/>
        <v>Z:\FAIR_Device_data\Experiment_JulAug_2021\Video_captures\2021-07-22\2021-07-22_21-41-57.mp4</v>
      </c>
    </row>
    <row r="219" spans="1:10" x14ac:dyDescent="0.3">
      <c r="A219" s="1">
        <f t="shared" si="21"/>
        <v>44399</v>
      </c>
      <c r="B219" s="34">
        <f t="shared" si="22"/>
        <v>0.9130787037037037</v>
      </c>
      <c r="C219" s="34">
        <f t="shared" si="23"/>
        <v>44399.913078703707</v>
      </c>
      <c r="D219" s="69" t="str">
        <f t="shared" si="24"/>
        <v>2021-07-22</v>
      </c>
      <c r="E219" s="36" t="s">
        <v>1139</v>
      </c>
      <c r="F219" s="35" t="str">
        <f t="shared" si="19"/>
        <v>2021-07-22_21-54-50</v>
      </c>
      <c r="G219" s="37">
        <v>39693555</v>
      </c>
      <c r="H219" s="38">
        <v>59439403</v>
      </c>
      <c r="I219" s="19" t="str">
        <f>IF(OR(COUNTIF(Monitoring!C:C, F219) &gt; 0, COUNTIF(Monitoring!D:D, F219) &gt; 0), "yes", "no")</f>
        <v>no</v>
      </c>
      <c r="J219" s="70" t="str">
        <f t="shared" si="20"/>
        <v>Z:\FAIR_Device_data\Experiment_JulAug_2021\Video_captures\2021-07-22\2021-07-22_21-54-50.mp4</v>
      </c>
    </row>
    <row r="220" spans="1:10" x14ac:dyDescent="0.3">
      <c r="A220" s="1">
        <f t="shared" si="21"/>
        <v>44399</v>
      </c>
      <c r="B220" s="34">
        <f t="shared" si="22"/>
        <v>0.91418981481481476</v>
      </c>
      <c r="C220" s="34">
        <f t="shared" si="23"/>
        <v>44399.914189814815</v>
      </c>
      <c r="D220" s="69" t="str">
        <f t="shared" si="24"/>
        <v>2021-07-22</v>
      </c>
      <c r="E220" s="36" t="s">
        <v>1140</v>
      </c>
      <c r="F220" s="35" t="str">
        <f t="shared" si="19"/>
        <v>2021-07-22_21-56-26</v>
      </c>
      <c r="G220" s="37">
        <v>15984115</v>
      </c>
      <c r="H220" s="38">
        <v>22007941</v>
      </c>
      <c r="I220" s="19" t="str">
        <f>IF(OR(COUNTIF(Monitoring!C:C, F220) &gt; 0, COUNTIF(Monitoring!D:D, F220) &gt; 0), "yes", "no")</f>
        <v>no</v>
      </c>
      <c r="J220" s="70" t="str">
        <f t="shared" si="20"/>
        <v>Z:\FAIR_Device_data\Experiment_JulAug_2021\Video_captures\2021-07-22\2021-07-22_21-56-26.mp4</v>
      </c>
    </row>
    <row r="221" spans="1:10" x14ac:dyDescent="0.3">
      <c r="A221" s="1">
        <f t="shared" si="21"/>
        <v>44399</v>
      </c>
      <c r="B221" s="34">
        <f t="shared" si="22"/>
        <v>0.95688657407407407</v>
      </c>
      <c r="C221" s="34">
        <f t="shared" si="23"/>
        <v>44399.956886574073</v>
      </c>
      <c r="D221" s="69" t="str">
        <f t="shared" si="24"/>
        <v>2021-07-22</v>
      </c>
      <c r="E221" s="36" t="s">
        <v>1141</v>
      </c>
      <c r="F221" s="35" t="str">
        <f t="shared" si="19"/>
        <v>2021-07-22_22-57-55</v>
      </c>
      <c r="G221" s="37">
        <v>15015820</v>
      </c>
      <c r="H221" s="38">
        <v>20412046</v>
      </c>
      <c r="I221" s="19" t="str">
        <f>IF(OR(COUNTIF(Monitoring!C:C, F221) &gt; 0, COUNTIF(Monitoring!D:D, F221) &gt; 0), "yes", "no")</f>
        <v>no</v>
      </c>
      <c r="J221" s="70" t="str">
        <f t="shared" si="20"/>
        <v>Z:\FAIR_Device_data\Experiment_JulAug_2021\Video_captures\2021-07-22\2021-07-22_22-57-55.mp4</v>
      </c>
    </row>
    <row r="222" spans="1:10" x14ac:dyDescent="0.3">
      <c r="A222" s="1">
        <f t="shared" si="21"/>
        <v>44399</v>
      </c>
      <c r="B222" s="34">
        <f t="shared" si="22"/>
        <v>0.95873842592592595</v>
      </c>
      <c r="C222" s="34">
        <f t="shared" si="23"/>
        <v>44399.958738425928</v>
      </c>
      <c r="D222" s="69" t="str">
        <f t="shared" si="24"/>
        <v>2021-07-22</v>
      </c>
      <c r="E222" s="36" t="s">
        <v>1142</v>
      </c>
      <c r="F222" s="35" t="str">
        <f t="shared" si="19"/>
        <v>2021-07-22_23-00-35</v>
      </c>
      <c r="G222" s="37">
        <v>9762325</v>
      </c>
      <c r="H222" s="38">
        <v>11746640</v>
      </c>
      <c r="I222" s="19" t="str">
        <f>IF(OR(COUNTIF(Monitoring!C:C, F222) &gt; 0, COUNTIF(Monitoring!D:D, F222) &gt; 0), "yes", "no")</f>
        <v>no</v>
      </c>
      <c r="J222" s="70" t="str">
        <f t="shared" si="20"/>
        <v>Z:\FAIR_Device_data\Experiment_JulAug_2021\Video_captures\2021-07-22\2021-07-22_23-00-35.mp4</v>
      </c>
    </row>
    <row r="223" spans="1:10" x14ac:dyDescent="0.3">
      <c r="A223" s="1">
        <f t="shared" si="21"/>
        <v>44399</v>
      </c>
      <c r="B223" s="34">
        <f t="shared" si="22"/>
        <v>0.97299768518518515</v>
      </c>
      <c r="C223" s="34">
        <f t="shared" si="23"/>
        <v>44399.972997685189</v>
      </c>
      <c r="D223" s="69" t="str">
        <f t="shared" si="24"/>
        <v>2021-07-22</v>
      </c>
      <c r="E223" s="36" t="s">
        <v>1143</v>
      </c>
      <c r="F223" s="35" t="str">
        <f t="shared" si="19"/>
        <v>2021-07-22_23-21-07</v>
      </c>
      <c r="G223" s="37">
        <v>9634505</v>
      </c>
      <c r="H223" s="38">
        <v>11475943</v>
      </c>
      <c r="I223" s="19" t="str">
        <f>IF(OR(COUNTIF(Monitoring!C:C, F223) &gt; 0, COUNTIF(Monitoring!D:D, F223) &gt; 0), "yes", "no")</f>
        <v>no</v>
      </c>
      <c r="J223" s="70" t="str">
        <f t="shared" si="20"/>
        <v>Z:\FAIR_Device_data\Experiment_JulAug_2021\Video_captures\2021-07-22\2021-07-22_23-21-07.mp4</v>
      </c>
    </row>
    <row r="224" spans="1:10" x14ac:dyDescent="0.3">
      <c r="A224" s="1">
        <f t="shared" si="21"/>
        <v>44399</v>
      </c>
      <c r="B224" s="34">
        <f t="shared" si="22"/>
        <v>0.97783564814814816</v>
      </c>
      <c r="C224" s="34">
        <f t="shared" si="23"/>
        <v>44399.977835648147</v>
      </c>
      <c r="D224" s="69" t="str">
        <f t="shared" si="24"/>
        <v>2021-07-22</v>
      </c>
      <c r="E224" s="36" t="s">
        <v>1144</v>
      </c>
      <c r="F224" s="35" t="str">
        <f t="shared" si="19"/>
        <v>2021-07-22_23-28-05</v>
      </c>
      <c r="G224" s="37">
        <v>11663021</v>
      </c>
      <c r="H224" s="38">
        <v>14878356</v>
      </c>
      <c r="I224" s="19" t="str">
        <f>IF(OR(COUNTIF(Monitoring!C:C, F224) &gt; 0, COUNTIF(Monitoring!D:D, F224) &gt; 0), "yes", "no")</f>
        <v>no</v>
      </c>
      <c r="J224" s="70" t="str">
        <f t="shared" si="20"/>
        <v>Z:\FAIR_Device_data\Experiment_JulAug_2021\Video_captures\2021-07-22\2021-07-22_23-28-05.mp4</v>
      </c>
    </row>
    <row r="225" spans="1:10" x14ac:dyDescent="0.3">
      <c r="A225" s="1">
        <f t="shared" si="21"/>
        <v>44399</v>
      </c>
      <c r="B225" s="34">
        <f t="shared" si="22"/>
        <v>0.97936342592592596</v>
      </c>
      <c r="C225" s="34">
        <f t="shared" si="23"/>
        <v>44399.979363425926</v>
      </c>
      <c r="D225" s="69" t="str">
        <f t="shared" si="24"/>
        <v>2021-07-22</v>
      </c>
      <c r="E225" s="36" t="s">
        <v>1145</v>
      </c>
      <c r="F225" s="35" t="str">
        <f t="shared" si="19"/>
        <v>2021-07-22_23-30-17</v>
      </c>
      <c r="G225" s="37">
        <v>16238542</v>
      </c>
      <c r="H225" s="38">
        <v>22601397</v>
      </c>
      <c r="I225" s="19" t="str">
        <f>IF(OR(COUNTIF(Monitoring!C:C, F225) &gt; 0, COUNTIF(Monitoring!D:D, F225) &gt; 0), "yes", "no")</f>
        <v>no</v>
      </c>
      <c r="J225" s="70" t="str">
        <f t="shared" si="20"/>
        <v>Z:\FAIR_Device_data\Experiment_JulAug_2021\Video_captures\2021-07-22\2021-07-22_23-30-17.mp4</v>
      </c>
    </row>
    <row r="226" spans="1:10" x14ac:dyDescent="0.3">
      <c r="A226" s="1">
        <f t="shared" si="21"/>
        <v>44400</v>
      </c>
      <c r="B226" s="34">
        <f t="shared" si="22"/>
        <v>1.5474537037037037E-2</v>
      </c>
      <c r="C226" s="34">
        <f t="shared" si="23"/>
        <v>44400.015474537038</v>
      </c>
      <c r="D226" s="69" t="str">
        <f t="shared" si="24"/>
        <v>2021-07-23</v>
      </c>
      <c r="E226" s="36" t="s">
        <v>1146</v>
      </c>
      <c r="F226" s="35" t="str">
        <f t="shared" si="19"/>
        <v>2021-07-23_00-22-17</v>
      </c>
      <c r="G226" s="37">
        <v>22475130</v>
      </c>
      <c r="H226" s="38">
        <v>32968118</v>
      </c>
      <c r="I226" s="19" t="str">
        <f>IF(OR(COUNTIF(Monitoring!C:C, F226) &gt; 0, COUNTIF(Monitoring!D:D, F226) &gt; 0), "yes", "no")</f>
        <v>yes</v>
      </c>
      <c r="J226" s="70" t="str">
        <f t="shared" si="20"/>
        <v>Z:\FAIR_Device_data\Experiment_JulAug_2021\Video_captures\2021-07-23\2021-07-23_00-22-17.mp4</v>
      </c>
    </row>
    <row r="227" spans="1:10" x14ac:dyDescent="0.3">
      <c r="A227" s="1">
        <f t="shared" si="21"/>
        <v>44400</v>
      </c>
      <c r="B227" s="34">
        <f t="shared" si="22"/>
        <v>0.38567129629629632</v>
      </c>
      <c r="C227" s="34">
        <f t="shared" si="23"/>
        <v>44400.385671296295</v>
      </c>
      <c r="D227" s="69" t="str">
        <f t="shared" si="24"/>
        <v>2021-07-23</v>
      </c>
      <c r="E227" s="36" t="s">
        <v>1147</v>
      </c>
      <c r="F227" s="35" t="str">
        <f t="shared" si="19"/>
        <v>2021-07-23_09-15-22</v>
      </c>
      <c r="G227" s="37">
        <v>11281836</v>
      </c>
      <c r="H227" s="38">
        <v>11347611</v>
      </c>
      <c r="I227" s="19" t="str">
        <f>IF(OR(COUNTIF(Monitoring!C:C, F227) &gt; 0, COUNTIF(Monitoring!D:D, F227) &gt; 0), "yes", "no")</f>
        <v>yes</v>
      </c>
      <c r="J227" s="70" t="str">
        <f t="shared" si="20"/>
        <v>Z:\FAIR_Device_data\Experiment_JulAug_2021\Video_captures\2021-07-23\2021-07-23_09-15-22.mp4</v>
      </c>
    </row>
    <row r="228" spans="1:10" x14ac:dyDescent="0.3">
      <c r="A228" s="1">
        <f t="shared" si="21"/>
        <v>44400</v>
      </c>
      <c r="B228" s="34">
        <f t="shared" si="22"/>
        <v>0.40729166666666666</v>
      </c>
      <c r="C228" s="34">
        <f t="shared" si="23"/>
        <v>44400.40729166667</v>
      </c>
      <c r="D228" s="69" t="str">
        <f t="shared" si="24"/>
        <v>2021-07-23</v>
      </c>
      <c r="E228" s="36" t="s">
        <v>1148</v>
      </c>
      <c r="F228" s="35" t="str">
        <f t="shared" si="19"/>
        <v>2021-07-23_09-46-30</v>
      </c>
      <c r="G228" s="37">
        <v>14514230</v>
      </c>
      <c r="H228" s="38">
        <v>9427529</v>
      </c>
      <c r="I228" s="19" t="str">
        <f>IF(OR(COUNTIF(Monitoring!C:C, F228) &gt; 0, COUNTIF(Monitoring!D:D, F228) &gt; 0), "yes", "no")</f>
        <v>yes</v>
      </c>
      <c r="J228" s="70" t="str">
        <f t="shared" si="20"/>
        <v>Z:\FAIR_Device_data\Experiment_JulAug_2021\Video_captures\2021-07-23\2021-07-23_09-46-30.mp4</v>
      </c>
    </row>
    <row r="229" spans="1:10" x14ac:dyDescent="0.3">
      <c r="A229" s="1">
        <f t="shared" si="21"/>
        <v>44400</v>
      </c>
      <c r="B229" s="34">
        <f t="shared" si="22"/>
        <v>0.69318287037037041</v>
      </c>
      <c r="C229" s="34">
        <f t="shared" si="23"/>
        <v>44400.693182870367</v>
      </c>
      <c r="D229" s="69" t="str">
        <f t="shared" si="24"/>
        <v>2021-07-23</v>
      </c>
      <c r="E229" s="36" t="s">
        <v>1149</v>
      </c>
      <c r="F229" s="35" t="str">
        <f t="shared" si="19"/>
        <v>2021-07-23_16-38-11</v>
      </c>
      <c r="G229" s="37">
        <v>17295638</v>
      </c>
      <c r="H229" s="38">
        <v>15009379</v>
      </c>
      <c r="I229" s="19" t="str">
        <f>IF(OR(COUNTIF(Monitoring!C:C, F229) &gt; 0, COUNTIF(Monitoring!D:D, F229) &gt; 0), "yes", "no")</f>
        <v>yes</v>
      </c>
      <c r="J229" s="70" t="str">
        <f t="shared" si="20"/>
        <v>Z:\FAIR_Device_data\Experiment_JulAug_2021\Video_captures\2021-07-23\2021-07-23_16-38-11.mp4</v>
      </c>
    </row>
    <row r="230" spans="1:10" x14ac:dyDescent="0.3">
      <c r="A230" s="1">
        <f t="shared" si="21"/>
        <v>44400</v>
      </c>
      <c r="B230" s="34">
        <f t="shared" si="22"/>
        <v>0.69442129629629634</v>
      </c>
      <c r="C230" s="34">
        <f t="shared" si="23"/>
        <v>44400.694421296299</v>
      </c>
      <c r="D230" s="69" t="str">
        <f t="shared" si="24"/>
        <v>2021-07-23</v>
      </c>
      <c r="E230" s="36" t="s">
        <v>1150</v>
      </c>
      <c r="F230" s="35" t="str">
        <f t="shared" si="19"/>
        <v>2021-07-23_16-39-58</v>
      </c>
      <c r="G230" s="37">
        <v>36505729</v>
      </c>
      <c r="H230" s="38">
        <v>40273690</v>
      </c>
      <c r="I230" s="19" t="str">
        <f>IF(OR(COUNTIF(Monitoring!C:C, F230) &gt; 0, COUNTIF(Monitoring!D:D, F230) &gt; 0), "yes", "no")</f>
        <v>yes</v>
      </c>
      <c r="J230" s="70" t="str">
        <f t="shared" si="20"/>
        <v>Z:\FAIR_Device_data\Experiment_JulAug_2021\Video_captures\2021-07-23\2021-07-23_16-39-58.mp4</v>
      </c>
    </row>
    <row r="231" spans="1:10" x14ac:dyDescent="0.3">
      <c r="A231" s="1">
        <f t="shared" si="21"/>
        <v>44400</v>
      </c>
      <c r="B231" s="34">
        <f t="shared" si="22"/>
        <v>0.72918981481481482</v>
      </c>
      <c r="C231" s="34">
        <f t="shared" si="23"/>
        <v>44400.729189814818</v>
      </c>
      <c r="D231" s="69" t="str">
        <f t="shared" si="24"/>
        <v>2021-07-23</v>
      </c>
      <c r="E231" s="36" t="s">
        <v>1151</v>
      </c>
      <c r="F231" s="35" t="str">
        <f t="shared" si="19"/>
        <v>2021-07-23_17-30-02</v>
      </c>
      <c r="G231" s="37">
        <v>33830469</v>
      </c>
      <c r="H231" s="38">
        <v>41800939</v>
      </c>
      <c r="I231" s="19" t="str">
        <f>IF(OR(COUNTIF(Monitoring!C:C, F231) &gt; 0, COUNTIF(Monitoring!D:D, F231) &gt; 0), "yes", "no")</f>
        <v>yes</v>
      </c>
      <c r="J231" s="70" t="str">
        <f t="shared" si="20"/>
        <v>Z:\FAIR_Device_data\Experiment_JulAug_2021\Video_captures\2021-07-23\2021-07-23_17-30-02.mp4</v>
      </c>
    </row>
    <row r="232" spans="1:10" x14ac:dyDescent="0.3">
      <c r="A232" s="1">
        <f t="shared" si="21"/>
        <v>44400</v>
      </c>
      <c r="B232" s="34">
        <f t="shared" si="22"/>
        <v>0.766087962962963</v>
      </c>
      <c r="C232" s="34">
        <f t="shared" si="23"/>
        <v>44400.766087962962</v>
      </c>
      <c r="D232" s="69" t="str">
        <f t="shared" si="24"/>
        <v>2021-07-23</v>
      </c>
      <c r="E232" s="36" t="s">
        <v>1152</v>
      </c>
      <c r="F232" s="35" t="str">
        <f t="shared" si="19"/>
        <v>2021-07-23_18-23-10</v>
      </c>
      <c r="G232" s="37">
        <v>9476765</v>
      </c>
      <c r="H232" s="38">
        <v>9780168</v>
      </c>
      <c r="I232" s="19" t="str">
        <f>IF(OR(COUNTIF(Monitoring!C:C, F232) &gt; 0, COUNTIF(Monitoring!D:D, F232) &gt; 0), "yes", "no")</f>
        <v>yes</v>
      </c>
      <c r="J232" s="70" t="str">
        <f t="shared" si="20"/>
        <v>Z:\FAIR_Device_data\Experiment_JulAug_2021\Video_captures\2021-07-23\2021-07-23_18-23-10.mp4</v>
      </c>
    </row>
    <row r="233" spans="1:10" x14ac:dyDescent="0.3">
      <c r="A233" s="1">
        <f t="shared" si="21"/>
        <v>44401</v>
      </c>
      <c r="B233" s="34">
        <f t="shared" si="22"/>
        <v>0.42004629629629631</v>
      </c>
      <c r="C233" s="34">
        <f t="shared" si="23"/>
        <v>44401.420046296298</v>
      </c>
      <c r="D233" s="69" t="str">
        <f t="shared" si="24"/>
        <v>2021-07-24</v>
      </c>
      <c r="E233" s="36" t="s">
        <v>1153</v>
      </c>
      <c r="F233" s="35" t="str">
        <f t="shared" si="19"/>
        <v>2021-07-24_10-04-52</v>
      </c>
      <c r="G233" s="37">
        <v>10676791</v>
      </c>
      <c r="H233" s="38">
        <v>11259834</v>
      </c>
      <c r="I233" s="19" t="str">
        <f>IF(OR(COUNTIF(Monitoring!C:C, F233) &gt; 0, COUNTIF(Monitoring!D:D, F233) &gt; 0), "yes", "no")</f>
        <v>yes</v>
      </c>
      <c r="J233" s="70" t="str">
        <f t="shared" si="20"/>
        <v>Z:\FAIR_Device_data\Experiment_JulAug_2021\Video_captures\2021-07-24\2021-07-24_10-04-52.mp4</v>
      </c>
    </row>
    <row r="234" spans="1:10" x14ac:dyDescent="0.3">
      <c r="A234" s="1">
        <f t="shared" si="21"/>
        <v>44401</v>
      </c>
      <c r="B234" s="34">
        <f t="shared" si="22"/>
        <v>0.42798611111111112</v>
      </c>
      <c r="C234" s="34">
        <f t="shared" si="23"/>
        <v>44401.427986111114</v>
      </c>
      <c r="D234" s="69" t="str">
        <f t="shared" si="24"/>
        <v>2021-07-24</v>
      </c>
      <c r="E234" s="36" t="s">
        <v>1154</v>
      </c>
      <c r="F234" s="35" t="str">
        <f t="shared" si="19"/>
        <v>2021-07-24_10-16-18</v>
      </c>
      <c r="G234" s="37">
        <v>34893945</v>
      </c>
      <c r="H234" s="38">
        <v>42037291</v>
      </c>
      <c r="I234" s="19" t="str">
        <f>IF(OR(COUNTIF(Monitoring!C:C, F234) &gt; 0, COUNTIF(Monitoring!D:D, F234) &gt; 0), "yes", "no")</f>
        <v>yes</v>
      </c>
      <c r="J234" s="70" t="str">
        <f t="shared" si="20"/>
        <v>Z:\FAIR_Device_data\Experiment_JulAug_2021\Video_captures\2021-07-24\2021-07-24_10-16-18.mp4</v>
      </c>
    </row>
    <row r="235" spans="1:10" x14ac:dyDescent="0.3">
      <c r="A235" s="1">
        <f t="shared" si="21"/>
        <v>44401</v>
      </c>
      <c r="B235" s="34">
        <f t="shared" si="22"/>
        <v>0.42878472222222225</v>
      </c>
      <c r="C235" s="34">
        <f t="shared" si="23"/>
        <v>44401.428784722222</v>
      </c>
      <c r="D235" s="69" t="str">
        <f t="shared" si="24"/>
        <v>2021-07-24</v>
      </c>
      <c r="E235" s="36" t="s">
        <v>1155</v>
      </c>
      <c r="F235" s="35" t="str">
        <f t="shared" si="19"/>
        <v>2021-07-24_10-17-27</v>
      </c>
      <c r="G235" s="37">
        <v>18277344</v>
      </c>
      <c r="H235" s="38">
        <v>14877546</v>
      </c>
      <c r="I235" s="19" t="str">
        <f>IF(OR(COUNTIF(Monitoring!C:C, F235) &gt; 0, COUNTIF(Monitoring!D:D, F235) &gt; 0), "yes", "no")</f>
        <v>yes</v>
      </c>
      <c r="J235" s="70" t="str">
        <f t="shared" si="20"/>
        <v>Z:\FAIR_Device_data\Experiment_JulAug_2021\Video_captures\2021-07-24\2021-07-24_10-17-27.mp4</v>
      </c>
    </row>
    <row r="236" spans="1:10" x14ac:dyDescent="0.3">
      <c r="A236" s="1">
        <f t="shared" si="21"/>
        <v>44401</v>
      </c>
      <c r="B236" s="34">
        <f t="shared" si="22"/>
        <v>0.43909722222222225</v>
      </c>
      <c r="C236" s="34">
        <f t="shared" si="23"/>
        <v>44401.439097222225</v>
      </c>
      <c r="D236" s="69" t="str">
        <f t="shared" si="24"/>
        <v>2021-07-24</v>
      </c>
      <c r="E236" s="36" t="s">
        <v>1156</v>
      </c>
      <c r="F236" s="35" t="str">
        <f t="shared" si="19"/>
        <v>2021-07-24_10-32-18</v>
      </c>
      <c r="G236" s="37">
        <v>9407357</v>
      </c>
      <c r="H236" s="38">
        <v>9444195</v>
      </c>
      <c r="I236" s="19" t="str">
        <f>IF(OR(COUNTIF(Monitoring!C:C, F236) &gt; 0, COUNTIF(Monitoring!D:D, F236) &gt; 0), "yes", "no")</f>
        <v>yes</v>
      </c>
      <c r="J236" s="70" t="str">
        <f t="shared" si="20"/>
        <v>Z:\FAIR_Device_data\Experiment_JulAug_2021\Video_captures\2021-07-24\2021-07-24_10-32-18.mp4</v>
      </c>
    </row>
    <row r="237" spans="1:10" x14ac:dyDescent="0.3">
      <c r="A237" s="1">
        <f t="shared" si="21"/>
        <v>44401</v>
      </c>
      <c r="B237" s="34">
        <f t="shared" si="22"/>
        <v>0.45149305555555558</v>
      </c>
      <c r="C237" s="34">
        <f t="shared" si="23"/>
        <v>44401.451493055552</v>
      </c>
      <c r="D237" s="69" t="str">
        <f t="shared" si="24"/>
        <v>2021-07-24</v>
      </c>
      <c r="E237" s="36" t="s">
        <v>1157</v>
      </c>
      <c r="F237" s="35" t="str">
        <f t="shared" si="19"/>
        <v>2021-07-24_10-50-09</v>
      </c>
      <c r="G237" s="37">
        <v>9568359</v>
      </c>
      <c r="H237" s="38">
        <v>9567754</v>
      </c>
      <c r="I237" s="19" t="str">
        <f>IF(OR(COUNTIF(Monitoring!C:C, F237) &gt; 0, COUNTIF(Monitoring!D:D, F237) &gt; 0), "yes", "no")</f>
        <v>yes</v>
      </c>
      <c r="J237" s="70" t="str">
        <f t="shared" si="20"/>
        <v>Z:\FAIR_Device_data\Experiment_JulAug_2021\Video_captures\2021-07-24\2021-07-24_10-50-09.mp4</v>
      </c>
    </row>
    <row r="238" spans="1:10" x14ac:dyDescent="0.3">
      <c r="A238" s="1">
        <f t="shared" si="21"/>
        <v>44401</v>
      </c>
      <c r="B238" s="34">
        <f t="shared" si="22"/>
        <v>0.45913194444444444</v>
      </c>
      <c r="C238" s="34">
        <f t="shared" si="23"/>
        <v>44401.459131944444</v>
      </c>
      <c r="D238" s="69" t="str">
        <f t="shared" si="24"/>
        <v>2021-07-24</v>
      </c>
      <c r="E238" s="36" t="s">
        <v>1158</v>
      </c>
      <c r="F238" s="35" t="str">
        <f t="shared" si="19"/>
        <v>2021-07-24_11-01-09</v>
      </c>
      <c r="G238" s="37">
        <v>61278255</v>
      </c>
      <c r="H238" s="38">
        <v>79873321</v>
      </c>
      <c r="I238" s="19" t="str">
        <f>IF(OR(COUNTIF(Monitoring!C:C, F238) &gt; 0, COUNTIF(Monitoring!D:D, F238) &gt; 0), "yes", "no")</f>
        <v>yes</v>
      </c>
      <c r="J238" s="70" t="str">
        <f t="shared" si="20"/>
        <v>Z:\FAIR_Device_data\Experiment_JulAug_2021\Video_captures\2021-07-24\2021-07-24_11-01-09.mp4</v>
      </c>
    </row>
    <row r="239" spans="1:10" x14ac:dyDescent="0.3">
      <c r="A239" s="1">
        <f t="shared" si="21"/>
        <v>44401</v>
      </c>
      <c r="B239" s="34">
        <f t="shared" si="22"/>
        <v>0.46711805555555558</v>
      </c>
      <c r="C239" s="34">
        <f t="shared" si="23"/>
        <v>44401.467118055552</v>
      </c>
      <c r="D239" s="69" t="str">
        <f t="shared" si="24"/>
        <v>2021-07-24</v>
      </c>
      <c r="E239" s="36" t="s">
        <v>1159</v>
      </c>
      <c r="F239" s="35" t="str">
        <f t="shared" si="19"/>
        <v>2021-07-24_11-12-39</v>
      </c>
      <c r="G239" s="37">
        <v>37879753</v>
      </c>
      <c r="H239" s="38">
        <v>50558189</v>
      </c>
      <c r="I239" s="19" t="str">
        <f>IF(OR(COUNTIF(Monitoring!C:C, F239) &gt; 0, COUNTIF(Monitoring!D:D, F239) &gt; 0), "yes", "no")</f>
        <v>yes</v>
      </c>
      <c r="J239" s="70" t="str">
        <f t="shared" si="20"/>
        <v>Z:\FAIR_Device_data\Experiment_JulAug_2021\Video_captures\2021-07-24\2021-07-24_11-12-39.mp4</v>
      </c>
    </row>
    <row r="240" spans="1:10" x14ac:dyDescent="0.3">
      <c r="A240" s="1">
        <f t="shared" si="21"/>
        <v>44401</v>
      </c>
      <c r="B240" s="34">
        <f t="shared" si="22"/>
        <v>0.51133101851851848</v>
      </c>
      <c r="C240" s="34">
        <f t="shared" si="23"/>
        <v>44401.511331018519</v>
      </c>
      <c r="D240" s="69" t="str">
        <f t="shared" si="24"/>
        <v>2021-07-24</v>
      </c>
      <c r="E240" s="36" t="s">
        <v>1160</v>
      </c>
      <c r="F240" s="35" t="str">
        <f t="shared" si="19"/>
        <v>2021-07-24_12-16-19</v>
      </c>
      <c r="G240" s="37">
        <v>54952734</v>
      </c>
      <c r="H240" s="38">
        <v>75233034</v>
      </c>
      <c r="I240" s="19" t="str">
        <f>IF(OR(COUNTIF(Monitoring!C:C, F240) &gt; 0, COUNTIF(Monitoring!D:D, F240) &gt; 0), "yes", "no")</f>
        <v>yes</v>
      </c>
      <c r="J240" s="70" t="str">
        <f t="shared" si="20"/>
        <v>Z:\FAIR_Device_data\Experiment_JulAug_2021\Video_captures\2021-07-24\2021-07-24_12-16-19.mp4</v>
      </c>
    </row>
    <row r="241" spans="1:10" x14ac:dyDescent="0.3">
      <c r="A241" s="1">
        <f t="shared" si="21"/>
        <v>44401</v>
      </c>
      <c r="B241" s="34">
        <f t="shared" si="22"/>
        <v>0.52817129629629633</v>
      </c>
      <c r="C241" s="34">
        <f t="shared" si="23"/>
        <v>44401.528171296297</v>
      </c>
      <c r="D241" s="69" t="str">
        <f t="shared" si="24"/>
        <v>2021-07-24</v>
      </c>
      <c r="E241" s="36" t="s">
        <v>1161</v>
      </c>
      <c r="F241" s="35" t="str">
        <f t="shared" si="19"/>
        <v>2021-07-24_12-40-34</v>
      </c>
      <c r="G241" s="37">
        <v>16335612</v>
      </c>
      <c r="H241" s="38">
        <v>19664718</v>
      </c>
      <c r="I241" s="19" t="str">
        <f>IF(OR(COUNTIF(Monitoring!C:C, F241) &gt; 0, COUNTIF(Monitoring!D:D, F241) &gt; 0), "yes", "no")</f>
        <v>yes</v>
      </c>
      <c r="J241" s="70" t="str">
        <f t="shared" si="20"/>
        <v>Z:\FAIR_Device_data\Experiment_JulAug_2021\Video_captures\2021-07-24\2021-07-24_12-40-34.mp4</v>
      </c>
    </row>
    <row r="242" spans="1:10" x14ac:dyDescent="0.3">
      <c r="A242" s="1">
        <f t="shared" si="21"/>
        <v>44401</v>
      </c>
      <c r="B242" s="34">
        <f t="shared" si="22"/>
        <v>0.53896990740740736</v>
      </c>
      <c r="C242" s="34">
        <f t="shared" si="23"/>
        <v>44401.538969907408</v>
      </c>
      <c r="D242" s="69" t="str">
        <f t="shared" si="24"/>
        <v>2021-07-24</v>
      </c>
      <c r="E242" s="36" t="s">
        <v>1162</v>
      </c>
      <c r="F242" s="35" t="str">
        <f t="shared" si="19"/>
        <v>2021-07-24_12-56-07</v>
      </c>
      <c r="G242" s="37">
        <v>11593555</v>
      </c>
      <c r="H242" s="38">
        <v>12831482</v>
      </c>
      <c r="I242" s="19" t="str">
        <f>IF(OR(COUNTIF(Monitoring!C:C, F242) &gt; 0, COUNTIF(Monitoring!D:D, F242) &gt; 0), "yes", "no")</f>
        <v>yes</v>
      </c>
      <c r="J242" s="70" t="str">
        <f t="shared" si="20"/>
        <v>Z:\FAIR_Device_data\Experiment_JulAug_2021\Video_captures\2021-07-24\2021-07-24_12-56-07.mp4</v>
      </c>
    </row>
    <row r="243" spans="1:10" x14ac:dyDescent="0.3">
      <c r="A243" s="1">
        <f t="shared" si="21"/>
        <v>44401</v>
      </c>
      <c r="B243" s="34">
        <f t="shared" si="22"/>
        <v>0.54828703703703707</v>
      </c>
      <c r="C243" s="34">
        <f t="shared" si="23"/>
        <v>44401.54828703704</v>
      </c>
      <c r="D243" s="69" t="str">
        <f t="shared" si="24"/>
        <v>2021-07-24</v>
      </c>
      <c r="E243" s="36" t="s">
        <v>1163</v>
      </c>
      <c r="F243" s="35" t="str">
        <f t="shared" si="19"/>
        <v>2021-07-24_13-09-32</v>
      </c>
      <c r="G243" s="37">
        <v>12852799</v>
      </c>
      <c r="H243" s="38">
        <v>14706552</v>
      </c>
      <c r="I243" s="19" t="str">
        <f>IF(OR(COUNTIF(Monitoring!C:C, F243) &gt; 0, COUNTIF(Monitoring!D:D, F243) &gt; 0), "yes", "no")</f>
        <v>yes</v>
      </c>
      <c r="J243" s="70" t="str">
        <f t="shared" si="20"/>
        <v>Z:\FAIR_Device_data\Experiment_JulAug_2021\Video_captures\2021-07-24\2021-07-24_13-09-32.mp4</v>
      </c>
    </row>
    <row r="244" spans="1:10" x14ac:dyDescent="0.3">
      <c r="A244" s="1">
        <f t="shared" si="21"/>
        <v>44401</v>
      </c>
      <c r="B244" s="34">
        <f t="shared" si="22"/>
        <v>0.58032407407407405</v>
      </c>
      <c r="C244" s="34">
        <f t="shared" si="23"/>
        <v>44401.580324074072</v>
      </c>
      <c r="D244" s="69" t="str">
        <f t="shared" si="24"/>
        <v>2021-07-24</v>
      </c>
      <c r="E244" s="36" t="s">
        <v>1164</v>
      </c>
      <c r="F244" s="35" t="str">
        <f t="shared" si="19"/>
        <v>2021-07-24_13-55-40</v>
      </c>
      <c r="G244" s="37">
        <v>9593424</v>
      </c>
      <c r="H244" s="38">
        <v>9900307</v>
      </c>
      <c r="I244" s="19" t="str">
        <f>IF(OR(COUNTIF(Monitoring!C:C, F244) &gt; 0, COUNTIF(Monitoring!D:D, F244) &gt; 0), "yes", "no")</f>
        <v>yes</v>
      </c>
      <c r="J244" s="70" t="str">
        <f t="shared" si="20"/>
        <v>Z:\FAIR_Device_data\Experiment_JulAug_2021\Video_captures\2021-07-24\2021-07-24_13-55-40.mp4</v>
      </c>
    </row>
    <row r="245" spans="1:10" x14ac:dyDescent="0.3">
      <c r="A245" s="1">
        <f t="shared" si="21"/>
        <v>44401</v>
      </c>
      <c r="B245" s="34">
        <f t="shared" si="22"/>
        <v>0.61398148148148146</v>
      </c>
      <c r="C245" s="34">
        <f t="shared" si="23"/>
        <v>44401.613981481481</v>
      </c>
      <c r="D245" s="69" t="str">
        <f t="shared" si="24"/>
        <v>2021-07-24</v>
      </c>
      <c r="E245" s="36" t="s">
        <v>1165</v>
      </c>
      <c r="F245" s="35" t="str">
        <f t="shared" si="19"/>
        <v>2021-07-24_14-44-08</v>
      </c>
      <c r="G245" s="37">
        <v>12575391</v>
      </c>
      <c r="H245" s="38">
        <v>14180823</v>
      </c>
      <c r="I245" s="19" t="str">
        <f>IF(OR(COUNTIF(Monitoring!C:C, F245) &gt; 0, COUNTIF(Monitoring!D:D, F245) &gt; 0), "yes", "no")</f>
        <v>yes</v>
      </c>
      <c r="J245" s="70" t="str">
        <f t="shared" si="20"/>
        <v>Z:\FAIR_Device_data\Experiment_JulAug_2021\Video_captures\2021-07-24\2021-07-24_14-44-08.mp4</v>
      </c>
    </row>
    <row r="246" spans="1:10" x14ac:dyDescent="0.3">
      <c r="A246" s="1">
        <f t="shared" si="21"/>
        <v>44401</v>
      </c>
      <c r="B246" s="34">
        <f t="shared" si="22"/>
        <v>0.64878472222222228</v>
      </c>
      <c r="C246" s="34">
        <f t="shared" si="23"/>
        <v>44401.648784722223</v>
      </c>
      <c r="D246" s="69" t="str">
        <f t="shared" si="24"/>
        <v>2021-07-24</v>
      </c>
      <c r="E246" s="36" t="s">
        <v>1166</v>
      </c>
      <c r="F246" s="35" t="str">
        <f t="shared" si="19"/>
        <v>2021-07-24_15-34-15</v>
      </c>
      <c r="G246" s="37">
        <v>57859577</v>
      </c>
      <c r="H246" s="38">
        <v>75153326</v>
      </c>
      <c r="I246" s="19" t="str">
        <f>IF(OR(COUNTIF(Monitoring!C:C, F246) &gt; 0, COUNTIF(Monitoring!D:D, F246) &gt; 0), "yes", "no")</f>
        <v>yes</v>
      </c>
      <c r="J246" s="70" t="str">
        <f t="shared" si="20"/>
        <v>Z:\FAIR_Device_data\Experiment_JulAug_2021\Video_captures\2021-07-24\2021-07-24_15-34-15.mp4</v>
      </c>
    </row>
    <row r="247" spans="1:10" x14ac:dyDescent="0.3">
      <c r="A247" s="1">
        <f t="shared" si="21"/>
        <v>44401</v>
      </c>
      <c r="B247" s="34">
        <f t="shared" si="22"/>
        <v>0.66400462962962958</v>
      </c>
      <c r="C247" s="34">
        <f t="shared" si="23"/>
        <v>44401.664004629631</v>
      </c>
      <c r="D247" s="69" t="str">
        <f t="shared" si="24"/>
        <v>2021-07-24</v>
      </c>
      <c r="E247" s="36" t="s">
        <v>1167</v>
      </c>
      <c r="F247" s="35" t="str">
        <f t="shared" si="19"/>
        <v>2021-07-24_15-56-10</v>
      </c>
      <c r="G247" s="37">
        <v>17049674</v>
      </c>
      <c r="H247" s="38">
        <v>20502237</v>
      </c>
      <c r="I247" s="19" t="str">
        <f>IF(OR(COUNTIF(Monitoring!C:C, F247) &gt; 0, COUNTIF(Monitoring!D:D, F247) &gt; 0), "yes", "no")</f>
        <v>yes</v>
      </c>
      <c r="J247" s="70" t="str">
        <f t="shared" si="20"/>
        <v>Z:\FAIR_Device_data\Experiment_JulAug_2021\Video_captures\2021-07-24\2021-07-24_15-56-10.mp4</v>
      </c>
    </row>
    <row r="248" spans="1:10" x14ac:dyDescent="0.3">
      <c r="A248" s="1">
        <f t="shared" si="21"/>
        <v>44401</v>
      </c>
      <c r="B248" s="34">
        <f t="shared" si="22"/>
        <v>0.75383101851851853</v>
      </c>
      <c r="C248" s="34">
        <f t="shared" si="23"/>
        <v>44401.753831018519</v>
      </c>
      <c r="D248" s="69" t="str">
        <f t="shared" si="24"/>
        <v>2021-07-24</v>
      </c>
      <c r="E248" s="36" t="s">
        <v>1168</v>
      </c>
      <c r="F248" s="35" t="str">
        <f t="shared" si="19"/>
        <v>2021-07-24_18-05-31</v>
      </c>
      <c r="G248" s="37">
        <v>16765560</v>
      </c>
      <c r="H248" s="38">
        <v>21608172</v>
      </c>
      <c r="I248" s="19" t="str">
        <f>IF(OR(COUNTIF(Monitoring!C:C, F248) &gt; 0, COUNTIF(Monitoring!D:D, F248) &gt; 0), "yes", "no")</f>
        <v>yes</v>
      </c>
      <c r="J248" s="70" t="str">
        <f t="shared" si="20"/>
        <v>Z:\FAIR_Device_data\Experiment_JulAug_2021\Video_captures\2021-07-24\2021-07-24_18-05-31.mp4</v>
      </c>
    </row>
    <row r="249" spans="1:10" x14ac:dyDescent="0.3">
      <c r="A249" s="1">
        <f t="shared" si="21"/>
        <v>44401</v>
      </c>
      <c r="B249" s="34">
        <f t="shared" si="22"/>
        <v>0.75511574074074073</v>
      </c>
      <c r="C249" s="34">
        <f t="shared" si="23"/>
        <v>44401.755115740743</v>
      </c>
      <c r="D249" s="69" t="str">
        <f t="shared" si="24"/>
        <v>2021-07-24</v>
      </c>
      <c r="E249" s="36" t="s">
        <v>1169</v>
      </c>
      <c r="F249" s="35" t="str">
        <f t="shared" si="19"/>
        <v>2021-07-24_18-07-22</v>
      </c>
      <c r="G249" s="37">
        <v>16665365</v>
      </c>
      <c r="H249" s="38">
        <v>20979126</v>
      </c>
      <c r="I249" s="19" t="str">
        <f>IF(OR(COUNTIF(Monitoring!C:C, F249) &gt; 0, COUNTIF(Monitoring!D:D, F249) &gt; 0), "yes", "no")</f>
        <v>yes</v>
      </c>
      <c r="J249" s="70" t="str">
        <f t="shared" si="20"/>
        <v>Z:\FAIR_Device_data\Experiment_JulAug_2021\Video_captures\2021-07-24\2021-07-24_18-07-22.mp4</v>
      </c>
    </row>
    <row r="250" spans="1:10" x14ac:dyDescent="0.3">
      <c r="A250" s="1">
        <f t="shared" si="21"/>
        <v>44402</v>
      </c>
      <c r="B250" s="34">
        <f t="shared" si="22"/>
        <v>0.31504629629629627</v>
      </c>
      <c r="C250" s="34">
        <f t="shared" si="23"/>
        <v>44402.315046296295</v>
      </c>
      <c r="D250" s="69" t="str">
        <f t="shared" si="24"/>
        <v>2021-07-25</v>
      </c>
      <c r="E250" s="36" t="s">
        <v>1170</v>
      </c>
      <c r="F250" s="35" t="str">
        <f t="shared" si="19"/>
        <v>2021-07-25_07-33-40</v>
      </c>
      <c r="G250" s="37">
        <v>24654688</v>
      </c>
      <c r="H250" s="38">
        <v>28359769</v>
      </c>
      <c r="I250" s="19" t="str">
        <f>IF(OR(COUNTIF(Monitoring!C:C, F250) &gt; 0, COUNTIF(Monitoring!D:D, F250) &gt; 0), "yes", "no")</f>
        <v>yes</v>
      </c>
      <c r="J250" s="70" t="str">
        <f t="shared" si="20"/>
        <v>Z:\FAIR_Device_data\Experiment_JulAug_2021\Video_captures\2021-07-25\2021-07-25_07-33-40.mp4</v>
      </c>
    </row>
    <row r="251" spans="1:10" x14ac:dyDescent="0.3">
      <c r="A251" s="1">
        <f t="shared" si="21"/>
        <v>44402</v>
      </c>
      <c r="B251" s="34">
        <f t="shared" si="22"/>
        <v>0.34261574074074075</v>
      </c>
      <c r="C251" s="34">
        <f t="shared" si="23"/>
        <v>44402.342615740738</v>
      </c>
      <c r="D251" s="69" t="str">
        <f t="shared" si="24"/>
        <v>2021-07-25</v>
      </c>
      <c r="E251" s="36" t="s">
        <v>1171</v>
      </c>
      <c r="F251" s="35" t="str">
        <f t="shared" si="19"/>
        <v>2021-07-25_08-13-22</v>
      </c>
      <c r="G251" s="37">
        <v>48142708</v>
      </c>
      <c r="H251" s="38">
        <v>64871696</v>
      </c>
      <c r="I251" s="19" t="str">
        <f>IF(OR(COUNTIF(Monitoring!C:C, F251) &gt; 0, COUNTIF(Monitoring!D:D, F251) &gt; 0), "yes", "no")</f>
        <v>yes</v>
      </c>
      <c r="J251" s="70" t="str">
        <f t="shared" si="20"/>
        <v>Z:\FAIR_Device_data\Experiment_JulAug_2021\Video_captures\2021-07-25\2021-07-25_08-13-22.mp4</v>
      </c>
    </row>
    <row r="252" spans="1:10" x14ac:dyDescent="0.3">
      <c r="A252" s="1">
        <f t="shared" si="21"/>
        <v>44402</v>
      </c>
      <c r="B252" s="34">
        <f t="shared" si="22"/>
        <v>0.35050925925925924</v>
      </c>
      <c r="C252" s="34">
        <f t="shared" si="23"/>
        <v>44402.35050925926</v>
      </c>
      <c r="D252" s="69" t="str">
        <f t="shared" si="24"/>
        <v>2021-07-25</v>
      </c>
      <c r="E252" s="36" t="s">
        <v>1172</v>
      </c>
      <c r="F252" s="35" t="str">
        <f t="shared" si="19"/>
        <v>2021-07-25_08-24-44</v>
      </c>
      <c r="G252" s="37">
        <v>15552734</v>
      </c>
      <c r="H252" s="38">
        <v>18556882</v>
      </c>
      <c r="I252" s="19" t="str">
        <f>IF(OR(COUNTIF(Monitoring!C:C, F252) &gt; 0, COUNTIF(Monitoring!D:D, F252) &gt; 0), "yes", "no")</f>
        <v>yes</v>
      </c>
      <c r="J252" s="70" t="str">
        <f t="shared" si="20"/>
        <v>Z:\FAIR_Device_data\Experiment_JulAug_2021\Video_captures\2021-07-25\2021-07-25_08-24-44.mp4</v>
      </c>
    </row>
    <row r="253" spans="1:10" x14ac:dyDescent="0.3">
      <c r="A253" s="1">
        <f t="shared" si="21"/>
        <v>44402</v>
      </c>
      <c r="B253" s="34">
        <f t="shared" si="22"/>
        <v>0.47443287037037035</v>
      </c>
      <c r="C253" s="34">
        <f t="shared" si="23"/>
        <v>44402.474432870367</v>
      </c>
      <c r="D253" s="69" t="str">
        <f t="shared" si="24"/>
        <v>2021-07-25</v>
      </c>
      <c r="E253" s="36" t="s">
        <v>1173</v>
      </c>
      <c r="F253" s="35" t="str">
        <f t="shared" si="19"/>
        <v>2021-07-25_11-23-11</v>
      </c>
      <c r="G253" s="37">
        <v>21394531</v>
      </c>
      <c r="H253" s="38">
        <v>23730061</v>
      </c>
      <c r="I253" s="19" t="str">
        <f>IF(OR(COUNTIF(Monitoring!C:C, F253) &gt; 0, COUNTIF(Monitoring!D:D, F253) &gt; 0), "yes", "no")</f>
        <v>yes</v>
      </c>
      <c r="J253" s="70" t="str">
        <f t="shared" si="20"/>
        <v>Z:\FAIR_Device_data\Experiment_JulAug_2021\Video_captures\2021-07-25\2021-07-25_11-23-11.mp4</v>
      </c>
    </row>
    <row r="254" spans="1:10" x14ac:dyDescent="0.3">
      <c r="A254" s="1">
        <f t="shared" si="21"/>
        <v>44402</v>
      </c>
      <c r="B254" s="34">
        <f t="shared" si="22"/>
        <v>0.47586805555555556</v>
      </c>
      <c r="C254" s="34">
        <f t="shared" si="23"/>
        <v>44402.475868055553</v>
      </c>
      <c r="D254" s="69" t="str">
        <f t="shared" si="24"/>
        <v>2021-07-25</v>
      </c>
      <c r="E254" s="36" t="s">
        <v>1174</v>
      </c>
      <c r="F254" s="35" t="str">
        <f t="shared" si="19"/>
        <v>2021-07-25_11-25-15</v>
      </c>
      <c r="G254" s="37">
        <v>31315039</v>
      </c>
      <c r="H254" s="38">
        <v>39052081</v>
      </c>
      <c r="I254" s="19" t="str">
        <f>IF(OR(COUNTIF(Monitoring!C:C, F254) &gt; 0, COUNTIF(Monitoring!D:D, F254) &gt; 0), "yes", "no")</f>
        <v>yes</v>
      </c>
      <c r="J254" s="70" t="str">
        <f t="shared" si="20"/>
        <v>Z:\FAIR_Device_data\Experiment_JulAug_2021\Video_captures\2021-07-25\2021-07-25_11-25-15.mp4</v>
      </c>
    </row>
    <row r="255" spans="1:10" x14ac:dyDescent="0.3">
      <c r="A255" s="1">
        <f t="shared" si="21"/>
        <v>44402</v>
      </c>
      <c r="B255" s="34">
        <f t="shared" si="22"/>
        <v>0.54215277777777782</v>
      </c>
      <c r="C255" s="34">
        <f t="shared" si="23"/>
        <v>44402.54215277778</v>
      </c>
      <c r="D255" s="69" t="str">
        <f t="shared" si="24"/>
        <v>2021-07-25</v>
      </c>
      <c r="E255" s="36" t="s">
        <v>1175</v>
      </c>
      <c r="F255" s="35" t="str">
        <f t="shared" si="19"/>
        <v>2021-07-25_13-00-42</v>
      </c>
      <c r="G255" s="37">
        <v>31686328</v>
      </c>
      <c r="H255" s="38">
        <v>32095170</v>
      </c>
      <c r="I255" s="19" t="str">
        <f>IF(OR(COUNTIF(Monitoring!C:C, F255) &gt; 0, COUNTIF(Monitoring!D:D, F255) &gt; 0), "yes", "no")</f>
        <v>yes</v>
      </c>
      <c r="J255" s="70" t="str">
        <f t="shared" si="20"/>
        <v>Z:\FAIR_Device_data\Experiment_JulAug_2021\Video_captures\2021-07-25\2021-07-25_13-00-42.mp4</v>
      </c>
    </row>
    <row r="256" spans="1:10" x14ac:dyDescent="0.3">
      <c r="A256" s="1">
        <f t="shared" si="21"/>
        <v>44402</v>
      </c>
      <c r="B256" s="34">
        <f t="shared" si="22"/>
        <v>0.59685185185185186</v>
      </c>
      <c r="C256" s="34">
        <f t="shared" si="23"/>
        <v>44402.596851851849</v>
      </c>
      <c r="D256" s="69" t="str">
        <f t="shared" si="24"/>
        <v>2021-07-25</v>
      </c>
      <c r="E256" s="36" t="s">
        <v>1176</v>
      </c>
      <c r="F256" s="35" t="str">
        <f t="shared" si="19"/>
        <v>2021-07-25_14-19-28</v>
      </c>
      <c r="G256" s="37">
        <v>363848177</v>
      </c>
      <c r="H256" s="38">
        <v>508843911</v>
      </c>
      <c r="I256" s="19" t="str">
        <f>IF(OR(COUNTIF(Monitoring!C:C, F256) &gt; 0, COUNTIF(Monitoring!D:D, F256) &gt; 0), "yes", "no")</f>
        <v>yes</v>
      </c>
      <c r="J256" s="70" t="str">
        <f t="shared" si="20"/>
        <v>Z:\FAIR_Device_data\Experiment_JulAug_2021\Video_captures\2021-07-25\2021-07-25_14-19-28.mp4</v>
      </c>
    </row>
    <row r="257" spans="1:10" x14ac:dyDescent="0.3">
      <c r="A257" s="1">
        <f t="shared" si="21"/>
        <v>44402</v>
      </c>
      <c r="B257" s="34">
        <f t="shared" si="22"/>
        <v>0.61407407407407411</v>
      </c>
      <c r="C257" s="34">
        <f t="shared" si="23"/>
        <v>44402.614074074074</v>
      </c>
      <c r="D257" s="69" t="str">
        <f t="shared" si="24"/>
        <v>2021-07-25</v>
      </c>
      <c r="E257" s="36" t="s">
        <v>1177</v>
      </c>
      <c r="F257" s="35" t="str">
        <f t="shared" si="19"/>
        <v>2021-07-25_14-44-16</v>
      </c>
      <c r="G257" s="37">
        <v>9595964</v>
      </c>
      <c r="H257" s="38">
        <v>9910714</v>
      </c>
      <c r="I257" s="19" t="str">
        <f>IF(OR(COUNTIF(Monitoring!C:C, F257) &gt; 0, COUNTIF(Monitoring!D:D, F257) &gt; 0), "yes", "no")</f>
        <v>yes</v>
      </c>
      <c r="J257" s="70" t="str">
        <f t="shared" si="20"/>
        <v>Z:\FAIR_Device_data\Experiment_JulAug_2021\Video_captures\2021-07-25\2021-07-25_14-44-16.mp4</v>
      </c>
    </row>
    <row r="258" spans="1:10" x14ac:dyDescent="0.3">
      <c r="A258" s="1">
        <f t="shared" si="21"/>
        <v>44402</v>
      </c>
      <c r="B258" s="34">
        <f t="shared" si="22"/>
        <v>0.63918981481481485</v>
      </c>
      <c r="C258" s="34">
        <f t="shared" si="23"/>
        <v>44402.639189814814</v>
      </c>
      <c r="D258" s="69" t="str">
        <f t="shared" si="24"/>
        <v>2021-07-25</v>
      </c>
      <c r="E258" s="36" t="s">
        <v>1178</v>
      </c>
      <c r="F258" s="35" t="str">
        <f t="shared" ref="F258:F321" si="25">+LEFT(E258,19)</f>
        <v>2021-07-25_15-20-26</v>
      </c>
      <c r="G258" s="37">
        <v>9545247</v>
      </c>
      <c r="H258" s="38">
        <v>9708625</v>
      </c>
      <c r="I258" s="19" t="str">
        <f>IF(OR(COUNTIF(Monitoring!C:C, F258) &gt; 0, COUNTIF(Monitoring!D:D, F258) &gt; 0), "yes", "no")</f>
        <v>yes</v>
      </c>
      <c r="J258" s="70" t="str">
        <f t="shared" ref="J258:J321" si="26">HYPERLINK(_xlfn.CONCAT("Z:\FAIR_Device_data\Experiment_JulAug_2021","\","Video_captures","\",D258,"\",E258))</f>
        <v>Z:\FAIR_Device_data\Experiment_JulAug_2021\Video_captures\2021-07-25\2021-07-25_15-20-26.mp4</v>
      </c>
    </row>
    <row r="259" spans="1:10" x14ac:dyDescent="0.3">
      <c r="A259" s="1">
        <f t="shared" ref="A259:A322" si="27">VALUE(MID(F259,1,10))</f>
        <v>44402</v>
      </c>
      <c r="B259" s="34">
        <f t="shared" ref="B259:B322" si="28">IF(ISBLANK(F259),"",TIME(LEFT(RIGHT(F259,8),2),LEFT(RIGHT(F259,5),2),RIGHT(F259,2)))</f>
        <v>0.64660879629629631</v>
      </c>
      <c r="C259" s="34">
        <f t="shared" ref="C259:C322" si="29">+A259+B259</f>
        <v>44402.646608796298</v>
      </c>
      <c r="D259" s="69" t="str">
        <f t="shared" ref="D259:D322" si="30">+_xlfn.CONCAT(YEAR(A259),"-",TEXT(MONTH(A259),"00"),"-",TEXT(DAY(A259),"00"))</f>
        <v>2021-07-25</v>
      </c>
      <c r="E259" s="36" t="s">
        <v>1179</v>
      </c>
      <c r="F259" s="35" t="str">
        <f t="shared" si="25"/>
        <v>2021-07-25_15-31-07</v>
      </c>
      <c r="G259" s="37">
        <v>9297656</v>
      </c>
      <c r="H259" s="38">
        <v>9387603</v>
      </c>
      <c r="I259" s="19" t="str">
        <f>IF(OR(COUNTIF(Monitoring!C:C, F259) &gt; 0, COUNTIF(Monitoring!D:D, F259) &gt; 0), "yes", "no")</f>
        <v>yes</v>
      </c>
      <c r="J259" s="70" t="str">
        <f t="shared" si="26"/>
        <v>Z:\FAIR_Device_data\Experiment_JulAug_2021\Video_captures\2021-07-25\2021-07-25_15-31-07.mp4</v>
      </c>
    </row>
    <row r="260" spans="1:10" x14ac:dyDescent="0.3">
      <c r="A260" s="1">
        <f t="shared" si="27"/>
        <v>44402</v>
      </c>
      <c r="B260" s="34">
        <f t="shared" si="28"/>
        <v>0.64834490740740736</v>
      </c>
      <c r="C260" s="34">
        <f t="shared" si="29"/>
        <v>44402.648344907408</v>
      </c>
      <c r="D260" s="69" t="str">
        <f t="shared" si="30"/>
        <v>2021-07-25</v>
      </c>
      <c r="E260" s="36" t="s">
        <v>1180</v>
      </c>
      <c r="F260" s="35" t="str">
        <f t="shared" si="25"/>
        <v>2021-07-25_15-33-37</v>
      </c>
      <c r="G260" s="37">
        <v>9649935</v>
      </c>
      <c r="H260" s="38">
        <v>9508500</v>
      </c>
      <c r="I260" s="19" t="str">
        <f>IF(OR(COUNTIF(Monitoring!C:C, F260) &gt; 0, COUNTIF(Monitoring!D:D, F260) &gt; 0), "yes", "no")</f>
        <v>no</v>
      </c>
      <c r="J260" s="70" t="str">
        <f t="shared" si="26"/>
        <v>Z:\FAIR_Device_data\Experiment_JulAug_2021\Video_captures\2021-07-25\2021-07-25_15-33-37.mp4</v>
      </c>
    </row>
    <row r="261" spans="1:10" x14ac:dyDescent="0.3">
      <c r="A261" s="1">
        <f t="shared" si="27"/>
        <v>44402</v>
      </c>
      <c r="B261" s="34">
        <f t="shared" si="28"/>
        <v>0.65224537037037034</v>
      </c>
      <c r="C261" s="34">
        <f t="shared" si="29"/>
        <v>44402.652245370373</v>
      </c>
      <c r="D261" s="69" t="str">
        <f t="shared" si="30"/>
        <v>2021-07-25</v>
      </c>
      <c r="E261" s="36" t="s">
        <v>1181</v>
      </c>
      <c r="F261" s="35" t="str">
        <f t="shared" si="25"/>
        <v>2021-07-25_15-39-14</v>
      </c>
      <c r="G261" s="37">
        <v>13419857</v>
      </c>
      <c r="H261" s="38">
        <v>15300930</v>
      </c>
      <c r="I261" s="19" t="str">
        <f>IF(OR(COUNTIF(Monitoring!C:C, F261) &gt; 0, COUNTIF(Monitoring!D:D, F261) &gt; 0), "yes", "no")</f>
        <v>yes</v>
      </c>
      <c r="J261" s="70" t="str">
        <f t="shared" si="26"/>
        <v>Z:\FAIR_Device_data\Experiment_JulAug_2021\Video_captures\2021-07-25\2021-07-25_15-39-14.mp4</v>
      </c>
    </row>
    <row r="262" spans="1:10" x14ac:dyDescent="0.3">
      <c r="A262" s="1">
        <f t="shared" si="27"/>
        <v>44402</v>
      </c>
      <c r="B262" s="34">
        <f t="shared" si="28"/>
        <v>0.6567708333333333</v>
      </c>
      <c r="C262" s="34">
        <f t="shared" si="29"/>
        <v>44402.656770833331</v>
      </c>
      <c r="D262" s="69" t="str">
        <f t="shared" si="30"/>
        <v>2021-07-25</v>
      </c>
      <c r="E262" s="36" t="s">
        <v>1182</v>
      </c>
      <c r="F262" s="35" t="str">
        <f t="shared" si="25"/>
        <v>2021-07-25_15-45-45</v>
      </c>
      <c r="G262" s="37">
        <v>9500846</v>
      </c>
      <c r="H262" s="38">
        <v>9825954</v>
      </c>
      <c r="I262" s="19" t="str">
        <f>IF(OR(COUNTIF(Monitoring!C:C, F262) &gt; 0, COUNTIF(Monitoring!D:D, F262) &gt; 0), "yes", "no")</f>
        <v>yes</v>
      </c>
      <c r="J262" s="70" t="str">
        <f t="shared" si="26"/>
        <v>Z:\FAIR_Device_data\Experiment_JulAug_2021\Video_captures\2021-07-25\2021-07-25_15-45-45.mp4</v>
      </c>
    </row>
    <row r="263" spans="1:10" x14ac:dyDescent="0.3">
      <c r="A263" s="1">
        <f t="shared" si="27"/>
        <v>44402</v>
      </c>
      <c r="B263" s="34">
        <f t="shared" si="28"/>
        <v>0.71187500000000004</v>
      </c>
      <c r="C263" s="34">
        <f t="shared" si="29"/>
        <v>44402.711875000001</v>
      </c>
      <c r="D263" s="69" t="str">
        <f t="shared" si="30"/>
        <v>2021-07-25</v>
      </c>
      <c r="E263" s="36" t="s">
        <v>1183</v>
      </c>
      <c r="F263" s="35" t="str">
        <f t="shared" si="25"/>
        <v>2021-07-25_17-05-06</v>
      </c>
      <c r="G263" s="37">
        <v>16948633</v>
      </c>
      <c r="H263" s="38">
        <v>20473433</v>
      </c>
      <c r="I263" s="19" t="str">
        <f>IF(OR(COUNTIF(Monitoring!C:C, F263) &gt; 0, COUNTIF(Monitoring!D:D, F263) &gt; 0), "yes", "no")</f>
        <v>yes</v>
      </c>
      <c r="J263" s="70" t="str">
        <f t="shared" si="26"/>
        <v>Z:\FAIR_Device_data\Experiment_JulAug_2021\Video_captures\2021-07-25\2021-07-25_17-05-06.mp4</v>
      </c>
    </row>
    <row r="264" spans="1:10" x14ac:dyDescent="0.3">
      <c r="A264" s="1">
        <f t="shared" si="27"/>
        <v>44402</v>
      </c>
      <c r="B264" s="34">
        <f t="shared" si="28"/>
        <v>0.73288194444444443</v>
      </c>
      <c r="C264" s="34">
        <f t="shared" si="29"/>
        <v>44402.732881944445</v>
      </c>
      <c r="D264" s="69" t="str">
        <f t="shared" si="30"/>
        <v>2021-07-25</v>
      </c>
      <c r="E264" s="36" t="s">
        <v>1184</v>
      </c>
      <c r="F264" s="35" t="str">
        <f t="shared" si="25"/>
        <v>2021-07-25_17-35-21</v>
      </c>
      <c r="G264" s="37">
        <v>40067773</v>
      </c>
      <c r="H264" s="38">
        <v>50877979</v>
      </c>
      <c r="I264" s="19" t="str">
        <f>IF(OR(COUNTIF(Monitoring!C:C, F264) &gt; 0, COUNTIF(Monitoring!D:D, F264) &gt; 0), "yes", "no")</f>
        <v>yes</v>
      </c>
      <c r="J264" s="70" t="str">
        <f t="shared" si="26"/>
        <v>Z:\FAIR_Device_data\Experiment_JulAug_2021\Video_captures\2021-07-25\2021-07-25_17-35-21.mp4</v>
      </c>
    </row>
    <row r="265" spans="1:10" x14ac:dyDescent="0.3">
      <c r="A265" s="1">
        <f t="shared" si="27"/>
        <v>44402</v>
      </c>
      <c r="B265" s="34">
        <f t="shared" si="28"/>
        <v>0.73547453703703702</v>
      </c>
      <c r="C265" s="34">
        <f t="shared" si="29"/>
        <v>44402.735474537039</v>
      </c>
      <c r="D265" s="69" t="str">
        <f t="shared" si="30"/>
        <v>2021-07-25</v>
      </c>
      <c r="E265" s="36" t="s">
        <v>1185</v>
      </c>
      <c r="F265" s="35" t="str">
        <f t="shared" si="25"/>
        <v>2021-07-25_17-39-05</v>
      </c>
      <c r="G265" s="37">
        <v>19603125</v>
      </c>
      <c r="H265" s="38">
        <v>24234160</v>
      </c>
      <c r="I265" s="19" t="str">
        <f>IF(OR(COUNTIF(Monitoring!C:C, F265) &gt; 0, COUNTIF(Monitoring!D:D, F265) &gt; 0), "yes", "no")</f>
        <v>yes</v>
      </c>
      <c r="J265" s="70" t="str">
        <f t="shared" si="26"/>
        <v>Z:\FAIR_Device_data\Experiment_JulAug_2021\Video_captures\2021-07-25\2021-07-25_17-39-05.mp4</v>
      </c>
    </row>
    <row r="266" spans="1:10" x14ac:dyDescent="0.3">
      <c r="A266" s="1">
        <f t="shared" si="27"/>
        <v>44402</v>
      </c>
      <c r="B266" s="34">
        <f t="shared" si="28"/>
        <v>0.76052083333333331</v>
      </c>
      <c r="C266" s="34">
        <f t="shared" si="29"/>
        <v>44402.760520833333</v>
      </c>
      <c r="D266" s="69" t="str">
        <f t="shared" si="30"/>
        <v>2021-07-25</v>
      </c>
      <c r="E266" s="36" t="s">
        <v>1186</v>
      </c>
      <c r="F266" s="35" t="str">
        <f t="shared" si="25"/>
        <v>2021-07-25_18-15-09</v>
      </c>
      <c r="G266" s="37">
        <v>246077799</v>
      </c>
      <c r="H266" s="38">
        <v>314093480</v>
      </c>
      <c r="I266" s="19" t="str">
        <f>IF(OR(COUNTIF(Monitoring!C:C, F266) &gt; 0, COUNTIF(Monitoring!D:D, F266) &gt; 0), "yes", "no")</f>
        <v>yes</v>
      </c>
      <c r="J266" s="70" t="str">
        <f t="shared" si="26"/>
        <v>Z:\FAIR_Device_data\Experiment_JulAug_2021\Video_captures\2021-07-25\2021-07-25_18-15-09.mp4</v>
      </c>
    </row>
    <row r="267" spans="1:10" x14ac:dyDescent="0.3">
      <c r="A267" s="1">
        <f t="shared" si="27"/>
        <v>44402</v>
      </c>
      <c r="B267" s="34">
        <f t="shared" si="28"/>
        <v>0.76744212962962965</v>
      </c>
      <c r="C267" s="34">
        <f t="shared" si="29"/>
        <v>44402.767442129632</v>
      </c>
      <c r="D267" s="69" t="str">
        <f t="shared" si="30"/>
        <v>2021-07-25</v>
      </c>
      <c r="E267" s="36" t="s">
        <v>1187</v>
      </c>
      <c r="F267" s="35" t="str">
        <f t="shared" si="25"/>
        <v>2021-07-25_18-25-07</v>
      </c>
      <c r="G267" s="37">
        <v>9378451</v>
      </c>
      <c r="H267" s="38">
        <v>9585106</v>
      </c>
      <c r="I267" s="19" t="str">
        <f>IF(OR(COUNTIF(Monitoring!C:C, F267) &gt; 0, COUNTIF(Monitoring!D:D, F267) &gt; 0), "yes", "no")</f>
        <v>yes</v>
      </c>
      <c r="J267" s="70" t="str">
        <f t="shared" si="26"/>
        <v>Z:\FAIR_Device_data\Experiment_JulAug_2021\Video_captures\2021-07-25\2021-07-25_18-25-07.mp4</v>
      </c>
    </row>
    <row r="268" spans="1:10" x14ac:dyDescent="0.3">
      <c r="A268" s="1">
        <f t="shared" si="27"/>
        <v>44402</v>
      </c>
      <c r="B268" s="34">
        <f t="shared" si="28"/>
        <v>0.76971064814814816</v>
      </c>
      <c r="C268" s="34">
        <f t="shared" si="29"/>
        <v>44402.76971064815</v>
      </c>
      <c r="D268" s="69" t="str">
        <f t="shared" si="30"/>
        <v>2021-07-25</v>
      </c>
      <c r="E268" s="36" t="s">
        <v>1188</v>
      </c>
      <c r="F268" s="35" t="str">
        <f t="shared" si="25"/>
        <v>2021-07-25_18-28-23</v>
      </c>
      <c r="G268" s="37">
        <v>62150391</v>
      </c>
      <c r="H268" s="38">
        <v>72512835</v>
      </c>
      <c r="I268" s="19" t="str">
        <f>IF(OR(COUNTIF(Monitoring!C:C, F268) &gt; 0, COUNTIF(Monitoring!D:D, F268) &gt; 0), "yes", "no")</f>
        <v>yes</v>
      </c>
      <c r="J268" s="70" t="str">
        <f t="shared" si="26"/>
        <v>Z:\FAIR_Device_data\Experiment_JulAug_2021\Video_captures\2021-07-25\2021-07-25_18-28-23.mp4</v>
      </c>
    </row>
    <row r="269" spans="1:10" x14ac:dyDescent="0.3">
      <c r="A269" s="1">
        <f t="shared" si="27"/>
        <v>44403</v>
      </c>
      <c r="B269" s="34">
        <f t="shared" si="28"/>
        <v>0.25434027777777779</v>
      </c>
      <c r="C269" s="34">
        <f t="shared" si="29"/>
        <v>44403.254340277781</v>
      </c>
      <c r="D269" s="69" t="str">
        <f t="shared" si="30"/>
        <v>2021-07-26</v>
      </c>
      <c r="E269" s="36" t="s">
        <v>1189</v>
      </c>
      <c r="F269" s="35" t="str">
        <f t="shared" si="25"/>
        <v>2021-07-26_06-06-15</v>
      </c>
      <c r="G269" s="37">
        <v>10146289</v>
      </c>
      <c r="H269" s="38">
        <v>11055057</v>
      </c>
      <c r="I269" s="19" t="str">
        <f>IF(OR(COUNTIF(Monitoring!C:C, F269) &gt; 0, COUNTIF(Monitoring!D:D, F269) &gt; 0), "yes", "no")</f>
        <v>yes</v>
      </c>
      <c r="J269" s="70" t="str">
        <f t="shared" si="26"/>
        <v>Z:\FAIR_Device_data\Experiment_JulAug_2021\Video_captures\2021-07-26\2021-07-26_06-06-15.mp4</v>
      </c>
    </row>
    <row r="270" spans="1:10" x14ac:dyDescent="0.3">
      <c r="A270" s="1">
        <f t="shared" si="27"/>
        <v>44403</v>
      </c>
      <c r="B270" s="34">
        <f t="shared" si="28"/>
        <v>0.26293981481481482</v>
      </c>
      <c r="C270" s="34">
        <f t="shared" si="29"/>
        <v>44403.262939814813</v>
      </c>
      <c r="D270" s="69" t="str">
        <f t="shared" si="30"/>
        <v>2021-07-26</v>
      </c>
      <c r="E270" s="36" t="s">
        <v>1190</v>
      </c>
      <c r="F270" s="35" t="str">
        <f t="shared" si="25"/>
        <v>2021-07-26_06-18-38</v>
      </c>
      <c r="G270" s="37">
        <v>33778776</v>
      </c>
      <c r="H270" s="38">
        <v>46139054</v>
      </c>
      <c r="I270" s="19" t="str">
        <f>IF(OR(COUNTIF(Monitoring!C:C, F270) &gt; 0, COUNTIF(Monitoring!D:D, F270) &gt; 0), "yes", "no")</f>
        <v>yes</v>
      </c>
      <c r="J270" s="70" t="str">
        <f t="shared" si="26"/>
        <v>Z:\FAIR_Device_data\Experiment_JulAug_2021\Video_captures\2021-07-26\2021-07-26_06-18-38.mp4</v>
      </c>
    </row>
    <row r="271" spans="1:10" x14ac:dyDescent="0.3">
      <c r="A271" s="1">
        <f t="shared" si="27"/>
        <v>44403</v>
      </c>
      <c r="B271" s="34">
        <f t="shared" si="28"/>
        <v>0.26420138888888889</v>
      </c>
      <c r="C271" s="34">
        <f t="shared" si="29"/>
        <v>44403.264201388891</v>
      </c>
      <c r="D271" s="69" t="str">
        <f t="shared" si="30"/>
        <v>2021-07-26</v>
      </c>
      <c r="E271" s="36" t="s">
        <v>1191</v>
      </c>
      <c r="F271" s="35" t="str">
        <f t="shared" si="25"/>
        <v>2021-07-26_06-20-27</v>
      </c>
      <c r="G271" s="37">
        <v>19660482</v>
      </c>
      <c r="H271" s="38">
        <v>25455211</v>
      </c>
      <c r="I271" s="19" t="str">
        <f>IF(OR(COUNTIF(Monitoring!C:C, F271) &gt; 0, COUNTIF(Monitoring!D:D, F271) &gt; 0), "yes", "no")</f>
        <v>yes</v>
      </c>
      <c r="J271" s="70" t="str">
        <f t="shared" si="26"/>
        <v>Z:\FAIR_Device_data\Experiment_JulAug_2021\Video_captures\2021-07-26\2021-07-26_06-20-27.mp4</v>
      </c>
    </row>
    <row r="272" spans="1:10" x14ac:dyDescent="0.3">
      <c r="A272" s="1">
        <f t="shared" si="27"/>
        <v>44403</v>
      </c>
      <c r="B272" s="34">
        <f t="shared" si="28"/>
        <v>0.32142361111111112</v>
      </c>
      <c r="C272" s="34">
        <f t="shared" si="29"/>
        <v>44403.321423611109</v>
      </c>
      <c r="D272" s="69" t="str">
        <f t="shared" si="30"/>
        <v>2021-07-26</v>
      </c>
      <c r="E272" s="36" t="s">
        <v>1192</v>
      </c>
      <c r="F272" s="35" t="str">
        <f t="shared" si="25"/>
        <v>2021-07-26_07-42-51</v>
      </c>
      <c r="G272" s="37">
        <v>9730013</v>
      </c>
      <c r="H272" s="38">
        <v>10597461</v>
      </c>
      <c r="I272" s="19" t="str">
        <f>IF(OR(COUNTIF(Monitoring!C:C, F272) &gt; 0, COUNTIF(Monitoring!D:D, F272) &gt; 0), "yes", "no")</f>
        <v>yes</v>
      </c>
      <c r="J272" s="70" t="str">
        <f t="shared" si="26"/>
        <v>Z:\FAIR_Device_data\Experiment_JulAug_2021\Video_captures\2021-07-26\2021-07-26_07-42-51.mp4</v>
      </c>
    </row>
    <row r="273" spans="1:10" x14ac:dyDescent="0.3">
      <c r="A273" s="1">
        <f t="shared" si="27"/>
        <v>44403</v>
      </c>
      <c r="B273" s="34">
        <f t="shared" si="28"/>
        <v>0.34144675925925927</v>
      </c>
      <c r="C273" s="34">
        <f t="shared" si="29"/>
        <v>44403.341446759259</v>
      </c>
      <c r="D273" s="69" t="str">
        <f t="shared" si="30"/>
        <v>2021-07-26</v>
      </c>
      <c r="E273" s="36" t="s">
        <v>1193</v>
      </c>
      <c r="F273" s="35" t="str">
        <f t="shared" si="25"/>
        <v>2021-07-26_08-11-41</v>
      </c>
      <c r="G273" s="37">
        <v>16908594</v>
      </c>
      <c r="H273" s="38">
        <v>21317258</v>
      </c>
      <c r="I273" s="19" t="str">
        <f>IF(OR(COUNTIF(Monitoring!C:C, F273) &gt; 0, COUNTIF(Monitoring!D:D, F273) &gt; 0), "yes", "no")</f>
        <v>yes</v>
      </c>
      <c r="J273" s="70" t="str">
        <f t="shared" si="26"/>
        <v>Z:\FAIR_Device_data\Experiment_JulAug_2021\Video_captures\2021-07-26\2021-07-26_08-11-41.mp4</v>
      </c>
    </row>
    <row r="274" spans="1:10" x14ac:dyDescent="0.3">
      <c r="A274" s="1">
        <f t="shared" si="27"/>
        <v>44403</v>
      </c>
      <c r="B274" s="34">
        <f t="shared" si="28"/>
        <v>0.39590277777777777</v>
      </c>
      <c r="C274" s="34">
        <f t="shared" si="29"/>
        <v>44403.395902777775</v>
      </c>
      <c r="D274" s="69" t="str">
        <f t="shared" si="30"/>
        <v>2021-07-26</v>
      </c>
      <c r="E274" s="36" t="s">
        <v>1194</v>
      </c>
      <c r="F274" s="35" t="str">
        <f t="shared" si="25"/>
        <v>2021-07-26_09-30-06</v>
      </c>
      <c r="G274" s="37">
        <v>12639997</v>
      </c>
      <c r="H274" s="38">
        <v>9694667</v>
      </c>
      <c r="I274" s="19" t="str">
        <f>IF(OR(COUNTIF(Monitoring!C:C, F274) &gt; 0, COUNTIF(Monitoring!D:D, F274) &gt; 0), "yes", "no")</f>
        <v>yes</v>
      </c>
      <c r="J274" s="70" t="str">
        <f t="shared" si="26"/>
        <v>Z:\FAIR_Device_data\Experiment_JulAug_2021\Video_captures\2021-07-26\2021-07-26_09-30-06.mp4</v>
      </c>
    </row>
    <row r="275" spans="1:10" x14ac:dyDescent="0.3">
      <c r="A275" s="1">
        <f t="shared" si="27"/>
        <v>44403</v>
      </c>
      <c r="B275" s="34">
        <f t="shared" si="28"/>
        <v>0.43535879629629631</v>
      </c>
      <c r="C275" s="34">
        <f t="shared" si="29"/>
        <v>44403.435358796298</v>
      </c>
      <c r="D275" s="69" t="str">
        <f t="shared" si="30"/>
        <v>2021-07-26</v>
      </c>
      <c r="E275" s="36" t="s">
        <v>1195</v>
      </c>
      <c r="F275" s="35" t="str">
        <f t="shared" si="25"/>
        <v>2021-07-26_10-26-55</v>
      </c>
      <c r="G275" s="37">
        <v>13876616</v>
      </c>
      <c r="H275" s="38">
        <v>9466559</v>
      </c>
      <c r="I275" s="19" t="str">
        <f>IF(OR(COUNTIF(Monitoring!C:C, F275) &gt; 0, COUNTIF(Monitoring!D:D, F275) &gt; 0), "yes", "no")</f>
        <v>yes</v>
      </c>
      <c r="J275" s="70" t="str">
        <f t="shared" si="26"/>
        <v>Z:\FAIR_Device_data\Experiment_JulAug_2021\Video_captures\2021-07-26\2021-07-26_10-26-55.mp4</v>
      </c>
    </row>
    <row r="276" spans="1:10" x14ac:dyDescent="0.3">
      <c r="A276" s="1">
        <f t="shared" si="27"/>
        <v>44403</v>
      </c>
      <c r="B276" s="34">
        <f t="shared" si="28"/>
        <v>0.45776620370370369</v>
      </c>
      <c r="C276" s="34">
        <f t="shared" si="29"/>
        <v>44403.457766203705</v>
      </c>
      <c r="D276" s="69" t="str">
        <f t="shared" si="30"/>
        <v>2021-07-26</v>
      </c>
      <c r="E276" s="36" t="s">
        <v>1196</v>
      </c>
      <c r="F276" s="35" t="str">
        <f t="shared" si="25"/>
        <v>2021-07-26_10-59-11</v>
      </c>
      <c r="G276" s="37">
        <v>9577865</v>
      </c>
      <c r="H276" s="38">
        <v>9613715</v>
      </c>
      <c r="I276" s="19" t="str">
        <f>IF(OR(COUNTIF(Monitoring!C:C, F276) &gt; 0, COUNTIF(Monitoring!D:D, F276) &gt; 0), "yes", "no")</f>
        <v>yes</v>
      </c>
      <c r="J276" s="70" t="str">
        <f t="shared" si="26"/>
        <v>Z:\FAIR_Device_data\Experiment_JulAug_2021\Video_captures\2021-07-26\2021-07-26_10-59-11.mp4</v>
      </c>
    </row>
    <row r="277" spans="1:10" x14ac:dyDescent="0.3">
      <c r="A277" s="1">
        <f t="shared" si="27"/>
        <v>44403</v>
      </c>
      <c r="B277" s="34">
        <f t="shared" si="28"/>
        <v>0.46243055555555557</v>
      </c>
      <c r="C277" s="34">
        <f t="shared" si="29"/>
        <v>44403.462430555555</v>
      </c>
      <c r="D277" s="69" t="str">
        <f t="shared" si="30"/>
        <v>2021-07-26</v>
      </c>
      <c r="E277" s="36" t="s">
        <v>1197</v>
      </c>
      <c r="F277" s="35" t="str">
        <f t="shared" si="25"/>
        <v>2021-07-26_11-05-54</v>
      </c>
      <c r="G277" s="37">
        <v>9733919</v>
      </c>
      <c r="H277" s="38">
        <v>9875274</v>
      </c>
      <c r="I277" s="19" t="str">
        <f>IF(OR(COUNTIF(Monitoring!C:C, F277) &gt; 0, COUNTIF(Monitoring!D:D, F277) &gt; 0), "yes", "no")</f>
        <v>yes</v>
      </c>
      <c r="J277" s="70" t="str">
        <f t="shared" si="26"/>
        <v>Z:\FAIR_Device_data\Experiment_JulAug_2021\Video_captures\2021-07-26\2021-07-26_11-05-54.mp4</v>
      </c>
    </row>
    <row r="278" spans="1:10" x14ac:dyDescent="0.3">
      <c r="A278" s="1">
        <f t="shared" si="27"/>
        <v>44403</v>
      </c>
      <c r="B278" s="34">
        <f t="shared" si="28"/>
        <v>0.46915509259259258</v>
      </c>
      <c r="C278" s="34">
        <f t="shared" si="29"/>
        <v>44403.469155092593</v>
      </c>
      <c r="D278" s="69" t="str">
        <f t="shared" si="30"/>
        <v>2021-07-26</v>
      </c>
      <c r="E278" s="36" t="s">
        <v>1198</v>
      </c>
      <c r="F278" s="35" t="str">
        <f t="shared" si="25"/>
        <v>2021-07-26_11-15-35</v>
      </c>
      <c r="G278" s="37">
        <v>40961979</v>
      </c>
      <c r="H278" s="38">
        <v>55142835</v>
      </c>
      <c r="I278" s="19" t="str">
        <f>IF(OR(COUNTIF(Monitoring!C:C, F278) &gt; 0, COUNTIF(Monitoring!D:D, F278) &gt; 0), "yes", "no")</f>
        <v>yes</v>
      </c>
      <c r="J278" s="70" t="str">
        <f t="shared" si="26"/>
        <v>Z:\FAIR_Device_data\Experiment_JulAug_2021\Video_captures\2021-07-26\2021-07-26_11-15-35.mp4</v>
      </c>
    </row>
    <row r="279" spans="1:10" x14ac:dyDescent="0.3">
      <c r="A279" s="1">
        <f t="shared" si="27"/>
        <v>44403</v>
      </c>
      <c r="B279" s="34">
        <f t="shared" si="28"/>
        <v>0.47806712962962961</v>
      </c>
      <c r="C279" s="34">
        <f t="shared" si="29"/>
        <v>44403.478067129632</v>
      </c>
      <c r="D279" s="69" t="str">
        <f t="shared" si="30"/>
        <v>2021-07-26</v>
      </c>
      <c r="E279" s="36" t="s">
        <v>1199</v>
      </c>
      <c r="F279" s="35" t="str">
        <f t="shared" si="25"/>
        <v>2021-07-26_11-28-25</v>
      </c>
      <c r="G279" s="37">
        <v>70547201</v>
      </c>
      <c r="H279" s="38">
        <v>64629571</v>
      </c>
      <c r="I279" s="19" t="str">
        <f>IF(OR(COUNTIF(Monitoring!C:C, F279) &gt; 0, COUNTIF(Monitoring!D:D, F279) &gt; 0), "yes", "no")</f>
        <v>yes</v>
      </c>
      <c r="J279" s="70" t="str">
        <f t="shared" si="26"/>
        <v>Z:\FAIR_Device_data\Experiment_JulAug_2021\Video_captures\2021-07-26\2021-07-26_11-28-25.mp4</v>
      </c>
    </row>
    <row r="280" spans="1:10" x14ac:dyDescent="0.3">
      <c r="A280" s="1">
        <f t="shared" si="27"/>
        <v>44403</v>
      </c>
      <c r="B280" s="34">
        <f t="shared" si="28"/>
        <v>0.49146990740740742</v>
      </c>
      <c r="C280" s="34">
        <f t="shared" si="29"/>
        <v>44403.491469907407</v>
      </c>
      <c r="D280" s="69" t="str">
        <f t="shared" si="30"/>
        <v>2021-07-26</v>
      </c>
      <c r="E280" s="36" t="s">
        <v>1200</v>
      </c>
      <c r="F280" s="35" t="str">
        <f t="shared" si="25"/>
        <v>2021-07-26_11-47-43</v>
      </c>
      <c r="G280" s="37">
        <v>54771549</v>
      </c>
      <c r="H280" s="38">
        <v>49845450</v>
      </c>
      <c r="I280" s="19" t="str">
        <f>IF(OR(COUNTIF(Monitoring!C:C, F280) &gt; 0, COUNTIF(Monitoring!D:D, F280) &gt; 0), "yes", "no")</f>
        <v>yes</v>
      </c>
      <c r="J280" s="70" t="str">
        <f t="shared" si="26"/>
        <v>Z:\FAIR_Device_data\Experiment_JulAug_2021\Video_captures\2021-07-26\2021-07-26_11-47-43.mp4</v>
      </c>
    </row>
    <row r="281" spans="1:10" x14ac:dyDescent="0.3">
      <c r="A281" s="1">
        <f t="shared" si="27"/>
        <v>44403</v>
      </c>
      <c r="B281" s="34">
        <f t="shared" si="28"/>
        <v>0.50357638888888889</v>
      </c>
      <c r="C281" s="34">
        <f t="shared" si="29"/>
        <v>44403.503576388888</v>
      </c>
      <c r="D281" s="69" t="str">
        <f t="shared" si="30"/>
        <v>2021-07-26</v>
      </c>
      <c r="E281" s="36" t="s">
        <v>1201</v>
      </c>
      <c r="F281" s="35" t="str">
        <f t="shared" si="25"/>
        <v>2021-07-26_12-05-09</v>
      </c>
      <c r="G281" s="37">
        <v>43269010</v>
      </c>
      <c r="H281" s="38">
        <v>27042618</v>
      </c>
      <c r="I281" s="19" t="str">
        <f>IF(OR(COUNTIF(Monitoring!C:C, F281) &gt; 0, COUNTIF(Monitoring!D:D, F281) &gt; 0), "yes", "no")</f>
        <v>yes</v>
      </c>
      <c r="J281" s="70" t="str">
        <f t="shared" si="26"/>
        <v>Z:\FAIR_Device_data\Experiment_JulAug_2021\Video_captures\2021-07-26\2021-07-26_12-05-09.mp4</v>
      </c>
    </row>
    <row r="282" spans="1:10" x14ac:dyDescent="0.3">
      <c r="A282" s="1">
        <f t="shared" si="27"/>
        <v>44403</v>
      </c>
      <c r="B282" s="34">
        <f t="shared" si="28"/>
        <v>0.51760416666666664</v>
      </c>
      <c r="C282" s="34">
        <f t="shared" si="29"/>
        <v>44403.517604166664</v>
      </c>
      <c r="D282" s="69" t="str">
        <f t="shared" si="30"/>
        <v>2021-07-26</v>
      </c>
      <c r="E282" s="36" t="s">
        <v>1202</v>
      </c>
      <c r="F282" s="35" t="str">
        <f t="shared" si="25"/>
        <v>2021-07-26_12-25-21</v>
      </c>
      <c r="G282" s="37">
        <v>46999674</v>
      </c>
      <c r="H282" s="38">
        <v>46230584</v>
      </c>
      <c r="I282" s="19" t="str">
        <f>IF(OR(COUNTIF(Monitoring!C:C, F282) &gt; 0, COUNTIF(Monitoring!D:D, F282) &gt; 0), "yes", "no")</f>
        <v>yes</v>
      </c>
      <c r="J282" s="70" t="str">
        <f t="shared" si="26"/>
        <v>Z:\FAIR_Device_data\Experiment_JulAug_2021\Video_captures\2021-07-26\2021-07-26_12-25-21.mp4</v>
      </c>
    </row>
    <row r="283" spans="1:10" x14ac:dyDescent="0.3">
      <c r="A283" s="1">
        <f t="shared" si="27"/>
        <v>44403</v>
      </c>
      <c r="B283" s="34">
        <f t="shared" si="28"/>
        <v>0.53140046296296295</v>
      </c>
      <c r="C283" s="34">
        <f t="shared" si="29"/>
        <v>44403.531400462962</v>
      </c>
      <c r="D283" s="69" t="str">
        <f t="shared" si="30"/>
        <v>2021-07-26</v>
      </c>
      <c r="E283" s="36" t="s">
        <v>1203</v>
      </c>
      <c r="F283" s="35" t="str">
        <f t="shared" si="25"/>
        <v>2021-07-26_12-45-13</v>
      </c>
      <c r="G283" s="37">
        <v>130470182</v>
      </c>
      <c r="H283" s="38">
        <v>126330865</v>
      </c>
      <c r="I283" s="19" t="str">
        <f>IF(OR(COUNTIF(Monitoring!C:C, F283) &gt; 0, COUNTIF(Monitoring!D:D, F283) &gt; 0), "yes", "no")</f>
        <v>yes</v>
      </c>
      <c r="J283" s="70" t="str">
        <f t="shared" si="26"/>
        <v>Z:\FAIR_Device_data\Experiment_JulAug_2021\Video_captures\2021-07-26\2021-07-26_12-45-13.mp4</v>
      </c>
    </row>
    <row r="284" spans="1:10" x14ac:dyDescent="0.3">
      <c r="A284" s="1">
        <f t="shared" si="27"/>
        <v>44403</v>
      </c>
      <c r="B284" s="34">
        <f t="shared" si="28"/>
        <v>0.54640046296296296</v>
      </c>
      <c r="C284" s="34">
        <f t="shared" si="29"/>
        <v>44403.546400462961</v>
      </c>
      <c r="D284" s="69" t="str">
        <f t="shared" si="30"/>
        <v>2021-07-26</v>
      </c>
      <c r="E284" s="36" t="s">
        <v>1204</v>
      </c>
      <c r="F284" s="35" t="str">
        <f t="shared" si="25"/>
        <v>2021-07-26_13-06-49</v>
      </c>
      <c r="G284" s="37">
        <v>41298112</v>
      </c>
      <c r="H284" s="38">
        <v>37422637</v>
      </c>
      <c r="I284" s="19" t="str">
        <f>IF(OR(COUNTIF(Monitoring!C:C, F284) &gt; 0, COUNTIF(Monitoring!D:D, F284) &gt; 0), "yes", "no")</f>
        <v>yes</v>
      </c>
      <c r="J284" s="70" t="str">
        <f t="shared" si="26"/>
        <v>Z:\FAIR_Device_data\Experiment_JulAug_2021\Video_captures\2021-07-26\2021-07-26_13-06-49.mp4</v>
      </c>
    </row>
    <row r="285" spans="1:10" x14ac:dyDescent="0.3">
      <c r="A285" s="1">
        <f t="shared" si="27"/>
        <v>44403</v>
      </c>
      <c r="B285" s="34">
        <f t="shared" si="28"/>
        <v>0.54973379629629626</v>
      </c>
      <c r="C285" s="34">
        <f t="shared" si="29"/>
        <v>44403.549733796295</v>
      </c>
      <c r="D285" s="69" t="str">
        <f t="shared" si="30"/>
        <v>2021-07-26</v>
      </c>
      <c r="E285" s="36" t="s">
        <v>1205</v>
      </c>
      <c r="F285" s="35" t="str">
        <f t="shared" si="25"/>
        <v>2021-07-26_13-11-37</v>
      </c>
      <c r="G285" s="37">
        <v>17955990</v>
      </c>
      <c r="H285" s="38">
        <v>16120489</v>
      </c>
      <c r="I285" s="19" t="str">
        <f>IF(OR(COUNTIF(Monitoring!C:C, F285) &gt; 0, COUNTIF(Monitoring!D:D, F285) &gt; 0), "yes", "no")</f>
        <v>no</v>
      </c>
      <c r="J285" s="70" t="str">
        <f t="shared" si="26"/>
        <v>Z:\FAIR_Device_data\Experiment_JulAug_2021\Video_captures\2021-07-26\2021-07-26_13-11-37.mp4</v>
      </c>
    </row>
    <row r="286" spans="1:10" x14ac:dyDescent="0.3">
      <c r="A286" s="1">
        <f t="shared" si="27"/>
        <v>44403</v>
      </c>
      <c r="B286" s="34">
        <f t="shared" si="28"/>
        <v>0.55039351851851848</v>
      </c>
      <c r="C286" s="34">
        <f t="shared" si="29"/>
        <v>44403.550393518519</v>
      </c>
      <c r="D286" s="69" t="str">
        <f t="shared" si="30"/>
        <v>2021-07-26</v>
      </c>
      <c r="E286" s="36" t="s">
        <v>1206</v>
      </c>
      <c r="F286" s="35" t="str">
        <f t="shared" si="25"/>
        <v>2021-07-26_13-12-34</v>
      </c>
      <c r="G286" s="37">
        <v>16732205</v>
      </c>
      <c r="H286" s="38">
        <v>9718195</v>
      </c>
      <c r="I286" s="19" t="str">
        <f>IF(OR(COUNTIF(Monitoring!C:C, F286) &gt; 0, COUNTIF(Monitoring!D:D, F286) &gt; 0), "yes", "no")</f>
        <v>no</v>
      </c>
      <c r="J286" s="70" t="str">
        <f t="shared" si="26"/>
        <v>Z:\FAIR_Device_data\Experiment_JulAug_2021\Video_captures\2021-07-26\2021-07-26_13-12-34.mp4</v>
      </c>
    </row>
    <row r="287" spans="1:10" x14ac:dyDescent="0.3">
      <c r="A287" s="1">
        <f t="shared" si="27"/>
        <v>44403</v>
      </c>
      <c r="B287" s="34">
        <f t="shared" si="28"/>
        <v>0.55585648148148148</v>
      </c>
      <c r="C287" s="34">
        <f t="shared" si="29"/>
        <v>44403.555856481478</v>
      </c>
      <c r="D287" s="69" t="str">
        <f t="shared" si="30"/>
        <v>2021-07-26</v>
      </c>
      <c r="E287" s="36" t="s">
        <v>1207</v>
      </c>
      <c r="F287" s="35" t="str">
        <f t="shared" si="25"/>
        <v>2021-07-26_13-20-26</v>
      </c>
      <c r="G287" s="37">
        <v>11971224</v>
      </c>
      <c r="H287" s="38">
        <v>9694405</v>
      </c>
      <c r="I287" s="19" t="str">
        <f>IF(OR(COUNTIF(Monitoring!C:C, F287) &gt; 0, COUNTIF(Monitoring!D:D, F287) &gt; 0), "yes", "no")</f>
        <v>no</v>
      </c>
      <c r="J287" s="70" t="str">
        <f t="shared" si="26"/>
        <v>Z:\FAIR_Device_data\Experiment_JulAug_2021\Video_captures\2021-07-26\2021-07-26_13-20-26.mp4</v>
      </c>
    </row>
    <row r="288" spans="1:10" x14ac:dyDescent="0.3">
      <c r="A288" s="1">
        <f t="shared" si="27"/>
        <v>44403</v>
      </c>
      <c r="B288" s="34">
        <f t="shared" si="28"/>
        <v>0.55722222222222217</v>
      </c>
      <c r="C288" s="34">
        <f t="shared" si="29"/>
        <v>44403.557222222225</v>
      </c>
      <c r="D288" s="69" t="str">
        <f t="shared" si="30"/>
        <v>2021-07-26</v>
      </c>
      <c r="E288" s="36" t="s">
        <v>1208</v>
      </c>
      <c r="F288" s="35" t="str">
        <f t="shared" si="25"/>
        <v>2021-07-26_13-22-24</v>
      </c>
      <c r="G288" s="37">
        <v>47165885</v>
      </c>
      <c r="H288" s="38">
        <v>43431480</v>
      </c>
      <c r="I288" s="19" t="str">
        <f>IF(OR(COUNTIF(Monitoring!C:C, F288) &gt; 0, COUNTIF(Monitoring!D:D, F288) &gt; 0), "yes", "no")</f>
        <v>no</v>
      </c>
      <c r="J288" s="70" t="str">
        <f t="shared" si="26"/>
        <v>Z:\FAIR_Device_data\Experiment_JulAug_2021\Video_captures\2021-07-26\2021-07-26_13-22-24.mp4</v>
      </c>
    </row>
    <row r="289" spans="1:10" x14ac:dyDescent="0.3">
      <c r="A289" s="1">
        <f t="shared" si="27"/>
        <v>44403</v>
      </c>
      <c r="B289" s="34">
        <f t="shared" si="28"/>
        <v>0.55912037037037032</v>
      </c>
      <c r="C289" s="34">
        <f t="shared" si="29"/>
        <v>44403.559120370373</v>
      </c>
      <c r="D289" s="69" t="str">
        <f t="shared" si="30"/>
        <v>2021-07-26</v>
      </c>
      <c r="E289" s="36" t="s">
        <v>1209</v>
      </c>
      <c r="F289" s="35" t="str">
        <f t="shared" si="25"/>
        <v>2021-07-26_13-25-08</v>
      </c>
      <c r="G289" s="37">
        <v>17324623</v>
      </c>
      <c r="H289" s="38">
        <v>15441042</v>
      </c>
      <c r="I289" s="19" t="str">
        <f>IF(OR(COUNTIF(Monitoring!C:C, F289) &gt; 0, COUNTIF(Monitoring!D:D, F289) &gt; 0), "yes", "no")</f>
        <v>no</v>
      </c>
      <c r="J289" s="70" t="str">
        <f t="shared" si="26"/>
        <v>Z:\FAIR_Device_data\Experiment_JulAug_2021\Video_captures\2021-07-26\2021-07-26_13-25-08.mp4</v>
      </c>
    </row>
    <row r="290" spans="1:10" x14ac:dyDescent="0.3">
      <c r="A290" s="1">
        <f t="shared" si="27"/>
        <v>44403</v>
      </c>
      <c r="B290" s="34">
        <f t="shared" si="28"/>
        <v>0.56092592592592594</v>
      </c>
      <c r="C290" s="34">
        <f t="shared" si="29"/>
        <v>44403.560925925929</v>
      </c>
      <c r="D290" s="69" t="str">
        <f t="shared" si="30"/>
        <v>2021-07-26</v>
      </c>
      <c r="E290" s="36" t="s">
        <v>1210</v>
      </c>
      <c r="F290" s="35" t="str">
        <f t="shared" si="25"/>
        <v>2021-07-26_13-27-44</v>
      </c>
      <c r="G290" s="37">
        <v>255808659</v>
      </c>
      <c r="H290" s="38">
        <v>236951529</v>
      </c>
      <c r="I290" s="19" t="str">
        <f>IF(OR(COUNTIF(Monitoring!C:C, F290) &gt; 0, COUNTIF(Monitoring!D:D, F290) &gt; 0), "yes", "no")</f>
        <v>no</v>
      </c>
      <c r="J290" s="70" t="str">
        <f t="shared" si="26"/>
        <v>Z:\FAIR_Device_data\Experiment_JulAug_2021\Video_captures\2021-07-26\2021-07-26_13-27-44.mp4</v>
      </c>
    </row>
    <row r="291" spans="1:10" x14ac:dyDescent="0.3">
      <c r="A291" s="1">
        <f t="shared" si="27"/>
        <v>44403</v>
      </c>
      <c r="B291" s="34">
        <f t="shared" si="28"/>
        <v>0.6459259259259259</v>
      </c>
      <c r="C291" s="34">
        <f t="shared" si="29"/>
        <v>44403.645925925928</v>
      </c>
      <c r="D291" s="69" t="str">
        <f t="shared" si="30"/>
        <v>2021-07-26</v>
      </c>
      <c r="E291" s="36" t="s">
        <v>1211</v>
      </c>
      <c r="F291" s="35" t="str">
        <f t="shared" si="25"/>
        <v>2021-07-26_15-30-08</v>
      </c>
      <c r="G291" s="37">
        <v>16595313</v>
      </c>
      <c r="H291" s="38">
        <v>20638729</v>
      </c>
      <c r="I291" s="19" t="str">
        <f>IF(OR(COUNTIF(Monitoring!C:C, F291) &gt; 0, COUNTIF(Monitoring!D:D, F291) &gt; 0), "yes", "no")</f>
        <v>yes</v>
      </c>
      <c r="J291" s="70" t="str">
        <f t="shared" si="26"/>
        <v>Z:\FAIR_Device_data\Experiment_JulAug_2021\Video_captures\2021-07-26\2021-07-26_15-30-08.mp4</v>
      </c>
    </row>
    <row r="292" spans="1:10" x14ac:dyDescent="0.3">
      <c r="A292" s="1">
        <f t="shared" si="27"/>
        <v>44403</v>
      </c>
      <c r="B292" s="34">
        <f t="shared" si="28"/>
        <v>0.65778935185185183</v>
      </c>
      <c r="C292" s="34">
        <f t="shared" si="29"/>
        <v>44403.657789351855</v>
      </c>
      <c r="D292" s="69" t="str">
        <f t="shared" si="30"/>
        <v>2021-07-26</v>
      </c>
      <c r="E292" s="36" t="s">
        <v>1212</v>
      </c>
      <c r="F292" s="35" t="str">
        <f t="shared" si="25"/>
        <v>2021-07-26_15-47-13</v>
      </c>
      <c r="G292" s="37">
        <v>10422331</v>
      </c>
      <c r="H292" s="38">
        <v>9739768</v>
      </c>
      <c r="I292" s="19" t="str">
        <f>IF(OR(COUNTIF(Monitoring!C:C, F292) &gt; 0, COUNTIF(Monitoring!D:D, F292) &gt; 0), "yes", "no")</f>
        <v>yes</v>
      </c>
      <c r="J292" s="70" t="str">
        <f t="shared" si="26"/>
        <v>Z:\FAIR_Device_data\Experiment_JulAug_2021\Video_captures\2021-07-26\2021-07-26_15-47-13.mp4</v>
      </c>
    </row>
    <row r="293" spans="1:10" x14ac:dyDescent="0.3">
      <c r="A293" s="1">
        <f t="shared" si="27"/>
        <v>44403</v>
      </c>
      <c r="B293" s="34">
        <f t="shared" si="28"/>
        <v>0.65831018518518514</v>
      </c>
      <c r="C293" s="34">
        <f t="shared" si="29"/>
        <v>44403.658310185187</v>
      </c>
      <c r="D293" s="69" t="str">
        <f t="shared" si="30"/>
        <v>2021-07-26</v>
      </c>
      <c r="E293" s="36" t="s">
        <v>1213</v>
      </c>
      <c r="F293" s="35" t="str">
        <f t="shared" si="25"/>
        <v>2021-07-26_15-47-58</v>
      </c>
      <c r="G293" s="37">
        <v>13938021</v>
      </c>
      <c r="H293" s="38">
        <v>10433646</v>
      </c>
      <c r="I293" s="19" t="str">
        <f>IF(OR(COUNTIF(Monitoring!C:C, F293) &gt; 0, COUNTIF(Monitoring!D:D, F293) &gt; 0), "yes", "no")</f>
        <v>no</v>
      </c>
      <c r="J293" s="70" t="str">
        <f t="shared" si="26"/>
        <v>Z:\FAIR_Device_data\Experiment_JulAug_2021\Video_captures\2021-07-26\2021-07-26_15-47-58.mp4</v>
      </c>
    </row>
    <row r="294" spans="1:10" x14ac:dyDescent="0.3">
      <c r="A294" s="1">
        <f t="shared" si="27"/>
        <v>44403</v>
      </c>
      <c r="B294" s="34">
        <f t="shared" si="28"/>
        <v>0.65914351851851849</v>
      </c>
      <c r="C294" s="34">
        <f t="shared" si="29"/>
        <v>44403.659143518518</v>
      </c>
      <c r="D294" s="69" t="str">
        <f t="shared" si="30"/>
        <v>2021-07-26</v>
      </c>
      <c r="E294" s="36" t="s">
        <v>1214</v>
      </c>
      <c r="F294" s="35" t="str">
        <f t="shared" si="25"/>
        <v>2021-07-26_15-49-10</v>
      </c>
      <c r="G294" s="37">
        <v>10253646</v>
      </c>
      <c r="H294" s="38">
        <v>11026638</v>
      </c>
      <c r="I294" s="19" t="str">
        <f>IF(OR(COUNTIF(Monitoring!C:C, F294) &gt; 0, COUNTIF(Monitoring!D:D, F294) &gt; 0), "yes", "no")</f>
        <v>no</v>
      </c>
      <c r="J294" s="70" t="str">
        <f t="shared" si="26"/>
        <v>Z:\FAIR_Device_data\Experiment_JulAug_2021\Video_captures\2021-07-26\2021-07-26_15-49-10.mp4</v>
      </c>
    </row>
    <row r="295" spans="1:10" x14ac:dyDescent="0.3">
      <c r="A295" s="1">
        <f t="shared" si="27"/>
        <v>44403</v>
      </c>
      <c r="B295" s="34">
        <f t="shared" si="28"/>
        <v>0.67611111111111111</v>
      </c>
      <c r="C295" s="34">
        <f t="shared" si="29"/>
        <v>44403.676111111112</v>
      </c>
      <c r="D295" s="69" t="str">
        <f t="shared" si="30"/>
        <v>2021-07-26</v>
      </c>
      <c r="E295" s="36" t="s">
        <v>1215</v>
      </c>
      <c r="F295" s="35" t="str">
        <f t="shared" si="25"/>
        <v>2021-07-26_16-13-36</v>
      </c>
      <c r="G295" s="37">
        <v>9892122</v>
      </c>
      <c r="H295" s="38">
        <v>10040212</v>
      </c>
      <c r="I295" s="19" t="str">
        <f>IF(OR(COUNTIF(Monitoring!C:C, F295) &gt; 0, COUNTIF(Monitoring!D:D, F295) &gt; 0), "yes", "no")</f>
        <v>no</v>
      </c>
      <c r="J295" s="70" t="str">
        <f t="shared" si="26"/>
        <v>Z:\FAIR_Device_data\Experiment_JulAug_2021\Video_captures\2021-07-26\2021-07-26_16-13-36.mp4</v>
      </c>
    </row>
    <row r="296" spans="1:10" x14ac:dyDescent="0.3">
      <c r="A296" s="1">
        <f t="shared" si="27"/>
        <v>44403</v>
      </c>
      <c r="B296" s="34">
        <f t="shared" si="28"/>
        <v>0.69966435185185183</v>
      </c>
      <c r="C296" s="34">
        <f t="shared" si="29"/>
        <v>44403.699664351851</v>
      </c>
      <c r="D296" s="69" t="str">
        <f t="shared" si="30"/>
        <v>2021-07-26</v>
      </c>
      <c r="E296" s="36" t="s">
        <v>1216</v>
      </c>
      <c r="F296" s="35" t="str">
        <f t="shared" si="25"/>
        <v>2021-07-26_16-47-31</v>
      </c>
      <c r="G296" s="37">
        <v>11204036</v>
      </c>
      <c r="H296" s="38">
        <v>12207418</v>
      </c>
      <c r="I296" s="19" t="str">
        <f>IF(OR(COUNTIF(Monitoring!C:C, F296) &gt; 0, COUNTIF(Monitoring!D:D, F296) &gt; 0), "yes", "no")</f>
        <v>yes</v>
      </c>
      <c r="J296" s="70" t="str">
        <f t="shared" si="26"/>
        <v>Z:\FAIR_Device_data\Experiment_JulAug_2021\Video_captures\2021-07-26\2021-07-26_16-47-31.mp4</v>
      </c>
    </row>
    <row r="297" spans="1:10" x14ac:dyDescent="0.3">
      <c r="A297" s="1">
        <f t="shared" si="27"/>
        <v>44403</v>
      </c>
      <c r="B297" s="34">
        <f t="shared" si="28"/>
        <v>0.70225694444444442</v>
      </c>
      <c r="C297" s="34">
        <f t="shared" si="29"/>
        <v>44403.702256944445</v>
      </c>
      <c r="D297" s="69" t="str">
        <f t="shared" si="30"/>
        <v>2021-07-26</v>
      </c>
      <c r="E297" s="36" t="s">
        <v>1217</v>
      </c>
      <c r="F297" s="35" t="str">
        <f t="shared" si="25"/>
        <v>2021-07-26_16-51-15</v>
      </c>
      <c r="G297" s="37">
        <v>16618467</v>
      </c>
      <c r="H297" s="38">
        <v>14741493</v>
      </c>
      <c r="I297" s="19" t="str">
        <f>IF(OR(COUNTIF(Monitoring!C:C, F297) &gt; 0, COUNTIF(Monitoring!D:D, F297) &gt; 0), "yes", "no")</f>
        <v>yes</v>
      </c>
      <c r="J297" s="70" t="str">
        <f t="shared" si="26"/>
        <v>Z:\FAIR_Device_data\Experiment_JulAug_2021\Video_captures\2021-07-26\2021-07-26_16-51-15.mp4</v>
      </c>
    </row>
    <row r="298" spans="1:10" x14ac:dyDescent="0.3">
      <c r="A298" s="1">
        <f t="shared" si="27"/>
        <v>44405</v>
      </c>
      <c r="B298" s="34">
        <f t="shared" si="28"/>
        <v>0.6607291666666667</v>
      </c>
      <c r="C298" s="34">
        <f t="shared" si="29"/>
        <v>44405.660729166666</v>
      </c>
      <c r="D298" s="69" t="str">
        <f t="shared" si="30"/>
        <v>2021-07-28</v>
      </c>
      <c r="E298" s="36" t="s">
        <v>1218</v>
      </c>
      <c r="F298" s="35" t="str">
        <f t="shared" si="25"/>
        <v>2021-07-28_15-51-27</v>
      </c>
      <c r="G298" s="37">
        <v>78345508</v>
      </c>
      <c r="H298" s="38">
        <v>76319811</v>
      </c>
      <c r="I298" s="19" t="str">
        <f>IF(OR(COUNTIF(Monitoring!C:C, F298) &gt; 0, COUNTIF(Monitoring!D:D, F298) &gt; 0), "yes", "no")</f>
        <v>yes</v>
      </c>
      <c r="J298" s="70" t="str">
        <f t="shared" si="26"/>
        <v>Z:\FAIR_Device_data\Experiment_JulAug_2021\Video_captures\2021-07-28\2021-07-28_15-51-27.mp4</v>
      </c>
    </row>
    <row r="299" spans="1:10" x14ac:dyDescent="0.3">
      <c r="A299" s="1">
        <f t="shared" si="27"/>
        <v>44405</v>
      </c>
      <c r="B299" s="34">
        <f t="shared" si="28"/>
        <v>0.66203703703703709</v>
      </c>
      <c r="C299" s="34">
        <f t="shared" si="29"/>
        <v>44405.662037037036</v>
      </c>
      <c r="D299" s="69" t="str">
        <f t="shared" si="30"/>
        <v>2021-07-28</v>
      </c>
      <c r="E299" s="36" t="s">
        <v>1219</v>
      </c>
      <c r="F299" s="35" t="str">
        <f t="shared" si="25"/>
        <v>2021-07-28_15-53-20</v>
      </c>
      <c r="G299" s="37">
        <v>25688411</v>
      </c>
      <c r="H299" s="38">
        <v>17715339</v>
      </c>
      <c r="I299" s="19" t="str">
        <f>IF(OR(COUNTIF(Monitoring!C:C, F299) &gt; 0, COUNTIF(Monitoring!D:D, F299) &gt; 0), "yes", "no")</f>
        <v>no</v>
      </c>
      <c r="J299" s="70" t="str">
        <f t="shared" si="26"/>
        <v>Z:\FAIR_Device_data\Experiment_JulAug_2021\Video_captures\2021-07-28\2021-07-28_15-53-20.mp4</v>
      </c>
    </row>
    <row r="300" spans="1:10" x14ac:dyDescent="0.3">
      <c r="A300" s="1">
        <f t="shared" si="27"/>
        <v>44405</v>
      </c>
      <c r="B300" s="34">
        <f t="shared" si="28"/>
        <v>0.6638425925925926</v>
      </c>
      <c r="C300" s="34">
        <f t="shared" si="29"/>
        <v>44405.663842592592</v>
      </c>
      <c r="D300" s="69" t="str">
        <f t="shared" si="30"/>
        <v>2021-07-28</v>
      </c>
      <c r="E300" s="36" t="s">
        <v>1220</v>
      </c>
      <c r="F300" s="35" t="str">
        <f t="shared" si="25"/>
        <v>2021-07-28_15-55-56</v>
      </c>
      <c r="G300" s="37">
        <v>114313672</v>
      </c>
      <c r="H300" s="38">
        <v>109876267</v>
      </c>
      <c r="I300" s="19" t="str">
        <f>IF(OR(COUNTIF(Monitoring!C:C, F300) &gt; 0, COUNTIF(Monitoring!D:D, F300) &gt; 0), "yes", "no")</f>
        <v>yes</v>
      </c>
      <c r="J300" s="70" t="str">
        <f t="shared" si="26"/>
        <v>Z:\FAIR_Device_data\Experiment_JulAug_2021\Video_captures\2021-07-28\2021-07-28_15-55-56.mp4</v>
      </c>
    </row>
    <row r="301" spans="1:10" x14ac:dyDescent="0.3">
      <c r="A301" s="1">
        <f t="shared" si="27"/>
        <v>44405</v>
      </c>
      <c r="B301" s="34">
        <f t="shared" si="28"/>
        <v>0.67929398148148146</v>
      </c>
      <c r="C301" s="34">
        <f t="shared" si="29"/>
        <v>44405.679293981484</v>
      </c>
      <c r="D301" s="69" t="str">
        <f t="shared" si="30"/>
        <v>2021-07-28</v>
      </c>
      <c r="E301" s="36" t="s">
        <v>1221</v>
      </c>
      <c r="F301" s="35" t="str">
        <f t="shared" si="25"/>
        <v>2021-07-28_16-18-11</v>
      </c>
      <c r="G301" s="37">
        <v>9488737</v>
      </c>
      <c r="H301" s="38">
        <v>9810955</v>
      </c>
      <c r="I301" s="19" t="str">
        <f>IF(OR(COUNTIF(Monitoring!C:C, F301) &gt; 0, COUNTIF(Monitoring!D:D, F301) &gt; 0), "yes", "no")</f>
        <v>yes</v>
      </c>
      <c r="J301" s="70" t="str">
        <f t="shared" si="26"/>
        <v>Z:\FAIR_Device_data\Experiment_JulAug_2021\Video_captures\2021-07-28\2021-07-28_16-18-11.mp4</v>
      </c>
    </row>
    <row r="302" spans="1:10" x14ac:dyDescent="0.3">
      <c r="A302" s="1">
        <f t="shared" si="27"/>
        <v>44405</v>
      </c>
      <c r="B302" s="34">
        <f t="shared" si="28"/>
        <v>0.68070601851851853</v>
      </c>
      <c r="C302" s="34">
        <f t="shared" si="29"/>
        <v>44405.680706018517</v>
      </c>
      <c r="D302" s="69" t="str">
        <f t="shared" si="30"/>
        <v>2021-07-28</v>
      </c>
      <c r="E302" s="36" t="s">
        <v>1222</v>
      </c>
      <c r="F302" s="35" t="str">
        <f t="shared" si="25"/>
        <v>2021-07-28_16-20-13</v>
      </c>
      <c r="G302" s="37">
        <v>9473633</v>
      </c>
      <c r="H302" s="38">
        <v>9838838</v>
      </c>
      <c r="I302" s="19" t="str">
        <f>IF(OR(COUNTIF(Monitoring!C:C, F302) &gt; 0, COUNTIF(Monitoring!D:D, F302) &gt; 0), "yes", "no")</f>
        <v>no</v>
      </c>
      <c r="J302" s="70" t="str">
        <f t="shared" si="26"/>
        <v>Z:\FAIR_Device_data\Experiment_JulAug_2021\Video_captures\2021-07-28\2021-07-28_16-20-13.mp4</v>
      </c>
    </row>
    <row r="303" spans="1:10" x14ac:dyDescent="0.3">
      <c r="A303" s="1">
        <f t="shared" si="27"/>
        <v>44405</v>
      </c>
      <c r="B303" s="34">
        <f t="shared" si="28"/>
        <v>0.68218749999999995</v>
      </c>
      <c r="C303" s="34">
        <f t="shared" si="29"/>
        <v>44405.682187500002</v>
      </c>
      <c r="D303" s="69" t="str">
        <f t="shared" si="30"/>
        <v>2021-07-28</v>
      </c>
      <c r="E303" s="36" t="s">
        <v>1223</v>
      </c>
      <c r="F303" s="35" t="str">
        <f t="shared" si="25"/>
        <v>2021-07-28_16-22-21</v>
      </c>
      <c r="G303" s="37">
        <v>9249154</v>
      </c>
      <c r="H303" s="38">
        <v>9690116</v>
      </c>
      <c r="I303" s="19" t="str">
        <f>IF(OR(COUNTIF(Monitoring!C:C, F303) &gt; 0, COUNTIF(Monitoring!D:D, F303) &gt; 0), "yes", "no")</f>
        <v>no</v>
      </c>
      <c r="J303" s="70" t="str">
        <f t="shared" si="26"/>
        <v>Z:\FAIR_Device_data\Experiment_JulAug_2021\Video_captures\2021-07-28\2021-07-28_16-22-21.mp4</v>
      </c>
    </row>
    <row r="304" spans="1:10" x14ac:dyDescent="0.3">
      <c r="A304" s="1">
        <f t="shared" si="27"/>
        <v>44405</v>
      </c>
      <c r="B304" s="34">
        <f t="shared" si="28"/>
        <v>0.68784722222222228</v>
      </c>
      <c r="C304" s="34">
        <f t="shared" si="29"/>
        <v>44405.687847222223</v>
      </c>
      <c r="D304" s="69" t="str">
        <f t="shared" si="30"/>
        <v>2021-07-28</v>
      </c>
      <c r="E304" s="36" t="s">
        <v>1224</v>
      </c>
      <c r="F304" s="35" t="str">
        <f t="shared" si="25"/>
        <v>2021-07-28_16-30-30</v>
      </c>
      <c r="G304" s="37">
        <v>9769599</v>
      </c>
      <c r="H304" s="38">
        <v>10139504</v>
      </c>
      <c r="I304" s="19" t="str">
        <f>IF(OR(COUNTIF(Monitoring!C:C, F304) &gt; 0, COUNTIF(Monitoring!D:D, F304) &gt; 0), "yes", "no")</f>
        <v>yes</v>
      </c>
      <c r="J304" s="70" t="str">
        <f t="shared" si="26"/>
        <v>Z:\FAIR_Device_data\Experiment_JulAug_2021\Video_captures\2021-07-28\2021-07-28_16-30-30.mp4</v>
      </c>
    </row>
    <row r="305" spans="1:10" x14ac:dyDescent="0.3">
      <c r="A305" s="1">
        <f t="shared" si="27"/>
        <v>44405</v>
      </c>
      <c r="B305" s="34">
        <f t="shared" si="28"/>
        <v>0.7094907407407407</v>
      </c>
      <c r="C305" s="34">
        <f t="shared" si="29"/>
        <v>44405.709490740737</v>
      </c>
      <c r="D305" s="69" t="str">
        <f t="shared" si="30"/>
        <v>2021-07-28</v>
      </c>
      <c r="E305" s="36" t="s">
        <v>1225</v>
      </c>
      <c r="F305" s="35" t="str">
        <f t="shared" si="25"/>
        <v>2021-07-28_17-01-40</v>
      </c>
      <c r="G305" s="37">
        <v>72166667</v>
      </c>
      <c r="H305" s="38">
        <v>40927151</v>
      </c>
      <c r="I305" s="19" t="str">
        <f>IF(OR(COUNTIF(Monitoring!C:C, F305) &gt; 0, COUNTIF(Monitoring!D:D, F305) &gt; 0), "yes", "no")</f>
        <v>yes</v>
      </c>
      <c r="J305" s="70" t="str">
        <f t="shared" si="26"/>
        <v>Z:\FAIR_Device_data\Experiment_JulAug_2021\Video_captures\2021-07-28\2021-07-28_17-01-40.mp4</v>
      </c>
    </row>
    <row r="306" spans="1:10" x14ac:dyDescent="0.3">
      <c r="A306" s="1">
        <f t="shared" si="27"/>
        <v>44405</v>
      </c>
      <c r="B306" s="34">
        <f t="shared" si="28"/>
        <v>0.71365740740740746</v>
      </c>
      <c r="C306" s="34">
        <f t="shared" si="29"/>
        <v>44405.71365740741</v>
      </c>
      <c r="D306" s="69" t="str">
        <f t="shared" si="30"/>
        <v>2021-07-28</v>
      </c>
      <c r="E306" s="36" t="s">
        <v>1226</v>
      </c>
      <c r="F306" s="35" t="str">
        <f t="shared" si="25"/>
        <v>2021-07-28_17-07-40</v>
      </c>
      <c r="G306" s="37">
        <v>14066276</v>
      </c>
      <c r="H306" s="38">
        <v>14958461</v>
      </c>
      <c r="I306" s="19" t="str">
        <f>IF(OR(COUNTIF(Monitoring!C:C, F306) &gt; 0, COUNTIF(Monitoring!D:D, F306) &gt; 0), "yes", "no")</f>
        <v>yes</v>
      </c>
      <c r="J306" s="70" t="str">
        <f t="shared" si="26"/>
        <v>Z:\FAIR_Device_data\Experiment_JulAug_2021\Video_captures\2021-07-28\2021-07-28_17-07-40.mp4</v>
      </c>
    </row>
    <row r="307" spans="1:10" x14ac:dyDescent="0.3">
      <c r="A307" s="1">
        <f t="shared" si="27"/>
        <v>44406</v>
      </c>
      <c r="B307" s="34">
        <f t="shared" si="28"/>
        <v>0.37643518518518521</v>
      </c>
      <c r="C307" s="34">
        <f t="shared" si="29"/>
        <v>44406.376435185186</v>
      </c>
      <c r="D307" s="69" t="str">
        <f t="shared" si="30"/>
        <v>2021-07-29</v>
      </c>
      <c r="E307" s="36" t="s">
        <v>1227</v>
      </c>
      <c r="F307" s="35" t="str">
        <f t="shared" si="25"/>
        <v>2021-07-29_09-02-04</v>
      </c>
      <c r="G307" s="37">
        <v>83906706</v>
      </c>
      <c r="H307" s="38">
        <v>107030251</v>
      </c>
      <c r="I307" s="19" t="str">
        <f>IF(OR(COUNTIF(Monitoring!C:C, F307) &gt; 0, COUNTIF(Monitoring!D:D, F307) &gt; 0), "yes", "no")</f>
        <v>yes</v>
      </c>
      <c r="J307" s="70" t="str">
        <f t="shared" si="26"/>
        <v>Z:\FAIR_Device_data\Experiment_JulAug_2021\Video_captures\2021-07-29\2021-07-29_09-02-04.mp4</v>
      </c>
    </row>
    <row r="308" spans="1:10" x14ac:dyDescent="0.3">
      <c r="A308" s="1">
        <f t="shared" si="27"/>
        <v>44406</v>
      </c>
      <c r="B308" s="34">
        <f t="shared" si="28"/>
        <v>0.38224537037037037</v>
      </c>
      <c r="C308" s="34">
        <f t="shared" si="29"/>
        <v>44406.382245370369</v>
      </c>
      <c r="D308" s="69" t="str">
        <f t="shared" si="30"/>
        <v>2021-07-29</v>
      </c>
      <c r="E308" s="36" t="s">
        <v>1228</v>
      </c>
      <c r="F308" s="35" t="str">
        <f t="shared" si="25"/>
        <v>2021-07-29_09-10-26</v>
      </c>
      <c r="G308" s="37">
        <v>200899740</v>
      </c>
      <c r="H308" s="38">
        <v>182912086</v>
      </c>
      <c r="I308" s="19" t="str">
        <f>IF(OR(COUNTIF(Monitoring!C:C, F308) &gt; 0, COUNTIF(Monitoring!D:D, F308) &gt; 0), "yes", "no")</f>
        <v>yes</v>
      </c>
      <c r="J308" s="70" t="str">
        <f t="shared" si="26"/>
        <v>Z:\FAIR_Device_data\Experiment_JulAug_2021\Video_captures\2021-07-29\2021-07-29_09-10-26.mp4</v>
      </c>
    </row>
    <row r="309" spans="1:10" x14ac:dyDescent="0.3">
      <c r="A309" s="1">
        <f t="shared" si="27"/>
        <v>44406</v>
      </c>
      <c r="B309" s="34">
        <f t="shared" si="28"/>
        <v>0.61563657407407413</v>
      </c>
      <c r="C309" s="34">
        <f t="shared" si="29"/>
        <v>44406.615636574075</v>
      </c>
      <c r="D309" s="69" t="str">
        <f t="shared" si="30"/>
        <v>2021-07-29</v>
      </c>
      <c r="E309" s="36" t="s">
        <v>1229</v>
      </c>
      <c r="F309" s="35" t="str">
        <f t="shared" si="25"/>
        <v>2021-07-29_14-46-31</v>
      </c>
      <c r="G309" s="37">
        <v>26936133</v>
      </c>
      <c r="H309" s="38">
        <v>24927829</v>
      </c>
      <c r="I309" s="19" t="str">
        <f>IF(OR(COUNTIF(Monitoring!C:C, F309) &gt; 0, COUNTIF(Monitoring!D:D, F309) &gt; 0), "yes", "no")</f>
        <v>yes</v>
      </c>
      <c r="J309" s="70" t="str">
        <f t="shared" si="26"/>
        <v>Z:\FAIR_Device_data\Experiment_JulAug_2021\Video_captures\2021-07-29\2021-07-29_14-46-31.mp4</v>
      </c>
    </row>
    <row r="310" spans="1:10" x14ac:dyDescent="0.3">
      <c r="A310" s="1">
        <f t="shared" si="27"/>
        <v>44406</v>
      </c>
      <c r="B310" s="34">
        <f t="shared" si="28"/>
        <v>0.69172453703703707</v>
      </c>
      <c r="C310" s="34">
        <f t="shared" si="29"/>
        <v>44406.691724537035</v>
      </c>
      <c r="D310" s="69" t="str">
        <f t="shared" si="30"/>
        <v>2021-07-29</v>
      </c>
      <c r="E310" s="36" t="s">
        <v>1230</v>
      </c>
      <c r="F310" s="35" t="str">
        <f t="shared" si="25"/>
        <v>2021-07-29_16-36-05</v>
      </c>
      <c r="G310" s="37">
        <v>17418685</v>
      </c>
      <c r="H310" s="38">
        <v>21614080</v>
      </c>
      <c r="I310" s="19" t="str">
        <f>IF(OR(COUNTIF(Monitoring!C:C, F310) &gt; 0, COUNTIF(Monitoring!D:D, F310) &gt; 0), "yes", "no")</f>
        <v>yes</v>
      </c>
      <c r="J310" s="70" t="str">
        <f t="shared" si="26"/>
        <v>Z:\FAIR_Device_data\Experiment_JulAug_2021\Video_captures\2021-07-29\2021-07-29_16-36-05.mp4</v>
      </c>
    </row>
    <row r="311" spans="1:10" x14ac:dyDescent="0.3">
      <c r="A311" s="1">
        <f t="shared" si="27"/>
        <v>44406</v>
      </c>
      <c r="B311" s="34">
        <f t="shared" si="28"/>
        <v>0.69262731481481477</v>
      </c>
      <c r="C311" s="34">
        <f t="shared" si="29"/>
        <v>44406.692627314813</v>
      </c>
      <c r="D311" s="69" t="str">
        <f t="shared" si="30"/>
        <v>2021-07-29</v>
      </c>
      <c r="E311" s="36" t="s">
        <v>1231</v>
      </c>
      <c r="F311" s="35" t="str">
        <f t="shared" si="25"/>
        <v>2021-07-29_16-37-23</v>
      </c>
      <c r="G311" s="37">
        <v>172474740</v>
      </c>
      <c r="H311" s="38">
        <v>248548800</v>
      </c>
      <c r="I311" s="19" t="str">
        <f>IF(OR(COUNTIF(Monitoring!C:C, F311) &gt; 0, COUNTIF(Monitoring!D:D, F311) &gt; 0), "yes", "no")</f>
        <v>yes</v>
      </c>
      <c r="J311" s="70" t="str">
        <f t="shared" si="26"/>
        <v>Z:\FAIR_Device_data\Experiment_JulAug_2021\Video_captures\2021-07-29\2021-07-29_16-37-23.mp4</v>
      </c>
    </row>
    <row r="312" spans="1:10" x14ac:dyDescent="0.3">
      <c r="A312" s="1">
        <f t="shared" si="27"/>
        <v>44406</v>
      </c>
      <c r="B312" s="34">
        <f t="shared" si="28"/>
        <v>0.7211805555555556</v>
      </c>
      <c r="C312" s="34">
        <f t="shared" si="29"/>
        <v>44406.721180555556</v>
      </c>
      <c r="D312" s="69" t="str">
        <f t="shared" si="30"/>
        <v>2021-07-29</v>
      </c>
      <c r="E312" s="36" t="s">
        <v>1232</v>
      </c>
      <c r="F312" s="35" t="str">
        <f t="shared" si="25"/>
        <v>2021-07-29_17-18-30</v>
      </c>
      <c r="G312" s="37">
        <v>17602148</v>
      </c>
      <c r="H312" s="38">
        <v>21831387</v>
      </c>
      <c r="I312" s="19" t="str">
        <f>IF(OR(COUNTIF(Monitoring!C:C, F312) &gt; 0, COUNTIF(Monitoring!D:D, F312) &gt; 0), "yes", "no")</f>
        <v>yes</v>
      </c>
      <c r="J312" s="70" t="str">
        <f t="shared" si="26"/>
        <v>Z:\FAIR_Device_data\Experiment_JulAug_2021\Video_captures\2021-07-29\2021-07-29_17-18-30.mp4</v>
      </c>
    </row>
    <row r="313" spans="1:10" x14ac:dyDescent="0.3">
      <c r="A313" s="1">
        <f t="shared" si="27"/>
        <v>44406</v>
      </c>
      <c r="B313" s="34">
        <f t="shared" si="28"/>
        <v>0.72508101851851847</v>
      </c>
      <c r="C313" s="34">
        <f t="shared" si="29"/>
        <v>44406.725081018521</v>
      </c>
      <c r="D313" s="69" t="str">
        <f t="shared" si="30"/>
        <v>2021-07-29</v>
      </c>
      <c r="E313" s="36" t="s">
        <v>1233</v>
      </c>
      <c r="F313" s="35" t="str">
        <f t="shared" si="25"/>
        <v>2021-07-29_17-24-07</v>
      </c>
      <c r="G313" s="37">
        <v>45195691</v>
      </c>
      <c r="H313" s="38">
        <v>54880531</v>
      </c>
      <c r="I313" s="19" t="str">
        <f>IF(OR(COUNTIF(Monitoring!C:C, F313) &gt; 0, COUNTIF(Monitoring!D:D, F313) &gt; 0), "yes", "no")</f>
        <v>yes</v>
      </c>
      <c r="J313" s="70" t="str">
        <f t="shared" si="26"/>
        <v>Z:\FAIR_Device_data\Experiment_JulAug_2021\Video_captures\2021-07-29\2021-07-29_17-24-07.mp4</v>
      </c>
    </row>
    <row r="314" spans="1:10" x14ac:dyDescent="0.3">
      <c r="A314" s="1">
        <f t="shared" si="27"/>
        <v>44406</v>
      </c>
      <c r="B314" s="34">
        <f t="shared" si="28"/>
        <v>0.75093750000000004</v>
      </c>
      <c r="C314" s="34">
        <f t="shared" si="29"/>
        <v>44406.750937500001</v>
      </c>
      <c r="D314" s="69" t="str">
        <f t="shared" si="30"/>
        <v>2021-07-29</v>
      </c>
      <c r="E314" s="36" t="s">
        <v>1234</v>
      </c>
      <c r="F314" s="35" t="str">
        <f t="shared" si="25"/>
        <v>2021-07-29_18-01-21</v>
      </c>
      <c r="G314" s="37">
        <v>9622461</v>
      </c>
      <c r="H314" s="38">
        <v>9710140</v>
      </c>
      <c r="I314" s="19" t="str">
        <f>IF(OR(COUNTIF(Monitoring!C:C, F314) &gt; 0, COUNTIF(Monitoring!D:D, F314) &gt; 0), "yes", "no")</f>
        <v>yes</v>
      </c>
      <c r="J314" s="70" t="str">
        <f t="shared" si="26"/>
        <v>Z:\FAIR_Device_data\Experiment_JulAug_2021\Video_captures\2021-07-29\2021-07-29_18-01-21.mp4</v>
      </c>
    </row>
    <row r="315" spans="1:10" x14ac:dyDescent="0.3">
      <c r="A315" s="1">
        <f t="shared" si="27"/>
        <v>44406</v>
      </c>
      <c r="B315" s="34">
        <f t="shared" si="28"/>
        <v>0.75135416666666666</v>
      </c>
      <c r="C315" s="34">
        <f t="shared" si="29"/>
        <v>44406.751354166663</v>
      </c>
      <c r="D315" s="69" t="str">
        <f t="shared" si="30"/>
        <v>2021-07-29</v>
      </c>
      <c r="E315" s="36" t="s">
        <v>1235</v>
      </c>
      <c r="F315" s="35" t="str">
        <f t="shared" si="25"/>
        <v>2021-07-29_18-01-57</v>
      </c>
      <c r="G315" s="37">
        <v>47397786</v>
      </c>
      <c r="H315" s="38">
        <v>56317458</v>
      </c>
      <c r="I315" s="19" t="str">
        <f>IF(OR(COUNTIF(Monitoring!C:C, F315) &gt; 0, COUNTIF(Monitoring!D:D, F315) &gt; 0), "yes", "no")</f>
        <v>yes</v>
      </c>
      <c r="J315" s="70" t="str">
        <f t="shared" si="26"/>
        <v>Z:\FAIR_Device_data\Experiment_JulAug_2021\Video_captures\2021-07-29\2021-07-29_18-01-57.mp4</v>
      </c>
    </row>
    <row r="316" spans="1:10" x14ac:dyDescent="0.3">
      <c r="A316" s="1">
        <f t="shared" si="27"/>
        <v>44406</v>
      </c>
      <c r="B316" s="34">
        <f t="shared" si="28"/>
        <v>0.76519675925925923</v>
      </c>
      <c r="C316" s="34">
        <f t="shared" si="29"/>
        <v>44406.765196759261</v>
      </c>
      <c r="D316" s="69" t="str">
        <f t="shared" si="30"/>
        <v>2021-07-29</v>
      </c>
      <c r="E316" s="36" t="s">
        <v>1236</v>
      </c>
      <c r="F316" s="35" t="str">
        <f t="shared" si="25"/>
        <v>2021-07-29_18-21-53</v>
      </c>
      <c r="G316" s="37">
        <v>10342969</v>
      </c>
      <c r="H316" s="38">
        <v>10884627</v>
      </c>
      <c r="I316" s="19" t="str">
        <f>IF(OR(COUNTIF(Monitoring!C:C, F316) &gt; 0, COUNTIF(Monitoring!D:D, F316) &gt; 0), "yes", "no")</f>
        <v>yes</v>
      </c>
      <c r="J316" s="70" t="str">
        <f t="shared" si="26"/>
        <v>Z:\FAIR_Device_data\Experiment_JulAug_2021\Video_captures\2021-07-29\2021-07-29_18-21-53.mp4</v>
      </c>
    </row>
    <row r="317" spans="1:10" x14ac:dyDescent="0.3">
      <c r="A317" s="1">
        <f t="shared" si="27"/>
        <v>44406</v>
      </c>
      <c r="B317" s="34">
        <f t="shared" si="28"/>
        <v>0.78119212962962958</v>
      </c>
      <c r="C317" s="34">
        <f t="shared" si="29"/>
        <v>44406.781192129631</v>
      </c>
      <c r="D317" s="69" t="str">
        <f t="shared" si="30"/>
        <v>2021-07-29</v>
      </c>
      <c r="E317" s="36" t="s">
        <v>1237</v>
      </c>
      <c r="F317" s="35" t="str">
        <f t="shared" si="25"/>
        <v>2021-07-29_18-44-55</v>
      </c>
      <c r="G317" s="37">
        <v>9324870</v>
      </c>
      <c r="H317" s="38">
        <v>9822010</v>
      </c>
      <c r="I317" s="19" t="str">
        <f>IF(OR(COUNTIF(Monitoring!C:C, F317) &gt; 0, COUNTIF(Monitoring!D:D, F317) &gt; 0), "yes", "no")</f>
        <v>yes</v>
      </c>
      <c r="J317" s="70" t="str">
        <f t="shared" si="26"/>
        <v>Z:\FAIR_Device_data\Experiment_JulAug_2021\Video_captures\2021-07-29\2021-07-29_18-44-55.mp4</v>
      </c>
    </row>
    <row r="318" spans="1:10" x14ac:dyDescent="0.3">
      <c r="A318" s="1">
        <f t="shared" si="27"/>
        <v>44406</v>
      </c>
      <c r="B318" s="34">
        <f t="shared" si="28"/>
        <v>0.78399305555555554</v>
      </c>
      <c r="C318" s="34">
        <f t="shared" si="29"/>
        <v>44406.783993055556</v>
      </c>
      <c r="D318" s="69" t="str">
        <f t="shared" si="30"/>
        <v>2021-07-29</v>
      </c>
      <c r="E318" s="36" t="s">
        <v>1238</v>
      </c>
      <c r="F318" s="35" t="str">
        <f t="shared" si="25"/>
        <v>2021-07-29_18-48-57</v>
      </c>
      <c r="G318" s="37">
        <v>19515495</v>
      </c>
      <c r="H318" s="38">
        <v>23560230</v>
      </c>
      <c r="I318" s="19" t="str">
        <f>IF(OR(COUNTIF(Monitoring!C:C, F318) &gt; 0, COUNTIF(Monitoring!D:D, F318) &gt; 0), "yes", "no")</f>
        <v>yes</v>
      </c>
      <c r="J318" s="70" t="str">
        <f t="shared" si="26"/>
        <v>Z:\FAIR_Device_data\Experiment_JulAug_2021\Video_captures\2021-07-29\2021-07-29_18-48-57.mp4</v>
      </c>
    </row>
    <row r="319" spans="1:10" x14ac:dyDescent="0.3">
      <c r="A319" s="1">
        <f t="shared" si="27"/>
        <v>44406</v>
      </c>
      <c r="B319" s="34">
        <f t="shared" si="28"/>
        <v>0.78553240740740737</v>
      </c>
      <c r="C319" s="34">
        <f t="shared" si="29"/>
        <v>44406.785532407404</v>
      </c>
      <c r="D319" s="69" t="str">
        <f t="shared" si="30"/>
        <v>2021-07-29</v>
      </c>
      <c r="E319" s="36" t="s">
        <v>1239</v>
      </c>
      <c r="F319" s="35" t="str">
        <f t="shared" si="25"/>
        <v>2021-07-29_18-51-10</v>
      </c>
      <c r="G319" s="37">
        <v>11333398</v>
      </c>
      <c r="H319" s="38">
        <v>12425002</v>
      </c>
      <c r="I319" s="19" t="str">
        <f>IF(OR(COUNTIF(Monitoring!C:C, F319) &gt; 0, COUNTIF(Monitoring!D:D, F319) &gt; 0), "yes", "no")</f>
        <v>yes</v>
      </c>
      <c r="J319" s="70" t="str">
        <f t="shared" si="26"/>
        <v>Z:\FAIR_Device_data\Experiment_JulAug_2021\Video_captures\2021-07-29\2021-07-29_18-51-10.mp4</v>
      </c>
    </row>
    <row r="320" spans="1:10" x14ac:dyDescent="0.3">
      <c r="A320" s="1">
        <f t="shared" si="27"/>
        <v>44407</v>
      </c>
      <c r="B320" s="34">
        <f t="shared" si="28"/>
        <v>0.39938657407407407</v>
      </c>
      <c r="C320" s="34">
        <f t="shared" si="29"/>
        <v>44407.399386574078</v>
      </c>
      <c r="D320" s="69" t="str">
        <f t="shared" si="30"/>
        <v>2021-07-30</v>
      </c>
      <c r="E320" s="36" t="s">
        <v>1240</v>
      </c>
      <c r="F320" s="35" t="str">
        <f t="shared" si="25"/>
        <v>2021-07-30_09-35-07</v>
      </c>
      <c r="G320" s="37">
        <v>723633333</v>
      </c>
      <c r="H320" s="38">
        <v>86285930</v>
      </c>
      <c r="I320" s="19" t="str">
        <f>IF(OR(COUNTIF(Monitoring!C:C, F320) &gt; 0, COUNTIF(Monitoring!D:D, F320) &gt; 0), "yes", "no")</f>
        <v>yes</v>
      </c>
      <c r="J320" s="70" t="str">
        <f t="shared" si="26"/>
        <v>Z:\FAIR_Device_data\Experiment_JulAug_2021\Video_captures\2021-07-30\2021-07-30_09-35-07.avi</v>
      </c>
    </row>
    <row r="321" spans="1:10" x14ac:dyDescent="0.3">
      <c r="A321" s="1">
        <f t="shared" si="27"/>
        <v>44407</v>
      </c>
      <c r="B321" s="34">
        <f t="shared" si="28"/>
        <v>0.47641203703703705</v>
      </c>
      <c r="C321" s="34">
        <f t="shared" si="29"/>
        <v>44407.476412037038</v>
      </c>
      <c r="D321" s="69" t="str">
        <f t="shared" si="30"/>
        <v>2021-07-30</v>
      </c>
      <c r="E321" s="36" t="s">
        <v>1241</v>
      </c>
      <c r="F321" s="35" t="str">
        <f t="shared" si="25"/>
        <v>2021-07-30_11-26-02</v>
      </c>
      <c r="G321" s="37">
        <v>8733333</v>
      </c>
      <c r="H321" s="38">
        <v>920316</v>
      </c>
      <c r="I321" s="19" t="str">
        <f>IF(OR(COUNTIF(Monitoring!C:C, F321) &gt; 0, COUNTIF(Monitoring!D:D, F321) &gt; 0), "yes", "no")</f>
        <v>yes</v>
      </c>
      <c r="J321" s="70" t="str">
        <f t="shared" si="26"/>
        <v>Z:\FAIR_Device_data\Experiment_JulAug_2021\Video_captures\2021-07-30\2021-07-30_11-26-02.avi</v>
      </c>
    </row>
    <row r="322" spans="1:10" x14ac:dyDescent="0.3">
      <c r="A322" s="1">
        <f t="shared" si="27"/>
        <v>44407</v>
      </c>
      <c r="B322" s="34">
        <f t="shared" si="28"/>
        <v>0.51527777777777772</v>
      </c>
      <c r="C322" s="34">
        <f t="shared" si="29"/>
        <v>44407.515277777777</v>
      </c>
      <c r="D322" s="69" t="str">
        <f t="shared" si="30"/>
        <v>2021-07-30</v>
      </c>
      <c r="E322" s="36" t="s">
        <v>1242</v>
      </c>
      <c r="F322" s="35" t="str">
        <f t="shared" ref="F322:F385" si="31">+LEFT(E322,19)</f>
        <v>2021-07-30_12-22-00</v>
      </c>
      <c r="G322" s="37">
        <v>27300000</v>
      </c>
      <c r="H322" s="38">
        <v>4221970</v>
      </c>
      <c r="I322" s="19" t="str">
        <f>IF(OR(COUNTIF(Monitoring!C:C, F322) &gt; 0, COUNTIF(Monitoring!D:D, F322) &gt; 0), "yes", "no")</f>
        <v>yes</v>
      </c>
      <c r="J322" s="70" t="str">
        <f t="shared" ref="J322:J385" si="32">HYPERLINK(_xlfn.CONCAT("Z:\FAIR_Device_data\Experiment_JulAug_2021","\","Video_captures","\",D322,"\",E322))</f>
        <v>Z:\FAIR_Device_data\Experiment_JulAug_2021\Video_captures\2021-07-30\2021-07-30_12-22-00.avi</v>
      </c>
    </row>
    <row r="323" spans="1:10" x14ac:dyDescent="0.3">
      <c r="A323" s="1">
        <f t="shared" ref="A323:A386" si="33">VALUE(MID(F323,1,10))</f>
        <v>44407</v>
      </c>
      <c r="B323" s="34">
        <f t="shared" ref="B323:B386" si="34">IF(ISBLANK(F323),"",TIME(LEFT(RIGHT(F323,8),2),LEFT(RIGHT(F323,5),2),RIGHT(F323,2)))</f>
        <v>0.51804398148148145</v>
      </c>
      <c r="C323" s="34">
        <f t="shared" ref="C323:C386" si="35">+A323+B323</f>
        <v>44407.518043981479</v>
      </c>
      <c r="D323" s="69" t="str">
        <f t="shared" ref="D323:D386" si="36">+_xlfn.CONCAT(YEAR(A323),"-",TEXT(MONTH(A323),"00"),"-",TEXT(DAY(A323),"00"))</f>
        <v>2021-07-30</v>
      </c>
      <c r="E323" s="36" t="s">
        <v>1243</v>
      </c>
      <c r="F323" s="35" t="str">
        <f t="shared" si="31"/>
        <v>2021-07-30_12-25-59</v>
      </c>
      <c r="G323" s="37">
        <v>127793103</v>
      </c>
      <c r="H323" s="38">
        <v>21399394</v>
      </c>
      <c r="I323" s="19" t="str">
        <f>IF(OR(COUNTIF(Monitoring!C:C, F323) &gt; 0, COUNTIF(Monitoring!D:D, F323) &gt; 0), "yes", "no")</f>
        <v>yes</v>
      </c>
      <c r="J323" s="70" t="str">
        <f t="shared" si="32"/>
        <v>Z:\FAIR_Device_data\Experiment_JulAug_2021\Video_captures\2021-07-30\2021-07-30_12-25-59.avi</v>
      </c>
    </row>
    <row r="324" spans="1:10" x14ac:dyDescent="0.3">
      <c r="A324" s="1">
        <f t="shared" si="33"/>
        <v>44407</v>
      </c>
      <c r="B324" s="34">
        <f t="shared" si="34"/>
        <v>0.63460648148148147</v>
      </c>
      <c r="C324" s="34">
        <f t="shared" si="35"/>
        <v>44407.634606481479</v>
      </c>
      <c r="D324" s="69" t="str">
        <f t="shared" si="36"/>
        <v>2021-07-30</v>
      </c>
      <c r="E324" s="36" t="s">
        <v>1244</v>
      </c>
      <c r="F324" s="35" t="str">
        <f t="shared" si="31"/>
        <v>2021-07-30_15-13-50</v>
      </c>
      <c r="G324" s="37">
        <v>16133333</v>
      </c>
      <c r="H324" s="38">
        <v>2173642</v>
      </c>
      <c r="I324" s="19" t="str">
        <f>IF(OR(COUNTIF(Monitoring!C:C, F324) &gt; 0, COUNTIF(Monitoring!D:D, F324) &gt; 0), "yes", "no")</f>
        <v>yes</v>
      </c>
      <c r="J324" s="70" t="str">
        <f t="shared" si="32"/>
        <v>Z:\FAIR_Device_data\Experiment_JulAug_2021\Video_captures\2021-07-30\2021-07-30_15-13-50.avi</v>
      </c>
    </row>
    <row r="325" spans="1:10" x14ac:dyDescent="0.3">
      <c r="A325" s="1">
        <f t="shared" si="33"/>
        <v>44407</v>
      </c>
      <c r="B325" s="34">
        <f t="shared" si="34"/>
        <v>0.63577546296296295</v>
      </c>
      <c r="C325" s="34">
        <f t="shared" si="35"/>
        <v>44407.635775462964</v>
      </c>
      <c r="D325" s="69" t="str">
        <f t="shared" si="36"/>
        <v>2021-07-30</v>
      </c>
      <c r="E325" s="36" t="s">
        <v>1245</v>
      </c>
      <c r="F325" s="35" t="str">
        <f t="shared" si="31"/>
        <v>2021-07-30_15-15-31</v>
      </c>
      <c r="G325" s="37">
        <v>150266667</v>
      </c>
      <c r="H325" s="38">
        <v>21428488</v>
      </c>
      <c r="I325" s="19" t="str">
        <f>IF(OR(COUNTIF(Monitoring!C:C, F325) &gt; 0, COUNTIF(Monitoring!D:D, F325) &gt; 0), "yes", "no")</f>
        <v>yes</v>
      </c>
      <c r="J325" s="70" t="str">
        <f t="shared" si="32"/>
        <v>Z:\FAIR_Device_data\Experiment_JulAug_2021\Video_captures\2021-07-30\2021-07-30_15-15-31.avi</v>
      </c>
    </row>
    <row r="326" spans="1:10" x14ac:dyDescent="0.3">
      <c r="A326" s="1">
        <f t="shared" si="33"/>
        <v>44407</v>
      </c>
      <c r="B326" s="34">
        <f t="shared" si="34"/>
        <v>0.63920138888888889</v>
      </c>
      <c r="C326" s="34">
        <f t="shared" si="35"/>
        <v>44407.639201388891</v>
      </c>
      <c r="D326" s="69" t="str">
        <f t="shared" si="36"/>
        <v>2021-07-30</v>
      </c>
      <c r="E326" s="36" t="s">
        <v>1246</v>
      </c>
      <c r="F326" s="35" t="str">
        <f t="shared" si="31"/>
        <v>2021-07-30_15-20-27</v>
      </c>
      <c r="G326" s="37">
        <v>21700000</v>
      </c>
      <c r="H326" s="38">
        <v>3274750</v>
      </c>
      <c r="I326" s="19" t="str">
        <f>IF(OR(COUNTIF(Monitoring!C:C, F326) &gt; 0, COUNTIF(Monitoring!D:D, F326) &gt; 0), "yes", "no")</f>
        <v>yes</v>
      </c>
      <c r="J326" s="70" t="str">
        <f t="shared" si="32"/>
        <v>Z:\FAIR_Device_data\Experiment_JulAug_2021\Video_captures\2021-07-30\2021-07-30_15-20-27.avi</v>
      </c>
    </row>
    <row r="327" spans="1:10" x14ac:dyDescent="0.3">
      <c r="A327" s="1">
        <f t="shared" si="33"/>
        <v>44407</v>
      </c>
      <c r="B327" s="34">
        <f t="shared" si="34"/>
        <v>0.66326388888888888</v>
      </c>
      <c r="C327" s="34">
        <f t="shared" si="35"/>
        <v>44407.663263888891</v>
      </c>
      <c r="D327" s="69" t="str">
        <f t="shared" si="36"/>
        <v>2021-07-30</v>
      </c>
      <c r="E327" s="36" t="s">
        <v>1247</v>
      </c>
      <c r="F327" s="35" t="str">
        <f t="shared" si="31"/>
        <v>2021-07-30_15-55-06</v>
      </c>
      <c r="G327" s="37">
        <v>12633333</v>
      </c>
      <c r="H327" s="38">
        <v>1522638</v>
      </c>
      <c r="I327" s="19" t="str">
        <f>IF(OR(COUNTIF(Monitoring!C:C, F327) &gt; 0, COUNTIF(Monitoring!D:D, F327) &gt; 0), "yes", "no")</f>
        <v>yes</v>
      </c>
      <c r="J327" s="70" t="str">
        <f t="shared" si="32"/>
        <v>Z:\FAIR_Device_data\Experiment_JulAug_2021\Video_captures\2021-07-30\2021-07-30_15-55-06.avi</v>
      </c>
    </row>
    <row r="328" spans="1:10" x14ac:dyDescent="0.3">
      <c r="A328" s="1">
        <f t="shared" si="33"/>
        <v>44407</v>
      </c>
      <c r="B328" s="34">
        <f t="shared" si="34"/>
        <v>0.7153356481481481</v>
      </c>
      <c r="C328" s="34">
        <f t="shared" si="35"/>
        <v>44407.71533564815</v>
      </c>
      <c r="D328" s="69" t="str">
        <f t="shared" si="36"/>
        <v>2021-07-30</v>
      </c>
      <c r="E328" s="36" t="s">
        <v>1248</v>
      </c>
      <c r="F328" s="35" t="str">
        <f t="shared" si="31"/>
        <v>2021-07-30_17-10-05</v>
      </c>
      <c r="G328" s="37">
        <v>8933333</v>
      </c>
      <c r="H328" s="38">
        <v>953274</v>
      </c>
      <c r="I328" s="19" t="str">
        <f>IF(OR(COUNTIF(Monitoring!C:C, F328) &gt; 0, COUNTIF(Monitoring!D:D, F328) &gt; 0), "yes", "no")</f>
        <v>yes</v>
      </c>
      <c r="J328" s="70" t="str">
        <f t="shared" si="32"/>
        <v>Z:\FAIR_Device_data\Experiment_JulAug_2021\Video_captures\2021-07-30\2021-07-30_17-10-05.avi</v>
      </c>
    </row>
    <row r="329" spans="1:10" x14ac:dyDescent="0.3">
      <c r="A329" s="1">
        <f t="shared" si="33"/>
        <v>44407</v>
      </c>
      <c r="B329" s="34">
        <f t="shared" si="34"/>
        <v>0.71615740740740741</v>
      </c>
      <c r="C329" s="34">
        <f t="shared" si="35"/>
        <v>44407.716157407405</v>
      </c>
      <c r="D329" s="69" t="str">
        <f t="shared" si="36"/>
        <v>2021-07-30</v>
      </c>
      <c r="E329" s="36" t="s">
        <v>1249</v>
      </c>
      <c r="F329" s="35" t="str">
        <f t="shared" si="31"/>
        <v>2021-07-30_17-11-16</v>
      </c>
      <c r="G329" s="37">
        <v>8862069</v>
      </c>
      <c r="H329" s="38">
        <v>996196</v>
      </c>
      <c r="I329" s="19" t="str">
        <f>IF(OR(COUNTIF(Monitoring!C:C, F329) &gt; 0, COUNTIF(Monitoring!D:D, F329) &gt; 0), "yes", "no")</f>
        <v>yes</v>
      </c>
      <c r="J329" s="70" t="str">
        <f t="shared" si="32"/>
        <v>Z:\FAIR_Device_data\Experiment_JulAug_2021\Video_captures\2021-07-30\2021-07-30_17-11-16.avi</v>
      </c>
    </row>
    <row r="330" spans="1:10" x14ac:dyDescent="0.3">
      <c r="A330" s="1">
        <f t="shared" si="33"/>
        <v>44407</v>
      </c>
      <c r="B330" s="34">
        <f t="shared" si="34"/>
        <v>0.72621527777777772</v>
      </c>
      <c r="C330" s="34">
        <f t="shared" si="35"/>
        <v>44407.726215277777</v>
      </c>
      <c r="D330" s="69" t="str">
        <f t="shared" si="36"/>
        <v>2021-07-30</v>
      </c>
      <c r="E330" s="36" t="s">
        <v>1250</v>
      </c>
      <c r="F330" s="35" t="str">
        <f t="shared" si="31"/>
        <v>2021-07-30_17-25-45</v>
      </c>
      <c r="G330" s="37">
        <v>8733333</v>
      </c>
      <c r="H330" s="38">
        <v>953980</v>
      </c>
      <c r="I330" s="19" t="str">
        <f>IF(OR(COUNTIF(Monitoring!C:C, F330) &gt; 0, COUNTIF(Monitoring!D:D, F330) &gt; 0), "yes", "no")</f>
        <v>no</v>
      </c>
      <c r="J330" s="70" t="str">
        <f t="shared" si="32"/>
        <v>Z:\FAIR_Device_data\Experiment_JulAug_2021\Video_captures\2021-07-30\2021-07-30_17-25-45.avi</v>
      </c>
    </row>
    <row r="331" spans="1:10" x14ac:dyDescent="0.3">
      <c r="A331" s="1">
        <f t="shared" si="33"/>
        <v>44407</v>
      </c>
      <c r="B331" s="34">
        <f t="shared" si="34"/>
        <v>0.75365740740740739</v>
      </c>
      <c r="C331" s="34">
        <f t="shared" si="35"/>
        <v>44407.753657407404</v>
      </c>
      <c r="D331" s="69" t="str">
        <f t="shared" si="36"/>
        <v>2021-07-30</v>
      </c>
      <c r="E331" s="36" t="s">
        <v>1251</v>
      </c>
      <c r="F331" s="35" t="str">
        <f t="shared" si="31"/>
        <v>2021-07-30_18-05-16</v>
      </c>
      <c r="G331" s="37">
        <v>8700000</v>
      </c>
      <c r="H331" s="38">
        <v>942512</v>
      </c>
      <c r="I331" s="19" t="str">
        <f>IF(OR(COUNTIF(Monitoring!C:C, F331) &gt; 0, COUNTIF(Monitoring!D:D, F331) &gt; 0), "yes", "no")</f>
        <v>no</v>
      </c>
      <c r="J331" s="70" t="str">
        <f t="shared" si="32"/>
        <v>Z:\FAIR_Device_data\Experiment_JulAug_2021\Video_captures\2021-07-30\2021-07-30_18-05-16.avi</v>
      </c>
    </row>
    <row r="332" spans="1:10" x14ac:dyDescent="0.3">
      <c r="A332" s="1">
        <f t="shared" si="33"/>
        <v>44407</v>
      </c>
      <c r="B332" s="34">
        <f t="shared" si="34"/>
        <v>0.75589120370370366</v>
      </c>
      <c r="C332" s="34">
        <f t="shared" si="35"/>
        <v>44407.755891203706</v>
      </c>
      <c r="D332" s="69" t="str">
        <f t="shared" si="36"/>
        <v>2021-07-30</v>
      </c>
      <c r="E332" s="36" t="s">
        <v>1252</v>
      </c>
      <c r="F332" s="35" t="str">
        <f t="shared" si="31"/>
        <v>2021-07-30_18-08-29</v>
      </c>
      <c r="G332" s="37">
        <v>78600000</v>
      </c>
      <c r="H332" s="38">
        <v>13155130</v>
      </c>
      <c r="I332" s="19" t="str">
        <f>IF(OR(COUNTIF(Monitoring!C:C, F332) &gt; 0, COUNTIF(Monitoring!D:D, F332) &gt; 0), "yes", "no")</f>
        <v>yes</v>
      </c>
      <c r="J332" s="70" t="str">
        <f t="shared" si="32"/>
        <v>Z:\FAIR_Device_data\Experiment_JulAug_2021\Video_captures\2021-07-30\2021-07-30_18-08-29.avi</v>
      </c>
    </row>
    <row r="333" spans="1:10" x14ac:dyDescent="0.3">
      <c r="A333" s="1">
        <f t="shared" si="33"/>
        <v>44407</v>
      </c>
      <c r="B333" s="34">
        <f t="shared" si="34"/>
        <v>0.77555555555555555</v>
      </c>
      <c r="C333" s="34">
        <f t="shared" si="35"/>
        <v>44407.775555555556</v>
      </c>
      <c r="D333" s="69" t="str">
        <f t="shared" si="36"/>
        <v>2021-07-30</v>
      </c>
      <c r="E333" s="36" t="s">
        <v>1253</v>
      </c>
      <c r="F333" s="35" t="str">
        <f t="shared" si="31"/>
        <v>2021-07-30_18-36-48</v>
      </c>
      <c r="G333" s="37">
        <v>103000000</v>
      </c>
      <c r="H333" s="38">
        <v>11720494</v>
      </c>
      <c r="I333" s="19" t="str">
        <f>IF(OR(COUNTIF(Monitoring!C:C, F333) &gt; 0, COUNTIF(Monitoring!D:D, F333) &gt; 0), "yes", "no")</f>
        <v>no</v>
      </c>
      <c r="J333" s="70" t="str">
        <f t="shared" si="32"/>
        <v>Z:\FAIR_Device_data\Experiment_JulAug_2021\Video_captures\2021-07-30\2021-07-30_18-36-48.avi</v>
      </c>
    </row>
    <row r="334" spans="1:10" x14ac:dyDescent="0.3">
      <c r="A334" s="1">
        <f t="shared" si="33"/>
        <v>44408</v>
      </c>
      <c r="B334" s="34">
        <f t="shared" si="34"/>
        <v>0.28662037037037036</v>
      </c>
      <c r="C334" s="34">
        <f t="shared" si="35"/>
        <v>44408.286620370367</v>
      </c>
      <c r="D334" s="69" t="str">
        <f t="shared" si="36"/>
        <v>2021-07-31</v>
      </c>
      <c r="E334" s="36" t="s">
        <v>1254</v>
      </c>
      <c r="F334" s="35" t="str">
        <f t="shared" si="31"/>
        <v>2021-07-31_06-52-44</v>
      </c>
      <c r="G334" s="37">
        <v>156100000</v>
      </c>
      <c r="H334" s="38">
        <v>25533332</v>
      </c>
      <c r="I334" s="19" t="str">
        <f>IF(OR(COUNTIF(Monitoring!C:C, F334) &gt; 0, COUNTIF(Monitoring!D:D, F334) &gt; 0), "yes", "no")</f>
        <v>yes</v>
      </c>
      <c r="J334" s="70" t="str">
        <f t="shared" si="32"/>
        <v>Z:\FAIR_Device_data\Experiment_JulAug_2021\Video_captures\2021-07-31\2021-07-31_06-52-44.avi</v>
      </c>
    </row>
    <row r="335" spans="1:10" x14ac:dyDescent="0.3">
      <c r="A335" s="1">
        <f t="shared" si="33"/>
        <v>44408</v>
      </c>
      <c r="B335" s="34">
        <f t="shared" si="34"/>
        <v>0.68940972222222219</v>
      </c>
      <c r="C335" s="34">
        <f t="shared" si="35"/>
        <v>44408.689409722225</v>
      </c>
      <c r="D335" s="69" t="str">
        <f t="shared" si="36"/>
        <v>2021-07-31</v>
      </c>
      <c r="E335" s="36" t="s">
        <v>1255</v>
      </c>
      <c r="F335" s="35" t="str">
        <f t="shared" si="31"/>
        <v>2021-07-31_16-32-45</v>
      </c>
      <c r="G335" s="37">
        <v>40833333</v>
      </c>
      <c r="H335" s="38">
        <v>7030906</v>
      </c>
      <c r="I335" s="19" t="str">
        <f>IF(OR(COUNTIF(Monitoring!C:C, F335) &gt; 0, COUNTIF(Monitoring!D:D, F335) &gt; 0), "yes", "no")</f>
        <v>yes</v>
      </c>
      <c r="J335" s="70" t="str">
        <f t="shared" si="32"/>
        <v>Z:\FAIR_Device_data\Experiment_JulAug_2021\Video_captures\2021-07-31\2021-07-31_16-32-45.avi</v>
      </c>
    </row>
    <row r="336" spans="1:10" x14ac:dyDescent="0.3">
      <c r="A336" s="1">
        <f t="shared" si="33"/>
        <v>44408</v>
      </c>
      <c r="B336" s="34">
        <f t="shared" si="34"/>
        <v>0.71687500000000004</v>
      </c>
      <c r="C336" s="34">
        <f t="shared" si="35"/>
        <v>44408.716874999998</v>
      </c>
      <c r="D336" s="69" t="str">
        <f t="shared" si="36"/>
        <v>2021-07-31</v>
      </c>
      <c r="E336" s="36" t="s">
        <v>1256</v>
      </c>
      <c r="F336" s="35" t="str">
        <f t="shared" si="31"/>
        <v>2021-07-31_17-12-18</v>
      </c>
      <c r="G336" s="37">
        <v>1417633333</v>
      </c>
      <c r="H336" s="38">
        <v>246411092</v>
      </c>
      <c r="I336" s="19" t="str">
        <f>IF(OR(COUNTIF(Monitoring!C:C, F336) &gt; 0, COUNTIF(Monitoring!D:D, F336) &gt; 0), "yes", "no")</f>
        <v>yes</v>
      </c>
      <c r="J336" s="70" t="str">
        <f t="shared" si="32"/>
        <v>Z:\FAIR_Device_data\Experiment_JulAug_2021\Video_captures\2021-07-31\2021-07-31_17-12-18.avi</v>
      </c>
    </row>
    <row r="337" spans="1:10" x14ac:dyDescent="0.3">
      <c r="A337" s="1">
        <f t="shared" si="33"/>
        <v>44408</v>
      </c>
      <c r="B337" s="34">
        <f t="shared" si="34"/>
        <v>0.76187499999999997</v>
      </c>
      <c r="C337" s="34">
        <f t="shared" si="35"/>
        <v>44408.761874999997</v>
      </c>
      <c r="D337" s="69" t="str">
        <f t="shared" si="36"/>
        <v>2021-07-31</v>
      </c>
      <c r="E337" s="36" t="s">
        <v>1257</v>
      </c>
      <c r="F337" s="35" t="str">
        <f t="shared" si="31"/>
        <v>2021-07-31_18-17-06</v>
      </c>
      <c r="G337" s="37">
        <v>427700000</v>
      </c>
      <c r="H337" s="38">
        <v>64472742</v>
      </c>
      <c r="I337" s="19" t="str">
        <f>IF(OR(COUNTIF(Monitoring!C:C, F337) &gt; 0, COUNTIF(Monitoring!D:D, F337) &gt; 0), "yes", "no")</f>
        <v>yes</v>
      </c>
      <c r="J337" s="70" t="str">
        <f t="shared" si="32"/>
        <v>Z:\FAIR_Device_data\Experiment_JulAug_2021\Video_captures\2021-07-31\2021-07-31_18-17-06.avi</v>
      </c>
    </row>
    <row r="338" spans="1:10" x14ac:dyDescent="0.3">
      <c r="A338" s="1">
        <f t="shared" si="33"/>
        <v>44408</v>
      </c>
      <c r="B338" s="34">
        <f t="shared" si="34"/>
        <v>0.77849537037037042</v>
      </c>
      <c r="C338" s="34">
        <f t="shared" si="35"/>
        <v>44408.778495370374</v>
      </c>
      <c r="D338" s="69" t="str">
        <f t="shared" si="36"/>
        <v>2021-07-31</v>
      </c>
      <c r="E338" s="36" t="s">
        <v>1258</v>
      </c>
      <c r="F338" s="35" t="str">
        <f t="shared" si="31"/>
        <v>2021-07-31_18-41-02</v>
      </c>
      <c r="G338" s="37">
        <v>124000000</v>
      </c>
      <c r="H338" s="38">
        <v>18925824</v>
      </c>
      <c r="I338" s="19" t="str">
        <f>IF(OR(COUNTIF(Monitoring!C:C, F338) &gt; 0, COUNTIF(Monitoring!D:D, F338) &gt; 0), "yes", "no")</f>
        <v>yes</v>
      </c>
      <c r="J338" s="70" t="str">
        <f t="shared" si="32"/>
        <v>Z:\FAIR_Device_data\Experiment_JulAug_2021\Video_captures\2021-07-31\2021-07-31_18-41-02.avi</v>
      </c>
    </row>
    <row r="339" spans="1:10" x14ac:dyDescent="0.3">
      <c r="A339" s="1">
        <f t="shared" si="33"/>
        <v>44408</v>
      </c>
      <c r="B339" s="34">
        <f t="shared" si="34"/>
        <v>0.78844907407407405</v>
      </c>
      <c r="C339" s="34">
        <f t="shared" si="35"/>
        <v>44408.788449074076</v>
      </c>
      <c r="D339" s="69" t="str">
        <f t="shared" si="36"/>
        <v>2021-07-31</v>
      </c>
      <c r="E339" s="36" t="s">
        <v>1259</v>
      </c>
      <c r="F339" s="35" t="str">
        <f t="shared" si="31"/>
        <v>2021-07-31_18-55-22</v>
      </c>
      <c r="G339" s="37">
        <v>8900000</v>
      </c>
      <c r="H339" s="38">
        <v>1086376</v>
      </c>
      <c r="I339" s="19" t="str">
        <f>IF(OR(COUNTIF(Monitoring!C:C, F339) &gt; 0, COUNTIF(Monitoring!D:D, F339) &gt; 0), "yes", "no")</f>
        <v>yes</v>
      </c>
      <c r="J339" s="70" t="str">
        <f t="shared" si="32"/>
        <v>Z:\FAIR_Device_data\Experiment_JulAug_2021\Video_captures\2021-07-31\2021-07-31_18-55-22.avi</v>
      </c>
    </row>
    <row r="340" spans="1:10" x14ac:dyDescent="0.3">
      <c r="A340" s="1">
        <f t="shared" si="33"/>
        <v>44409</v>
      </c>
      <c r="B340" s="34">
        <f t="shared" si="34"/>
        <v>0.32158564814814816</v>
      </c>
      <c r="C340" s="34">
        <f t="shared" si="35"/>
        <v>44409.321585648147</v>
      </c>
      <c r="D340" s="69" t="str">
        <f t="shared" si="36"/>
        <v>2021-08-01</v>
      </c>
      <c r="E340" s="36" t="s">
        <v>1260</v>
      </c>
      <c r="F340" s="35" t="str">
        <f t="shared" si="31"/>
        <v>2021-08-01_07-43-05</v>
      </c>
      <c r="G340" s="37">
        <v>239900000</v>
      </c>
      <c r="H340" s="38">
        <v>37708390</v>
      </c>
      <c r="I340" s="19" t="str">
        <f>IF(OR(COUNTIF(Monitoring!C:C, F340) &gt; 0, COUNTIF(Monitoring!D:D, F340) &gt; 0), "yes", "no")</f>
        <v>yes</v>
      </c>
      <c r="J340" s="70" t="str">
        <f t="shared" si="32"/>
        <v>Z:\FAIR_Device_data\Experiment_JulAug_2021\Video_captures\2021-08-01\2021-08-01_07-43-05.avi</v>
      </c>
    </row>
    <row r="341" spans="1:10" x14ac:dyDescent="0.3">
      <c r="A341" s="1">
        <f t="shared" si="33"/>
        <v>44409</v>
      </c>
      <c r="B341" s="34">
        <f t="shared" si="34"/>
        <v>0.46327546296296296</v>
      </c>
      <c r="C341" s="34">
        <f t="shared" si="35"/>
        <v>44409.463275462964</v>
      </c>
      <c r="D341" s="69" t="str">
        <f t="shared" si="36"/>
        <v>2021-08-01</v>
      </c>
      <c r="E341" s="36" t="s">
        <v>1261</v>
      </c>
      <c r="F341" s="35" t="str">
        <f t="shared" si="31"/>
        <v>2021-08-01_11-07-07</v>
      </c>
      <c r="G341" s="37">
        <v>9066667</v>
      </c>
      <c r="H341" s="38">
        <v>1103576</v>
      </c>
      <c r="I341" s="19" t="str">
        <f>IF(OR(COUNTIF(Monitoring!C:C, F341) &gt; 0, COUNTIF(Monitoring!D:D, F341) &gt; 0), "yes", "no")</f>
        <v>yes</v>
      </c>
      <c r="J341" s="70" t="str">
        <f t="shared" si="32"/>
        <v>Z:\FAIR_Device_data\Experiment_JulAug_2021\Video_captures\2021-08-01\2021-08-01_11-07-07.avi</v>
      </c>
    </row>
    <row r="342" spans="1:10" x14ac:dyDescent="0.3">
      <c r="A342" s="1">
        <f t="shared" si="33"/>
        <v>44409</v>
      </c>
      <c r="B342" s="34">
        <f t="shared" si="34"/>
        <v>0.58423611111111107</v>
      </c>
      <c r="C342" s="34">
        <f t="shared" si="35"/>
        <v>44409.584236111114</v>
      </c>
      <c r="D342" s="69" t="str">
        <f t="shared" si="36"/>
        <v>2021-08-01</v>
      </c>
      <c r="E342" s="36" t="s">
        <v>1262</v>
      </c>
      <c r="F342" s="35" t="str">
        <f t="shared" si="31"/>
        <v>2021-08-01_14-01-18</v>
      </c>
      <c r="G342" s="37">
        <v>37633333</v>
      </c>
      <c r="H342" s="38">
        <v>6625276</v>
      </c>
      <c r="I342" s="19" t="str">
        <f>IF(OR(COUNTIF(Monitoring!C:C, F342) &gt; 0, COUNTIF(Monitoring!D:D, F342) &gt; 0), "yes", "no")</f>
        <v>yes</v>
      </c>
      <c r="J342" s="70" t="str">
        <f t="shared" si="32"/>
        <v>Z:\FAIR_Device_data\Experiment_JulAug_2021\Video_captures\2021-08-01\2021-08-01_14-01-18.avi</v>
      </c>
    </row>
    <row r="343" spans="1:10" x14ac:dyDescent="0.3">
      <c r="A343" s="1">
        <f t="shared" si="33"/>
        <v>44409</v>
      </c>
      <c r="B343" s="34">
        <f t="shared" si="34"/>
        <v>0.64</v>
      </c>
      <c r="C343" s="34">
        <f t="shared" si="35"/>
        <v>44409.64</v>
      </c>
      <c r="D343" s="69" t="str">
        <f t="shared" si="36"/>
        <v>2021-08-01</v>
      </c>
      <c r="E343" s="36" t="s">
        <v>1263</v>
      </c>
      <c r="F343" s="35" t="str">
        <f t="shared" si="31"/>
        <v>2021-08-01_15-21-36</v>
      </c>
      <c r="G343" s="37">
        <v>467800000</v>
      </c>
      <c r="H343" s="38">
        <v>81313630</v>
      </c>
      <c r="I343" s="19" t="str">
        <f>IF(OR(COUNTIF(Monitoring!C:C, F343) &gt; 0, COUNTIF(Monitoring!D:D, F343) &gt; 0), "yes", "no")</f>
        <v>yes</v>
      </c>
      <c r="J343" s="70" t="str">
        <f t="shared" si="32"/>
        <v>Z:\FAIR_Device_data\Experiment_JulAug_2021\Video_captures\2021-08-01\2021-08-01_15-21-36.avi</v>
      </c>
    </row>
    <row r="344" spans="1:10" x14ac:dyDescent="0.3">
      <c r="A344" s="1">
        <f t="shared" si="33"/>
        <v>44409</v>
      </c>
      <c r="B344" s="34">
        <f t="shared" si="34"/>
        <v>0.64594907407407409</v>
      </c>
      <c r="C344" s="34">
        <f t="shared" si="35"/>
        <v>44409.645949074074</v>
      </c>
      <c r="D344" s="69" t="str">
        <f t="shared" si="36"/>
        <v>2021-08-01</v>
      </c>
      <c r="E344" s="36" t="s">
        <v>1264</v>
      </c>
      <c r="F344" s="35" t="str">
        <f t="shared" si="31"/>
        <v>2021-08-01_15-30-10</v>
      </c>
      <c r="G344" s="37">
        <v>435807692</v>
      </c>
      <c r="H344" s="38">
        <v>65817600</v>
      </c>
      <c r="I344" s="19" t="str">
        <f>IF(OR(COUNTIF(Monitoring!C:C, F344) &gt; 0, COUNTIF(Monitoring!D:D, F344) &gt; 0), "yes", "no")</f>
        <v>yes</v>
      </c>
      <c r="J344" s="70" t="str">
        <f t="shared" si="32"/>
        <v>Z:\FAIR_Device_data\Experiment_JulAug_2021\Video_captures\2021-08-01\2021-08-01_15-30-10.avi</v>
      </c>
    </row>
    <row r="345" spans="1:10" x14ac:dyDescent="0.3">
      <c r="A345" s="1">
        <f t="shared" si="33"/>
        <v>44409</v>
      </c>
      <c r="B345" s="34">
        <f t="shared" si="34"/>
        <v>0.65402777777777776</v>
      </c>
      <c r="C345" s="34">
        <f t="shared" si="35"/>
        <v>44409.654027777775</v>
      </c>
      <c r="D345" s="69" t="str">
        <f t="shared" si="36"/>
        <v>2021-08-01</v>
      </c>
      <c r="E345" s="36" t="s">
        <v>1265</v>
      </c>
      <c r="F345" s="35" t="str">
        <f t="shared" si="31"/>
        <v>2021-08-01_15-41-48</v>
      </c>
      <c r="G345" s="37">
        <v>32400000</v>
      </c>
      <c r="H345" s="38">
        <v>4102530</v>
      </c>
      <c r="I345" s="19" t="str">
        <f>IF(OR(COUNTIF(Monitoring!C:C, F345) &gt; 0, COUNTIF(Monitoring!D:D, F345) &gt; 0), "yes", "no")</f>
        <v>no</v>
      </c>
      <c r="J345" s="70" t="str">
        <f t="shared" si="32"/>
        <v>Z:\FAIR_Device_data\Experiment_JulAug_2021\Video_captures\2021-08-01\2021-08-01_15-41-48.avi</v>
      </c>
    </row>
    <row r="346" spans="1:10" x14ac:dyDescent="0.3">
      <c r="A346" s="1">
        <f t="shared" si="33"/>
        <v>44409</v>
      </c>
      <c r="B346" s="34">
        <f t="shared" si="34"/>
        <v>0.66401620370370373</v>
      </c>
      <c r="C346" s="34">
        <f t="shared" si="35"/>
        <v>44409.6640162037</v>
      </c>
      <c r="D346" s="69" t="str">
        <f t="shared" si="36"/>
        <v>2021-08-01</v>
      </c>
      <c r="E346" s="36" t="s">
        <v>1266</v>
      </c>
      <c r="F346" s="35" t="str">
        <f t="shared" si="31"/>
        <v>2021-08-01_15-56-11</v>
      </c>
      <c r="G346" s="37">
        <v>315466667</v>
      </c>
      <c r="H346" s="38">
        <v>51262212</v>
      </c>
      <c r="I346" s="19" t="str">
        <f>IF(OR(COUNTIF(Monitoring!C:C, F346) &gt; 0, COUNTIF(Monitoring!D:D, F346) &gt; 0), "yes", "no")</f>
        <v>yes</v>
      </c>
      <c r="J346" s="70" t="str">
        <f t="shared" si="32"/>
        <v>Z:\FAIR_Device_data\Experiment_JulAug_2021\Video_captures\2021-08-01\2021-08-01_15-56-11.avi</v>
      </c>
    </row>
    <row r="347" spans="1:10" x14ac:dyDescent="0.3">
      <c r="A347" s="1">
        <f t="shared" si="33"/>
        <v>44409</v>
      </c>
      <c r="B347" s="34">
        <f t="shared" si="34"/>
        <v>0.68027777777777776</v>
      </c>
      <c r="C347" s="34">
        <f t="shared" si="35"/>
        <v>44409.680277777778</v>
      </c>
      <c r="D347" s="69" t="str">
        <f t="shared" si="36"/>
        <v>2021-08-01</v>
      </c>
      <c r="E347" s="36" t="s">
        <v>1267</v>
      </c>
      <c r="F347" s="35" t="str">
        <f t="shared" si="31"/>
        <v>2021-08-01_16-19-36</v>
      </c>
      <c r="G347" s="37">
        <v>115133333</v>
      </c>
      <c r="H347" s="38">
        <v>16981546</v>
      </c>
      <c r="I347" s="19" t="str">
        <f>IF(OR(COUNTIF(Monitoring!C:C, F347) &gt; 0, COUNTIF(Monitoring!D:D, F347) &gt; 0), "yes", "no")</f>
        <v>yes</v>
      </c>
      <c r="J347" s="70" t="str">
        <f t="shared" si="32"/>
        <v>Z:\FAIR_Device_data\Experiment_JulAug_2021\Video_captures\2021-08-01\2021-08-01_16-19-36.avi</v>
      </c>
    </row>
    <row r="348" spans="1:10" x14ac:dyDescent="0.3">
      <c r="A348" s="1">
        <f t="shared" si="33"/>
        <v>44409</v>
      </c>
      <c r="B348" s="34">
        <f t="shared" si="34"/>
        <v>0.69295138888888885</v>
      </c>
      <c r="C348" s="34">
        <f t="shared" si="35"/>
        <v>44409.69295138889</v>
      </c>
      <c r="D348" s="69" t="str">
        <f t="shared" si="36"/>
        <v>2021-08-01</v>
      </c>
      <c r="E348" s="36" t="s">
        <v>1268</v>
      </c>
      <c r="F348" s="35" t="str">
        <f t="shared" si="31"/>
        <v>2021-08-01_16-37-51</v>
      </c>
      <c r="G348" s="37">
        <v>9517241</v>
      </c>
      <c r="H348" s="38">
        <v>1177358</v>
      </c>
      <c r="I348" s="19" t="str">
        <f>IF(OR(COUNTIF(Monitoring!C:C, F348) &gt; 0, COUNTIF(Monitoring!D:D, F348) &gt; 0), "yes", "no")</f>
        <v>yes</v>
      </c>
      <c r="J348" s="70" t="str">
        <f t="shared" si="32"/>
        <v>Z:\FAIR_Device_data\Experiment_JulAug_2021\Video_captures\2021-08-01\2021-08-01_16-37-51.avi</v>
      </c>
    </row>
    <row r="349" spans="1:10" x14ac:dyDescent="0.3">
      <c r="A349" s="1">
        <f t="shared" si="33"/>
        <v>44409</v>
      </c>
      <c r="B349" s="34">
        <f t="shared" si="34"/>
        <v>0.7308217592592593</v>
      </c>
      <c r="C349" s="34">
        <f t="shared" si="35"/>
        <v>44409.730821759258</v>
      </c>
      <c r="D349" s="69" t="str">
        <f t="shared" si="36"/>
        <v>2021-08-01</v>
      </c>
      <c r="E349" s="36" t="s">
        <v>1269</v>
      </c>
      <c r="F349" s="35" t="str">
        <f t="shared" si="31"/>
        <v>2021-08-01_17-32-23</v>
      </c>
      <c r="G349" s="37">
        <v>1715733333</v>
      </c>
      <c r="H349" s="38">
        <v>284620954</v>
      </c>
      <c r="I349" s="19" t="str">
        <f>IF(OR(COUNTIF(Monitoring!C:C, F349) &gt; 0, COUNTIF(Monitoring!D:D, F349) &gt; 0), "yes", "no")</f>
        <v>yes</v>
      </c>
      <c r="J349" s="70" t="str">
        <f t="shared" si="32"/>
        <v>Z:\FAIR_Device_data\Experiment_JulAug_2021\Video_captures\2021-08-01\2021-08-01_17-32-23.avi</v>
      </c>
    </row>
    <row r="350" spans="1:10" x14ac:dyDescent="0.3">
      <c r="A350" s="1">
        <f t="shared" si="33"/>
        <v>44409</v>
      </c>
      <c r="B350" s="34">
        <f t="shared" si="34"/>
        <v>0.75891203703703702</v>
      </c>
      <c r="C350" s="34">
        <f t="shared" si="35"/>
        <v>44409.758912037039</v>
      </c>
      <c r="D350" s="69" t="str">
        <f t="shared" si="36"/>
        <v>2021-08-01</v>
      </c>
      <c r="E350" s="36" t="s">
        <v>1270</v>
      </c>
      <c r="F350" s="35" t="str">
        <f t="shared" si="31"/>
        <v>2021-08-01_18-12-50</v>
      </c>
      <c r="G350" s="37">
        <v>11733333</v>
      </c>
      <c r="H350" s="38">
        <v>1655316</v>
      </c>
      <c r="I350" s="19" t="str">
        <f>IF(OR(COUNTIF(Monitoring!C:C, F350) &gt; 0, COUNTIF(Monitoring!D:D, F350) &gt; 0), "yes", "no")</f>
        <v>no</v>
      </c>
      <c r="J350" s="70" t="str">
        <f t="shared" si="32"/>
        <v>Z:\FAIR_Device_data\Experiment_JulAug_2021\Video_captures\2021-08-01\2021-08-01_18-12-50.avi</v>
      </c>
    </row>
    <row r="351" spans="1:10" x14ac:dyDescent="0.3">
      <c r="A351" s="1">
        <f t="shared" si="33"/>
        <v>44409</v>
      </c>
      <c r="B351" s="34">
        <f t="shared" si="34"/>
        <v>0.7814699074074074</v>
      </c>
      <c r="C351" s="34">
        <f t="shared" si="35"/>
        <v>44409.781469907408</v>
      </c>
      <c r="D351" s="69" t="str">
        <f t="shared" si="36"/>
        <v>2021-08-01</v>
      </c>
      <c r="E351" s="36" t="s">
        <v>1271</v>
      </c>
      <c r="F351" s="35" t="str">
        <f t="shared" si="31"/>
        <v>2021-08-01_18-45-19</v>
      </c>
      <c r="G351" s="37">
        <v>10600000</v>
      </c>
      <c r="H351" s="38">
        <v>1357254</v>
      </c>
      <c r="I351" s="19" t="str">
        <f>IF(OR(COUNTIF(Monitoring!C:C, F351) &gt; 0, COUNTIF(Monitoring!D:D, F351) &gt; 0), "yes", "no")</f>
        <v>yes</v>
      </c>
      <c r="J351" s="70" t="str">
        <f t="shared" si="32"/>
        <v>Z:\FAIR_Device_data\Experiment_JulAug_2021\Video_captures\2021-08-01\2021-08-01_18-45-19.avi</v>
      </c>
    </row>
    <row r="352" spans="1:10" x14ac:dyDescent="0.3">
      <c r="A352" s="1">
        <f t="shared" si="33"/>
        <v>44409</v>
      </c>
      <c r="B352" s="34">
        <f t="shared" si="34"/>
        <v>0.7922569444444445</v>
      </c>
      <c r="C352" s="34">
        <f t="shared" si="35"/>
        <v>44409.792256944442</v>
      </c>
      <c r="D352" s="69" t="str">
        <f t="shared" si="36"/>
        <v>2021-08-01</v>
      </c>
      <c r="E352" s="36" t="s">
        <v>1272</v>
      </c>
      <c r="F352" s="35" t="str">
        <f t="shared" si="31"/>
        <v>2021-08-01_19-00-51</v>
      </c>
      <c r="G352" s="37">
        <v>8833333</v>
      </c>
      <c r="H352" s="38">
        <v>1040670</v>
      </c>
      <c r="I352" s="19" t="str">
        <f>IF(OR(COUNTIF(Monitoring!C:C, F352) &gt; 0, COUNTIF(Monitoring!D:D, F352) &gt; 0), "yes", "no")</f>
        <v>no</v>
      </c>
      <c r="J352" s="70" t="str">
        <f t="shared" si="32"/>
        <v>Z:\FAIR_Device_data\Experiment_JulAug_2021\Video_captures\2021-08-01\2021-08-01_19-00-51.avi</v>
      </c>
    </row>
    <row r="353" spans="1:10" x14ac:dyDescent="0.3">
      <c r="A353" s="1">
        <f t="shared" si="33"/>
        <v>44410</v>
      </c>
      <c r="B353" s="34">
        <f t="shared" si="34"/>
        <v>0.25928240740740743</v>
      </c>
      <c r="C353" s="34">
        <f t="shared" si="35"/>
        <v>44410.259282407409</v>
      </c>
      <c r="D353" s="69" t="str">
        <f t="shared" si="36"/>
        <v>2021-08-02</v>
      </c>
      <c r="E353" s="36" t="s">
        <v>1273</v>
      </c>
      <c r="F353" s="35" t="str">
        <f t="shared" si="31"/>
        <v>2021-08-02_06-13-22</v>
      </c>
      <c r="G353" s="37">
        <v>9733333</v>
      </c>
      <c r="H353" s="38">
        <v>1441924</v>
      </c>
      <c r="I353" s="19" t="str">
        <f>IF(OR(COUNTIF(Monitoring!C:C, F353) &gt; 0, COUNTIF(Monitoring!D:D, F353) &gt; 0), "yes", "no")</f>
        <v>yes</v>
      </c>
      <c r="J353" s="70" t="str">
        <f t="shared" si="32"/>
        <v>Z:\FAIR_Device_data\Experiment_JulAug_2021\Video_captures\2021-08-02\2021-08-02_06-13-22.avi</v>
      </c>
    </row>
    <row r="354" spans="1:10" x14ac:dyDescent="0.3">
      <c r="A354" s="1">
        <f t="shared" si="33"/>
        <v>44410</v>
      </c>
      <c r="B354" s="34">
        <f t="shared" si="34"/>
        <v>0.33510416666666665</v>
      </c>
      <c r="C354" s="34">
        <f t="shared" si="35"/>
        <v>44410.335104166668</v>
      </c>
      <c r="D354" s="69" t="str">
        <f t="shared" si="36"/>
        <v>2021-08-02</v>
      </c>
      <c r="E354" s="36" t="s">
        <v>1274</v>
      </c>
      <c r="F354" s="35" t="str">
        <f t="shared" si="31"/>
        <v>2021-08-02_08-02-33</v>
      </c>
      <c r="G354" s="37">
        <v>905266667</v>
      </c>
      <c r="H354" s="38">
        <v>152131590</v>
      </c>
      <c r="I354" s="19" t="str">
        <f>IF(OR(COUNTIF(Monitoring!C:C, F354) &gt; 0, COUNTIF(Monitoring!D:D, F354) &gt; 0), "yes", "no")</f>
        <v>yes</v>
      </c>
      <c r="J354" s="70" t="str">
        <f t="shared" si="32"/>
        <v>Z:\FAIR_Device_data\Experiment_JulAug_2021\Video_captures\2021-08-02\2021-08-02_08-02-33.avi</v>
      </c>
    </row>
    <row r="355" spans="1:10" x14ac:dyDescent="0.3">
      <c r="A355" s="1">
        <f t="shared" si="33"/>
        <v>44410</v>
      </c>
      <c r="B355" s="34">
        <f t="shared" si="34"/>
        <v>0.36959490740740741</v>
      </c>
      <c r="C355" s="34">
        <f t="shared" si="35"/>
        <v>44410.36959490741</v>
      </c>
      <c r="D355" s="69" t="str">
        <f t="shared" si="36"/>
        <v>2021-08-02</v>
      </c>
      <c r="E355" s="36" t="s">
        <v>1275</v>
      </c>
      <c r="F355" s="35" t="str">
        <f t="shared" si="31"/>
        <v>2021-08-02_08-52-13</v>
      </c>
      <c r="G355" s="37">
        <v>88166667</v>
      </c>
      <c r="H355" s="38">
        <v>15525538</v>
      </c>
      <c r="I355" s="19" t="str">
        <f>IF(OR(COUNTIF(Monitoring!C:C, F355) &gt; 0, COUNTIF(Monitoring!D:D, F355) &gt; 0), "yes", "no")</f>
        <v>yes</v>
      </c>
      <c r="J355" s="70" t="str">
        <f t="shared" si="32"/>
        <v>Z:\FAIR_Device_data\Experiment_JulAug_2021\Video_captures\2021-08-02\2021-08-02_08-52-13.avi</v>
      </c>
    </row>
    <row r="356" spans="1:10" x14ac:dyDescent="0.3">
      <c r="A356" s="1">
        <f t="shared" si="33"/>
        <v>44410</v>
      </c>
      <c r="B356" s="34">
        <f t="shared" si="34"/>
        <v>0.37168981481481483</v>
      </c>
      <c r="C356" s="34">
        <f t="shared" si="35"/>
        <v>44410.371689814812</v>
      </c>
      <c r="D356" s="69" t="str">
        <f t="shared" si="36"/>
        <v>2021-08-02</v>
      </c>
      <c r="E356" s="36" t="s">
        <v>1276</v>
      </c>
      <c r="F356" s="35" t="str">
        <f t="shared" si="31"/>
        <v>2021-08-02_08-55-14</v>
      </c>
      <c r="G356" s="37">
        <v>2022966667</v>
      </c>
      <c r="H356" s="38">
        <v>430232548</v>
      </c>
      <c r="I356" s="19" t="str">
        <f>IF(OR(COUNTIF(Monitoring!C:C, F356) &gt; 0, COUNTIF(Monitoring!D:D, F356) &gt; 0), "yes", "no")</f>
        <v>yes</v>
      </c>
      <c r="J356" s="70" t="str">
        <f t="shared" si="32"/>
        <v>Z:\FAIR_Device_data\Experiment_JulAug_2021\Video_captures\2021-08-02\2021-08-02_08-55-14.avi</v>
      </c>
    </row>
    <row r="357" spans="1:10" x14ac:dyDescent="0.3">
      <c r="A357" s="1">
        <f t="shared" si="33"/>
        <v>44410</v>
      </c>
      <c r="B357" s="34">
        <f t="shared" si="34"/>
        <v>0.51333333333333331</v>
      </c>
      <c r="C357" s="34">
        <f t="shared" si="35"/>
        <v>44410.513333333336</v>
      </c>
      <c r="D357" s="69" t="str">
        <f t="shared" si="36"/>
        <v>2021-08-02</v>
      </c>
      <c r="E357" s="36" t="s">
        <v>1277</v>
      </c>
      <c r="F357" s="35" t="str">
        <f t="shared" si="31"/>
        <v>2021-08-02_12-19-12</v>
      </c>
      <c r="G357" s="37">
        <v>74200000</v>
      </c>
      <c r="H357" s="38">
        <v>11323212</v>
      </c>
      <c r="I357" s="19" t="str">
        <f>IF(OR(COUNTIF(Monitoring!C:C, F357) &gt; 0, COUNTIF(Monitoring!D:D, F357) &gt; 0), "yes", "no")</f>
        <v>yes</v>
      </c>
      <c r="J357" s="70" t="str">
        <f t="shared" si="32"/>
        <v>Z:\FAIR_Device_data\Experiment_JulAug_2021\Video_captures\2021-08-02\2021-08-02_12-19-12.avi</v>
      </c>
    </row>
    <row r="358" spans="1:10" x14ac:dyDescent="0.3">
      <c r="A358" s="1">
        <f t="shared" si="33"/>
        <v>44410</v>
      </c>
      <c r="B358" s="34">
        <f t="shared" si="34"/>
        <v>0.54443287037037036</v>
      </c>
      <c r="C358" s="34">
        <f t="shared" si="35"/>
        <v>44410.544432870367</v>
      </c>
      <c r="D358" s="69" t="str">
        <f t="shared" si="36"/>
        <v>2021-08-02</v>
      </c>
      <c r="E358" s="36" t="s">
        <v>1278</v>
      </c>
      <c r="F358" s="35" t="str">
        <f t="shared" si="31"/>
        <v>2021-08-02_13-03-59</v>
      </c>
      <c r="G358" s="37">
        <v>58233333</v>
      </c>
      <c r="H358" s="38">
        <v>8565248</v>
      </c>
      <c r="I358" s="19" t="str">
        <f>IF(OR(COUNTIF(Monitoring!C:C, F358) &gt; 0, COUNTIF(Monitoring!D:D, F358) &gt; 0), "yes", "no")</f>
        <v>yes</v>
      </c>
      <c r="J358" s="70" t="str">
        <f t="shared" si="32"/>
        <v>Z:\FAIR_Device_data\Experiment_JulAug_2021\Video_captures\2021-08-02\2021-08-02_13-03-59.avi</v>
      </c>
    </row>
    <row r="359" spans="1:10" x14ac:dyDescent="0.3">
      <c r="A359" s="1">
        <f t="shared" si="33"/>
        <v>44410</v>
      </c>
      <c r="B359" s="34">
        <f t="shared" si="34"/>
        <v>0.59552083333333339</v>
      </c>
      <c r="C359" s="34">
        <f t="shared" si="35"/>
        <v>44410.595520833333</v>
      </c>
      <c r="D359" s="69" t="str">
        <f t="shared" si="36"/>
        <v>2021-08-02</v>
      </c>
      <c r="E359" s="36" t="s">
        <v>1279</v>
      </c>
      <c r="F359" s="35" t="str">
        <f t="shared" si="31"/>
        <v>2021-08-02_14-17-33</v>
      </c>
      <c r="G359" s="37">
        <v>377333333</v>
      </c>
      <c r="H359" s="38">
        <v>71011398</v>
      </c>
      <c r="I359" s="19" t="str">
        <f>IF(OR(COUNTIF(Monitoring!C:C, F359) &gt; 0, COUNTIF(Monitoring!D:D, F359) &gt; 0), "yes", "no")</f>
        <v>yes</v>
      </c>
      <c r="J359" s="70" t="str">
        <f t="shared" si="32"/>
        <v>Z:\FAIR_Device_data\Experiment_JulAug_2021\Video_captures\2021-08-02\2021-08-02_14-17-33.avi</v>
      </c>
    </row>
    <row r="360" spans="1:10" x14ac:dyDescent="0.3">
      <c r="A360" s="1">
        <f t="shared" si="33"/>
        <v>44410</v>
      </c>
      <c r="B360" s="34">
        <f t="shared" si="34"/>
        <v>0.6106597222222222</v>
      </c>
      <c r="C360" s="34">
        <f t="shared" si="35"/>
        <v>44410.610659722224</v>
      </c>
      <c r="D360" s="69" t="str">
        <f t="shared" si="36"/>
        <v>2021-08-02</v>
      </c>
      <c r="E360" s="36" t="s">
        <v>1280</v>
      </c>
      <c r="F360" s="35" t="str">
        <f t="shared" si="31"/>
        <v>2021-08-02_14-39-21</v>
      </c>
      <c r="G360" s="37">
        <v>104900000</v>
      </c>
      <c r="H360" s="38">
        <v>15336332</v>
      </c>
      <c r="I360" s="19" t="str">
        <f>IF(OR(COUNTIF(Monitoring!C:C, F360) &gt; 0, COUNTIF(Monitoring!D:D, F360) &gt; 0), "yes", "no")</f>
        <v>yes</v>
      </c>
      <c r="J360" s="70" t="str">
        <f t="shared" si="32"/>
        <v>Z:\FAIR_Device_data\Experiment_JulAug_2021\Video_captures\2021-08-02\2021-08-02_14-39-21.avi</v>
      </c>
    </row>
    <row r="361" spans="1:10" x14ac:dyDescent="0.3">
      <c r="A361" s="1">
        <f t="shared" si="33"/>
        <v>44410</v>
      </c>
      <c r="B361" s="34">
        <f t="shared" si="34"/>
        <v>0.61741898148148144</v>
      </c>
      <c r="C361" s="34">
        <f t="shared" si="35"/>
        <v>44410.617418981485</v>
      </c>
      <c r="D361" s="69" t="str">
        <f t="shared" si="36"/>
        <v>2021-08-02</v>
      </c>
      <c r="E361" s="36" t="s">
        <v>1281</v>
      </c>
      <c r="F361" s="35" t="str">
        <f t="shared" si="31"/>
        <v>2021-08-02_14-49-05</v>
      </c>
      <c r="G361" s="37">
        <v>510833333</v>
      </c>
      <c r="H361" s="38">
        <v>91260540</v>
      </c>
      <c r="I361" s="19" t="str">
        <f>IF(OR(COUNTIF(Monitoring!C:C, F361) &gt; 0, COUNTIF(Monitoring!D:D, F361) &gt; 0), "yes", "no")</f>
        <v>yes</v>
      </c>
      <c r="J361" s="70" t="str">
        <f t="shared" si="32"/>
        <v>Z:\FAIR_Device_data\Experiment_JulAug_2021\Video_captures\2021-08-02\2021-08-02_14-49-05.avi</v>
      </c>
    </row>
    <row r="362" spans="1:10" x14ac:dyDescent="0.3">
      <c r="A362" s="1">
        <f t="shared" si="33"/>
        <v>44410</v>
      </c>
      <c r="B362" s="34">
        <f t="shared" si="34"/>
        <v>0.62896990740740744</v>
      </c>
      <c r="C362" s="34">
        <f t="shared" si="35"/>
        <v>44410.628969907404</v>
      </c>
      <c r="D362" s="69" t="str">
        <f t="shared" si="36"/>
        <v>2021-08-02</v>
      </c>
      <c r="E362" s="36" t="s">
        <v>1282</v>
      </c>
      <c r="F362" s="35" t="str">
        <f t="shared" si="31"/>
        <v>2021-08-02_15-05-43</v>
      </c>
      <c r="G362" s="37">
        <v>90966667</v>
      </c>
      <c r="H362" s="38">
        <v>13595748</v>
      </c>
      <c r="I362" s="19" t="str">
        <f>IF(OR(COUNTIF(Monitoring!C:C, F362) &gt; 0, COUNTIF(Monitoring!D:D, F362) &gt; 0), "yes", "no")</f>
        <v>yes</v>
      </c>
      <c r="J362" s="70" t="str">
        <f t="shared" si="32"/>
        <v>Z:\FAIR_Device_data\Experiment_JulAug_2021\Video_captures\2021-08-02\2021-08-02_15-05-43.avi</v>
      </c>
    </row>
    <row r="363" spans="1:10" x14ac:dyDescent="0.3">
      <c r="A363" s="1">
        <f t="shared" si="33"/>
        <v>44410</v>
      </c>
      <c r="B363" s="34">
        <f t="shared" si="34"/>
        <v>0.63949074074074075</v>
      </c>
      <c r="C363" s="34">
        <f t="shared" si="35"/>
        <v>44410.639490740738</v>
      </c>
      <c r="D363" s="69" t="str">
        <f t="shared" si="36"/>
        <v>2021-08-02</v>
      </c>
      <c r="E363" s="36" t="s">
        <v>1283</v>
      </c>
      <c r="F363" s="35" t="str">
        <f t="shared" si="31"/>
        <v>2021-08-02_15-20-52</v>
      </c>
      <c r="G363" s="37">
        <v>324966667</v>
      </c>
      <c r="H363" s="38">
        <v>59507724</v>
      </c>
      <c r="I363" s="19" t="str">
        <f>IF(OR(COUNTIF(Monitoring!C:C, F363) &gt; 0, COUNTIF(Monitoring!D:D, F363) &gt; 0), "yes", "no")</f>
        <v>yes</v>
      </c>
      <c r="J363" s="70" t="str">
        <f t="shared" si="32"/>
        <v>Z:\FAIR_Device_data\Experiment_JulAug_2021\Video_captures\2021-08-02\2021-08-02_15-20-52.avi</v>
      </c>
    </row>
    <row r="364" spans="1:10" x14ac:dyDescent="0.3">
      <c r="A364" s="1">
        <f t="shared" si="33"/>
        <v>44410</v>
      </c>
      <c r="B364" s="34">
        <f t="shared" si="34"/>
        <v>0.65164351851851854</v>
      </c>
      <c r="C364" s="34">
        <f t="shared" si="35"/>
        <v>44410.651643518519</v>
      </c>
      <c r="D364" s="69" t="str">
        <f t="shared" si="36"/>
        <v>2021-08-02</v>
      </c>
      <c r="E364" s="36" t="s">
        <v>1284</v>
      </c>
      <c r="F364" s="35" t="str">
        <f t="shared" si="31"/>
        <v>2021-08-02_15-38-22</v>
      </c>
      <c r="G364" s="37">
        <v>196900000</v>
      </c>
      <c r="H364" s="38">
        <v>36885428</v>
      </c>
      <c r="I364" s="19" t="str">
        <f>IF(OR(COUNTIF(Monitoring!C:C, F364) &gt; 0, COUNTIF(Monitoring!D:D, F364) &gt; 0), "yes", "no")</f>
        <v>yes</v>
      </c>
      <c r="J364" s="70" t="str">
        <f t="shared" si="32"/>
        <v>Z:\FAIR_Device_data\Experiment_JulAug_2021\Video_captures\2021-08-02\2021-08-02_15-38-22.avi</v>
      </c>
    </row>
    <row r="365" spans="1:10" x14ac:dyDescent="0.3">
      <c r="A365" s="1">
        <f t="shared" si="33"/>
        <v>44410</v>
      </c>
      <c r="B365" s="34">
        <f t="shared" si="34"/>
        <v>0.65489583333333334</v>
      </c>
      <c r="C365" s="34">
        <f t="shared" si="35"/>
        <v>44410.654895833337</v>
      </c>
      <c r="D365" s="69" t="str">
        <f t="shared" si="36"/>
        <v>2021-08-02</v>
      </c>
      <c r="E365" s="36" t="s">
        <v>1285</v>
      </c>
      <c r="F365" s="35" t="str">
        <f t="shared" si="31"/>
        <v>2021-08-02_15-43-03</v>
      </c>
      <c r="G365" s="37">
        <v>331266667</v>
      </c>
      <c r="H365" s="38">
        <v>51456632</v>
      </c>
      <c r="I365" s="19" t="str">
        <f>IF(OR(COUNTIF(Monitoring!C:C, F365) &gt; 0, COUNTIF(Monitoring!D:D, F365) &gt; 0), "yes", "no")</f>
        <v>yes</v>
      </c>
      <c r="J365" s="70" t="str">
        <f t="shared" si="32"/>
        <v>Z:\FAIR_Device_data\Experiment_JulAug_2021\Video_captures\2021-08-02\2021-08-02_15-43-03.avi</v>
      </c>
    </row>
    <row r="366" spans="1:10" x14ac:dyDescent="0.3">
      <c r="A366" s="1">
        <f t="shared" si="33"/>
        <v>44410</v>
      </c>
      <c r="B366" s="34">
        <f t="shared" si="34"/>
        <v>0.6655092592592593</v>
      </c>
      <c r="C366" s="34">
        <f t="shared" si="35"/>
        <v>44410.665509259263</v>
      </c>
      <c r="D366" s="69" t="str">
        <f t="shared" si="36"/>
        <v>2021-08-02</v>
      </c>
      <c r="E366" s="36" t="s">
        <v>1286</v>
      </c>
      <c r="F366" s="35" t="str">
        <f t="shared" si="31"/>
        <v>2021-08-02_15-58-20</v>
      </c>
      <c r="G366" s="37">
        <v>88066667</v>
      </c>
      <c r="H366" s="38">
        <v>15631368</v>
      </c>
      <c r="I366" s="19" t="str">
        <f>IF(OR(COUNTIF(Monitoring!C:C, F366) &gt; 0, COUNTIF(Monitoring!D:D, F366) &gt; 0), "yes", "no")</f>
        <v>yes</v>
      </c>
      <c r="J366" s="70" t="str">
        <f t="shared" si="32"/>
        <v>Z:\FAIR_Device_data\Experiment_JulAug_2021\Video_captures\2021-08-02\2021-08-02_15-58-20.avi</v>
      </c>
    </row>
    <row r="367" spans="1:10" x14ac:dyDescent="0.3">
      <c r="A367" s="1">
        <f t="shared" si="33"/>
        <v>44410</v>
      </c>
      <c r="B367" s="34">
        <f t="shared" si="34"/>
        <v>0.67615740740740737</v>
      </c>
      <c r="C367" s="34">
        <f t="shared" si="35"/>
        <v>44410.676157407404</v>
      </c>
      <c r="D367" s="69" t="str">
        <f t="shared" si="36"/>
        <v>2021-08-02</v>
      </c>
      <c r="E367" s="36" t="s">
        <v>1287</v>
      </c>
      <c r="F367" s="35" t="str">
        <f t="shared" si="31"/>
        <v>2021-08-02_16-13-40</v>
      </c>
      <c r="G367" s="37">
        <v>151333333</v>
      </c>
      <c r="H367" s="38">
        <v>23313212</v>
      </c>
      <c r="I367" s="19" t="str">
        <f>IF(OR(COUNTIF(Monitoring!C:C, F367) &gt; 0, COUNTIF(Monitoring!D:D, F367) &gt; 0), "yes", "no")</f>
        <v>yes</v>
      </c>
      <c r="J367" s="70" t="str">
        <f t="shared" si="32"/>
        <v>Z:\FAIR_Device_data\Experiment_JulAug_2021\Video_captures\2021-08-02\2021-08-02_16-13-40.avi</v>
      </c>
    </row>
    <row r="368" spans="1:10" x14ac:dyDescent="0.3">
      <c r="A368" s="1">
        <f t="shared" si="33"/>
        <v>44410</v>
      </c>
      <c r="B368" s="34">
        <f t="shared" si="34"/>
        <v>0.67914351851851851</v>
      </c>
      <c r="C368" s="34">
        <f t="shared" si="35"/>
        <v>44410.679143518515</v>
      </c>
      <c r="D368" s="69" t="str">
        <f t="shared" si="36"/>
        <v>2021-08-02</v>
      </c>
      <c r="E368" s="36" t="s">
        <v>1288</v>
      </c>
      <c r="F368" s="35" t="str">
        <f t="shared" si="31"/>
        <v>2021-08-02_16-17-58</v>
      </c>
      <c r="G368" s="37">
        <v>15724138</v>
      </c>
      <c r="H368" s="38">
        <v>1956520</v>
      </c>
      <c r="I368" s="19" t="str">
        <f>IF(OR(COUNTIF(Monitoring!C:C, F368) &gt; 0, COUNTIF(Monitoring!D:D, F368) &gt; 0), "yes", "no")</f>
        <v>yes</v>
      </c>
      <c r="J368" s="70" t="str">
        <f t="shared" si="32"/>
        <v>Z:\FAIR_Device_data\Experiment_JulAug_2021\Video_captures\2021-08-02\2021-08-02_16-17-58.avi</v>
      </c>
    </row>
    <row r="369" spans="1:10" x14ac:dyDescent="0.3">
      <c r="A369" s="1">
        <f t="shared" si="33"/>
        <v>44410</v>
      </c>
      <c r="B369" s="34">
        <f t="shared" si="34"/>
        <v>0.68870370370370371</v>
      </c>
      <c r="C369" s="34">
        <f t="shared" si="35"/>
        <v>44410.688703703701</v>
      </c>
      <c r="D369" s="69" t="str">
        <f t="shared" si="36"/>
        <v>2021-08-02</v>
      </c>
      <c r="E369" s="36" t="s">
        <v>1289</v>
      </c>
      <c r="F369" s="35" t="str">
        <f t="shared" si="31"/>
        <v>2021-08-02_16-31-44</v>
      </c>
      <c r="G369" s="37">
        <v>60833333</v>
      </c>
      <c r="H369" s="38">
        <v>8016812</v>
      </c>
      <c r="I369" s="19" t="str">
        <f>IF(OR(COUNTIF(Monitoring!C:C, F369) &gt; 0, COUNTIF(Monitoring!D:D, F369) &gt; 0), "yes", "no")</f>
        <v>yes</v>
      </c>
      <c r="J369" s="70" t="str">
        <f t="shared" si="32"/>
        <v>Z:\FAIR_Device_data\Experiment_JulAug_2021\Video_captures\2021-08-02\2021-08-02_16-31-44.avi</v>
      </c>
    </row>
    <row r="370" spans="1:10" x14ac:dyDescent="0.3">
      <c r="A370" s="1">
        <f t="shared" si="33"/>
        <v>44410</v>
      </c>
      <c r="B370" s="34">
        <f t="shared" si="34"/>
        <v>0.69344907407407408</v>
      </c>
      <c r="C370" s="34">
        <f t="shared" si="35"/>
        <v>44410.693449074075</v>
      </c>
      <c r="D370" s="69" t="str">
        <f t="shared" si="36"/>
        <v>2021-08-02</v>
      </c>
      <c r="E370" s="36" t="s">
        <v>1290</v>
      </c>
      <c r="F370" s="35" t="str">
        <f t="shared" si="31"/>
        <v>2021-08-02_16-38-34</v>
      </c>
      <c r="G370" s="37">
        <v>10241379</v>
      </c>
      <c r="H370" s="38">
        <v>1214744</v>
      </c>
      <c r="I370" s="19" t="str">
        <f>IF(OR(COUNTIF(Monitoring!C:C, F370) &gt; 0, COUNTIF(Monitoring!D:D, F370) &gt; 0), "yes", "no")</f>
        <v>yes</v>
      </c>
      <c r="J370" s="70" t="str">
        <f t="shared" si="32"/>
        <v>Z:\FAIR_Device_data\Experiment_JulAug_2021\Video_captures\2021-08-02\2021-08-02_16-38-34.avi</v>
      </c>
    </row>
    <row r="371" spans="1:10" x14ac:dyDescent="0.3">
      <c r="A371" s="1">
        <f t="shared" si="33"/>
        <v>44410</v>
      </c>
      <c r="B371" s="34">
        <f t="shared" si="34"/>
        <v>0.69417824074074075</v>
      </c>
      <c r="C371" s="34">
        <f t="shared" si="35"/>
        <v>44410.694178240738</v>
      </c>
      <c r="D371" s="69" t="str">
        <f t="shared" si="36"/>
        <v>2021-08-02</v>
      </c>
      <c r="E371" s="36" t="s">
        <v>1291</v>
      </c>
      <c r="F371" s="35" t="str">
        <f t="shared" si="31"/>
        <v>2021-08-02_16-39-37</v>
      </c>
      <c r="G371" s="37">
        <v>8933333</v>
      </c>
      <c r="H371" s="38">
        <v>1014504</v>
      </c>
      <c r="I371" s="19" t="str">
        <f>IF(OR(COUNTIF(Monitoring!C:C, F371) &gt; 0, COUNTIF(Monitoring!D:D, F371) &gt; 0), "yes", "no")</f>
        <v>yes</v>
      </c>
      <c r="J371" s="70" t="str">
        <f t="shared" si="32"/>
        <v>Z:\FAIR_Device_data\Experiment_JulAug_2021\Video_captures\2021-08-02\2021-08-02_16-39-37.avi</v>
      </c>
    </row>
    <row r="372" spans="1:10" x14ac:dyDescent="0.3">
      <c r="A372" s="1">
        <f t="shared" si="33"/>
        <v>44410</v>
      </c>
      <c r="B372" s="34">
        <f t="shared" si="34"/>
        <v>0.72018518518518515</v>
      </c>
      <c r="C372" s="34">
        <f t="shared" si="35"/>
        <v>44410.720185185186</v>
      </c>
      <c r="D372" s="69" t="str">
        <f t="shared" si="36"/>
        <v>2021-08-02</v>
      </c>
      <c r="E372" s="36" t="s">
        <v>1292</v>
      </c>
      <c r="F372" s="35" t="str">
        <f t="shared" si="31"/>
        <v>2021-08-02_17-17-04</v>
      </c>
      <c r="G372" s="37">
        <v>92965517</v>
      </c>
      <c r="H372" s="38">
        <v>14049480</v>
      </c>
      <c r="I372" s="19" t="str">
        <f>IF(OR(COUNTIF(Monitoring!C:C, F372) &gt; 0, COUNTIF(Monitoring!D:D, F372) &gt; 0), "yes", "no")</f>
        <v>yes</v>
      </c>
      <c r="J372" s="70" t="str">
        <f t="shared" si="32"/>
        <v>Z:\FAIR_Device_data\Experiment_JulAug_2021\Video_captures\2021-08-02\2021-08-02_17-17-04.avi</v>
      </c>
    </row>
    <row r="373" spans="1:10" x14ac:dyDescent="0.3">
      <c r="A373" s="1">
        <f t="shared" si="33"/>
        <v>44410</v>
      </c>
      <c r="B373" s="34">
        <f t="shared" si="34"/>
        <v>0.74810185185185185</v>
      </c>
      <c r="C373" s="34">
        <f t="shared" si="35"/>
        <v>44410.748101851852</v>
      </c>
      <c r="D373" s="69" t="str">
        <f t="shared" si="36"/>
        <v>2021-08-02</v>
      </c>
      <c r="E373" s="36" t="s">
        <v>1293</v>
      </c>
      <c r="F373" s="35" t="str">
        <f t="shared" si="31"/>
        <v>2021-08-02_17-57-16</v>
      </c>
      <c r="G373" s="37">
        <v>9000000</v>
      </c>
      <c r="H373" s="38">
        <v>1005716</v>
      </c>
      <c r="I373" s="19" t="str">
        <f>IF(OR(COUNTIF(Monitoring!C:C, F373) &gt; 0, COUNTIF(Monitoring!D:D, F373) &gt; 0), "yes", "no")</f>
        <v>yes</v>
      </c>
      <c r="J373" s="70" t="str">
        <f t="shared" si="32"/>
        <v>Z:\FAIR_Device_data\Experiment_JulAug_2021\Video_captures\2021-08-02\2021-08-02_17-57-16.avi</v>
      </c>
    </row>
    <row r="374" spans="1:10" x14ac:dyDescent="0.3">
      <c r="A374" s="1">
        <f t="shared" si="33"/>
        <v>44410</v>
      </c>
      <c r="B374" s="34">
        <f t="shared" si="34"/>
        <v>0.7543981481481481</v>
      </c>
      <c r="C374" s="34">
        <f t="shared" si="35"/>
        <v>44410.75439814815</v>
      </c>
      <c r="D374" s="69" t="str">
        <f t="shared" si="36"/>
        <v>2021-08-02</v>
      </c>
      <c r="E374" s="36" t="s">
        <v>1294</v>
      </c>
      <c r="F374" s="35" t="str">
        <f t="shared" si="31"/>
        <v>2021-08-02_18-06-20</v>
      </c>
      <c r="G374" s="37">
        <v>15200000</v>
      </c>
      <c r="H374" s="38">
        <v>1928710</v>
      </c>
      <c r="I374" s="19" t="str">
        <f>IF(OR(COUNTIF(Monitoring!C:C, F374) &gt; 0, COUNTIF(Monitoring!D:D, F374) &gt; 0), "yes", "no")</f>
        <v>yes</v>
      </c>
      <c r="J374" s="70" t="str">
        <f t="shared" si="32"/>
        <v>Z:\FAIR_Device_data\Experiment_JulAug_2021\Video_captures\2021-08-02\2021-08-02_18-06-20.avi</v>
      </c>
    </row>
    <row r="375" spans="1:10" x14ac:dyDescent="0.3">
      <c r="A375" s="1">
        <f t="shared" si="33"/>
        <v>44410</v>
      </c>
      <c r="B375" s="34">
        <f t="shared" si="34"/>
        <v>0.75945601851851852</v>
      </c>
      <c r="C375" s="34">
        <f t="shared" si="35"/>
        <v>44410.759456018517</v>
      </c>
      <c r="D375" s="69" t="str">
        <f t="shared" si="36"/>
        <v>2021-08-02</v>
      </c>
      <c r="E375" s="36" t="s">
        <v>1295</v>
      </c>
      <c r="F375" s="35" t="str">
        <f t="shared" si="31"/>
        <v>2021-08-02_18-13-37</v>
      </c>
      <c r="G375" s="37">
        <v>8766667</v>
      </c>
      <c r="H375" s="38">
        <v>967956</v>
      </c>
      <c r="I375" s="19" t="str">
        <f>IF(OR(COUNTIF(Monitoring!C:C, F375) &gt; 0, COUNTIF(Monitoring!D:D, F375) &gt; 0), "yes", "no")</f>
        <v>yes</v>
      </c>
      <c r="J375" s="70" t="str">
        <f t="shared" si="32"/>
        <v>Z:\FAIR_Device_data\Experiment_JulAug_2021\Video_captures\2021-08-02\2021-08-02_18-13-37.avi</v>
      </c>
    </row>
    <row r="376" spans="1:10" x14ac:dyDescent="0.3">
      <c r="A376" s="1">
        <f t="shared" si="33"/>
        <v>44410</v>
      </c>
      <c r="B376" s="34">
        <f t="shared" si="34"/>
        <v>0.7835185185185185</v>
      </c>
      <c r="C376" s="34">
        <f t="shared" si="35"/>
        <v>44410.783518518518</v>
      </c>
      <c r="D376" s="69" t="str">
        <f t="shared" si="36"/>
        <v>2021-08-02</v>
      </c>
      <c r="E376" s="36" t="s">
        <v>1296</v>
      </c>
      <c r="F376" s="35" t="str">
        <f t="shared" si="31"/>
        <v>2021-08-02_18-48-16</v>
      </c>
      <c r="G376" s="37">
        <v>22724138</v>
      </c>
      <c r="H376" s="38">
        <v>3057970</v>
      </c>
      <c r="I376" s="19" t="str">
        <f>IF(OR(COUNTIF(Monitoring!C:C, F376) &gt; 0, COUNTIF(Monitoring!D:D, F376) &gt; 0), "yes", "no")</f>
        <v>yes</v>
      </c>
      <c r="J376" s="70" t="str">
        <f t="shared" si="32"/>
        <v>Z:\FAIR_Device_data\Experiment_JulAug_2021\Video_captures\2021-08-02\2021-08-02_18-48-16.avi</v>
      </c>
    </row>
    <row r="377" spans="1:10" x14ac:dyDescent="0.3">
      <c r="A377" s="1">
        <f t="shared" si="33"/>
        <v>44410</v>
      </c>
      <c r="B377" s="34">
        <f t="shared" si="34"/>
        <v>0.79108796296296291</v>
      </c>
      <c r="C377" s="34">
        <f t="shared" si="35"/>
        <v>44410.791087962964</v>
      </c>
      <c r="D377" s="69" t="str">
        <f t="shared" si="36"/>
        <v>2021-08-02</v>
      </c>
      <c r="E377" s="36" t="s">
        <v>1297</v>
      </c>
      <c r="F377" s="35" t="str">
        <f t="shared" si="31"/>
        <v>2021-08-02_18-59-10</v>
      </c>
      <c r="G377" s="37">
        <v>8966667</v>
      </c>
      <c r="H377" s="38">
        <v>972634</v>
      </c>
      <c r="I377" s="19" t="str">
        <f>IF(OR(COUNTIF(Monitoring!C:C, F377) &gt; 0, COUNTIF(Monitoring!D:D, F377) &gt; 0), "yes", "no")</f>
        <v>yes</v>
      </c>
      <c r="J377" s="70" t="str">
        <f t="shared" si="32"/>
        <v>Z:\FAIR_Device_data\Experiment_JulAug_2021\Video_captures\2021-08-02\2021-08-02_18-59-10.avi</v>
      </c>
    </row>
    <row r="378" spans="1:10" x14ac:dyDescent="0.3">
      <c r="A378" s="1">
        <f t="shared" si="33"/>
        <v>44411</v>
      </c>
      <c r="B378" s="34">
        <f t="shared" si="34"/>
        <v>0.25412037037037039</v>
      </c>
      <c r="C378" s="34">
        <f t="shared" si="35"/>
        <v>44411.254120370373</v>
      </c>
      <c r="D378" s="69" t="str">
        <f t="shared" si="36"/>
        <v>2021-08-03</v>
      </c>
      <c r="E378" s="36" t="s">
        <v>1298</v>
      </c>
      <c r="F378" s="35" t="str">
        <f t="shared" si="31"/>
        <v>2021-08-03_06-05-56</v>
      </c>
      <c r="G378" s="37">
        <v>10000000</v>
      </c>
      <c r="H378" s="38">
        <v>1352374</v>
      </c>
      <c r="I378" s="19" t="str">
        <f>IF(OR(COUNTIF(Monitoring!C:C, F378) &gt; 0, COUNTIF(Monitoring!D:D, F378) &gt; 0), "yes", "no")</f>
        <v>yes</v>
      </c>
      <c r="J378" s="70" t="str">
        <f t="shared" si="32"/>
        <v>Z:\FAIR_Device_data\Experiment_JulAug_2021\Video_captures\2021-08-03\2021-08-03_06-05-56.avi</v>
      </c>
    </row>
    <row r="379" spans="1:10" x14ac:dyDescent="0.3">
      <c r="A379" s="1">
        <f t="shared" si="33"/>
        <v>44411</v>
      </c>
      <c r="B379" s="34">
        <f t="shared" si="34"/>
        <v>0.38446759259259261</v>
      </c>
      <c r="C379" s="34">
        <f t="shared" si="35"/>
        <v>44411.384467592594</v>
      </c>
      <c r="D379" s="69" t="str">
        <f t="shared" si="36"/>
        <v>2021-08-03</v>
      </c>
      <c r="E379" s="36" t="s">
        <v>1299</v>
      </c>
      <c r="F379" s="35" t="str">
        <f t="shared" si="31"/>
        <v>2021-08-03_09-13-38</v>
      </c>
      <c r="G379" s="37">
        <v>650866667</v>
      </c>
      <c r="H379" s="38">
        <v>123968926</v>
      </c>
      <c r="I379" s="19" t="str">
        <f>IF(OR(COUNTIF(Monitoring!C:C, F379) &gt; 0, COUNTIF(Monitoring!D:D, F379) &gt; 0), "yes", "no")</f>
        <v>yes</v>
      </c>
      <c r="J379" s="70" t="str">
        <f t="shared" si="32"/>
        <v>Z:\FAIR_Device_data\Experiment_JulAug_2021\Video_captures\2021-08-03\2021-08-03_09-13-38.avi</v>
      </c>
    </row>
    <row r="380" spans="1:10" x14ac:dyDescent="0.3">
      <c r="A380" s="1">
        <f t="shared" si="33"/>
        <v>44411</v>
      </c>
      <c r="B380" s="34">
        <f t="shared" si="34"/>
        <v>0.44362268518518516</v>
      </c>
      <c r="C380" s="34">
        <f t="shared" si="35"/>
        <v>44411.443622685183</v>
      </c>
      <c r="D380" s="69" t="str">
        <f t="shared" si="36"/>
        <v>2021-08-03</v>
      </c>
      <c r="E380" s="36" t="s">
        <v>1300</v>
      </c>
      <c r="F380" s="35" t="str">
        <f t="shared" si="31"/>
        <v>2021-08-03_10-38-49</v>
      </c>
      <c r="G380" s="37">
        <v>312827586</v>
      </c>
      <c r="H380" s="38">
        <v>62241822</v>
      </c>
      <c r="I380" s="19" t="str">
        <f>IF(OR(COUNTIF(Monitoring!C:C, F380) &gt; 0, COUNTIF(Monitoring!D:D, F380) &gt; 0), "yes", "no")</f>
        <v>yes</v>
      </c>
      <c r="J380" s="70" t="str">
        <f t="shared" si="32"/>
        <v>Z:\FAIR_Device_data\Experiment_JulAug_2021\Video_captures\2021-08-03\2021-08-03_10-38-49.avi</v>
      </c>
    </row>
    <row r="381" spans="1:10" x14ac:dyDescent="0.3">
      <c r="A381" s="1">
        <f t="shared" si="33"/>
        <v>44411</v>
      </c>
      <c r="B381" s="34">
        <f t="shared" si="34"/>
        <v>0.44788194444444446</v>
      </c>
      <c r="C381" s="34">
        <f t="shared" si="35"/>
        <v>44411.447881944441</v>
      </c>
      <c r="D381" s="69" t="str">
        <f t="shared" si="36"/>
        <v>2021-08-03</v>
      </c>
      <c r="E381" s="36" t="s">
        <v>1301</v>
      </c>
      <c r="F381" s="35" t="str">
        <f t="shared" si="31"/>
        <v>2021-08-03_10-44-57</v>
      </c>
      <c r="G381" s="37">
        <v>38466667</v>
      </c>
      <c r="H381" s="38">
        <v>4838514</v>
      </c>
      <c r="I381" s="19" t="str">
        <f>IF(OR(COUNTIF(Monitoring!C:C, F381) &gt; 0, COUNTIF(Monitoring!D:D, F381) &gt; 0), "yes", "no")</f>
        <v>no</v>
      </c>
      <c r="J381" s="70" t="str">
        <f t="shared" si="32"/>
        <v>Z:\FAIR_Device_data\Experiment_JulAug_2021\Video_captures\2021-08-03\2021-08-03_10-44-57.avi</v>
      </c>
    </row>
    <row r="382" spans="1:10" x14ac:dyDescent="0.3">
      <c r="A382" s="1">
        <f t="shared" si="33"/>
        <v>44411</v>
      </c>
      <c r="B382" s="34">
        <f t="shared" si="34"/>
        <v>0.45326388888888891</v>
      </c>
      <c r="C382" s="34">
        <f t="shared" si="35"/>
        <v>44411.453263888892</v>
      </c>
      <c r="D382" s="69" t="str">
        <f t="shared" si="36"/>
        <v>2021-08-03</v>
      </c>
      <c r="E382" s="36" t="s">
        <v>1302</v>
      </c>
      <c r="F382" s="35" t="str">
        <f t="shared" si="31"/>
        <v>2021-08-03_10-52-42</v>
      </c>
      <c r="G382" s="37">
        <v>414433333</v>
      </c>
      <c r="H382" s="38">
        <v>74149908</v>
      </c>
      <c r="I382" s="19" t="str">
        <f>IF(OR(COUNTIF(Monitoring!C:C, F382) &gt; 0, COUNTIF(Monitoring!D:D, F382) &gt; 0), "yes", "no")</f>
        <v>yes</v>
      </c>
      <c r="J382" s="70" t="str">
        <f t="shared" si="32"/>
        <v>Z:\FAIR_Device_data\Experiment_JulAug_2021\Video_captures\2021-08-03\2021-08-03_10-52-42.avi</v>
      </c>
    </row>
    <row r="383" spans="1:10" x14ac:dyDescent="0.3">
      <c r="A383" s="1">
        <f t="shared" si="33"/>
        <v>44411</v>
      </c>
      <c r="B383" s="34">
        <f t="shared" si="34"/>
        <v>0.48223379629629631</v>
      </c>
      <c r="C383" s="34">
        <f t="shared" si="35"/>
        <v>44411.482233796298</v>
      </c>
      <c r="D383" s="69" t="str">
        <f t="shared" si="36"/>
        <v>2021-08-03</v>
      </c>
      <c r="E383" s="36" t="s">
        <v>1303</v>
      </c>
      <c r="F383" s="35" t="str">
        <f t="shared" si="31"/>
        <v>2021-08-03_11-34-25</v>
      </c>
      <c r="G383" s="37">
        <v>506800000</v>
      </c>
      <c r="H383" s="38">
        <v>94955122</v>
      </c>
      <c r="I383" s="19" t="str">
        <f>IF(OR(COUNTIF(Monitoring!C:C, F383) &gt; 0, COUNTIF(Monitoring!D:D, F383) &gt; 0), "yes", "no")</f>
        <v>yes</v>
      </c>
      <c r="J383" s="70" t="str">
        <f t="shared" si="32"/>
        <v>Z:\FAIR_Device_data\Experiment_JulAug_2021\Video_captures\2021-08-03\2021-08-03_11-34-25.avi</v>
      </c>
    </row>
    <row r="384" spans="1:10" x14ac:dyDescent="0.3">
      <c r="A384" s="1">
        <f t="shared" si="33"/>
        <v>44411</v>
      </c>
      <c r="B384" s="34">
        <f t="shared" si="34"/>
        <v>0.49331018518518521</v>
      </c>
      <c r="C384" s="34">
        <f t="shared" si="35"/>
        <v>44411.493310185186</v>
      </c>
      <c r="D384" s="69" t="str">
        <f t="shared" si="36"/>
        <v>2021-08-03</v>
      </c>
      <c r="E384" s="36" t="s">
        <v>1304</v>
      </c>
      <c r="F384" s="35" t="str">
        <f t="shared" si="31"/>
        <v>2021-08-03_11-50-22</v>
      </c>
      <c r="G384" s="37">
        <v>665766667</v>
      </c>
      <c r="H384" s="38">
        <v>136014604</v>
      </c>
      <c r="I384" s="19" t="str">
        <f>IF(OR(COUNTIF(Monitoring!C:C, F384) &gt; 0, COUNTIF(Monitoring!D:D, F384) &gt; 0), "yes", "no")</f>
        <v>yes</v>
      </c>
      <c r="J384" s="70" t="str">
        <f t="shared" si="32"/>
        <v>Z:\FAIR_Device_data\Experiment_JulAug_2021\Video_captures\2021-08-03\2021-08-03_11-50-22.avi</v>
      </c>
    </row>
    <row r="385" spans="1:10" x14ac:dyDescent="0.3">
      <c r="A385" s="1">
        <f t="shared" si="33"/>
        <v>44411</v>
      </c>
      <c r="B385" s="34">
        <f t="shared" si="34"/>
        <v>0.5085763888888889</v>
      </c>
      <c r="C385" s="34">
        <f t="shared" si="35"/>
        <v>44411.508576388886</v>
      </c>
      <c r="D385" s="69" t="str">
        <f t="shared" si="36"/>
        <v>2021-08-03</v>
      </c>
      <c r="E385" s="36" t="s">
        <v>1305</v>
      </c>
      <c r="F385" s="35" t="str">
        <f t="shared" si="31"/>
        <v>2021-08-03_12-12-21</v>
      </c>
      <c r="G385" s="37">
        <v>743333333</v>
      </c>
      <c r="H385" s="38">
        <v>139813118</v>
      </c>
      <c r="I385" s="19" t="str">
        <f>IF(OR(COUNTIF(Monitoring!C:C, F385) &gt; 0, COUNTIF(Monitoring!D:D, F385) &gt; 0), "yes", "no")</f>
        <v>yes</v>
      </c>
      <c r="J385" s="70" t="str">
        <f t="shared" si="32"/>
        <v>Z:\FAIR_Device_data\Experiment_JulAug_2021\Video_captures\2021-08-03\2021-08-03_12-12-21.avi</v>
      </c>
    </row>
    <row r="386" spans="1:10" x14ac:dyDescent="0.3">
      <c r="A386" s="1">
        <f t="shared" si="33"/>
        <v>44411</v>
      </c>
      <c r="B386" s="34">
        <f t="shared" si="34"/>
        <v>0.51820601851851855</v>
      </c>
      <c r="C386" s="34">
        <f t="shared" si="35"/>
        <v>44411.518206018518</v>
      </c>
      <c r="D386" s="69" t="str">
        <f t="shared" si="36"/>
        <v>2021-08-03</v>
      </c>
      <c r="E386" s="36" t="s">
        <v>1306</v>
      </c>
      <c r="F386" s="35" t="str">
        <f t="shared" ref="F386:F449" si="37">+LEFT(E386,19)</f>
        <v>2021-08-03_12-26-13</v>
      </c>
      <c r="G386" s="37">
        <v>704448276</v>
      </c>
      <c r="H386" s="38">
        <v>131073802</v>
      </c>
      <c r="I386" s="19" t="str">
        <f>IF(OR(COUNTIF(Monitoring!C:C, F386) &gt; 0, COUNTIF(Monitoring!D:D, F386) &gt; 0), "yes", "no")</f>
        <v>yes</v>
      </c>
      <c r="J386" s="70" t="str">
        <f t="shared" ref="J386:J449" si="38">HYPERLINK(_xlfn.CONCAT("Z:\FAIR_Device_data\Experiment_JulAug_2021","\","Video_captures","\",D386,"\",E386))</f>
        <v>Z:\FAIR_Device_data\Experiment_JulAug_2021\Video_captures\2021-08-03\2021-08-03_12-26-13.avi</v>
      </c>
    </row>
    <row r="387" spans="1:10" x14ac:dyDescent="0.3">
      <c r="A387" s="1">
        <f t="shared" ref="A387:A450" si="39">VALUE(MID(F387,1,10))</f>
        <v>44414</v>
      </c>
      <c r="B387" s="34">
        <f t="shared" ref="B387:B450" si="40">IF(ISBLANK(F387),"",TIME(LEFT(RIGHT(F387,8),2),LEFT(RIGHT(F387,5),2),RIGHT(F387,2)))</f>
        <v>0.71020833333333333</v>
      </c>
      <c r="C387" s="34">
        <f t="shared" ref="C387:C450" si="41">+A387+B387</f>
        <v>44414.71020833333</v>
      </c>
      <c r="D387" s="69" t="str">
        <f t="shared" ref="D387:D450" si="42">+_xlfn.CONCAT(YEAR(A387),"-",TEXT(MONTH(A387),"00"),"-",TEXT(DAY(A387),"00"))</f>
        <v>2021-08-06</v>
      </c>
      <c r="E387" s="36" t="s">
        <v>1307</v>
      </c>
      <c r="F387" s="35" t="str">
        <f t="shared" si="37"/>
        <v>2021-08-06_17-02-42</v>
      </c>
      <c r="G387" s="37">
        <v>22149650</v>
      </c>
      <c r="H387" s="38">
        <v>21882008</v>
      </c>
      <c r="I387" s="19" t="str">
        <f>IF(OR(COUNTIF(Monitoring!C:C, F387) &gt; 0, COUNTIF(Monitoring!D:D, F387) &gt; 0), "yes", "no")</f>
        <v>no</v>
      </c>
      <c r="J387" s="70" t="str">
        <f t="shared" si="38"/>
        <v>Z:\FAIR_Device_data\Experiment_JulAug_2021\Video_captures\2021-08-06\2021-08-06_17-02-42.mp4</v>
      </c>
    </row>
    <row r="388" spans="1:10" x14ac:dyDescent="0.3">
      <c r="A388" s="1">
        <f t="shared" si="39"/>
        <v>44418</v>
      </c>
      <c r="B388" s="34">
        <f t="shared" si="40"/>
        <v>0.65934027777777782</v>
      </c>
      <c r="C388" s="34">
        <f t="shared" si="41"/>
        <v>44418.65934027778</v>
      </c>
      <c r="D388" s="69" t="str">
        <f t="shared" si="42"/>
        <v>2021-08-10</v>
      </c>
      <c r="E388" s="36" t="s">
        <v>1308</v>
      </c>
      <c r="F388" s="35" t="str">
        <f t="shared" si="37"/>
        <v>2021-08-10_15-49-27</v>
      </c>
      <c r="G388" s="37">
        <v>26680664</v>
      </c>
      <c r="H388" s="38">
        <v>25977982</v>
      </c>
      <c r="I388" s="19" t="str">
        <f>IF(OR(COUNTIF(Monitoring!C:C, F388) &gt; 0, COUNTIF(Monitoring!D:D, F388) &gt; 0), "yes", "no")</f>
        <v>yes</v>
      </c>
      <c r="J388" s="70" t="str">
        <f t="shared" si="38"/>
        <v>Z:\FAIR_Device_data\Experiment_JulAug_2021\Video_captures\2021-08-10\2021-08-10_15-49-27.mp4</v>
      </c>
    </row>
    <row r="389" spans="1:10" x14ac:dyDescent="0.3">
      <c r="A389" s="1">
        <f t="shared" si="39"/>
        <v>44418</v>
      </c>
      <c r="B389" s="34">
        <f t="shared" si="40"/>
        <v>0.67626157407407406</v>
      </c>
      <c r="C389" s="34">
        <f t="shared" si="41"/>
        <v>44418.676261574074</v>
      </c>
      <c r="D389" s="69" t="str">
        <f t="shared" si="42"/>
        <v>2021-08-10</v>
      </c>
      <c r="E389" s="36" t="s">
        <v>1309</v>
      </c>
      <c r="F389" s="35" t="str">
        <f t="shared" si="37"/>
        <v>2021-08-10_16-13-49</v>
      </c>
      <c r="G389" s="37">
        <v>14731185</v>
      </c>
      <c r="H389" s="38">
        <v>12204849</v>
      </c>
      <c r="I389" s="19" t="str">
        <f>IF(OR(COUNTIF(Monitoring!C:C, F389) &gt; 0, COUNTIF(Monitoring!D:D, F389) &gt; 0), "yes", "no")</f>
        <v>yes</v>
      </c>
      <c r="J389" s="70" t="str">
        <f t="shared" si="38"/>
        <v>Z:\FAIR_Device_data\Experiment_JulAug_2021\Video_captures\2021-08-10\2021-08-10_16-13-49.mp4</v>
      </c>
    </row>
    <row r="390" spans="1:10" x14ac:dyDescent="0.3">
      <c r="A390" s="1">
        <f t="shared" si="39"/>
        <v>44418</v>
      </c>
      <c r="B390" s="34">
        <f t="shared" si="40"/>
        <v>0.67656249999999996</v>
      </c>
      <c r="C390" s="34">
        <f t="shared" si="41"/>
        <v>44418.676562499997</v>
      </c>
      <c r="D390" s="69" t="str">
        <f t="shared" si="42"/>
        <v>2021-08-10</v>
      </c>
      <c r="E390" s="36" t="s">
        <v>1310</v>
      </c>
      <c r="F390" s="35" t="str">
        <f t="shared" si="37"/>
        <v>2021-08-10_16-14-15</v>
      </c>
      <c r="G390" s="37">
        <v>21929060</v>
      </c>
      <c r="H390" s="38">
        <v>14749239</v>
      </c>
      <c r="I390" s="19" t="str">
        <f>IF(OR(COUNTIF(Monitoring!C:C, F390) &gt; 0, COUNTIF(Monitoring!D:D, F390) &gt; 0), "yes", "no")</f>
        <v>yes</v>
      </c>
      <c r="J390" s="70" t="str">
        <f t="shared" si="38"/>
        <v>Z:\FAIR_Device_data\Experiment_JulAug_2021\Video_captures\2021-08-10\2021-08-10_16-14-15.mp4</v>
      </c>
    </row>
    <row r="391" spans="1:10" x14ac:dyDescent="0.3">
      <c r="A391" s="1">
        <f t="shared" si="39"/>
        <v>44418</v>
      </c>
      <c r="B391" s="34">
        <f t="shared" si="40"/>
        <v>0.68193287037037043</v>
      </c>
      <c r="C391" s="34">
        <f t="shared" si="41"/>
        <v>44418.681932870371</v>
      </c>
      <c r="D391" s="69" t="str">
        <f t="shared" si="42"/>
        <v>2021-08-10</v>
      </c>
      <c r="E391" s="36" t="s">
        <v>1311</v>
      </c>
      <c r="F391" s="35" t="str">
        <f t="shared" si="37"/>
        <v>2021-08-10_16-21-59</v>
      </c>
      <c r="G391" s="37">
        <v>303213151</v>
      </c>
      <c r="H391" s="38">
        <v>297243379</v>
      </c>
      <c r="I391" s="19" t="str">
        <f>IF(OR(COUNTIF(Monitoring!C:C, F391) &gt; 0, COUNTIF(Monitoring!D:D, F391) &gt; 0), "yes", "no")</f>
        <v>yes</v>
      </c>
      <c r="J391" s="70" t="str">
        <f t="shared" si="38"/>
        <v>Z:\FAIR_Device_data\Experiment_JulAug_2021\Video_captures\2021-08-10\2021-08-10_16-21-59.mp4</v>
      </c>
    </row>
    <row r="392" spans="1:10" x14ac:dyDescent="0.3">
      <c r="A392" s="1">
        <f t="shared" si="39"/>
        <v>44418</v>
      </c>
      <c r="B392" s="34">
        <f t="shared" si="40"/>
        <v>0.69285879629629632</v>
      </c>
      <c r="C392" s="34">
        <f t="shared" si="41"/>
        <v>44418.692858796298</v>
      </c>
      <c r="D392" s="69" t="str">
        <f t="shared" si="42"/>
        <v>2021-08-10</v>
      </c>
      <c r="E392" s="36" t="s">
        <v>1312</v>
      </c>
      <c r="F392" s="35" t="str">
        <f t="shared" si="37"/>
        <v>2021-08-10_16-37-43</v>
      </c>
      <c r="G392" s="37">
        <v>168539583</v>
      </c>
      <c r="H392" s="38">
        <v>186171426</v>
      </c>
      <c r="I392" s="19" t="str">
        <f>IF(OR(COUNTIF(Monitoring!C:C, F392) &gt; 0, COUNTIF(Monitoring!D:D, F392) &gt; 0), "yes", "no")</f>
        <v>yes</v>
      </c>
      <c r="J392" s="70" t="str">
        <f t="shared" si="38"/>
        <v>Z:\FAIR_Device_data\Experiment_JulAug_2021\Video_captures\2021-08-10\2021-08-10_16-37-43.mp4</v>
      </c>
    </row>
    <row r="393" spans="1:10" x14ac:dyDescent="0.3">
      <c r="A393" s="1">
        <f t="shared" si="39"/>
        <v>44418</v>
      </c>
      <c r="B393" s="34">
        <f t="shared" si="40"/>
        <v>0.69483796296296296</v>
      </c>
      <c r="C393" s="34">
        <f t="shared" si="41"/>
        <v>44418.694837962961</v>
      </c>
      <c r="D393" s="69" t="str">
        <f t="shared" si="42"/>
        <v>2021-08-10</v>
      </c>
      <c r="E393" s="36" t="s">
        <v>1313</v>
      </c>
      <c r="F393" s="35" t="str">
        <f t="shared" si="37"/>
        <v>2021-08-10_16-40-34</v>
      </c>
      <c r="G393" s="37">
        <v>10517704</v>
      </c>
      <c r="H393" s="38">
        <v>9654237</v>
      </c>
      <c r="I393" s="19" t="str">
        <f>IF(OR(COUNTIF(Monitoring!C:C, F393) &gt; 0, COUNTIF(Monitoring!D:D, F393) &gt; 0), "yes", "no")</f>
        <v>yes</v>
      </c>
      <c r="J393" s="70" t="str">
        <f t="shared" si="38"/>
        <v>Z:\FAIR_Device_data\Experiment_JulAug_2021\Video_captures\2021-08-10\2021-08-10_16-40-34.mp4</v>
      </c>
    </row>
    <row r="394" spans="1:10" x14ac:dyDescent="0.3">
      <c r="A394" s="1">
        <f t="shared" si="39"/>
        <v>44418</v>
      </c>
      <c r="B394" s="34">
        <f t="shared" si="40"/>
        <v>0.71777777777777774</v>
      </c>
      <c r="C394" s="34">
        <f t="shared" si="41"/>
        <v>44418.717777777776</v>
      </c>
      <c r="D394" s="69" t="str">
        <f t="shared" si="42"/>
        <v>2021-08-10</v>
      </c>
      <c r="E394" s="36" t="s">
        <v>1314</v>
      </c>
      <c r="F394" s="35" t="str">
        <f t="shared" si="37"/>
        <v>2021-08-10_17-13-36</v>
      </c>
      <c r="G394" s="37">
        <v>9668710</v>
      </c>
      <c r="H394" s="38">
        <v>9824616</v>
      </c>
      <c r="I394" s="19" t="str">
        <f>IF(OR(COUNTIF(Monitoring!C:C, F394) &gt; 0, COUNTIF(Monitoring!D:D, F394) &gt; 0), "yes", "no")</f>
        <v>yes</v>
      </c>
      <c r="J394" s="70" t="str">
        <f t="shared" si="38"/>
        <v>Z:\FAIR_Device_data\Experiment_JulAug_2021\Video_captures\2021-08-10\2021-08-10_17-13-36.mp4</v>
      </c>
    </row>
    <row r="395" spans="1:10" x14ac:dyDescent="0.3">
      <c r="A395" s="1">
        <f t="shared" si="39"/>
        <v>44418</v>
      </c>
      <c r="B395" s="34">
        <f t="shared" si="40"/>
        <v>0.73335648148148147</v>
      </c>
      <c r="C395" s="34">
        <f t="shared" si="41"/>
        <v>44418.733356481483</v>
      </c>
      <c r="D395" s="69" t="str">
        <f t="shared" si="42"/>
        <v>2021-08-10</v>
      </c>
      <c r="E395" s="36" t="s">
        <v>1315</v>
      </c>
      <c r="F395" s="35" t="str">
        <f t="shared" si="37"/>
        <v>2021-08-10_17-36-02</v>
      </c>
      <c r="G395" s="37">
        <v>185421484</v>
      </c>
      <c r="H395" s="38">
        <v>258682334</v>
      </c>
      <c r="I395" s="19" t="str">
        <f>IF(OR(COUNTIF(Monitoring!C:C, F395) &gt; 0, COUNTIF(Monitoring!D:D, F395) &gt; 0), "yes", "no")</f>
        <v>yes</v>
      </c>
      <c r="J395" s="70" t="str">
        <f t="shared" si="38"/>
        <v>Z:\FAIR_Device_data\Experiment_JulAug_2021\Video_captures\2021-08-10\2021-08-10_17-36-02.mp4</v>
      </c>
    </row>
    <row r="396" spans="1:10" x14ac:dyDescent="0.3">
      <c r="A396" s="1">
        <f t="shared" si="39"/>
        <v>44418</v>
      </c>
      <c r="B396" s="34">
        <f t="shared" si="40"/>
        <v>0.7406018518518519</v>
      </c>
      <c r="C396" s="34">
        <f t="shared" si="41"/>
        <v>44418.740601851852</v>
      </c>
      <c r="D396" s="69" t="str">
        <f t="shared" si="42"/>
        <v>2021-08-10</v>
      </c>
      <c r="E396" s="36" t="s">
        <v>1316</v>
      </c>
      <c r="F396" s="35" t="str">
        <f t="shared" si="37"/>
        <v>2021-08-10_17-46-28</v>
      </c>
      <c r="G396" s="37">
        <v>214686979</v>
      </c>
      <c r="H396" s="38">
        <v>298694166</v>
      </c>
      <c r="I396" s="19" t="str">
        <f>IF(OR(COUNTIF(Monitoring!C:C, F396) &gt; 0, COUNTIF(Monitoring!D:D, F396) &gt; 0), "yes", "no")</f>
        <v>yes</v>
      </c>
      <c r="J396" s="70" t="str">
        <f t="shared" si="38"/>
        <v>Z:\FAIR_Device_data\Experiment_JulAug_2021\Video_captures\2021-08-10\2021-08-10_17-46-28.mp4</v>
      </c>
    </row>
    <row r="397" spans="1:10" x14ac:dyDescent="0.3">
      <c r="A397" s="1">
        <f t="shared" si="39"/>
        <v>44418</v>
      </c>
      <c r="B397" s="34">
        <f t="shared" si="40"/>
        <v>0.74349537037037039</v>
      </c>
      <c r="C397" s="34">
        <f t="shared" si="41"/>
        <v>44418.743495370371</v>
      </c>
      <c r="D397" s="69" t="str">
        <f t="shared" si="42"/>
        <v>2021-08-10</v>
      </c>
      <c r="E397" s="36" t="s">
        <v>1317</v>
      </c>
      <c r="F397" s="35" t="str">
        <f t="shared" si="37"/>
        <v>2021-08-10_17-50-38</v>
      </c>
      <c r="G397" s="37">
        <v>11221484</v>
      </c>
      <c r="H397" s="38">
        <v>10321168</v>
      </c>
      <c r="I397" s="19" t="str">
        <f>IF(OR(COUNTIF(Monitoring!C:C, F397) &gt; 0, COUNTIF(Monitoring!D:D, F397) &gt; 0), "yes", "no")</f>
        <v>yes</v>
      </c>
      <c r="J397" s="70" t="str">
        <f t="shared" si="38"/>
        <v>Z:\FAIR_Device_data\Experiment_JulAug_2021\Video_captures\2021-08-10\2021-08-10_17-50-38.mp4</v>
      </c>
    </row>
    <row r="398" spans="1:10" x14ac:dyDescent="0.3">
      <c r="A398" s="1">
        <f t="shared" si="39"/>
        <v>44418</v>
      </c>
      <c r="B398" s="34">
        <f t="shared" si="40"/>
        <v>0.74608796296296298</v>
      </c>
      <c r="C398" s="34">
        <f t="shared" si="41"/>
        <v>44418.746087962965</v>
      </c>
      <c r="D398" s="69" t="str">
        <f t="shared" si="42"/>
        <v>2021-08-10</v>
      </c>
      <c r="E398" s="36" t="s">
        <v>1318</v>
      </c>
      <c r="F398" s="35" t="str">
        <f t="shared" si="37"/>
        <v>2021-08-10_17-54-22</v>
      </c>
      <c r="G398" s="37">
        <v>65218685</v>
      </c>
      <c r="H398" s="38">
        <v>92562086</v>
      </c>
      <c r="I398" s="19" t="str">
        <f>IF(OR(COUNTIF(Monitoring!C:C, F398) &gt; 0, COUNTIF(Monitoring!D:D, F398) &gt; 0), "yes", "no")</f>
        <v>yes</v>
      </c>
      <c r="J398" s="70" t="str">
        <f t="shared" si="38"/>
        <v>Z:\FAIR_Device_data\Experiment_JulAug_2021\Video_captures\2021-08-10\2021-08-10_17-54-22.mp4</v>
      </c>
    </row>
    <row r="399" spans="1:10" x14ac:dyDescent="0.3">
      <c r="A399" s="1">
        <f t="shared" si="39"/>
        <v>44418</v>
      </c>
      <c r="B399" s="34">
        <f t="shared" si="40"/>
        <v>0.74689814814814814</v>
      </c>
      <c r="C399" s="34">
        <f t="shared" si="41"/>
        <v>44418.746898148151</v>
      </c>
      <c r="D399" s="69" t="str">
        <f t="shared" si="42"/>
        <v>2021-08-10</v>
      </c>
      <c r="E399" s="36" t="s">
        <v>1319</v>
      </c>
      <c r="F399" s="35" t="str">
        <f t="shared" si="37"/>
        <v>2021-08-10_17-55-32</v>
      </c>
      <c r="G399" s="37">
        <v>19121940</v>
      </c>
      <c r="H399" s="38">
        <v>14883257</v>
      </c>
      <c r="I399" s="19" t="str">
        <f>IF(OR(COUNTIF(Monitoring!C:C, F399) &gt; 0, COUNTIF(Monitoring!D:D, F399) &gt; 0), "yes", "no")</f>
        <v>yes</v>
      </c>
      <c r="J399" s="70" t="str">
        <f t="shared" si="38"/>
        <v>Z:\FAIR_Device_data\Experiment_JulAug_2021\Video_captures\2021-08-10\2021-08-10_17-55-32.mp4</v>
      </c>
    </row>
    <row r="400" spans="1:10" x14ac:dyDescent="0.3">
      <c r="A400" s="1">
        <f t="shared" si="39"/>
        <v>44418</v>
      </c>
      <c r="B400" s="34">
        <f t="shared" si="40"/>
        <v>0.75856481481481486</v>
      </c>
      <c r="C400" s="34">
        <f t="shared" si="41"/>
        <v>44418.758564814816</v>
      </c>
      <c r="D400" s="69" t="str">
        <f t="shared" si="42"/>
        <v>2021-08-10</v>
      </c>
      <c r="E400" s="36" t="s">
        <v>1320</v>
      </c>
      <c r="F400" s="35" t="str">
        <f t="shared" si="37"/>
        <v>2021-08-10_18-12-20</v>
      </c>
      <c r="G400" s="37">
        <v>9498047</v>
      </c>
      <c r="H400" s="38">
        <v>9605060</v>
      </c>
      <c r="I400" s="19" t="str">
        <f>IF(OR(COUNTIF(Monitoring!C:C, F400) &gt; 0, COUNTIF(Monitoring!D:D, F400) &gt; 0), "yes", "no")</f>
        <v>yes</v>
      </c>
      <c r="J400" s="70" t="str">
        <f t="shared" si="38"/>
        <v>Z:\FAIR_Device_data\Experiment_JulAug_2021\Video_captures\2021-08-10\2021-08-10_18-12-20.mp4</v>
      </c>
    </row>
    <row r="401" spans="1:10" x14ac:dyDescent="0.3">
      <c r="A401" s="1">
        <f t="shared" si="39"/>
        <v>44418</v>
      </c>
      <c r="B401" s="34">
        <f t="shared" si="40"/>
        <v>0.75962962962962965</v>
      </c>
      <c r="C401" s="34">
        <f t="shared" si="41"/>
        <v>44418.759629629632</v>
      </c>
      <c r="D401" s="69" t="str">
        <f t="shared" si="42"/>
        <v>2021-08-10</v>
      </c>
      <c r="E401" s="36" t="s">
        <v>1321</v>
      </c>
      <c r="F401" s="35" t="str">
        <f t="shared" si="37"/>
        <v>2021-08-10_18-13-52</v>
      </c>
      <c r="G401" s="37">
        <v>9966992</v>
      </c>
      <c r="H401" s="38">
        <v>10195593</v>
      </c>
      <c r="I401" s="19" t="str">
        <f>IF(OR(COUNTIF(Monitoring!C:C, F401) &gt; 0, COUNTIF(Monitoring!D:D, F401) &gt; 0), "yes", "no")</f>
        <v>yes</v>
      </c>
      <c r="J401" s="70" t="str">
        <f t="shared" si="38"/>
        <v>Z:\FAIR_Device_data\Experiment_JulAug_2021\Video_captures\2021-08-10\2021-08-10_18-13-52.mp4</v>
      </c>
    </row>
    <row r="402" spans="1:10" x14ac:dyDescent="0.3">
      <c r="A402" s="1">
        <f t="shared" si="39"/>
        <v>44418</v>
      </c>
      <c r="B402" s="34">
        <f t="shared" si="40"/>
        <v>0.77576388888888892</v>
      </c>
      <c r="C402" s="34">
        <f t="shared" si="41"/>
        <v>44418.775763888887</v>
      </c>
      <c r="D402" s="69" t="str">
        <f t="shared" si="42"/>
        <v>2021-08-10</v>
      </c>
      <c r="E402" s="36" t="s">
        <v>1322</v>
      </c>
      <c r="F402" s="35" t="str">
        <f t="shared" si="37"/>
        <v>2021-08-10_18-37-06</v>
      </c>
      <c r="G402" s="37">
        <v>9947135</v>
      </c>
      <c r="H402" s="38">
        <v>10441352</v>
      </c>
      <c r="I402" s="19" t="str">
        <f>IF(OR(COUNTIF(Monitoring!C:C, F402) &gt; 0, COUNTIF(Monitoring!D:D, F402) &gt; 0), "yes", "no")</f>
        <v>yes</v>
      </c>
      <c r="J402" s="70" t="str">
        <f t="shared" si="38"/>
        <v>Z:\FAIR_Device_data\Experiment_JulAug_2021\Video_captures\2021-08-10\2021-08-10_18-37-06.mp4</v>
      </c>
    </row>
    <row r="403" spans="1:10" x14ac:dyDescent="0.3">
      <c r="A403" s="1">
        <f t="shared" si="39"/>
        <v>44418</v>
      </c>
      <c r="B403" s="34">
        <f t="shared" si="40"/>
        <v>0.79027777777777775</v>
      </c>
      <c r="C403" s="34">
        <f t="shared" si="41"/>
        <v>44418.790277777778</v>
      </c>
      <c r="D403" s="69" t="str">
        <f t="shared" si="42"/>
        <v>2021-08-10</v>
      </c>
      <c r="E403" s="36" t="s">
        <v>1323</v>
      </c>
      <c r="F403" s="35" t="str">
        <f t="shared" si="37"/>
        <v>2021-08-10_18-58-00</v>
      </c>
      <c r="G403" s="37">
        <v>11652409</v>
      </c>
      <c r="H403" s="38">
        <v>13405977</v>
      </c>
      <c r="I403" s="19" t="str">
        <f>IF(OR(COUNTIF(Monitoring!C:C, F403) &gt; 0, COUNTIF(Monitoring!D:D, F403) &gt; 0), "yes", "no")</f>
        <v>yes</v>
      </c>
      <c r="J403" s="70" t="str">
        <f t="shared" si="38"/>
        <v>Z:\FAIR_Device_data\Experiment_JulAug_2021\Video_captures\2021-08-10\2021-08-10_18-58-00.mp4</v>
      </c>
    </row>
    <row r="404" spans="1:10" x14ac:dyDescent="0.3">
      <c r="A404" s="1">
        <f t="shared" si="39"/>
        <v>44418</v>
      </c>
      <c r="B404" s="34">
        <f t="shared" si="40"/>
        <v>0.80489583333333337</v>
      </c>
      <c r="C404" s="34">
        <f t="shared" si="41"/>
        <v>44418.804895833331</v>
      </c>
      <c r="D404" s="69" t="str">
        <f t="shared" si="42"/>
        <v>2021-08-10</v>
      </c>
      <c r="E404" s="36" t="s">
        <v>1324</v>
      </c>
      <c r="F404" s="35" t="str">
        <f t="shared" si="37"/>
        <v>2021-08-10_19-19-03</v>
      </c>
      <c r="G404" s="37">
        <v>9499609</v>
      </c>
      <c r="H404" s="38">
        <v>11056986</v>
      </c>
      <c r="I404" s="19" t="str">
        <f>IF(OR(COUNTIF(Monitoring!C:C, F404) &gt; 0, COUNTIF(Monitoring!D:D, F404) &gt; 0), "yes", "no")</f>
        <v>yes</v>
      </c>
      <c r="J404" s="70" t="str">
        <f t="shared" si="38"/>
        <v>Z:\FAIR_Device_data\Experiment_JulAug_2021\Video_captures\2021-08-10\2021-08-10_19-19-03.mp4</v>
      </c>
    </row>
    <row r="405" spans="1:10" x14ac:dyDescent="0.3">
      <c r="A405" s="1">
        <f t="shared" si="39"/>
        <v>44418</v>
      </c>
      <c r="B405" s="34">
        <f t="shared" si="40"/>
        <v>0.81696759259259255</v>
      </c>
      <c r="C405" s="34">
        <f t="shared" si="41"/>
        <v>44418.816967592589</v>
      </c>
      <c r="D405" s="69" t="str">
        <f t="shared" si="42"/>
        <v>2021-08-10</v>
      </c>
      <c r="E405" s="36" t="s">
        <v>1325</v>
      </c>
      <c r="F405" s="35" t="str">
        <f t="shared" si="37"/>
        <v>2021-08-10_19-36-26</v>
      </c>
      <c r="G405" s="37">
        <v>13264648</v>
      </c>
      <c r="H405" s="38">
        <v>16825964</v>
      </c>
      <c r="I405" s="19" t="str">
        <f>IF(OR(COUNTIF(Monitoring!C:C, F405) &gt; 0, COUNTIF(Monitoring!D:D, F405) &gt; 0), "yes", "no")</f>
        <v>yes</v>
      </c>
      <c r="J405" s="70" t="str">
        <f t="shared" si="38"/>
        <v>Z:\FAIR_Device_data\Experiment_JulAug_2021\Video_captures\2021-08-10\2021-08-10_19-36-26.mp4</v>
      </c>
    </row>
    <row r="406" spans="1:10" x14ac:dyDescent="0.3">
      <c r="A406" s="1">
        <f t="shared" si="39"/>
        <v>44418</v>
      </c>
      <c r="B406" s="34">
        <f t="shared" si="40"/>
        <v>0.82865740740740745</v>
      </c>
      <c r="C406" s="34">
        <f t="shared" si="41"/>
        <v>44418.828657407408</v>
      </c>
      <c r="D406" s="69" t="str">
        <f t="shared" si="42"/>
        <v>2021-08-10</v>
      </c>
      <c r="E406" s="36" t="s">
        <v>1326</v>
      </c>
      <c r="F406" s="35" t="str">
        <f t="shared" si="37"/>
        <v>2021-08-10_19-53-16</v>
      </c>
      <c r="G406" s="37">
        <v>10362826</v>
      </c>
      <c r="H406" s="38">
        <v>12101539</v>
      </c>
      <c r="I406" s="19" t="str">
        <f>IF(OR(COUNTIF(Monitoring!C:C, F406) &gt; 0, COUNTIF(Monitoring!D:D, F406) &gt; 0), "yes", "no")</f>
        <v>yes</v>
      </c>
      <c r="J406" s="70" t="str">
        <f t="shared" si="38"/>
        <v>Z:\FAIR_Device_data\Experiment_JulAug_2021\Video_captures\2021-08-10\2021-08-10_19-53-16.mp4</v>
      </c>
    </row>
    <row r="407" spans="1:10" x14ac:dyDescent="0.3">
      <c r="A407" s="1">
        <f t="shared" si="39"/>
        <v>44418</v>
      </c>
      <c r="B407" s="34">
        <f t="shared" si="40"/>
        <v>0.83373842592592595</v>
      </c>
      <c r="C407" s="34">
        <f t="shared" si="41"/>
        <v>44418.833738425928</v>
      </c>
      <c r="D407" s="69" t="str">
        <f t="shared" si="42"/>
        <v>2021-08-10</v>
      </c>
      <c r="E407" s="36" t="s">
        <v>1327</v>
      </c>
      <c r="F407" s="35" t="str">
        <f t="shared" si="37"/>
        <v>2021-08-10_20-00-35</v>
      </c>
      <c r="G407" s="37">
        <v>45649935</v>
      </c>
      <c r="H407" s="38">
        <v>68352740</v>
      </c>
      <c r="I407" s="19" t="str">
        <f>IF(OR(COUNTIF(Monitoring!C:C, F407) &gt; 0, COUNTIF(Monitoring!D:D, F407) &gt; 0), "yes", "no")</f>
        <v>yes</v>
      </c>
      <c r="J407" s="70" t="str">
        <f t="shared" si="38"/>
        <v>Z:\FAIR_Device_data\Experiment_JulAug_2021\Video_captures\2021-08-10\2021-08-10_20-00-35.mp4</v>
      </c>
    </row>
    <row r="408" spans="1:10" x14ac:dyDescent="0.3">
      <c r="A408" s="1">
        <f t="shared" si="39"/>
        <v>44418</v>
      </c>
      <c r="B408" s="34">
        <f t="shared" si="40"/>
        <v>0.83980324074074075</v>
      </c>
      <c r="C408" s="34">
        <f t="shared" si="41"/>
        <v>44418.839803240742</v>
      </c>
      <c r="D408" s="69" t="str">
        <f t="shared" si="42"/>
        <v>2021-08-10</v>
      </c>
      <c r="E408" s="36" t="s">
        <v>1328</v>
      </c>
      <c r="F408" s="35" t="str">
        <f t="shared" si="37"/>
        <v>2021-08-10_20-09-19</v>
      </c>
      <c r="G408" s="37">
        <v>10001237</v>
      </c>
      <c r="H408" s="38">
        <v>11477756</v>
      </c>
      <c r="I408" s="19" t="str">
        <f>IF(OR(COUNTIF(Monitoring!C:C, F408) &gt; 0, COUNTIF(Monitoring!D:D, F408) &gt; 0), "yes", "no")</f>
        <v>yes</v>
      </c>
      <c r="J408" s="70" t="str">
        <f t="shared" si="38"/>
        <v>Z:\FAIR_Device_data\Experiment_JulAug_2021\Video_captures\2021-08-10\2021-08-10_20-09-19.mp4</v>
      </c>
    </row>
    <row r="409" spans="1:10" x14ac:dyDescent="0.3">
      <c r="A409" s="1">
        <f t="shared" si="39"/>
        <v>44418</v>
      </c>
      <c r="B409" s="34">
        <f t="shared" si="40"/>
        <v>0.84881944444444446</v>
      </c>
      <c r="C409" s="34">
        <f t="shared" si="41"/>
        <v>44418.848819444444</v>
      </c>
      <c r="D409" s="69" t="str">
        <f t="shared" si="42"/>
        <v>2021-08-10</v>
      </c>
      <c r="E409" s="36" t="s">
        <v>1329</v>
      </c>
      <c r="F409" s="35" t="str">
        <f t="shared" si="37"/>
        <v>2021-08-10_20-22-18</v>
      </c>
      <c r="G409" s="37">
        <v>12698503</v>
      </c>
      <c r="H409" s="38">
        <v>15793795</v>
      </c>
      <c r="I409" s="19" t="str">
        <f>IF(OR(COUNTIF(Monitoring!C:C, F409) &gt; 0, COUNTIF(Monitoring!D:D, F409) &gt; 0), "yes", "no")</f>
        <v>yes</v>
      </c>
      <c r="J409" s="70" t="str">
        <f t="shared" si="38"/>
        <v>Z:\FAIR_Device_data\Experiment_JulAug_2021\Video_captures\2021-08-10\2021-08-10_20-22-18.mp4</v>
      </c>
    </row>
    <row r="410" spans="1:10" x14ac:dyDescent="0.3">
      <c r="A410" s="1">
        <f t="shared" si="39"/>
        <v>44418</v>
      </c>
      <c r="B410" s="34">
        <f t="shared" si="40"/>
        <v>0.85040509259259256</v>
      </c>
      <c r="C410" s="34">
        <f t="shared" si="41"/>
        <v>44418.850405092591</v>
      </c>
      <c r="D410" s="69" t="str">
        <f t="shared" si="42"/>
        <v>2021-08-10</v>
      </c>
      <c r="E410" s="36" t="s">
        <v>1330</v>
      </c>
      <c r="F410" s="35" t="str">
        <f t="shared" si="37"/>
        <v>2021-08-10_20-24-35</v>
      </c>
      <c r="G410" s="37">
        <v>14703516</v>
      </c>
      <c r="H410" s="38">
        <v>19237891</v>
      </c>
      <c r="I410" s="19" t="str">
        <f>IF(OR(COUNTIF(Monitoring!C:C, F410) &gt; 0, COUNTIF(Monitoring!D:D, F410) &gt; 0), "yes", "no")</f>
        <v>yes</v>
      </c>
      <c r="J410" s="70" t="str">
        <f t="shared" si="38"/>
        <v>Z:\FAIR_Device_data\Experiment_JulAug_2021\Video_captures\2021-08-10\2021-08-10_20-24-35.mp4</v>
      </c>
    </row>
    <row r="411" spans="1:10" x14ac:dyDescent="0.3">
      <c r="A411" s="1">
        <f t="shared" si="39"/>
        <v>44418</v>
      </c>
      <c r="B411" s="34">
        <f t="shared" si="40"/>
        <v>0.8510416666666667</v>
      </c>
      <c r="C411" s="34">
        <f t="shared" si="41"/>
        <v>44418.851041666669</v>
      </c>
      <c r="D411" s="69" t="str">
        <f t="shared" si="42"/>
        <v>2021-08-10</v>
      </c>
      <c r="E411" s="36" t="s">
        <v>1331</v>
      </c>
      <c r="F411" s="35" t="str">
        <f t="shared" si="37"/>
        <v>2021-08-10_20-25-30</v>
      </c>
      <c r="G411" s="37">
        <v>21135026</v>
      </c>
      <c r="H411" s="38">
        <v>29581076</v>
      </c>
      <c r="I411" s="19" t="str">
        <f>IF(OR(COUNTIF(Monitoring!C:C, F411) &gt; 0, COUNTIF(Monitoring!D:D, F411) &gt; 0), "yes", "no")</f>
        <v>yes</v>
      </c>
      <c r="J411" s="70" t="str">
        <f t="shared" si="38"/>
        <v>Z:\FAIR_Device_data\Experiment_JulAug_2021\Video_captures\2021-08-10\2021-08-10_20-25-30.mp4</v>
      </c>
    </row>
    <row r="412" spans="1:10" x14ac:dyDescent="0.3">
      <c r="A412" s="1">
        <f t="shared" si="39"/>
        <v>44418</v>
      </c>
      <c r="B412" s="34">
        <f t="shared" si="40"/>
        <v>0.85153935185185181</v>
      </c>
      <c r="C412" s="34">
        <f t="shared" si="41"/>
        <v>44418.851539351854</v>
      </c>
      <c r="D412" s="69" t="str">
        <f t="shared" si="42"/>
        <v>2021-08-10</v>
      </c>
      <c r="E412" s="36" t="s">
        <v>1332</v>
      </c>
      <c r="F412" s="35" t="str">
        <f t="shared" si="37"/>
        <v>2021-08-10_20-26-13</v>
      </c>
      <c r="G412" s="37">
        <v>12493294</v>
      </c>
      <c r="H412" s="38">
        <v>15372083</v>
      </c>
      <c r="I412" s="19" t="str">
        <f>IF(OR(COUNTIF(Monitoring!C:C, F412) &gt; 0, COUNTIF(Monitoring!D:D, F412) &gt; 0), "yes", "no")</f>
        <v>no</v>
      </c>
      <c r="J412" s="70" t="str">
        <f t="shared" si="38"/>
        <v>Z:\FAIR_Device_data\Experiment_JulAug_2021\Video_captures\2021-08-10\2021-08-10_20-26-13.mp4</v>
      </c>
    </row>
    <row r="413" spans="1:10" x14ac:dyDescent="0.3">
      <c r="A413" s="1">
        <f t="shared" si="39"/>
        <v>44418</v>
      </c>
      <c r="B413" s="34">
        <f t="shared" si="40"/>
        <v>0.85929398148148151</v>
      </c>
      <c r="C413" s="34">
        <f t="shared" si="41"/>
        <v>44418.859293981484</v>
      </c>
      <c r="D413" s="69" t="str">
        <f t="shared" si="42"/>
        <v>2021-08-10</v>
      </c>
      <c r="E413" s="36" t="s">
        <v>1333</v>
      </c>
      <c r="F413" s="35" t="str">
        <f t="shared" si="37"/>
        <v>2021-08-10_20-37-23</v>
      </c>
      <c r="G413" s="37">
        <v>11954232</v>
      </c>
      <c r="H413" s="38">
        <v>14084992</v>
      </c>
      <c r="I413" s="19" t="str">
        <f>IF(OR(COUNTIF(Monitoring!C:C, F413) &gt; 0, COUNTIF(Monitoring!D:D, F413) &gt; 0), "yes", "no")</f>
        <v>yes</v>
      </c>
      <c r="J413" s="70" t="str">
        <f t="shared" si="38"/>
        <v>Z:\FAIR_Device_data\Experiment_JulAug_2021\Video_captures\2021-08-10\2021-08-10_20-37-23.mp4</v>
      </c>
    </row>
    <row r="414" spans="1:10" x14ac:dyDescent="0.3">
      <c r="A414" s="1">
        <f t="shared" si="39"/>
        <v>44418</v>
      </c>
      <c r="B414" s="34">
        <f t="shared" si="40"/>
        <v>0.86896990740740743</v>
      </c>
      <c r="C414" s="34">
        <f t="shared" si="41"/>
        <v>44418.868969907409</v>
      </c>
      <c r="D414" s="69" t="str">
        <f t="shared" si="42"/>
        <v>2021-08-10</v>
      </c>
      <c r="E414" s="36" t="s">
        <v>1334</v>
      </c>
      <c r="F414" s="35" t="str">
        <f t="shared" si="37"/>
        <v>2021-08-10_20-51-19</v>
      </c>
      <c r="G414" s="37">
        <v>17340951</v>
      </c>
      <c r="H414" s="38">
        <v>23314309</v>
      </c>
      <c r="I414" s="19" t="str">
        <f>IF(OR(COUNTIF(Monitoring!C:C, F414) &gt; 0, COUNTIF(Monitoring!D:D, F414) &gt; 0), "yes", "no")</f>
        <v>yes</v>
      </c>
      <c r="J414" s="70" t="str">
        <f t="shared" si="38"/>
        <v>Z:\FAIR_Device_data\Experiment_JulAug_2021\Video_captures\2021-08-10\2021-08-10_20-51-19.mp4</v>
      </c>
    </row>
    <row r="415" spans="1:10" x14ac:dyDescent="0.3">
      <c r="A415" s="1">
        <f t="shared" si="39"/>
        <v>44418</v>
      </c>
      <c r="B415" s="34">
        <f t="shared" si="40"/>
        <v>0.86987268518518523</v>
      </c>
      <c r="C415" s="34">
        <f t="shared" si="41"/>
        <v>44418.869872685187</v>
      </c>
      <c r="D415" s="69" t="str">
        <f t="shared" si="42"/>
        <v>2021-08-10</v>
      </c>
      <c r="E415" s="36" t="s">
        <v>1335</v>
      </c>
      <c r="F415" s="35" t="str">
        <f t="shared" si="37"/>
        <v>2021-08-10_20-52-37</v>
      </c>
      <c r="G415" s="37">
        <v>15912500</v>
      </c>
      <c r="H415" s="38">
        <v>21014626</v>
      </c>
      <c r="I415" s="19" t="str">
        <f>IF(OR(COUNTIF(Monitoring!C:C, F415) &gt; 0, COUNTIF(Monitoring!D:D, F415) &gt; 0), "yes", "no")</f>
        <v>yes</v>
      </c>
      <c r="J415" s="70" t="str">
        <f t="shared" si="38"/>
        <v>Z:\FAIR_Device_data\Experiment_JulAug_2021\Video_captures\2021-08-10\2021-08-10_20-52-37.mp4</v>
      </c>
    </row>
    <row r="416" spans="1:10" x14ac:dyDescent="0.3">
      <c r="A416" s="1">
        <f t="shared" si="39"/>
        <v>44418</v>
      </c>
      <c r="B416" s="34">
        <f t="shared" si="40"/>
        <v>0.87459490740740742</v>
      </c>
      <c r="C416" s="34">
        <f t="shared" si="41"/>
        <v>44418.874594907407</v>
      </c>
      <c r="D416" s="69" t="str">
        <f t="shared" si="42"/>
        <v>2021-08-10</v>
      </c>
      <c r="E416" s="36" t="s">
        <v>1336</v>
      </c>
      <c r="F416" s="35" t="str">
        <f t="shared" si="37"/>
        <v>2021-08-10_20-59-25</v>
      </c>
      <c r="G416" s="37">
        <v>29784701</v>
      </c>
      <c r="H416" s="38">
        <v>43496169</v>
      </c>
      <c r="I416" s="19" t="str">
        <f>IF(OR(COUNTIF(Monitoring!C:C, F416) &gt; 0, COUNTIF(Monitoring!D:D, F416) &gt; 0), "yes", "no")</f>
        <v>yes</v>
      </c>
      <c r="J416" s="70" t="str">
        <f t="shared" si="38"/>
        <v>Z:\FAIR_Device_data\Experiment_JulAug_2021\Video_captures\2021-08-10\2021-08-10_20-59-25.mp4</v>
      </c>
    </row>
    <row r="417" spans="1:10" x14ac:dyDescent="0.3">
      <c r="A417" s="1">
        <f t="shared" si="39"/>
        <v>44418</v>
      </c>
      <c r="B417" s="34">
        <f t="shared" si="40"/>
        <v>0.87717592592592597</v>
      </c>
      <c r="C417" s="34">
        <f t="shared" si="41"/>
        <v>44418.877175925925</v>
      </c>
      <c r="D417" s="69" t="str">
        <f t="shared" si="42"/>
        <v>2021-08-10</v>
      </c>
      <c r="E417" s="36" t="s">
        <v>1337</v>
      </c>
      <c r="F417" s="35" t="str">
        <f t="shared" si="37"/>
        <v>2021-08-10_21-03-08</v>
      </c>
      <c r="G417" s="37">
        <v>29749089</v>
      </c>
      <c r="H417" s="38">
        <v>43243801</v>
      </c>
      <c r="I417" s="19" t="str">
        <f>IF(OR(COUNTIF(Monitoring!C:C, F417) &gt; 0, COUNTIF(Monitoring!D:D, F417) &gt; 0), "yes", "no")</f>
        <v>yes</v>
      </c>
      <c r="J417" s="70" t="str">
        <f t="shared" si="38"/>
        <v>Z:\FAIR_Device_data\Experiment_JulAug_2021\Video_captures\2021-08-10\2021-08-10_21-03-08.mp4</v>
      </c>
    </row>
    <row r="418" spans="1:10" x14ac:dyDescent="0.3">
      <c r="A418" s="1">
        <f t="shared" si="39"/>
        <v>44418</v>
      </c>
      <c r="B418" s="34">
        <f t="shared" si="40"/>
        <v>0.87831018518518522</v>
      </c>
      <c r="C418" s="34">
        <f t="shared" si="41"/>
        <v>44418.878310185188</v>
      </c>
      <c r="D418" s="69" t="str">
        <f t="shared" si="42"/>
        <v>2021-08-10</v>
      </c>
      <c r="E418" s="36" t="s">
        <v>1338</v>
      </c>
      <c r="F418" s="35" t="str">
        <f t="shared" si="37"/>
        <v>2021-08-10_21-04-46</v>
      </c>
      <c r="G418" s="37">
        <v>11288021</v>
      </c>
      <c r="H418" s="38">
        <v>13589491</v>
      </c>
      <c r="I418" s="19" t="str">
        <f>IF(OR(COUNTIF(Monitoring!C:C, F418) &gt; 0, COUNTIF(Monitoring!D:D, F418) &gt; 0), "yes", "no")</f>
        <v>yes</v>
      </c>
      <c r="J418" s="70" t="str">
        <f t="shared" si="38"/>
        <v>Z:\FAIR_Device_data\Experiment_JulAug_2021\Video_captures\2021-08-10\2021-08-10_21-04-46.mp4</v>
      </c>
    </row>
    <row r="419" spans="1:10" x14ac:dyDescent="0.3">
      <c r="A419" s="1">
        <f t="shared" si="39"/>
        <v>44418</v>
      </c>
      <c r="B419" s="34">
        <f t="shared" si="40"/>
        <v>0.87990740740740736</v>
      </c>
      <c r="C419" s="34">
        <f t="shared" si="41"/>
        <v>44418.879907407405</v>
      </c>
      <c r="D419" s="69" t="str">
        <f t="shared" si="42"/>
        <v>2021-08-10</v>
      </c>
      <c r="E419" s="36" t="s">
        <v>1339</v>
      </c>
      <c r="F419" s="35" t="str">
        <f t="shared" si="37"/>
        <v>2021-08-10_21-07-04</v>
      </c>
      <c r="G419" s="37">
        <v>34490560</v>
      </c>
      <c r="H419" s="38">
        <v>51108749</v>
      </c>
      <c r="I419" s="19" t="str">
        <f>IF(OR(COUNTIF(Monitoring!C:C, F419) &gt; 0, COUNTIF(Monitoring!D:D, F419) &gt; 0), "yes", "no")</f>
        <v>yes</v>
      </c>
      <c r="J419" s="70" t="str">
        <f t="shared" si="38"/>
        <v>Z:\FAIR_Device_data\Experiment_JulAug_2021\Video_captures\2021-08-10\2021-08-10_21-07-04.mp4</v>
      </c>
    </row>
    <row r="420" spans="1:10" x14ac:dyDescent="0.3">
      <c r="A420" s="1">
        <f t="shared" si="39"/>
        <v>44418</v>
      </c>
      <c r="B420" s="34">
        <f t="shared" si="40"/>
        <v>0.88155092592592588</v>
      </c>
      <c r="C420" s="34">
        <f t="shared" si="41"/>
        <v>44418.881550925929</v>
      </c>
      <c r="D420" s="69" t="str">
        <f t="shared" si="42"/>
        <v>2021-08-10</v>
      </c>
      <c r="E420" s="36" t="s">
        <v>1340</v>
      </c>
      <c r="F420" s="35" t="str">
        <f t="shared" si="37"/>
        <v>2021-08-10_21-09-26</v>
      </c>
      <c r="G420" s="37">
        <v>12417513</v>
      </c>
      <c r="H420" s="38">
        <v>14634281</v>
      </c>
      <c r="I420" s="19" t="str">
        <f>IF(OR(COUNTIF(Monitoring!C:C, F420) &gt; 0, COUNTIF(Monitoring!D:D, F420) &gt; 0), "yes", "no")</f>
        <v>no</v>
      </c>
      <c r="J420" s="70" t="str">
        <f t="shared" si="38"/>
        <v>Z:\FAIR_Device_data\Experiment_JulAug_2021\Video_captures\2021-08-10\2021-08-10_21-09-26.mp4</v>
      </c>
    </row>
    <row r="421" spans="1:10" x14ac:dyDescent="0.3">
      <c r="A421" s="1">
        <f t="shared" si="39"/>
        <v>44418</v>
      </c>
      <c r="B421" s="34">
        <f t="shared" si="40"/>
        <v>0.88196759259259261</v>
      </c>
      <c r="C421" s="34">
        <f t="shared" si="41"/>
        <v>44418.881967592592</v>
      </c>
      <c r="D421" s="69" t="str">
        <f t="shared" si="42"/>
        <v>2021-08-10</v>
      </c>
      <c r="E421" s="36" t="s">
        <v>1341</v>
      </c>
      <c r="F421" s="35" t="str">
        <f t="shared" si="37"/>
        <v>2021-08-10_21-10-02</v>
      </c>
      <c r="G421" s="37">
        <v>22137325</v>
      </c>
      <c r="H421" s="38">
        <v>28750495</v>
      </c>
      <c r="I421" s="19" t="str">
        <f>IF(OR(COUNTIF(Monitoring!C:C, F421) &gt; 0, COUNTIF(Monitoring!D:D, F421) &gt; 0), "yes", "no")</f>
        <v>yes</v>
      </c>
      <c r="J421" s="70" t="str">
        <f t="shared" si="38"/>
        <v>Z:\FAIR_Device_data\Experiment_JulAug_2021\Video_captures\2021-08-10\2021-08-10_21-10-02.mp4</v>
      </c>
    </row>
    <row r="422" spans="1:10" x14ac:dyDescent="0.3">
      <c r="A422" s="1">
        <f t="shared" si="39"/>
        <v>44418</v>
      </c>
      <c r="B422" s="34">
        <f t="shared" si="40"/>
        <v>0.88223379629629628</v>
      </c>
      <c r="C422" s="34">
        <f t="shared" si="41"/>
        <v>44418.882233796299</v>
      </c>
      <c r="D422" s="69" t="str">
        <f t="shared" si="42"/>
        <v>2021-08-10</v>
      </c>
      <c r="E422" s="36" t="s">
        <v>1342</v>
      </c>
      <c r="F422" s="35" t="str">
        <f t="shared" si="37"/>
        <v>2021-08-10_21-10-25</v>
      </c>
      <c r="G422" s="37">
        <v>41391328</v>
      </c>
      <c r="H422" s="38">
        <v>51344723</v>
      </c>
      <c r="I422" s="19" t="str">
        <f>IF(OR(COUNTIF(Monitoring!C:C, F422) &gt; 0, COUNTIF(Monitoring!D:D, F422) &gt; 0), "yes", "no")</f>
        <v>no</v>
      </c>
      <c r="J422" s="70" t="str">
        <f t="shared" si="38"/>
        <v>Z:\FAIR_Device_data\Experiment_JulAug_2021\Video_captures\2021-08-10\2021-08-10_21-10-25.mp4</v>
      </c>
    </row>
    <row r="423" spans="1:10" x14ac:dyDescent="0.3">
      <c r="A423" s="1">
        <f t="shared" si="39"/>
        <v>44418</v>
      </c>
      <c r="B423" s="34">
        <f t="shared" si="40"/>
        <v>0.88377314814814811</v>
      </c>
      <c r="C423" s="34">
        <f t="shared" si="41"/>
        <v>44418.883773148147</v>
      </c>
      <c r="D423" s="69" t="str">
        <f t="shared" si="42"/>
        <v>2021-08-10</v>
      </c>
      <c r="E423" s="36" t="s">
        <v>1343</v>
      </c>
      <c r="F423" s="35" t="str">
        <f t="shared" si="37"/>
        <v>2021-08-10_21-12-38</v>
      </c>
      <c r="G423" s="37">
        <v>32921029</v>
      </c>
      <c r="H423" s="38">
        <v>48823763</v>
      </c>
      <c r="I423" s="19" t="str">
        <f>IF(OR(COUNTIF(Monitoring!C:C, F423) &gt; 0, COUNTIF(Monitoring!D:D, F423) &gt; 0), "yes", "no")</f>
        <v>yes</v>
      </c>
      <c r="J423" s="70" t="str">
        <f t="shared" si="38"/>
        <v>Z:\FAIR_Device_data\Experiment_JulAug_2021\Video_captures\2021-08-10\2021-08-10_21-12-38.mp4</v>
      </c>
    </row>
    <row r="424" spans="1:10" x14ac:dyDescent="0.3">
      <c r="A424" s="1">
        <f t="shared" si="39"/>
        <v>44418</v>
      </c>
      <c r="B424" s="34">
        <f t="shared" si="40"/>
        <v>0.8869097222222222</v>
      </c>
      <c r="C424" s="34">
        <f t="shared" si="41"/>
        <v>44418.88690972222</v>
      </c>
      <c r="D424" s="69" t="str">
        <f t="shared" si="42"/>
        <v>2021-08-10</v>
      </c>
      <c r="E424" s="36" t="s">
        <v>1344</v>
      </c>
      <c r="F424" s="35" t="str">
        <f t="shared" si="37"/>
        <v>2021-08-10_21-17-09</v>
      </c>
      <c r="G424" s="37">
        <v>29453385</v>
      </c>
      <c r="H424" s="38">
        <v>42768444</v>
      </c>
      <c r="I424" s="19" t="str">
        <f>IF(OR(COUNTIF(Monitoring!C:C, F424) &gt; 0, COUNTIF(Monitoring!D:D, F424) &gt; 0), "yes", "no")</f>
        <v>yes</v>
      </c>
      <c r="J424" s="70" t="str">
        <f t="shared" si="38"/>
        <v>Z:\FAIR_Device_data\Experiment_JulAug_2021\Video_captures\2021-08-10\2021-08-10_21-17-09.mp4</v>
      </c>
    </row>
    <row r="425" spans="1:10" x14ac:dyDescent="0.3">
      <c r="A425" s="1">
        <f t="shared" si="39"/>
        <v>44418</v>
      </c>
      <c r="B425" s="34">
        <f t="shared" si="40"/>
        <v>0.88885416666666661</v>
      </c>
      <c r="C425" s="34">
        <f t="shared" si="41"/>
        <v>44418.888854166667</v>
      </c>
      <c r="D425" s="69" t="str">
        <f t="shared" si="42"/>
        <v>2021-08-10</v>
      </c>
      <c r="E425" s="36" t="s">
        <v>1345</v>
      </c>
      <c r="F425" s="35" t="str">
        <f t="shared" si="37"/>
        <v>2021-08-10_21-19-57</v>
      </c>
      <c r="G425" s="37">
        <v>33071680</v>
      </c>
      <c r="H425" s="38">
        <v>49435842</v>
      </c>
      <c r="I425" s="19" t="str">
        <f>IF(OR(COUNTIF(Monitoring!C:C, F425) &gt; 0, COUNTIF(Monitoring!D:D, F425) &gt; 0), "yes", "no")</f>
        <v>yes</v>
      </c>
      <c r="J425" s="70" t="str">
        <f t="shared" si="38"/>
        <v>Z:\FAIR_Device_data\Experiment_JulAug_2021\Video_captures\2021-08-10\2021-08-10_21-19-57.mp4</v>
      </c>
    </row>
    <row r="426" spans="1:10" x14ac:dyDescent="0.3">
      <c r="A426" s="1">
        <f t="shared" si="39"/>
        <v>44418</v>
      </c>
      <c r="B426" s="34">
        <f t="shared" si="40"/>
        <v>0.88954861111111116</v>
      </c>
      <c r="C426" s="34">
        <f t="shared" si="41"/>
        <v>44418.889548611114</v>
      </c>
      <c r="D426" s="69" t="str">
        <f t="shared" si="42"/>
        <v>2021-08-10</v>
      </c>
      <c r="E426" s="36" t="s">
        <v>1346</v>
      </c>
      <c r="F426" s="35" t="str">
        <f t="shared" si="37"/>
        <v>2021-08-10_21-20-57</v>
      </c>
      <c r="G426" s="37">
        <v>292405013</v>
      </c>
      <c r="H426" s="38">
        <v>444066432</v>
      </c>
      <c r="I426" s="19" t="str">
        <f>IF(OR(COUNTIF(Monitoring!C:C, F426) &gt; 0, COUNTIF(Monitoring!D:D, F426) &gt; 0), "yes", "no")</f>
        <v>yes</v>
      </c>
      <c r="J426" s="70" t="str">
        <f t="shared" si="38"/>
        <v>Z:\FAIR_Device_data\Experiment_JulAug_2021\Video_captures\2021-08-10\2021-08-10_21-20-57.mp4</v>
      </c>
    </row>
    <row r="427" spans="1:10" x14ac:dyDescent="0.3">
      <c r="A427" s="1">
        <f t="shared" si="39"/>
        <v>44418</v>
      </c>
      <c r="B427" s="34">
        <f t="shared" si="40"/>
        <v>0.89314814814814814</v>
      </c>
      <c r="C427" s="34">
        <f t="shared" si="41"/>
        <v>44418.893148148149</v>
      </c>
      <c r="D427" s="69" t="str">
        <f t="shared" si="42"/>
        <v>2021-08-10</v>
      </c>
      <c r="E427" s="36" t="s">
        <v>1347</v>
      </c>
      <c r="F427" s="35" t="str">
        <f t="shared" si="37"/>
        <v>2021-08-10_21-26-08</v>
      </c>
      <c r="G427" s="37">
        <v>64221940</v>
      </c>
      <c r="H427" s="38">
        <v>93380512</v>
      </c>
      <c r="I427" s="19" t="str">
        <f>IF(OR(COUNTIF(Monitoring!C:C, F427) &gt; 0, COUNTIF(Monitoring!D:D, F427) &gt; 0), "yes", "no")</f>
        <v>yes</v>
      </c>
      <c r="J427" s="70" t="str">
        <f t="shared" si="38"/>
        <v>Z:\FAIR_Device_data\Experiment_JulAug_2021\Video_captures\2021-08-10\2021-08-10_21-26-08.mp4</v>
      </c>
    </row>
    <row r="428" spans="1:10" x14ac:dyDescent="0.3">
      <c r="A428" s="1">
        <f t="shared" si="39"/>
        <v>44418</v>
      </c>
      <c r="B428" s="34">
        <f t="shared" si="40"/>
        <v>0.89465277777777774</v>
      </c>
      <c r="C428" s="34">
        <f t="shared" si="41"/>
        <v>44418.894652777781</v>
      </c>
      <c r="D428" s="69" t="str">
        <f t="shared" si="42"/>
        <v>2021-08-10</v>
      </c>
      <c r="E428" s="36" t="s">
        <v>1348</v>
      </c>
      <c r="F428" s="35" t="str">
        <f t="shared" si="37"/>
        <v>2021-08-10_21-28-18</v>
      </c>
      <c r="G428" s="37">
        <v>10237109</v>
      </c>
      <c r="H428" s="38">
        <v>11715081</v>
      </c>
      <c r="I428" s="19" t="str">
        <f>IF(OR(COUNTIF(Monitoring!C:C, F428) &gt; 0, COUNTIF(Monitoring!D:D, F428) &gt; 0), "yes", "no")</f>
        <v>yes</v>
      </c>
      <c r="J428" s="70" t="str">
        <f t="shared" si="38"/>
        <v>Z:\FAIR_Device_data\Experiment_JulAug_2021\Video_captures\2021-08-10\2021-08-10_21-28-18.mp4</v>
      </c>
    </row>
    <row r="429" spans="1:10" x14ac:dyDescent="0.3">
      <c r="A429" s="1">
        <f t="shared" si="39"/>
        <v>44418</v>
      </c>
      <c r="B429" s="34">
        <f t="shared" si="40"/>
        <v>0.89591435185185186</v>
      </c>
      <c r="C429" s="34">
        <f t="shared" si="41"/>
        <v>44418.895914351851</v>
      </c>
      <c r="D429" s="69" t="str">
        <f t="shared" si="42"/>
        <v>2021-08-10</v>
      </c>
      <c r="E429" s="36" t="s">
        <v>1349</v>
      </c>
      <c r="F429" s="35" t="str">
        <f t="shared" si="37"/>
        <v>2021-08-10_21-30-07</v>
      </c>
      <c r="G429" s="37">
        <v>25949479</v>
      </c>
      <c r="H429" s="38">
        <v>25520064</v>
      </c>
      <c r="I429" s="19" t="str">
        <f>IF(OR(COUNTIF(Monitoring!C:C, F429) &gt; 0, COUNTIF(Monitoring!D:D, F429) &gt; 0), "yes", "no")</f>
        <v>yes</v>
      </c>
      <c r="J429" s="70" t="str">
        <f t="shared" si="38"/>
        <v>Z:\FAIR_Device_data\Experiment_JulAug_2021\Video_captures\2021-08-10\2021-08-10_21-30-07.mp4</v>
      </c>
    </row>
    <row r="430" spans="1:10" x14ac:dyDescent="0.3">
      <c r="A430" s="1">
        <f t="shared" si="39"/>
        <v>44418</v>
      </c>
      <c r="B430" s="34">
        <f t="shared" si="40"/>
        <v>0.89658564814814812</v>
      </c>
      <c r="C430" s="34">
        <f t="shared" si="41"/>
        <v>44418.896585648145</v>
      </c>
      <c r="D430" s="69" t="str">
        <f t="shared" si="42"/>
        <v>2021-08-10</v>
      </c>
      <c r="E430" s="36" t="s">
        <v>1350</v>
      </c>
      <c r="F430" s="35" t="str">
        <f t="shared" si="37"/>
        <v>2021-08-10_21-31-05</v>
      </c>
      <c r="G430" s="37">
        <v>100959049</v>
      </c>
      <c r="H430" s="38">
        <v>149672033</v>
      </c>
      <c r="I430" s="19" t="str">
        <f>IF(OR(COUNTIF(Monitoring!C:C, F430) &gt; 0, COUNTIF(Monitoring!D:D, F430) &gt; 0), "yes", "no")</f>
        <v>yes</v>
      </c>
      <c r="J430" s="70" t="str">
        <f t="shared" si="38"/>
        <v>Z:\FAIR_Device_data\Experiment_JulAug_2021\Video_captures\2021-08-10\2021-08-10_21-31-05.mp4</v>
      </c>
    </row>
    <row r="431" spans="1:10" x14ac:dyDescent="0.3">
      <c r="A431" s="1">
        <f t="shared" si="39"/>
        <v>44418</v>
      </c>
      <c r="B431" s="34">
        <f t="shared" si="40"/>
        <v>0.9046643518518519</v>
      </c>
      <c r="C431" s="34">
        <f t="shared" si="41"/>
        <v>44418.904664351852</v>
      </c>
      <c r="D431" s="69" t="str">
        <f t="shared" si="42"/>
        <v>2021-08-10</v>
      </c>
      <c r="E431" s="36" t="s">
        <v>1351</v>
      </c>
      <c r="F431" s="35" t="str">
        <f t="shared" si="37"/>
        <v>2021-08-10_21-42-43</v>
      </c>
      <c r="G431" s="37">
        <v>9694531</v>
      </c>
      <c r="H431" s="38">
        <v>11069139</v>
      </c>
      <c r="I431" s="19" t="str">
        <f>IF(OR(COUNTIF(Monitoring!C:C, F431) &gt; 0, COUNTIF(Monitoring!D:D, F431) &gt; 0), "yes", "no")</f>
        <v>yes</v>
      </c>
      <c r="J431" s="70" t="str">
        <f t="shared" si="38"/>
        <v>Z:\FAIR_Device_data\Experiment_JulAug_2021\Video_captures\2021-08-10\2021-08-10_21-42-43.mp4</v>
      </c>
    </row>
    <row r="432" spans="1:10" x14ac:dyDescent="0.3">
      <c r="A432" s="1">
        <f t="shared" si="39"/>
        <v>44418</v>
      </c>
      <c r="B432" s="34">
        <f t="shared" si="40"/>
        <v>0.91408564814814819</v>
      </c>
      <c r="C432" s="34">
        <f t="shared" si="41"/>
        <v>44418.914085648146</v>
      </c>
      <c r="D432" s="69" t="str">
        <f t="shared" si="42"/>
        <v>2021-08-10</v>
      </c>
      <c r="E432" s="36" t="s">
        <v>1352</v>
      </c>
      <c r="F432" s="35" t="str">
        <f t="shared" si="37"/>
        <v>2021-08-10_21-56-17</v>
      </c>
      <c r="G432" s="37">
        <v>13640169</v>
      </c>
      <c r="H432" s="38">
        <v>17020709</v>
      </c>
      <c r="I432" s="19" t="str">
        <f>IF(OR(COUNTIF(Monitoring!C:C, F432) &gt; 0, COUNTIF(Monitoring!D:D, F432) &gt; 0), "yes", "no")</f>
        <v>yes</v>
      </c>
      <c r="J432" s="70" t="str">
        <f t="shared" si="38"/>
        <v>Z:\FAIR_Device_data\Experiment_JulAug_2021\Video_captures\2021-08-10\2021-08-10_21-56-17.mp4</v>
      </c>
    </row>
    <row r="433" spans="1:10" x14ac:dyDescent="0.3">
      <c r="A433" s="1">
        <f t="shared" si="39"/>
        <v>44418</v>
      </c>
      <c r="B433" s="34">
        <f t="shared" si="40"/>
        <v>0.91540509259259262</v>
      </c>
      <c r="C433" s="34">
        <f t="shared" si="41"/>
        <v>44418.915405092594</v>
      </c>
      <c r="D433" s="69" t="str">
        <f t="shared" si="42"/>
        <v>2021-08-10</v>
      </c>
      <c r="E433" s="36" t="s">
        <v>1353</v>
      </c>
      <c r="F433" s="35" t="str">
        <f t="shared" si="37"/>
        <v>2021-08-10_21-58-11</v>
      </c>
      <c r="G433" s="37">
        <v>54058333</v>
      </c>
      <c r="H433" s="38">
        <v>78568514</v>
      </c>
      <c r="I433" s="19" t="str">
        <f>IF(OR(COUNTIF(Monitoring!C:C, F433) &gt; 0, COUNTIF(Monitoring!D:D, F433) &gt; 0), "yes", "no")</f>
        <v>yes</v>
      </c>
      <c r="J433" s="70" t="str">
        <f t="shared" si="38"/>
        <v>Z:\FAIR_Device_data\Experiment_JulAug_2021\Video_captures\2021-08-10\2021-08-10_21-58-11.mp4</v>
      </c>
    </row>
    <row r="434" spans="1:10" x14ac:dyDescent="0.3">
      <c r="A434" s="1">
        <f t="shared" si="39"/>
        <v>44418</v>
      </c>
      <c r="B434" s="34">
        <f t="shared" si="40"/>
        <v>0.91688657407407403</v>
      </c>
      <c r="C434" s="34">
        <f t="shared" si="41"/>
        <v>44418.916886574072</v>
      </c>
      <c r="D434" s="69" t="str">
        <f t="shared" si="42"/>
        <v>2021-08-10</v>
      </c>
      <c r="E434" s="36" t="s">
        <v>1354</v>
      </c>
      <c r="F434" s="35" t="str">
        <f t="shared" si="37"/>
        <v>2021-08-10_22-00-19</v>
      </c>
      <c r="G434" s="37">
        <v>41396289</v>
      </c>
      <c r="H434" s="38">
        <v>51197631</v>
      </c>
      <c r="I434" s="19" t="str">
        <f>IF(OR(COUNTIF(Monitoring!C:C, F434) &gt; 0, COUNTIF(Monitoring!D:D, F434) &gt; 0), "yes", "no")</f>
        <v>yes</v>
      </c>
      <c r="J434" s="70" t="str">
        <f t="shared" si="38"/>
        <v>Z:\FAIR_Device_data\Experiment_JulAug_2021\Video_captures\2021-08-10\2021-08-10_22-00-19.mp4</v>
      </c>
    </row>
    <row r="435" spans="1:10" x14ac:dyDescent="0.3">
      <c r="A435" s="1">
        <f t="shared" si="39"/>
        <v>44418</v>
      </c>
      <c r="B435" s="34">
        <f t="shared" si="40"/>
        <v>0.91813657407407412</v>
      </c>
      <c r="C435" s="34">
        <f t="shared" si="41"/>
        <v>44418.918136574073</v>
      </c>
      <c r="D435" s="69" t="str">
        <f t="shared" si="42"/>
        <v>2021-08-10</v>
      </c>
      <c r="E435" s="36" t="s">
        <v>1355</v>
      </c>
      <c r="F435" s="35" t="str">
        <f t="shared" si="37"/>
        <v>2021-08-10_22-02-07</v>
      </c>
      <c r="G435" s="37">
        <v>26957552</v>
      </c>
      <c r="H435" s="38">
        <v>37384282</v>
      </c>
      <c r="I435" s="19" t="str">
        <f>IF(OR(COUNTIF(Monitoring!C:C, F435) &gt; 0, COUNTIF(Monitoring!D:D, F435) &gt; 0), "yes", "no")</f>
        <v>yes</v>
      </c>
      <c r="J435" s="70" t="str">
        <f t="shared" si="38"/>
        <v>Z:\FAIR_Device_data\Experiment_JulAug_2021\Video_captures\2021-08-10\2021-08-10_22-02-07.mp4</v>
      </c>
    </row>
    <row r="436" spans="1:10" x14ac:dyDescent="0.3">
      <c r="A436" s="1">
        <f t="shared" si="39"/>
        <v>44418</v>
      </c>
      <c r="B436" s="34">
        <f t="shared" si="40"/>
        <v>0.99416666666666664</v>
      </c>
      <c r="C436" s="34">
        <f t="shared" si="41"/>
        <v>44418.994166666664</v>
      </c>
      <c r="D436" s="69" t="str">
        <f t="shared" si="42"/>
        <v>2021-08-10</v>
      </c>
      <c r="E436" s="36" t="s">
        <v>1356</v>
      </c>
      <c r="F436" s="35" t="str">
        <f t="shared" si="37"/>
        <v>2021-08-10_23-51-36</v>
      </c>
      <c r="G436" s="37">
        <v>10381466</v>
      </c>
      <c r="H436" s="38">
        <v>11356106</v>
      </c>
      <c r="I436" s="19" t="str">
        <f>IF(OR(COUNTIF(Monitoring!C:C, F436) &gt; 0, COUNTIF(Monitoring!D:D, F436) &gt; 0), "yes", "no")</f>
        <v>yes</v>
      </c>
      <c r="J436" s="70" t="str">
        <f t="shared" si="38"/>
        <v>Z:\FAIR_Device_data\Experiment_JulAug_2021\Video_captures\2021-08-10\2021-08-10_23-51-36.mp4</v>
      </c>
    </row>
    <row r="437" spans="1:10" x14ac:dyDescent="0.3">
      <c r="A437" s="1">
        <f t="shared" si="39"/>
        <v>44419</v>
      </c>
      <c r="B437" s="34">
        <f t="shared" si="40"/>
        <v>2.1643518518518517E-2</v>
      </c>
      <c r="C437" s="34">
        <f t="shared" si="41"/>
        <v>44419.021643518521</v>
      </c>
      <c r="D437" s="69" t="str">
        <f t="shared" si="42"/>
        <v>2021-08-11</v>
      </c>
      <c r="E437" s="36" t="s">
        <v>1357</v>
      </c>
      <c r="F437" s="35" t="str">
        <f t="shared" si="37"/>
        <v>2021-08-11_00-31-10</v>
      </c>
      <c r="G437" s="37">
        <v>9997104</v>
      </c>
      <c r="H437" s="38">
        <v>11513790</v>
      </c>
      <c r="I437" s="19" t="str">
        <f>IF(OR(COUNTIF(Monitoring!C:C, F437) &gt; 0, COUNTIF(Monitoring!D:D, F437) &gt; 0), "yes", "no")</f>
        <v>yes</v>
      </c>
      <c r="J437" s="70" t="str">
        <f t="shared" si="38"/>
        <v>Z:\FAIR_Device_data\Experiment_JulAug_2021\Video_captures\2021-08-11\2021-08-11_00-31-10.mp4</v>
      </c>
    </row>
    <row r="438" spans="1:10" x14ac:dyDescent="0.3">
      <c r="A438" s="1">
        <f t="shared" si="39"/>
        <v>44419</v>
      </c>
      <c r="B438" s="34">
        <f t="shared" si="40"/>
        <v>0.40437499999999998</v>
      </c>
      <c r="C438" s="34">
        <f t="shared" si="41"/>
        <v>44419.404374999998</v>
      </c>
      <c r="D438" s="69" t="str">
        <f t="shared" si="42"/>
        <v>2021-08-11</v>
      </c>
      <c r="E438" s="36" t="s">
        <v>1358</v>
      </c>
      <c r="F438" s="35" t="str">
        <f t="shared" si="37"/>
        <v>2021-08-11_09-42-18</v>
      </c>
      <c r="G438" s="37">
        <v>103322005</v>
      </c>
      <c r="H438" s="38">
        <v>141559076</v>
      </c>
      <c r="I438" s="19" t="str">
        <f>IF(OR(COUNTIF(Monitoring!C:C, F438) &gt; 0, COUNTIF(Monitoring!D:D, F438) &gt; 0), "yes", "no")</f>
        <v>yes</v>
      </c>
      <c r="J438" s="70" t="str">
        <f t="shared" si="38"/>
        <v>Z:\FAIR_Device_data\Experiment_JulAug_2021\Video_captures\2021-08-11\2021-08-11_09-42-18.mp4</v>
      </c>
    </row>
    <row r="439" spans="1:10" x14ac:dyDescent="0.3">
      <c r="A439" s="1">
        <f t="shared" si="39"/>
        <v>44419</v>
      </c>
      <c r="B439" s="34">
        <f t="shared" si="40"/>
        <v>0.45234953703703706</v>
      </c>
      <c r="C439" s="34">
        <f t="shared" si="41"/>
        <v>44419.452349537038</v>
      </c>
      <c r="D439" s="69" t="str">
        <f t="shared" si="42"/>
        <v>2021-08-11</v>
      </c>
      <c r="E439" s="36" t="s">
        <v>1359</v>
      </c>
      <c r="F439" s="35" t="str">
        <f t="shared" si="37"/>
        <v>2021-08-11_10-51-23</v>
      </c>
      <c r="G439" s="37">
        <v>38353125</v>
      </c>
      <c r="H439" s="38">
        <v>34872331</v>
      </c>
      <c r="I439" s="19" t="str">
        <f>IF(OR(COUNTIF(Monitoring!C:C, F439) &gt; 0, COUNTIF(Monitoring!D:D, F439) &gt; 0), "yes", "no")</f>
        <v>yes</v>
      </c>
      <c r="J439" s="70" t="str">
        <f t="shared" si="38"/>
        <v>Z:\FAIR_Device_data\Experiment_JulAug_2021\Video_captures\2021-08-11\2021-08-11_10-51-23.mp4</v>
      </c>
    </row>
    <row r="440" spans="1:10" x14ac:dyDescent="0.3">
      <c r="A440" s="1">
        <f t="shared" si="39"/>
        <v>44419</v>
      </c>
      <c r="B440" s="34">
        <f t="shared" si="40"/>
        <v>0.47075231481481483</v>
      </c>
      <c r="C440" s="34">
        <f t="shared" si="41"/>
        <v>44419.470752314817</v>
      </c>
      <c r="D440" s="69" t="str">
        <f t="shared" si="42"/>
        <v>2021-08-11</v>
      </c>
      <c r="E440" s="36" t="s">
        <v>1360</v>
      </c>
      <c r="F440" s="35" t="str">
        <f t="shared" si="37"/>
        <v>2021-08-11_11-17-53</v>
      </c>
      <c r="G440" s="37">
        <v>10137190</v>
      </c>
      <c r="H440" s="38">
        <v>10413753</v>
      </c>
      <c r="I440" s="19" t="str">
        <f>IF(OR(COUNTIF(Monitoring!C:C, F440) &gt; 0, COUNTIF(Monitoring!D:D, F440) &gt; 0), "yes", "no")</f>
        <v>yes</v>
      </c>
      <c r="J440" s="70" t="str">
        <f t="shared" si="38"/>
        <v>Z:\FAIR_Device_data\Experiment_JulAug_2021\Video_captures\2021-08-11\2021-08-11_11-17-53.mp4</v>
      </c>
    </row>
    <row r="441" spans="1:10" x14ac:dyDescent="0.3">
      <c r="A441" s="1">
        <f t="shared" si="39"/>
        <v>44419</v>
      </c>
      <c r="B441" s="34">
        <f t="shared" si="40"/>
        <v>0.47335648148148146</v>
      </c>
      <c r="C441" s="34">
        <f t="shared" si="41"/>
        <v>44419.473356481481</v>
      </c>
      <c r="D441" s="69" t="str">
        <f t="shared" si="42"/>
        <v>2021-08-11</v>
      </c>
      <c r="E441" s="36" t="s">
        <v>1361</v>
      </c>
      <c r="F441" s="35" t="str">
        <f t="shared" si="37"/>
        <v>2021-08-11_11-21-38</v>
      </c>
      <c r="G441" s="37">
        <v>26496159</v>
      </c>
      <c r="H441" s="38">
        <v>34537077</v>
      </c>
      <c r="I441" s="19" t="str">
        <f>IF(OR(COUNTIF(Monitoring!C:C, F441) &gt; 0, COUNTIF(Monitoring!D:D, F441) &gt; 0), "yes", "no")</f>
        <v>yes</v>
      </c>
      <c r="J441" s="70" t="str">
        <f t="shared" si="38"/>
        <v>Z:\FAIR_Device_data\Experiment_JulAug_2021\Video_captures\2021-08-11\2021-08-11_11-21-38.mp4</v>
      </c>
    </row>
    <row r="442" spans="1:10" x14ac:dyDescent="0.3">
      <c r="A442" s="1">
        <f t="shared" si="39"/>
        <v>44419</v>
      </c>
      <c r="B442" s="34">
        <f t="shared" si="40"/>
        <v>0.50618055555555552</v>
      </c>
      <c r="C442" s="34">
        <f t="shared" si="41"/>
        <v>44419.506180555552</v>
      </c>
      <c r="D442" s="69" t="str">
        <f t="shared" si="42"/>
        <v>2021-08-11</v>
      </c>
      <c r="E442" s="36" t="s">
        <v>1362</v>
      </c>
      <c r="F442" s="35" t="str">
        <f t="shared" si="37"/>
        <v>2021-08-11_12-08-54</v>
      </c>
      <c r="G442" s="37">
        <v>21784896</v>
      </c>
      <c r="H442" s="38">
        <v>25345222</v>
      </c>
      <c r="I442" s="19" t="str">
        <f>IF(OR(COUNTIF(Monitoring!C:C, F442) &gt; 0, COUNTIF(Monitoring!D:D, F442) &gt; 0), "yes", "no")</f>
        <v>yes</v>
      </c>
      <c r="J442" s="70" t="str">
        <f t="shared" si="38"/>
        <v>Z:\FAIR_Device_data\Experiment_JulAug_2021\Video_captures\2021-08-11\2021-08-11_12-08-54.mp4</v>
      </c>
    </row>
    <row r="443" spans="1:10" x14ac:dyDescent="0.3">
      <c r="A443" s="1">
        <f t="shared" si="39"/>
        <v>44419</v>
      </c>
      <c r="B443" s="34">
        <f t="shared" si="40"/>
        <v>0.53006944444444448</v>
      </c>
      <c r="C443" s="34">
        <f t="shared" si="41"/>
        <v>44419.530069444445</v>
      </c>
      <c r="D443" s="69" t="str">
        <f t="shared" si="42"/>
        <v>2021-08-11</v>
      </c>
      <c r="E443" s="36" t="s">
        <v>1363</v>
      </c>
      <c r="F443" s="35" t="str">
        <f t="shared" si="37"/>
        <v>2021-08-11_12-43-18</v>
      </c>
      <c r="G443" s="37">
        <v>13892708</v>
      </c>
      <c r="H443" s="38">
        <v>16001495</v>
      </c>
      <c r="I443" s="19" t="str">
        <f>IF(OR(COUNTIF(Monitoring!C:C, F443) &gt; 0, COUNTIF(Monitoring!D:D, F443) &gt; 0), "yes", "no")</f>
        <v>yes</v>
      </c>
      <c r="J443" s="70" t="str">
        <f t="shared" si="38"/>
        <v>Z:\FAIR_Device_data\Experiment_JulAug_2021\Video_captures\2021-08-11\2021-08-11_12-43-18.mp4</v>
      </c>
    </row>
    <row r="444" spans="1:10" x14ac:dyDescent="0.3">
      <c r="A444" s="1">
        <f t="shared" si="39"/>
        <v>44419</v>
      </c>
      <c r="B444" s="34">
        <f t="shared" si="40"/>
        <v>0.58946759259259263</v>
      </c>
      <c r="C444" s="34">
        <f t="shared" si="41"/>
        <v>44419.589467592596</v>
      </c>
      <c r="D444" s="69" t="str">
        <f t="shared" si="42"/>
        <v>2021-08-11</v>
      </c>
      <c r="E444" s="36" t="s">
        <v>1364</v>
      </c>
      <c r="F444" s="35" t="str">
        <f t="shared" si="37"/>
        <v>2021-08-11_14-08-50</v>
      </c>
      <c r="G444" s="37">
        <v>17015885</v>
      </c>
      <c r="H444" s="38">
        <v>15456461</v>
      </c>
      <c r="I444" s="19" t="str">
        <f>IF(OR(COUNTIF(Monitoring!C:C, F444) &gt; 0, COUNTIF(Monitoring!D:D, F444) &gt; 0), "yes", "no")</f>
        <v>yes</v>
      </c>
      <c r="J444" s="70" t="str">
        <f t="shared" si="38"/>
        <v>Z:\FAIR_Device_data\Experiment_JulAug_2021\Video_captures\2021-08-11\2021-08-11_14-08-50.mp4</v>
      </c>
    </row>
    <row r="445" spans="1:10" x14ac:dyDescent="0.3">
      <c r="A445" s="1">
        <f t="shared" si="39"/>
        <v>44419</v>
      </c>
      <c r="B445" s="34">
        <f t="shared" si="40"/>
        <v>0.61280092592592594</v>
      </c>
      <c r="C445" s="34">
        <f t="shared" si="41"/>
        <v>44419.612800925926</v>
      </c>
      <c r="D445" s="69" t="str">
        <f t="shared" si="42"/>
        <v>2021-08-11</v>
      </c>
      <c r="E445" s="36" t="s">
        <v>1365</v>
      </c>
      <c r="F445" s="35" t="str">
        <f t="shared" si="37"/>
        <v>2021-08-11_14-42-26</v>
      </c>
      <c r="G445" s="37">
        <v>11512565</v>
      </c>
      <c r="H445" s="38">
        <v>9516730</v>
      </c>
      <c r="I445" s="19" t="str">
        <f>IF(OR(COUNTIF(Monitoring!C:C, F445) &gt; 0, COUNTIF(Monitoring!D:D, F445) &gt; 0), "yes", "no")</f>
        <v>yes</v>
      </c>
      <c r="J445" s="70" t="str">
        <f t="shared" si="38"/>
        <v>Z:\FAIR_Device_data\Experiment_JulAug_2021\Video_captures\2021-08-11\2021-08-11_14-42-26.mp4</v>
      </c>
    </row>
    <row r="446" spans="1:10" x14ac:dyDescent="0.3">
      <c r="A446" s="1">
        <f t="shared" si="39"/>
        <v>44419</v>
      </c>
      <c r="B446" s="34">
        <f t="shared" si="40"/>
        <v>0.62178240740740742</v>
      </c>
      <c r="C446" s="34">
        <f t="shared" si="41"/>
        <v>44419.621782407405</v>
      </c>
      <c r="D446" s="69" t="str">
        <f t="shared" si="42"/>
        <v>2021-08-11</v>
      </c>
      <c r="E446" s="36" t="s">
        <v>1366</v>
      </c>
      <c r="F446" s="35" t="str">
        <f t="shared" si="37"/>
        <v>2021-08-11_14-55-22</v>
      </c>
      <c r="G446" s="37">
        <v>12452539</v>
      </c>
      <c r="H446" s="38">
        <v>10095679</v>
      </c>
      <c r="I446" s="19" t="str">
        <f>IF(OR(COUNTIF(Monitoring!C:C, F446) &gt; 0, COUNTIF(Monitoring!D:D, F446) &gt; 0), "yes", "no")</f>
        <v>yes</v>
      </c>
      <c r="J446" s="70" t="str">
        <f t="shared" si="38"/>
        <v>Z:\FAIR_Device_data\Experiment_JulAug_2021\Video_captures\2021-08-11\2021-08-11_14-55-22.mp4</v>
      </c>
    </row>
    <row r="447" spans="1:10" x14ac:dyDescent="0.3">
      <c r="A447" s="1">
        <f t="shared" si="39"/>
        <v>44424</v>
      </c>
      <c r="B447" s="34">
        <f t="shared" si="40"/>
        <v>0.1330787037037037</v>
      </c>
      <c r="C447" s="34">
        <f t="shared" si="41"/>
        <v>44424.1330787037</v>
      </c>
      <c r="D447" s="69" t="str">
        <f t="shared" si="42"/>
        <v>2021-08-16</v>
      </c>
      <c r="E447" s="36" t="s">
        <v>1367</v>
      </c>
      <c r="F447" s="35" t="str">
        <f t="shared" si="37"/>
        <v>2021-08-16_03-11-38</v>
      </c>
      <c r="G447" s="37">
        <v>8296549</v>
      </c>
      <c r="H447" s="38">
        <v>8509286</v>
      </c>
      <c r="I447" s="19" t="str">
        <f>IF(OR(COUNTIF(Monitoring!C:C, F447) &gt; 0, COUNTIF(Monitoring!D:D, F447) &gt; 0), "yes", "no")</f>
        <v>no</v>
      </c>
      <c r="J447" s="70" t="str">
        <f t="shared" si="38"/>
        <v>Z:\FAIR_Device_data\Experiment_JulAug_2021\Video_captures\2021-08-16\2021-08-16_03-11-38.mp4</v>
      </c>
    </row>
    <row r="448" spans="1:10" x14ac:dyDescent="0.3">
      <c r="A448" s="1">
        <f t="shared" si="39"/>
        <v>44424</v>
      </c>
      <c r="B448" s="34">
        <f t="shared" si="40"/>
        <v>0.50938657407407406</v>
      </c>
      <c r="C448" s="34">
        <f t="shared" si="41"/>
        <v>44424.509386574071</v>
      </c>
      <c r="D448" s="69" t="str">
        <f t="shared" si="42"/>
        <v>2021-08-16</v>
      </c>
      <c r="E448" s="36" t="s">
        <v>1368</v>
      </c>
      <c r="F448" s="35" t="str">
        <f t="shared" si="37"/>
        <v>2021-08-16_12-13-31</v>
      </c>
      <c r="G448" s="37">
        <v>599665625</v>
      </c>
      <c r="H448" s="38">
        <v>830534855</v>
      </c>
      <c r="I448" s="19" t="str">
        <f>IF(OR(COUNTIF(Monitoring!C:C, F448) &gt; 0, COUNTIF(Monitoring!D:D, F448) &gt; 0), "yes", "no")</f>
        <v>yes</v>
      </c>
      <c r="J448" s="70" t="str">
        <f t="shared" si="38"/>
        <v>Z:\FAIR_Device_data\Experiment_JulAug_2021\Video_captures\2021-08-16\2021-08-16_12-13-31.mp4</v>
      </c>
    </row>
    <row r="449" spans="1:10" x14ac:dyDescent="0.3">
      <c r="A449" s="1">
        <f t="shared" si="39"/>
        <v>44424</v>
      </c>
      <c r="B449" s="34">
        <f t="shared" si="40"/>
        <v>0.54099537037037038</v>
      </c>
      <c r="C449" s="34">
        <f t="shared" si="41"/>
        <v>44424.540995370371</v>
      </c>
      <c r="D449" s="69" t="str">
        <f t="shared" si="42"/>
        <v>2021-08-16</v>
      </c>
      <c r="E449" s="36" t="s">
        <v>1369</v>
      </c>
      <c r="F449" s="35" t="str">
        <f t="shared" si="37"/>
        <v>2021-08-16_12-59-02</v>
      </c>
      <c r="G449" s="37">
        <v>17021350</v>
      </c>
      <c r="H449" s="38">
        <v>13992962</v>
      </c>
      <c r="I449" s="19" t="str">
        <f>IF(OR(COUNTIF(Monitoring!C:C, F449) &gt; 0, COUNTIF(Monitoring!D:D, F449) &gt; 0), "yes", "no")</f>
        <v>yes</v>
      </c>
      <c r="J449" s="70" t="str">
        <f t="shared" si="38"/>
        <v>Z:\FAIR_Device_data\Experiment_JulAug_2021\Video_captures\2021-08-16\2021-08-16_12-59-02.mp4</v>
      </c>
    </row>
    <row r="450" spans="1:10" x14ac:dyDescent="0.3">
      <c r="A450" s="1">
        <f t="shared" si="39"/>
        <v>44424</v>
      </c>
      <c r="B450" s="34">
        <f t="shared" si="40"/>
        <v>0.54120370370370374</v>
      </c>
      <c r="C450" s="34">
        <f t="shared" si="41"/>
        <v>44424.541203703702</v>
      </c>
      <c r="D450" s="69" t="str">
        <f t="shared" si="42"/>
        <v>2021-08-16</v>
      </c>
      <c r="E450" s="36" t="s">
        <v>1370</v>
      </c>
      <c r="F450" s="35" t="str">
        <f t="shared" ref="F450:F487" si="43">+LEFT(E450,19)</f>
        <v>2021-08-16_12-59-20</v>
      </c>
      <c r="G450" s="37">
        <v>36338157</v>
      </c>
      <c r="H450" s="38">
        <v>25289835</v>
      </c>
      <c r="I450" s="19" t="str">
        <f>IF(OR(COUNTIF(Monitoring!C:C, F450) &gt; 0, COUNTIF(Monitoring!D:D, F450) &gt; 0), "yes", "no")</f>
        <v>no</v>
      </c>
      <c r="J450" s="70" t="str">
        <f t="shared" ref="J450:J487" si="44">HYPERLINK(_xlfn.CONCAT("Z:\FAIR_Device_data\Experiment_JulAug_2021","\","Video_captures","\",D450,"\",E450))</f>
        <v>Z:\FAIR_Device_data\Experiment_JulAug_2021\Video_captures\2021-08-16\2021-08-16_12-59-20.mp4</v>
      </c>
    </row>
    <row r="451" spans="1:10" x14ac:dyDescent="0.3">
      <c r="A451" s="1">
        <f t="shared" ref="A451:A487" si="45">VALUE(MID(F451,1,10))</f>
        <v>44426</v>
      </c>
      <c r="B451" s="34">
        <f t="shared" ref="B451:B487" si="46">IF(ISBLANK(F451),"",TIME(LEFT(RIGHT(F451,8),2),LEFT(RIGHT(F451,5),2),RIGHT(F451,2)))</f>
        <v>0.77009259259259255</v>
      </c>
      <c r="C451" s="34">
        <f t="shared" ref="C451:C487" si="47">+A451+B451</f>
        <v>44426.770092592589</v>
      </c>
      <c r="D451" s="69" t="str">
        <f t="shared" ref="D451:D487" si="48">+_xlfn.CONCAT(YEAR(A451),"-",TEXT(MONTH(A451),"00"),"-",TEXT(DAY(A451),"00"))</f>
        <v>2021-08-18</v>
      </c>
      <c r="E451" s="36" t="s">
        <v>1371</v>
      </c>
      <c r="F451" s="35" t="str">
        <f t="shared" si="43"/>
        <v>2021-08-18_18-28-56</v>
      </c>
      <c r="G451" s="37">
        <v>125862956</v>
      </c>
      <c r="H451" s="38">
        <v>11180056</v>
      </c>
      <c r="I451" s="19" t="str">
        <f>IF(OR(COUNTIF(Monitoring!C:C, F451) &gt; 0, COUNTIF(Monitoring!D:D, F451) &gt; 0), "yes", "no")</f>
        <v>yes</v>
      </c>
      <c r="J451" s="70" t="str">
        <f t="shared" si="44"/>
        <v>Z:\FAIR_Device_data\Experiment_JulAug_2021\Video_captures\2021-08-18\2021-08-18_18-28-56.mp4</v>
      </c>
    </row>
    <row r="452" spans="1:10" x14ac:dyDescent="0.3">
      <c r="A452" s="1">
        <f t="shared" si="45"/>
        <v>44426</v>
      </c>
      <c r="B452" s="34">
        <f t="shared" si="46"/>
        <v>0.80797453703703703</v>
      </c>
      <c r="C452" s="34">
        <f t="shared" si="47"/>
        <v>44426.807974537034</v>
      </c>
      <c r="D452" s="69" t="str">
        <f t="shared" si="48"/>
        <v>2021-08-18</v>
      </c>
      <c r="E452" s="36" t="s">
        <v>1372</v>
      </c>
      <c r="F452" s="35" t="str">
        <f t="shared" si="43"/>
        <v>2021-08-18_19-23-29</v>
      </c>
      <c r="G452" s="37">
        <v>9410417</v>
      </c>
      <c r="H452" s="38">
        <v>10616289</v>
      </c>
      <c r="I452" s="19" t="str">
        <f>IF(OR(COUNTIF(Monitoring!C:C, F452) &gt; 0, COUNTIF(Monitoring!D:D, F452) &gt; 0), "yes", "no")</f>
        <v>yes</v>
      </c>
      <c r="J452" s="70" t="str">
        <f t="shared" si="44"/>
        <v>Z:\FAIR_Device_data\Experiment_JulAug_2021\Video_captures\2021-08-18\2021-08-18_19-23-29.mp4</v>
      </c>
    </row>
    <row r="453" spans="1:10" x14ac:dyDescent="0.3">
      <c r="A453" s="1">
        <f t="shared" si="45"/>
        <v>44426</v>
      </c>
      <c r="B453" s="34">
        <f t="shared" si="46"/>
        <v>0.8109143518518519</v>
      </c>
      <c r="C453" s="34">
        <f t="shared" si="47"/>
        <v>44426.810914351852</v>
      </c>
      <c r="D453" s="69" t="str">
        <f t="shared" si="48"/>
        <v>2021-08-18</v>
      </c>
      <c r="E453" s="36" t="s">
        <v>1373</v>
      </c>
      <c r="F453" s="35" t="str">
        <f t="shared" si="43"/>
        <v>2021-08-18_19-27-43</v>
      </c>
      <c r="G453" s="37">
        <v>10060286</v>
      </c>
      <c r="H453" s="38">
        <v>11420159</v>
      </c>
      <c r="I453" s="19" t="str">
        <f>IF(OR(COUNTIF(Monitoring!C:C, F453) &gt; 0, COUNTIF(Monitoring!D:D, F453) &gt; 0), "yes", "no")</f>
        <v>yes</v>
      </c>
      <c r="J453" s="70" t="str">
        <f t="shared" si="44"/>
        <v>Z:\FAIR_Device_data\Experiment_JulAug_2021\Video_captures\2021-08-18\2021-08-18_19-27-43.mp4</v>
      </c>
    </row>
    <row r="454" spans="1:10" x14ac:dyDescent="0.3">
      <c r="A454" s="1">
        <f t="shared" si="45"/>
        <v>44426</v>
      </c>
      <c r="B454" s="34">
        <f t="shared" si="46"/>
        <v>0.83182870370370365</v>
      </c>
      <c r="C454" s="34">
        <f t="shared" si="47"/>
        <v>44426.831828703704</v>
      </c>
      <c r="D454" s="69" t="str">
        <f t="shared" si="48"/>
        <v>2021-08-18</v>
      </c>
      <c r="E454" s="36" t="s">
        <v>1374</v>
      </c>
      <c r="F454" s="35" t="str">
        <f t="shared" si="43"/>
        <v>2021-08-18_19-57-50</v>
      </c>
      <c r="G454" s="37">
        <v>41192578</v>
      </c>
      <c r="H454" s="38">
        <v>62422398</v>
      </c>
      <c r="I454" s="19" t="str">
        <f>IF(OR(COUNTIF(Monitoring!C:C, F454) &gt; 0, COUNTIF(Monitoring!D:D, F454) &gt; 0), "yes", "no")</f>
        <v>yes</v>
      </c>
      <c r="J454" s="70" t="str">
        <f t="shared" si="44"/>
        <v>Z:\FAIR_Device_data\Experiment_JulAug_2021\Video_captures\2021-08-18\2021-08-18_19-57-50.mp4</v>
      </c>
    </row>
    <row r="455" spans="1:10" x14ac:dyDescent="0.3">
      <c r="A455" s="1">
        <f t="shared" si="45"/>
        <v>44426</v>
      </c>
      <c r="B455" s="34">
        <f t="shared" si="46"/>
        <v>0.85521990740740739</v>
      </c>
      <c r="C455" s="34">
        <f t="shared" si="47"/>
        <v>44426.855219907404</v>
      </c>
      <c r="D455" s="69" t="str">
        <f t="shared" si="48"/>
        <v>2021-08-18</v>
      </c>
      <c r="E455" s="36" t="s">
        <v>1375</v>
      </c>
      <c r="F455" s="35" t="str">
        <f t="shared" si="43"/>
        <v>2021-08-18_20-31-31</v>
      </c>
      <c r="G455" s="37">
        <v>9631641</v>
      </c>
      <c r="H455" s="38">
        <v>11312242</v>
      </c>
      <c r="I455" s="19" t="str">
        <f>IF(OR(COUNTIF(Monitoring!C:C, F455) &gt; 0, COUNTIF(Monitoring!D:D, F455) &gt; 0), "yes", "no")</f>
        <v>yes</v>
      </c>
      <c r="J455" s="70" t="str">
        <f t="shared" si="44"/>
        <v>Z:\FAIR_Device_data\Experiment_JulAug_2021\Video_captures\2021-08-18\2021-08-18_20-31-31.mp4</v>
      </c>
    </row>
    <row r="456" spans="1:10" x14ac:dyDescent="0.3">
      <c r="A456" s="1">
        <f t="shared" si="45"/>
        <v>44426</v>
      </c>
      <c r="B456" s="34">
        <f t="shared" si="46"/>
        <v>0.87092592592592588</v>
      </c>
      <c r="C456" s="34">
        <f t="shared" si="47"/>
        <v>44426.870925925927</v>
      </c>
      <c r="D456" s="69" t="str">
        <f t="shared" si="48"/>
        <v>2021-08-18</v>
      </c>
      <c r="E456" s="36" t="s">
        <v>1376</v>
      </c>
      <c r="F456" s="35" t="str">
        <f t="shared" si="43"/>
        <v>2021-08-18_20-54-08</v>
      </c>
      <c r="G456" s="37">
        <v>10839583</v>
      </c>
      <c r="H456" s="38">
        <v>13267312</v>
      </c>
      <c r="I456" s="19" t="str">
        <f>IF(OR(COUNTIF(Monitoring!C:C, F456) &gt; 0, COUNTIF(Monitoring!D:D, F456) &gt; 0), "yes", "no")</f>
        <v>yes</v>
      </c>
      <c r="J456" s="70" t="str">
        <f t="shared" si="44"/>
        <v>Z:\FAIR_Device_data\Experiment_JulAug_2021\Video_captures\2021-08-18\2021-08-18_20-54-08.mp4</v>
      </c>
    </row>
    <row r="457" spans="1:10" x14ac:dyDescent="0.3">
      <c r="A457" s="1">
        <f t="shared" si="45"/>
        <v>44426</v>
      </c>
      <c r="B457" s="34">
        <f t="shared" si="46"/>
        <v>0.87106481481481479</v>
      </c>
      <c r="C457" s="34">
        <f t="shared" si="47"/>
        <v>44426.871064814812</v>
      </c>
      <c r="D457" s="69" t="str">
        <f t="shared" si="48"/>
        <v>2021-08-18</v>
      </c>
      <c r="E457" s="36" t="s">
        <v>1377</v>
      </c>
      <c r="F457" s="35" t="str">
        <f t="shared" si="43"/>
        <v>2021-08-18_20-54-20</v>
      </c>
      <c r="G457" s="37">
        <v>15319619</v>
      </c>
      <c r="H457" s="38">
        <v>14965966</v>
      </c>
      <c r="I457" s="19" t="str">
        <f>IF(OR(COUNTIF(Monitoring!C:C, F457) &gt; 0, COUNTIF(Monitoring!D:D, F457) &gt; 0), "yes", "no")</f>
        <v>yes</v>
      </c>
      <c r="J457" s="70" t="str">
        <f t="shared" si="44"/>
        <v>Z:\FAIR_Device_data\Experiment_JulAug_2021\Video_captures\2021-08-18\2021-08-18_20-54-20.mp4</v>
      </c>
    </row>
    <row r="458" spans="1:10" x14ac:dyDescent="0.3">
      <c r="A458" s="1">
        <f t="shared" si="45"/>
        <v>44426</v>
      </c>
      <c r="B458" s="34">
        <f t="shared" si="46"/>
        <v>0.87428240740740737</v>
      </c>
      <c r="C458" s="34">
        <f t="shared" si="47"/>
        <v>44426.874282407407</v>
      </c>
      <c r="D458" s="69" t="str">
        <f t="shared" si="48"/>
        <v>2021-08-18</v>
      </c>
      <c r="E458" s="36" t="s">
        <v>1378</v>
      </c>
      <c r="F458" s="35" t="str">
        <f t="shared" si="43"/>
        <v>2021-08-18_20-58-58</v>
      </c>
      <c r="G458" s="37">
        <v>24987565</v>
      </c>
      <c r="H458" s="38">
        <v>35028928</v>
      </c>
      <c r="I458" s="19" t="str">
        <f>IF(OR(COUNTIF(Monitoring!C:C, F458) &gt; 0, COUNTIF(Monitoring!D:D, F458) &gt; 0), "yes", "no")</f>
        <v>yes</v>
      </c>
      <c r="J458" s="70" t="str">
        <f t="shared" si="44"/>
        <v>Z:\FAIR_Device_data\Experiment_JulAug_2021\Video_captures\2021-08-18\2021-08-18_20-58-58.mp4</v>
      </c>
    </row>
    <row r="459" spans="1:10" x14ac:dyDescent="0.3">
      <c r="A459" s="1">
        <f t="shared" si="45"/>
        <v>44426</v>
      </c>
      <c r="B459" s="34">
        <f t="shared" si="46"/>
        <v>0.87457175925925923</v>
      </c>
      <c r="C459" s="34">
        <f t="shared" si="47"/>
        <v>44426.874571759261</v>
      </c>
      <c r="D459" s="69" t="str">
        <f t="shared" si="48"/>
        <v>2021-08-18</v>
      </c>
      <c r="E459" s="36" t="s">
        <v>1379</v>
      </c>
      <c r="F459" s="35" t="str">
        <f t="shared" si="43"/>
        <v>2021-08-18_20-59-23</v>
      </c>
      <c r="G459" s="37">
        <v>9691536</v>
      </c>
      <c r="H459" s="38">
        <v>10901460</v>
      </c>
      <c r="I459" s="19" t="str">
        <f>IF(OR(COUNTIF(Monitoring!C:C, F459) &gt; 0, COUNTIF(Monitoring!D:D, F459) &gt; 0), "yes", "no")</f>
        <v>yes</v>
      </c>
      <c r="J459" s="70" t="str">
        <f t="shared" si="44"/>
        <v>Z:\FAIR_Device_data\Experiment_JulAug_2021\Video_captures\2021-08-18\2021-08-18_20-59-23.mp4</v>
      </c>
    </row>
    <row r="460" spans="1:10" x14ac:dyDescent="0.3">
      <c r="A460" s="1">
        <f t="shared" si="45"/>
        <v>44426</v>
      </c>
      <c r="B460" s="34">
        <f t="shared" si="46"/>
        <v>0.88850694444444445</v>
      </c>
      <c r="C460" s="34">
        <f t="shared" si="47"/>
        <v>44426.888506944444</v>
      </c>
      <c r="D460" s="69" t="str">
        <f t="shared" si="48"/>
        <v>2021-08-18</v>
      </c>
      <c r="E460" s="36" t="s">
        <v>1380</v>
      </c>
      <c r="F460" s="35" t="str">
        <f t="shared" si="43"/>
        <v>2021-08-18_21-19-27</v>
      </c>
      <c r="G460" s="37">
        <v>10472005</v>
      </c>
      <c r="H460" s="38">
        <v>12641431</v>
      </c>
      <c r="I460" s="19" t="str">
        <f>IF(OR(COUNTIF(Monitoring!C:C, F460) &gt; 0, COUNTIF(Monitoring!D:D, F460) &gt; 0), "yes", "no")</f>
        <v>yes</v>
      </c>
      <c r="J460" s="70" t="str">
        <f t="shared" si="44"/>
        <v>Z:\FAIR_Device_data\Experiment_JulAug_2021\Video_captures\2021-08-18\2021-08-18_21-19-27.mp4</v>
      </c>
    </row>
    <row r="461" spans="1:10" x14ac:dyDescent="0.3">
      <c r="A461" s="1">
        <f t="shared" si="45"/>
        <v>44426</v>
      </c>
      <c r="B461" s="34">
        <f t="shared" si="46"/>
        <v>0.94087962962962968</v>
      </c>
      <c r="C461" s="34">
        <f t="shared" si="47"/>
        <v>44426.940879629627</v>
      </c>
      <c r="D461" s="69" t="str">
        <f t="shared" si="48"/>
        <v>2021-08-18</v>
      </c>
      <c r="E461" s="36" t="s">
        <v>1381</v>
      </c>
      <c r="F461" s="35" t="str">
        <f t="shared" si="43"/>
        <v>2021-08-18_22-34-52</v>
      </c>
      <c r="G461" s="37">
        <v>16305599</v>
      </c>
      <c r="H461" s="38">
        <v>21686692</v>
      </c>
      <c r="I461" s="19" t="str">
        <f>IF(OR(COUNTIF(Monitoring!C:C, F461) &gt; 0, COUNTIF(Monitoring!D:D, F461) &gt; 0), "yes", "no")</f>
        <v>yes</v>
      </c>
      <c r="J461" s="70" t="str">
        <f t="shared" si="44"/>
        <v>Z:\FAIR_Device_data\Experiment_JulAug_2021\Video_captures\2021-08-18\2021-08-18_22-34-52.mp4</v>
      </c>
    </row>
    <row r="462" spans="1:10" x14ac:dyDescent="0.3">
      <c r="A462" s="1">
        <f t="shared" si="45"/>
        <v>44427</v>
      </c>
      <c r="B462" s="34">
        <f t="shared" si="46"/>
        <v>0.65956018518518522</v>
      </c>
      <c r="C462" s="34">
        <f t="shared" si="47"/>
        <v>44427.659560185188</v>
      </c>
      <c r="D462" s="69" t="str">
        <f t="shared" si="48"/>
        <v>2021-08-19</v>
      </c>
      <c r="E462" s="36" t="s">
        <v>1382</v>
      </c>
      <c r="F462" s="35" t="str">
        <f t="shared" si="43"/>
        <v>2021-08-19_15-49-46</v>
      </c>
      <c r="G462" s="37">
        <v>10434310</v>
      </c>
      <c r="H462" s="38">
        <v>10296980</v>
      </c>
      <c r="I462" s="19" t="str">
        <f>IF(OR(COUNTIF(Monitoring!C:C, F462) &gt; 0, COUNTIF(Monitoring!D:D, F462) &gt; 0), "yes", "no")</f>
        <v>yes</v>
      </c>
      <c r="J462" s="70" t="str">
        <f t="shared" si="44"/>
        <v>Z:\FAIR_Device_data\Experiment_JulAug_2021\Video_captures\2021-08-19\2021-08-19_15-49-46.mp4</v>
      </c>
    </row>
    <row r="463" spans="1:10" x14ac:dyDescent="0.3">
      <c r="A463" s="1">
        <f t="shared" si="45"/>
        <v>44427</v>
      </c>
      <c r="B463" s="34">
        <f t="shared" si="46"/>
        <v>0.66158564814814813</v>
      </c>
      <c r="C463" s="34">
        <f t="shared" si="47"/>
        <v>44427.661585648151</v>
      </c>
      <c r="D463" s="69" t="str">
        <f t="shared" si="48"/>
        <v>2021-08-19</v>
      </c>
      <c r="E463" s="36" t="s">
        <v>1383</v>
      </c>
      <c r="F463" s="35" t="str">
        <f t="shared" si="43"/>
        <v>2021-08-19_15-52-41</v>
      </c>
      <c r="G463" s="37">
        <v>9406055</v>
      </c>
      <c r="H463" s="38">
        <v>9869883</v>
      </c>
      <c r="I463" s="19" t="str">
        <f>IF(OR(COUNTIF(Monitoring!C:C, F463) &gt; 0, COUNTIF(Monitoring!D:D, F463) &gt; 0), "yes", "no")</f>
        <v>yes</v>
      </c>
      <c r="J463" s="70" t="str">
        <f t="shared" si="44"/>
        <v>Z:\FAIR_Device_data\Experiment_JulAug_2021\Video_captures\2021-08-19\2021-08-19_15-52-41.mp4</v>
      </c>
    </row>
    <row r="464" spans="1:10" x14ac:dyDescent="0.3">
      <c r="A464" s="1">
        <f t="shared" si="45"/>
        <v>44427</v>
      </c>
      <c r="B464" s="34">
        <f t="shared" si="46"/>
        <v>0.81969907407407405</v>
      </c>
      <c r="C464" s="34">
        <f t="shared" si="47"/>
        <v>44427.819699074076</v>
      </c>
      <c r="D464" s="69" t="str">
        <f t="shared" si="48"/>
        <v>2021-08-19</v>
      </c>
      <c r="E464" s="36" t="s">
        <v>1384</v>
      </c>
      <c r="F464" s="35" t="str">
        <f t="shared" si="43"/>
        <v>2021-08-19_19-40-22</v>
      </c>
      <c r="G464" s="37">
        <v>10486589</v>
      </c>
      <c r="H464" s="38">
        <v>12289110</v>
      </c>
      <c r="I464" s="19" t="str">
        <f>IF(OR(COUNTIF(Monitoring!C:C, F464) &gt; 0, COUNTIF(Monitoring!D:D, F464) &gt; 0), "yes", "no")</f>
        <v>yes</v>
      </c>
      <c r="J464" s="70" t="str">
        <f t="shared" si="44"/>
        <v>Z:\FAIR_Device_data\Experiment_JulAug_2021\Video_captures\2021-08-19\2021-08-19_19-40-22.mp4</v>
      </c>
    </row>
    <row r="465" spans="1:10" x14ac:dyDescent="0.3">
      <c r="A465" s="1">
        <f t="shared" si="45"/>
        <v>44427</v>
      </c>
      <c r="B465" s="34">
        <f t="shared" si="46"/>
        <v>0.82125000000000004</v>
      </c>
      <c r="C465" s="34">
        <f t="shared" si="47"/>
        <v>44427.821250000001</v>
      </c>
      <c r="D465" s="69" t="str">
        <f t="shared" si="48"/>
        <v>2021-08-19</v>
      </c>
      <c r="E465" s="36" t="s">
        <v>1385</v>
      </c>
      <c r="F465" s="35" t="str">
        <f t="shared" si="43"/>
        <v>2021-08-19_19-42-36</v>
      </c>
      <c r="G465" s="37">
        <v>12906250</v>
      </c>
      <c r="H465" s="38">
        <v>15960809</v>
      </c>
      <c r="I465" s="19" t="str">
        <f>IF(OR(COUNTIF(Monitoring!C:C, F465) &gt; 0, COUNTIF(Monitoring!D:D, F465) &gt; 0), "yes", "no")</f>
        <v>yes</v>
      </c>
      <c r="J465" s="70" t="str">
        <f t="shared" si="44"/>
        <v>Z:\FAIR_Device_data\Experiment_JulAug_2021\Video_captures\2021-08-19\2021-08-19_19-42-36.mp4</v>
      </c>
    </row>
    <row r="466" spans="1:10" x14ac:dyDescent="0.3">
      <c r="A466" s="1">
        <f t="shared" si="45"/>
        <v>44427</v>
      </c>
      <c r="B466" s="34">
        <f t="shared" si="46"/>
        <v>0.82149305555555552</v>
      </c>
      <c r="C466" s="34">
        <f t="shared" si="47"/>
        <v>44427.821493055555</v>
      </c>
      <c r="D466" s="69" t="str">
        <f t="shared" si="48"/>
        <v>2021-08-19</v>
      </c>
      <c r="E466" s="36" t="s">
        <v>1386</v>
      </c>
      <c r="F466" s="35" t="str">
        <f t="shared" si="43"/>
        <v>2021-08-19_19-42-57</v>
      </c>
      <c r="G466" s="37">
        <v>17266433</v>
      </c>
      <c r="H466" s="38">
        <v>14890420</v>
      </c>
      <c r="I466" s="19" t="str">
        <f>IF(OR(COUNTIF(Monitoring!C:C, F466) &gt; 0, COUNTIF(Monitoring!D:D, F466) &gt; 0), "yes", "no")</f>
        <v>yes</v>
      </c>
      <c r="J466" s="70" t="str">
        <f t="shared" si="44"/>
        <v>Z:\FAIR_Device_data\Experiment_JulAug_2021\Video_captures\2021-08-19\2021-08-19_19-42-57.mp4</v>
      </c>
    </row>
    <row r="467" spans="1:10" x14ac:dyDescent="0.3">
      <c r="A467" s="1">
        <f t="shared" si="45"/>
        <v>44427</v>
      </c>
      <c r="B467" s="34">
        <f t="shared" si="46"/>
        <v>0.83967592592592588</v>
      </c>
      <c r="C467" s="34">
        <f t="shared" si="47"/>
        <v>44427.839675925927</v>
      </c>
      <c r="D467" s="69" t="str">
        <f t="shared" si="48"/>
        <v>2021-08-19</v>
      </c>
      <c r="E467" s="36" t="s">
        <v>1387</v>
      </c>
      <c r="F467" s="35" t="str">
        <f t="shared" si="43"/>
        <v>2021-08-19_20-09-08</v>
      </c>
      <c r="G467" s="37">
        <v>13145182</v>
      </c>
      <c r="H467" s="38">
        <v>16422093</v>
      </c>
      <c r="I467" s="19" t="str">
        <f>IF(OR(COUNTIF(Monitoring!C:C, F467) &gt; 0, COUNTIF(Monitoring!D:D, F467) &gt; 0), "yes", "no")</f>
        <v>yes</v>
      </c>
      <c r="J467" s="70" t="str">
        <f t="shared" si="44"/>
        <v>Z:\FAIR_Device_data\Experiment_JulAug_2021\Video_captures\2021-08-19\2021-08-19_20-09-08.mp4</v>
      </c>
    </row>
    <row r="468" spans="1:10" x14ac:dyDescent="0.3">
      <c r="A468" s="1">
        <f t="shared" si="45"/>
        <v>44427</v>
      </c>
      <c r="B468" s="34">
        <f t="shared" si="46"/>
        <v>0.86378472222222225</v>
      </c>
      <c r="C468" s="34">
        <f t="shared" si="47"/>
        <v>44427.86378472222</v>
      </c>
      <c r="D468" s="69" t="str">
        <f t="shared" si="48"/>
        <v>2021-08-19</v>
      </c>
      <c r="E468" s="36" t="s">
        <v>1388</v>
      </c>
      <c r="F468" s="35" t="str">
        <f t="shared" si="43"/>
        <v>2021-08-19_20-43-51</v>
      </c>
      <c r="G468" s="37">
        <v>13349219</v>
      </c>
      <c r="H468" s="38">
        <v>16894873</v>
      </c>
      <c r="I468" s="19" t="str">
        <f>IF(OR(COUNTIF(Monitoring!C:C, F468) &gt; 0, COUNTIF(Monitoring!D:D, F468) &gt; 0), "yes", "no")</f>
        <v>yes</v>
      </c>
      <c r="J468" s="70" t="str">
        <f t="shared" si="44"/>
        <v>Z:\FAIR_Device_data\Experiment_JulAug_2021\Video_captures\2021-08-19\2021-08-19_20-43-51.mp4</v>
      </c>
    </row>
    <row r="469" spans="1:10" x14ac:dyDescent="0.3">
      <c r="A469" s="1">
        <f t="shared" si="45"/>
        <v>44427</v>
      </c>
      <c r="B469" s="34">
        <f t="shared" si="46"/>
        <v>0.87259259259259259</v>
      </c>
      <c r="C469" s="34">
        <f t="shared" si="47"/>
        <v>44427.87259259259</v>
      </c>
      <c r="D469" s="69" t="str">
        <f t="shared" si="48"/>
        <v>2021-08-19</v>
      </c>
      <c r="E469" s="36" t="s">
        <v>1389</v>
      </c>
      <c r="F469" s="35" t="str">
        <f t="shared" si="43"/>
        <v>2021-08-19_20-56-32</v>
      </c>
      <c r="G469" s="37">
        <v>27523893</v>
      </c>
      <c r="H469" s="38">
        <v>40037215</v>
      </c>
      <c r="I469" s="19" t="str">
        <f>IF(OR(COUNTIF(Monitoring!C:C, F469) &gt; 0, COUNTIF(Monitoring!D:D, F469) &gt; 0), "yes", "no")</f>
        <v>no</v>
      </c>
      <c r="J469" s="70" t="str">
        <f t="shared" si="44"/>
        <v>Z:\FAIR_Device_data\Experiment_JulAug_2021\Video_captures\2021-08-19\2021-08-19_20-56-32.mp4</v>
      </c>
    </row>
    <row r="470" spans="1:10" x14ac:dyDescent="0.3">
      <c r="A470" s="1">
        <f t="shared" si="45"/>
        <v>44427</v>
      </c>
      <c r="B470" s="34">
        <f t="shared" si="46"/>
        <v>0.93760416666666668</v>
      </c>
      <c r="C470" s="34">
        <f t="shared" si="47"/>
        <v>44427.937604166669</v>
      </c>
      <c r="D470" s="69" t="str">
        <f t="shared" si="48"/>
        <v>2021-08-19</v>
      </c>
      <c r="E470" s="36" t="s">
        <v>1390</v>
      </c>
      <c r="F470" s="35" t="str">
        <f t="shared" si="43"/>
        <v>2021-08-19_22-30-09</v>
      </c>
      <c r="G470" s="37">
        <v>25344792</v>
      </c>
      <c r="H470" s="38">
        <v>26468303</v>
      </c>
      <c r="I470" s="19" t="str">
        <f>IF(OR(COUNTIF(Monitoring!C:C, F470) &gt; 0, COUNTIF(Monitoring!D:D, F470) &gt; 0), "yes", "no")</f>
        <v>yes</v>
      </c>
      <c r="J470" s="70" t="str">
        <f t="shared" si="44"/>
        <v>Z:\FAIR_Device_data\Experiment_JulAug_2021\Video_captures\2021-08-19\2021-08-19_22-30-09.mp4</v>
      </c>
    </row>
    <row r="471" spans="1:10" x14ac:dyDescent="0.3">
      <c r="A471" s="1">
        <f t="shared" si="45"/>
        <v>44427</v>
      </c>
      <c r="B471" s="34">
        <f t="shared" si="46"/>
        <v>0.97564814814814815</v>
      </c>
      <c r="C471" s="34">
        <f t="shared" si="47"/>
        <v>44427.975648148145</v>
      </c>
      <c r="D471" s="69" t="str">
        <f t="shared" si="48"/>
        <v>2021-08-19</v>
      </c>
      <c r="E471" s="36" t="s">
        <v>1391</v>
      </c>
      <c r="F471" s="35" t="str">
        <f t="shared" si="43"/>
        <v>2021-08-19_23-24-56</v>
      </c>
      <c r="G471" s="37">
        <v>12600716</v>
      </c>
      <c r="H471" s="38">
        <v>15872222</v>
      </c>
      <c r="I471" s="19" t="str">
        <f>IF(OR(COUNTIF(Monitoring!C:C, F471) &gt; 0, COUNTIF(Monitoring!D:D, F471) &gt; 0), "yes", "no")</f>
        <v>yes</v>
      </c>
      <c r="J471" s="70" t="str">
        <f t="shared" si="44"/>
        <v>Z:\FAIR_Device_data\Experiment_JulAug_2021\Video_captures\2021-08-19\2021-08-19_23-24-56.mp4</v>
      </c>
    </row>
    <row r="472" spans="1:10" x14ac:dyDescent="0.3">
      <c r="A472" s="1">
        <f t="shared" si="45"/>
        <v>44428</v>
      </c>
      <c r="B472" s="34">
        <f t="shared" si="46"/>
        <v>0.11667824074074074</v>
      </c>
      <c r="C472" s="34">
        <f t="shared" si="47"/>
        <v>44428.116678240738</v>
      </c>
      <c r="D472" s="69" t="str">
        <f t="shared" si="48"/>
        <v>2021-08-20</v>
      </c>
      <c r="E472" s="36" t="s">
        <v>1392</v>
      </c>
      <c r="F472" s="35" t="str">
        <f t="shared" si="43"/>
        <v>2021-08-20_02-48-01</v>
      </c>
      <c r="G472" s="37">
        <v>9589518</v>
      </c>
      <c r="H472" s="38">
        <v>11130772</v>
      </c>
      <c r="I472" s="19" t="str">
        <f>IF(OR(COUNTIF(Monitoring!C:C, F472) &gt; 0, COUNTIF(Monitoring!D:D, F472) &gt; 0), "yes", "no")</f>
        <v>yes</v>
      </c>
      <c r="J472" s="70" t="str">
        <f t="shared" si="44"/>
        <v>Z:\FAIR_Device_data\Experiment_JulAug_2021\Video_captures\2021-08-20\2021-08-20_02-48-01.mp4</v>
      </c>
    </row>
    <row r="473" spans="1:10" x14ac:dyDescent="0.3">
      <c r="A473" s="1">
        <f t="shared" si="45"/>
        <v>44428</v>
      </c>
      <c r="B473" s="34">
        <f t="shared" si="46"/>
        <v>0.14105324074074074</v>
      </c>
      <c r="C473" s="34">
        <f t="shared" si="47"/>
        <v>44428.141053240739</v>
      </c>
      <c r="D473" s="69" t="str">
        <f t="shared" si="48"/>
        <v>2021-08-20</v>
      </c>
      <c r="E473" s="36" t="s">
        <v>1393</v>
      </c>
      <c r="F473" s="35" t="str">
        <f t="shared" si="43"/>
        <v>2021-08-20_03-23-07</v>
      </c>
      <c r="G473" s="37">
        <v>10276888</v>
      </c>
      <c r="H473" s="38">
        <v>12073910</v>
      </c>
      <c r="I473" s="19" t="str">
        <f>IF(OR(COUNTIF(Monitoring!C:C, F473) &gt; 0, COUNTIF(Monitoring!D:D, F473) &gt; 0), "yes", "no")</f>
        <v>yes</v>
      </c>
      <c r="J473" s="70" t="str">
        <f t="shared" si="44"/>
        <v>Z:\FAIR_Device_data\Experiment_JulAug_2021\Video_captures\2021-08-20\2021-08-20_03-23-07.mp4</v>
      </c>
    </row>
    <row r="474" spans="1:10" x14ac:dyDescent="0.3">
      <c r="A474" s="1">
        <f t="shared" si="45"/>
        <v>44428</v>
      </c>
      <c r="B474" s="34">
        <f t="shared" si="46"/>
        <v>0.58179398148148154</v>
      </c>
      <c r="C474" s="34">
        <f t="shared" si="47"/>
        <v>44428.581793981481</v>
      </c>
      <c r="D474" s="69" t="str">
        <f t="shared" si="48"/>
        <v>2021-08-20</v>
      </c>
      <c r="E474" s="36" t="s">
        <v>1394</v>
      </c>
      <c r="F474" s="35" t="str">
        <f t="shared" si="43"/>
        <v>2021-08-20_13-57-47</v>
      </c>
      <c r="G474" s="37">
        <v>9966341</v>
      </c>
      <c r="H474" s="38">
        <v>10298477</v>
      </c>
      <c r="I474" s="19" t="str">
        <f>IF(OR(COUNTIF(Monitoring!C:C, F474) &gt; 0, COUNTIF(Monitoring!D:D, F474) &gt; 0), "yes", "no")</f>
        <v>yes</v>
      </c>
      <c r="J474" s="70" t="str">
        <f t="shared" si="44"/>
        <v>Z:\FAIR_Device_data\Experiment_JulAug_2021\Video_captures\2021-08-20\2021-08-20_13-57-47.mp4</v>
      </c>
    </row>
    <row r="475" spans="1:10" x14ac:dyDescent="0.3">
      <c r="A475" s="1">
        <f t="shared" si="45"/>
        <v>44428</v>
      </c>
      <c r="B475" s="34">
        <f t="shared" si="46"/>
        <v>0.72660879629629627</v>
      </c>
      <c r="C475" s="34">
        <f t="shared" si="47"/>
        <v>44428.7266087963</v>
      </c>
      <c r="D475" s="69" t="str">
        <f t="shared" si="48"/>
        <v>2021-08-20</v>
      </c>
      <c r="E475" s="36" t="s">
        <v>1395</v>
      </c>
      <c r="F475" s="35" t="str">
        <f t="shared" si="43"/>
        <v>2021-08-20_17-26-19</v>
      </c>
      <c r="G475" s="37">
        <v>17250651</v>
      </c>
      <c r="H475" s="38">
        <v>21442822</v>
      </c>
      <c r="I475" s="19" t="str">
        <f>IF(OR(COUNTIF(Monitoring!C:C, F475) &gt; 0, COUNTIF(Monitoring!D:D, F475) &gt; 0), "yes", "no")</f>
        <v>yes</v>
      </c>
      <c r="J475" s="70" t="str">
        <f t="shared" si="44"/>
        <v>Z:\FAIR_Device_data\Experiment_JulAug_2021\Video_captures\2021-08-20\2021-08-20_17-26-19.mp4</v>
      </c>
    </row>
    <row r="476" spans="1:10" x14ac:dyDescent="0.3">
      <c r="A476" s="1">
        <f t="shared" si="45"/>
        <v>44428</v>
      </c>
      <c r="B476" s="34">
        <f t="shared" si="46"/>
        <v>0.72984953703703703</v>
      </c>
      <c r="C476" s="34">
        <f t="shared" si="47"/>
        <v>44428.729849537034</v>
      </c>
      <c r="D476" s="69" t="str">
        <f t="shared" si="48"/>
        <v>2021-08-20</v>
      </c>
      <c r="E476" s="36" t="s">
        <v>1396</v>
      </c>
      <c r="F476" s="35" t="str">
        <f t="shared" si="43"/>
        <v>2021-08-20_17-30-59</v>
      </c>
      <c r="G476" s="37">
        <v>11519206</v>
      </c>
      <c r="H476" s="38">
        <v>12870392</v>
      </c>
      <c r="I476" s="19" t="str">
        <f>IF(OR(COUNTIF(Monitoring!C:C, F476) &gt; 0, COUNTIF(Monitoring!D:D, F476) &gt; 0), "yes", "no")</f>
        <v>yes</v>
      </c>
      <c r="J476" s="70" t="str">
        <f t="shared" si="44"/>
        <v>Z:\FAIR_Device_data\Experiment_JulAug_2021\Video_captures\2021-08-20\2021-08-20_17-30-59.mp4</v>
      </c>
    </row>
    <row r="477" spans="1:10" x14ac:dyDescent="0.3">
      <c r="A477" s="1">
        <f t="shared" si="45"/>
        <v>44428</v>
      </c>
      <c r="B477" s="34">
        <f t="shared" si="46"/>
        <v>0.73211805555555554</v>
      </c>
      <c r="C477" s="34">
        <f t="shared" si="47"/>
        <v>44428.732118055559</v>
      </c>
      <c r="D477" s="69" t="str">
        <f t="shared" si="48"/>
        <v>2021-08-20</v>
      </c>
      <c r="E477" s="36" t="s">
        <v>1397</v>
      </c>
      <c r="F477" s="35" t="str">
        <f t="shared" si="43"/>
        <v>2021-08-20_17-34-15</v>
      </c>
      <c r="G477" s="37">
        <v>20144336</v>
      </c>
      <c r="H477" s="38">
        <v>24543656</v>
      </c>
      <c r="I477" s="19" t="str">
        <f>IF(OR(COUNTIF(Monitoring!C:C, F477) &gt; 0, COUNTIF(Monitoring!D:D, F477) &gt; 0), "yes", "no")</f>
        <v>yes</v>
      </c>
      <c r="J477" s="70" t="str">
        <f t="shared" si="44"/>
        <v>Z:\FAIR_Device_data\Experiment_JulAug_2021\Video_captures\2021-08-20\2021-08-20_17-34-15.mp4</v>
      </c>
    </row>
    <row r="478" spans="1:10" x14ac:dyDescent="0.3">
      <c r="A478" s="1">
        <f t="shared" si="45"/>
        <v>44428</v>
      </c>
      <c r="B478" s="34">
        <f t="shared" si="46"/>
        <v>0.76249999999999996</v>
      </c>
      <c r="C478" s="34">
        <f t="shared" si="47"/>
        <v>44428.762499999997</v>
      </c>
      <c r="D478" s="69" t="str">
        <f t="shared" si="48"/>
        <v>2021-08-20</v>
      </c>
      <c r="E478" s="36" t="s">
        <v>1398</v>
      </c>
      <c r="F478" s="35" t="str">
        <f t="shared" si="43"/>
        <v>2021-08-20_18-18-00</v>
      </c>
      <c r="G478" s="37">
        <v>21567188</v>
      </c>
      <c r="H478" s="38">
        <v>28087016</v>
      </c>
      <c r="I478" s="19" t="str">
        <f>IF(OR(COUNTIF(Monitoring!C:C, F478) &gt; 0, COUNTIF(Monitoring!D:D, F478) &gt; 0), "yes", "no")</f>
        <v>yes</v>
      </c>
      <c r="J478" s="70" t="str">
        <f t="shared" si="44"/>
        <v>Z:\FAIR_Device_data\Experiment_JulAug_2021\Video_captures\2021-08-20\2021-08-20_18-18-00.mp4</v>
      </c>
    </row>
    <row r="479" spans="1:10" x14ac:dyDescent="0.3">
      <c r="A479" s="1">
        <f t="shared" si="45"/>
        <v>44428</v>
      </c>
      <c r="B479" s="34">
        <f t="shared" si="46"/>
        <v>0.79807870370370371</v>
      </c>
      <c r="C479" s="34">
        <f t="shared" si="47"/>
        <v>44428.798078703701</v>
      </c>
      <c r="D479" s="69" t="str">
        <f t="shared" si="48"/>
        <v>2021-08-20</v>
      </c>
      <c r="E479" s="36" t="s">
        <v>1399</v>
      </c>
      <c r="F479" s="35" t="str">
        <f t="shared" si="43"/>
        <v>2021-08-20_19-09-14</v>
      </c>
      <c r="G479" s="37">
        <v>28519661</v>
      </c>
      <c r="H479" s="38">
        <v>37571528</v>
      </c>
      <c r="I479" s="19" t="str">
        <f>IF(OR(COUNTIF(Monitoring!C:C, F479) &gt; 0, COUNTIF(Monitoring!D:D, F479) &gt; 0), "yes", "no")</f>
        <v>yes</v>
      </c>
      <c r="J479" s="70" t="str">
        <f t="shared" si="44"/>
        <v>Z:\FAIR_Device_data\Experiment_JulAug_2021\Video_captures\2021-08-20\2021-08-20_19-09-14.mp4</v>
      </c>
    </row>
    <row r="480" spans="1:10" x14ac:dyDescent="0.3">
      <c r="A480" s="1">
        <f t="shared" si="45"/>
        <v>44428</v>
      </c>
      <c r="B480" s="34">
        <f t="shared" si="46"/>
        <v>0.80583333333333329</v>
      </c>
      <c r="C480" s="34">
        <f t="shared" si="47"/>
        <v>44428.805833333332</v>
      </c>
      <c r="D480" s="69" t="str">
        <f t="shared" si="48"/>
        <v>2021-08-20</v>
      </c>
      <c r="E480" s="36" t="s">
        <v>1400</v>
      </c>
      <c r="F480" s="35" t="str">
        <f t="shared" si="43"/>
        <v>2021-08-20_19-20-24</v>
      </c>
      <c r="G480" s="37">
        <v>26805273</v>
      </c>
      <c r="H480" s="38">
        <v>34075249</v>
      </c>
      <c r="I480" s="19" t="str">
        <f>IF(OR(COUNTIF(Monitoring!C:C, F480) &gt; 0, COUNTIF(Monitoring!D:D, F480) &gt; 0), "yes", "no")</f>
        <v>yes</v>
      </c>
      <c r="J480" s="70" t="str">
        <f t="shared" si="44"/>
        <v>Z:\FAIR_Device_data\Experiment_JulAug_2021\Video_captures\2021-08-20\2021-08-20_19-20-24.mp4</v>
      </c>
    </row>
    <row r="481" spans="1:10" x14ac:dyDescent="0.3">
      <c r="A481" s="1">
        <f t="shared" si="45"/>
        <v>44428</v>
      </c>
      <c r="B481" s="34">
        <f t="shared" si="46"/>
        <v>0.82576388888888885</v>
      </c>
      <c r="C481" s="34">
        <f t="shared" si="47"/>
        <v>44428.82576388889</v>
      </c>
      <c r="D481" s="69" t="str">
        <f t="shared" si="48"/>
        <v>2021-08-20</v>
      </c>
      <c r="E481" s="36" t="s">
        <v>1401</v>
      </c>
      <c r="F481" s="35" t="str">
        <f t="shared" si="43"/>
        <v>2021-08-20_19-49-06</v>
      </c>
      <c r="G481" s="37">
        <v>30604492</v>
      </c>
      <c r="H481" s="38">
        <v>40331508</v>
      </c>
      <c r="I481" s="19" t="str">
        <f>IF(OR(COUNTIF(Monitoring!C:C, F481) &gt; 0, COUNTIF(Monitoring!D:D, F481) &gt; 0), "yes", "no")</f>
        <v>yes</v>
      </c>
      <c r="J481" s="70" t="str">
        <f t="shared" si="44"/>
        <v>Z:\FAIR_Device_data\Experiment_JulAug_2021\Video_captures\2021-08-20\2021-08-20_19-49-06.mp4</v>
      </c>
    </row>
    <row r="482" spans="1:10" x14ac:dyDescent="0.3">
      <c r="A482" s="1">
        <f t="shared" si="45"/>
        <v>44428</v>
      </c>
      <c r="B482" s="34">
        <f t="shared" si="46"/>
        <v>0.82673611111111112</v>
      </c>
      <c r="C482" s="34">
        <f t="shared" si="47"/>
        <v>44428.826736111114</v>
      </c>
      <c r="D482" s="69" t="str">
        <f t="shared" si="48"/>
        <v>2021-08-20</v>
      </c>
      <c r="E482" s="36" t="s">
        <v>1402</v>
      </c>
      <c r="F482" s="35" t="str">
        <f t="shared" si="43"/>
        <v>2021-08-20_19-50-30</v>
      </c>
      <c r="G482" s="37">
        <v>15832422</v>
      </c>
      <c r="H482" s="38">
        <v>20392851</v>
      </c>
      <c r="I482" s="19" t="str">
        <f>IF(OR(COUNTIF(Monitoring!C:C, F482) &gt; 0, COUNTIF(Monitoring!D:D, F482) &gt; 0), "yes", "no")</f>
        <v>no</v>
      </c>
      <c r="J482" s="70" t="str">
        <f t="shared" si="44"/>
        <v>Z:\FAIR_Device_data\Experiment_JulAug_2021\Video_captures\2021-08-20\2021-08-20_19-50-30.mp4</v>
      </c>
    </row>
    <row r="483" spans="1:10" x14ac:dyDescent="0.3">
      <c r="A483" s="1">
        <f t="shared" si="45"/>
        <v>44428</v>
      </c>
      <c r="B483" s="34">
        <f t="shared" si="46"/>
        <v>0.84792824074074069</v>
      </c>
      <c r="C483" s="34">
        <f t="shared" si="47"/>
        <v>44428.847928240742</v>
      </c>
      <c r="D483" s="69" t="str">
        <f t="shared" si="48"/>
        <v>2021-08-20</v>
      </c>
      <c r="E483" s="36" t="s">
        <v>1403</v>
      </c>
      <c r="F483" s="35" t="str">
        <f t="shared" si="43"/>
        <v>2021-08-20_20-21-01</v>
      </c>
      <c r="G483" s="37">
        <v>25907161</v>
      </c>
      <c r="H483" s="38">
        <v>36747308</v>
      </c>
      <c r="I483" s="19" t="str">
        <f>IF(OR(COUNTIF(Monitoring!C:C, F483) &gt; 0, COUNTIF(Monitoring!D:D, F483) &gt; 0), "yes", "no")</f>
        <v>yes</v>
      </c>
      <c r="J483" s="70" t="str">
        <f t="shared" si="44"/>
        <v>Z:\FAIR_Device_data\Experiment_JulAug_2021\Video_captures\2021-08-20\2021-08-20_20-21-01.mp4</v>
      </c>
    </row>
    <row r="484" spans="1:10" x14ac:dyDescent="0.3">
      <c r="A484" s="1">
        <f t="shared" si="45"/>
        <v>44428</v>
      </c>
      <c r="B484" s="34">
        <f t="shared" si="46"/>
        <v>0.84916666666666663</v>
      </c>
      <c r="C484" s="34">
        <f t="shared" si="47"/>
        <v>44428.849166666667</v>
      </c>
      <c r="D484" s="69" t="str">
        <f t="shared" si="48"/>
        <v>2021-08-20</v>
      </c>
      <c r="E484" s="36" t="s">
        <v>1404</v>
      </c>
      <c r="F484" s="35" t="str">
        <f t="shared" si="43"/>
        <v>2021-08-20_20-22-48</v>
      </c>
      <c r="G484" s="37">
        <v>11870313</v>
      </c>
      <c r="H484" s="38">
        <v>14169301</v>
      </c>
      <c r="I484" s="19" t="str">
        <f>IF(OR(COUNTIF(Monitoring!C:C, F484) &gt; 0, COUNTIF(Monitoring!D:D, F484) &gt; 0), "yes", "no")</f>
        <v>yes</v>
      </c>
      <c r="J484" s="70" t="str">
        <f t="shared" si="44"/>
        <v>Z:\FAIR_Device_data\Experiment_JulAug_2021\Video_captures\2021-08-20\2021-08-20_20-22-48.mp4</v>
      </c>
    </row>
    <row r="485" spans="1:10" x14ac:dyDescent="0.3">
      <c r="A485" s="1">
        <f t="shared" si="45"/>
        <v>44428</v>
      </c>
      <c r="B485" s="34">
        <f t="shared" si="46"/>
        <v>0.85335648148148147</v>
      </c>
      <c r="C485" s="34">
        <f t="shared" si="47"/>
        <v>44428.853356481479</v>
      </c>
      <c r="D485" s="69" t="str">
        <f t="shared" si="48"/>
        <v>2021-08-20</v>
      </c>
      <c r="E485" s="36" t="s">
        <v>1405</v>
      </c>
      <c r="F485" s="35" t="str">
        <f t="shared" si="43"/>
        <v>2021-08-20_20-28-50</v>
      </c>
      <c r="G485" s="37">
        <v>10126172</v>
      </c>
      <c r="H485" s="38">
        <v>11846814</v>
      </c>
      <c r="I485" s="19" t="str">
        <f>IF(OR(COUNTIF(Monitoring!C:C, F485) &gt; 0, COUNTIF(Monitoring!D:D, F485) &gt; 0), "yes", "no")</f>
        <v>yes</v>
      </c>
      <c r="J485" s="70" t="str">
        <f t="shared" si="44"/>
        <v>Z:\FAIR_Device_data\Experiment_JulAug_2021\Video_captures\2021-08-20\2021-08-20_20-28-50.mp4</v>
      </c>
    </row>
    <row r="486" spans="1:10" x14ac:dyDescent="0.3">
      <c r="A486" s="1">
        <f t="shared" si="45"/>
        <v>44428</v>
      </c>
      <c r="B486" s="34">
        <f t="shared" si="46"/>
        <v>0.85373842592592597</v>
      </c>
      <c r="C486" s="34">
        <f t="shared" si="47"/>
        <v>44428.853738425925</v>
      </c>
      <c r="D486" s="69" t="str">
        <f t="shared" si="48"/>
        <v>2021-08-20</v>
      </c>
      <c r="E486" s="36" t="s">
        <v>1406</v>
      </c>
      <c r="F486" s="35" t="str">
        <f t="shared" si="43"/>
        <v>2021-08-20_20-29-23</v>
      </c>
      <c r="G486" s="37">
        <v>9500911</v>
      </c>
      <c r="H486" s="38">
        <v>11118435</v>
      </c>
      <c r="I486" s="19" t="str">
        <f>IF(OR(COUNTIF(Monitoring!C:C, F486) &gt; 0, COUNTIF(Monitoring!D:D, F486) &gt; 0), "yes", "no")</f>
        <v>no</v>
      </c>
      <c r="J486" s="70" t="str">
        <f t="shared" si="44"/>
        <v>Z:\FAIR_Device_data\Experiment_JulAug_2021\Video_captures\2021-08-20\2021-08-20_20-29-23.mp4</v>
      </c>
    </row>
    <row r="487" spans="1:10" x14ac:dyDescent="0.3">
      <c r="A487" s="1">
        <f t="shared" si="45"/>
        <v>44428</v>
      </c>
      <c r="B487" s="34">
        <f t="shared" si="46"/>
        <v>0.85394675925925922</v>
      </c>
      <c r="C487" s="34">
        <f t="shared" si="47"/>
        <v>44428.853946759256</v>
      </c>
      <c r="D487" s="69" t="str">
        <f t="shared" si="48"/>
        <v>2021-08-20</v>
      </c>
      <c r="E487" s="36" t="s">
        <v>1407</v>
      </c>
      <c r="F487" s="35" t="str">
        <f t="shared" si="43"/>
        <v>2021-08-20_20-29-41</v>
      </c>
      <c r="G487" s="37">
        <v>167322461</v>
      </c>
      <c r="H487" s="38">
        <v>252409456</v>
      </c>
      <c r="I487" s="19" t="str">
        <f>IF(OR(COUNTIF(Monitoring!C:C, F487) &gt; 0, COUNTIF(Monitoring!D:D, F487) &gt; 0), "yes", "no")</f>
        <v>yes</v>
      </c>
      <c r="J487" s="70" t="str">
        <f t="shared" si="44"/>
        <v>Z:\FAIR_Device_data\Experiment_JulAug_2021\Video_captures\2021-08-20\2021-08-20_20-29-41.mp4</v>
      </c>
    </row>
    <row r="488" spans="1:10" x14ac:dyDescent="0.3">
      <c r="A488" s="1">
        <f t="shared" ref="A488" si="49">VALUE(MID(F488,1,10))</f>
        <v>44411</v>
      </c>
      <c r="B488" s="34">
        <f t="shared" ref="B488" si="50">IF(ISBLANK(F488),"",TIME(LEFT(RIGHT(F488,8),2),LEFT(RIGHT(F488,5),2),RIGHT(F488,2)))</f>
        <v>0.5304861111111111</v>
      </c>
      <c r="C488" s="34">
        <f t="shared" ref="C488" si="51">+A488+B488</f>
        <v>44411.530486111114</v>
      </c>
      <c r="D488" s="69" t="str">
        <f t="shared" ref="D488" si="52">+_xlfn.CONCAT(YEAR(A488),"-",TEXT(MONTH(A488),"00"),"-",TEXT(DAY(A488),"00"))</f>
        <v>2021-08-03</v>
      </c>
      <c r="E488" s="3" t="s">
        <v>1412</v>
      </c>
      <c r="F488" s="35" t="str">
        <f t="shared" ref="F488" si="53">+LEFT(E488,19)</f>
        <v>2021-08-03_12-43-54</v>
      </c>
      <c r="G488" s="37">
        <v>167322461</v>
      </c>
      <c r="H488" s="38">
        <v>252409456</v>
      </c>
      <c r="I488" s="19" t="str">
        <f>IF(OR(COUNTIF(Monitoring!C:C, F488) &gt; 0, COUNTIF(Monitoring!D:D, F488) &gt; 0), "yes", "no")</f>
        <v>yes</v>
      </c>
      <c r="J488" s="70" t="str">
        <f t="shared" ref="J488" si="54">HYPERLINK(_xlfn.CONCAT("Z:\FAIR_Device_data\Experiment_JulAug_2021","\","Video_captures","\",D488,"\",E488))</f>
        <v>Z:\FAIR_Device_data\Experiment_JulAug_2021\Video_captures\2021-08-03\2021-08-03_12-43-54.avi</v>
      </c>
    </row>
    <row r="489" spans="1:10" x14ac:dyDescent="0.3">
      <c r="A489" s="1">
        <f t="shared" ref="A489" si="55">VALUE(MID(F489,1,10))</f>
        <v>44408</v>
      </c>
      <c r="B489" s="34">
        <f t="shared" ref="B489" si="56">IF(ISBLANK(F489),"",TIME(LEFT(RIGHT(F489,8),2),LEFT(RIGHT(F489,5),2),RIGHT(F489,2)))</f>
        <v>0.54309027777777774</v>
      </c>
      <c r="C489" s="34">
        <f t="shared" ref="C489" si="57">+A489+B489</f>
        <v>44408.543090277781</v>
      </c>
      <c r="D489" s="69" t="str">
        <f t="shared" ref="D489" si="58">+_xlfn.CONCAT(YEAR(A489),"-",TEXT(MONTH(A489),"00"),"-",TEXT(DAY(A489),"00"))</f>
        <v>2021-07-31</v>
      </c>
      <c r="E489" s="3" t="s">
        <v>1413</v>
      </c>
      <c r="F489" s="35" t="str">
        <f t="shared" ref="F489" si="59">+LEFT(E489,19)</f>
        <v>2021-07-31_13-02-03</v>
      </c>
      <c r="G489" s="37">
        <v>167322461</v>
      </c>
      <c r="H489" s="38">
        <v>252409456</v>
      </c>
      <c r="I489" s="19" t="str">
        <f>IF(OR(COUNTIF(Monitoring!C:C, F489) &gt; 0, COUNTIF(Monitoring!D:D, F489) &gt; 0), "yes", "no")</f>
        <v>yes</v>
      </c>
      <c r="J489" s="70" t="str">
        <f t="shared" ref="J489" si="60">HYPERLINK(_xlfn.CONCAT("Z:\FAIR_Device_data\Experiment_JulAug_2021","\","Video_captures","\",D489,"\",E489))</f>
        <v>Z:\FAIR_Device_data\Experiment_JulAug_2021\Video_captures\2021-07-31\2021-07-31_13-02-03.avi</v>
      </c>
    </row>
    <row r="490" spans="1:10" x14ac:dyDescent="0.3">
      <c r="B490" s="34"/>
      <c r="C490" s="34"/>
      <c r="D490" s="69"/>
      <c r="F490" s="35"/>
    </row>
    <row r="491" spans="1:10" x14ac:dyDescent="0.3">
      <c r="B491" s="34"/>
      <c r="C491" s="34"/>
      <c r="D491" s="69"/>
      <c r="F491" s="35"/>
    </row>
    <row r="492" spans="1:10" x14ac:dyDescent="0.3">
      <c r="B492" s="34"/>
      <c r="C492" s="34"/>
      <c r="D492" s="69"/>
      <c r="F492" s="35"/>
    </row>
    <row r="493" spans="1:10" x14ac:dyDescent="0.3">
      <c r="B493" s="34"/>
      <c r="C493" s="34"/>
      <c r="D493" s="69"/>
      <c r="F493" s="35"/>
    </row>
    <row r="494" spans="1:10" x14ac:dyDescent="0.3">
      <c r="B494" s="34"/>
      <c r="C494" s="34"/>
      <c r="D494" s="69"/>
      <c r="F494" s="35"/>
    </row>
    <row r="495" spans="1:10" x14ac:dyDescent="0.3">
      <c r="B495" s="34"/>
      <c r="C495" s="34"/>
      <c r="D495" s="69"/>
      <c r="F495" s="35"/>
    </row>
    <row r="496" spans="1:10" x14ac:dyDescent="0.3">
      <c r="B496" s="34"/>
      <c r="C496" s="34"/>
      <c r="D496" s="69"/>
      <c r="F496" s="35"/>
    </row>
    <row r="497" spans="2:6" x14ac:dyDescent="0.3">
      <c r="B497" s="34"/>
      <c r="C497" s="34"/>
      <c r="D497" s="69"/>
      <c r="F497" s="35"/>
    </row>
    <row r="498" spans="2:6" x14ac:dyDescent="0.3">
      <c r="B498" s="34"/>
      <c r="C498" s="34"/>
      <c r="D498" s="69"/>
      <c r="F498" s="35"/>
    </row>
    <row r="499" spans="2:6" x14ac:dyDescent="0.3">
      <c r="B499" s="34"/>
      <c r="C499" s="34"/>
      <c r="D499" s="69"/>
      <c r="F499" s="35"/>
    </row>
    <row r="500" spans="2:6" x14ac:dyDescent="0.3">
      <c r="B500" s="34"/>
      <c r="C500" s="34"/>
      <c r="D500" s="69"/>
      <c r="F500" s="35"/>
    </row>
    <row r="501" spans="2:6" x14ac:dyDescent="0.3">
      <c r="B501" s="34"/>
      <c r="C501" s="34"/>
      <c r="D501" s="69"/>
      <c r="E501" s="1"/>
      <c r="F501" s="35"/>
    </row>
    <row r="502" spans="2:6" x14ac:dyDescent="0.3">
      <c r="B502" s="34"/>
      <c r="C502" s="34"/>
      <c r="D502" s="69"/>
      <c r="F502" s="35"/>
    </row>
    <row r="503" spans="2:6" x14ac:dyDescent="0.3">
      <c r="B503" s="34"/>
      <c r="C503" s="34"/>
      <c r="D503" s="69"/>
      <c r="F503" s="35"/>
    </row>
    <row r="504" spans="2:6" x14ac:dyDescent="0.3">
      <c r="B504" s="34"/>
      <c r="C504" s="34"/>
      <c r="D504" s="69"/>
      <c r="F504" s="35"/>
    </row>
    <row r="505" spans="2:6" x14ac:dyDescent="0.3">
      <c r="B505" s="34"/>
      <c r="C505" s="34"/>
      <c r="D505" s="69"/>
      <c r="F505" s="35"/>
    </row>
    <row r="506" spans="2:6" x14ac:dyDescent="0.3">
      <c r="B506" s="34"/>
      <c r="C506" s="34"/>
      <c r="D506" s="69"/>
      <c r="F506" s="35"/>
    </row>
    <row r="507" spans="2:6" x14ac:dyDescent="0.3">
      <c r="B507" s="34"/>
      <c r="C507" s="34"/>
      <c r="D507" s="69"/>
      <c r="F507" s="35"/>
    </row>
    <row r="508" spans="2:6" x14ac:dyDescent="0.3">
      <c r="B508" s="34"/>
      <c r="C508" s="34"/>
      <c r="D508" s="69"/>
      <c r="F508" s="35"/>
    </row>
    <row r="509" spans="2:6" x14ac:dyDescent="0.3">
      <c r="B509" s="34"/>
      <c r="C509" s="34"/>
      <c r="D509" s="69"/>
      <c r="F509" s="35"/>
    </row>
    <row r="510" spans="2:6" x14ac:dyDescent="0.3">
      <c r="B510" s="34"/>
      <c r="C510" s="34"/>
      <c r="D510" s="69"/>
      <c r="F510" s="35"/>
    </row>
    <row r="511" spans="2:6" x14ac:dyDescent="0.3">
      <c r="B511" s="34"/>
      <c r="C511" s="34"/>
      <c r="D511" s="69"/>
      <c r="F511" s="35"/>
    </row>
    <row r="512" spans="2:6" x14ac:dyDescent="0.3">
      <c r="B512" s="34"/>
      <c r="C512" s="34"/>
      <c r="D512" s="69"/>
      <c r="F512" s="35"/>
    </row>
    <row r="513" spans="2:6" x14ac:dyDescent="0.3">
      <c r="B513" s="34"/>
      <c r="C513" s="34"/>
      <c r="D513" s="69"/>
      <c r="F513" s="35"/>
    </row>
    <row r="514" spans="2:6" x14ac:dyDescent="0.3">
      <c r="B514" s="34"/>
      <c r="C514" s="34"/>
      <c r="D514" s="69"/>
      <c r="F514" s="35"/>
    </row>
    <row r="515" spans="2:6" x14ac:dyDescent="0.3">
      <c r="B515" s="34"/>
      <c r="C515" s="34"/>
      <c r="D515" s="69"/>
      <c r="F515" s="35"/>
    </row>
    <row r="516" spans="2:6" x14ac:dyDescent="0.3">
      <c r="B516" s="34"/>
      <c r="C516" s="34"/>
      <c r="D516" s="69"/>
      <c r="F516" s="35"/>
    </row>
    <row r="517" spans="2:6" x14ac:dyDescent="0.3">
      <c r="B517" s="34"/>
      <c r="C517" s="34"/>
      <c r="D517" s="69"/>
      <c r="F517" s="35"/>
    </row>
    <row r="518" spans="2:6" x14ac:dyDescent="0.3">
      <c r="B518" s="34"/>
      <c r="C518" s="34"/>
      <c r="D518" s="69"/>
      <c r="F518" s="35"/>
    </row>
    <row r="519" spans="2:6" x14ac:dyDescent="0.3">
      <c r="B519" s="34"/>
      <c r="C519" s="34"/>
      <c r="D519" s="69"/>
      <c r="F519" s="35"/>
    </row>
    <row r="520" spans="2:6" x14ac:dyDescent="0.3">
      <c r="B520" s="34"/>
      <c r="C520" s="34"/>
      <c r="D520" s="69"/>
      <c r="F520" s="35"/>
    </row>
    <row r="521" spans="2:6" x14ac:dyDescent="0.3">
      <c r="B521" s="34"/>
      <c r="C521" s="34"/>
      <c r="D521" s="69"/>
      <c r="F521" s="35"/>
    </row>
    <row r="522" spans="2:6" x14ac:dyDescent="0.3">
      <c r="B522" s="34"/>
      <c r="C522" s="34"/>
      <c r="D522" s="69"/>
      <c r="F522" s="35"/>
    </row>
    <row r="523" spans="2:6" x14ac:dyDescent="0.3">
      <c r="B523" s="34"/>
      <c r="C523" s="34"/>
      <c r="D523" s="69"/>
      <c r="F523" s="35"/>
    </row>
    <row r="524" spans="2:6" x14ac:dyDescent="0.3">
      <c r="B524" s="34"/>
      <c r="C524" s="34"/>
      <c r="D524" s="69"/>
      <c r="F524" s="35"/>
    </row>
    <row r="525" spans="2:6" x14ac:dyDescent="0.3">
      <c r="B525" s="34"/>
      <c r="C525" s="34"/>
      <c r="D525" s="69"/>
      <c r="F525" s="35"/>
    </row>
    <row r="526" spans="2:6" x14ac:dyDescent="0.3">
      <c r="B526" s="34"/>
      <c r="C526" s="34"/>
      <c r="D526" s="69"/>
      <c r="F526" s="35"/>
    </row>
    <row r="527" spans="2:6" x14ac:dyDescent="0.3">
      <c r="B527" s="34"/>
      <c r="C527" s="34"/>
      <c r="D527" s="69"/>
      <c r="F527" s="35"/>
    </row>
    <row r="528" spans="2:6" x14ac:dyDescent="0.3">
      <c r="B528" s="34"/>
      <c r="C528" s="34"/>
      <c r="D528" s="69"/>
      <c r="F528" s="35"/>
    </row>
    <row r="529" spans="2:6" x14ac:dyDescent="0.3">
      <c r="B529" s="34"/>
      <c r="C529" s="34"/>
      <c r="D529" s="69"/>
      <c r="F529" s="35"/>
    </row>
    <row r="530" spans="2:6" x14ac:dyDescent="0.3">
      <c r="B530" s="34"/>
      <c r="C530" s="34"/>
      <c r="D530" s="69"/>
      <c r="F530" s="35"/>
    </row>
    <row r="531" spans="2:6" x14ac:dyDescent="0.3">
      <c r="B531" s="34"/>
      <c r="C531" s="34"/>
      <c r="D531" s="69"/>
      <c r="F531" s="35"/>
    </row>
    <row r="532" spans="2:6" x14ac:dyDescent="0.3">
      <c r="B532" s="34"/>
      <c r="C532" s="34"/>
      <c r="D532" s="69"/>
      <c r="F532" s="35"/>
    </row>
    <row r="533" spans="2:6" x14ac:dyDescent="0.3">
      <c r="B533" s="34"/>
      <c r="C533" s="34"/>
      <c r="D533" s="69"/>
      <c r="F533" s="35"/>
    </row>
    <row r="534" spans="2:6" x14ac:dyDescent="0.3">
      <c r="B534" s="34"/>
      <c r="C534" s="34"/>
      <c r="D534" s="69"/>
      <c r="F534" s="35"/>
    </row>
    <row r="535" spans="2:6" x14ac:dyDescent="0.3">
      <c r="B535" s="34"/>
      <c r="C535" s="34"/>
      <c r="D535" s="69"/>
      <c r="F535" s="35"/>
    </row>
    <row r="536" spans="2:6" x14ac:dyDescent="0.3">
      <c r="B536" s="34"/>
      <c r="C536" s="34"/>
      <c r="D536" s="69"/>
      <c r="F536" s="35"/>
    </row>
    <row r="537" spans="2:6" x14ac:dyDescent="0.3">
      <c r="B537" s="34"/>
      <c r="C537" s="34"/>
      <c r="D537" s="69"/>
      <c r="F537" s="35"/>
    </row>
    <row r="538" spans="2:6" x14ac:dyDescent="0.3">
      <c r="B538" s="34"/>
      <c r="C538" s="34"/>
      <c r="D538" s="69"/>
      <c r="F538" s="35"/>
    </row>
    <row r="539" spans="2:6" x14ac:dyDescent="0.3">
      <c r="B539" s="34"/>
      <c r="C539" s="34"/>
      <c r="D539" s="69"/>
      <c r="F539" s="35"/>
    </row>
    <row r="540" spans="2:6" x14ac:dyDescent="0.3">
      <c r="B540" s="34"/>
      <c r="C540" s="34"/>
      <c r="D540" s="69"/>
      <c r="F540" s="35"/>
    </row>
    <row r="541" spans="2:6" x14ac:dyDescent="0.3">
      <c r="B541" s="34"/>
      <c r="C541" s="34"/>
      <c r="D541" s="69"/>
      <c r="F541" s="35"/>
    </row>
    <row r="542" spans="2:6" x14ac:dyDescent="0.3">
      <c r="B542" s="34"/>
      <c r="C542" s="34"/>
      <c r="D542" s="69"/>
      <c r="F542" s="35"/>
    </row>
    <row r="543" spans="2:6" x14ac:dyDescent="0.3">
      <c r="B543" s="34"/>
      <c r="C543" s="34"/>
      <c r="D543" s="69"/>
      <c r="F543" s="35"/>
    </row>
    <row r="544" spans="2:6" x14ac:dyDescent="0.3">
      <c r="B544" s="34"/>
      <c r="C544" s="34"/>
      <c r="D544" s="69"/>
      <c r="F544" s="35"/>
    </row>
    <row r="545" spans="2:6" x14ac:dyDescent="0.3">
      <c r="B545" s="34"/>
      <c r="C545" s="34"/>
      <c r="D545" s="69"/>
      <c r="F545" s="35"/>
    </row>
    <row r="546" spans="2:6" x14ac:dyDescent="0.3">
      <c r="B546" s="34"/>
      <c r="C546" s="34"/>
      <c r="D546" s="69"/>
      <c r="F546" s="35"/>
    </row>
    <row r="547" spans="2:6" x14ac:dyDescent="0.3">
      <c r="B547" s="34"/>
      <c r="C547" s="34"/>
      <c r="D547" s="69"/>
      <c r="F547" s="35"/>
    </row>
    <row r="548" spans="2:6" x14ac:dyDescent="0.3">
      <c r="B548" s="34"/>
      <c r="C548" s="34"/>
      <c r="D548" s="69"/>
      <c r="F548" s="35"/>
    </row>
    <row r="549" spans="2:6" x14ac:dyDescent="0.3">
      <c r="B549" s="34"/>
      <c r="C549" s="34"/>
      <c r="D549" s="69"/>
      <c r="F549" s="35"/>
    </row>
    <row r="550" spans="2:6" x14ac:dyDescent="0.3">
      <c r="B550" s="34"/>
      <c r="C550" s="34"/>
      <c r="D550" s="69"/>
      <c r="F550" s="35"/>
    </row>
    <row r="551" spans="2:6" x14ac:dyDescent="0.3">
      <c r="B551" s="34"/>
      <c r="C551" s="34"/>
      <c r="D551" s="69"/>
      <c r="F551" s="35"/>
    </row>
    <row r="552" spans="2:6" x14ac:dyDescent="0.3">
      <c r="B552" s="34"/>
      <c r="C552" s="34"/>
      <c r="D552" s="69"/>
      <c r="F552" s="35"/>
    </row>
    <row r="553" spans="2:6" x14ac:dyDescent="0.3">
      <c r="B553" s="34"/>
      <c r="C553" s="34"/>
      <c r="D553" s="69"/>
      <c r="F553" s="35"/>
    </row>
    <row r="554" spans="2:6" x14ac:dyDescent="0.3">
      <c r="B554" s="34"/>
      <c r="C554" s="34"/>
      <c r="D554" s="69"/>
      <c r="F554" s="35"/>
    </row>
    <row r="555" spans="2:6" x14ac:dyDescent="0.3">
      <c r="B555" s="34"/>
      <c r="C555" s="34"/>
      <c r="D555" s="69"/>
      <c r="F555" s="35"/>
    </row>
    <row r="556" spans="2:6" x14ac:dyDescent="0.3">
      <c r="B556" s="34"/>
      <c r="C556" s="34"/>
      <c r="D556" s="69"/>
      <c r="F556" s="35"/>
    </row>
    <row r="557" spans="2:6" x14ac:dyDescent="0.3">
      <c r="B557" s="34"/>
      <c r="C557" s="34"/>
      <c r="D557" s="69"/>
      <c r="F557" s="35"/>
    </row>
    <row r="558" spans="2:6" x14ac:dyDescent="0.3">
      <c r="B558" s="34"/>
      <c r="C558" s="34"/>
      <c r="D558" s="69"/>
      <c r="F558" s="35"/>
    </row>
    <row r="559" spans="2:6" x14ac:dyDescent="0.3">
      <c r="B559" s="34"/>
      <c r="C559" s="34"/>
      <c r="D559" s="69"/>
      <c r="F559" s="35"/>
    </row>
    <row r="560" spans="2:6" x14ac:dyDescent="0.3">
      <c r="B560" s="34"/>
      <c r="C560" s="34"/>
      <c r="D560" s="69"/>
      <c r="F560" s="35"/>
    </row>
    <row r="561" spans="2:6" x14ac:dyDescent="0.3">
      <c r="B561" s="34"/>
      <c r="C561" s="34"/>
      <c r="D561" s="69"/>
      <c r="F561" s="35"/>
    </row>
    <row r="562" spans="2:6" x14ac:dyDescent="0.3">
      <c r="B562" s="34"/>
      <c r="C562" s="34"/>
      <c r="D562" s="69"/>
      <c r="F562" s="35"/>
    </row>
    <row r="563" spans="2:6" x14ac:dyDescent="0.3">
      <c r="B563" s="34"/>
      <c r="C563" s="34"/>
      <c r="D563" s="69"/>
      <c r="F563" s="35"/>
    </row>
    <row r="564" spans="2:6" x14ac:dyDescent="0.3">
      <c r="B564" s="34"/>
      <c r="C564" s="34"/>
      <c r="D564" s="69"/>
      <c r="F564" s="35"/>
    </row>
    <row r="565" spans="2:6" x14ac:dyDescent="0.3">
      <c r="B565" s="34"/>
      <c r="C565" s="34"/>
      <c r="D565" s="69"/>
      <c r="F565" s="35"/>
    </row>
    <row r="566" spans="2:6" x14ac:dyDescent="0.3">
      <c r="B566" s="34"/>
      <c r="C566" s="34"/>
      <c r="D566" s="69"/>
      <c r="F566" s="35"/>
    </row>
    <row r="567" spans="2:6" x14ac:dyDescent="0.3">
      <c r="B567" s="34"/>
      <c r="C567" s="34"/>
      <c r="D567" s="69"/>
      <c r="F567" s="35"/>
    </row>
    <row r="568" spans="2:6" x14ac:dyDescent="0.3">
      <c r="B568" s="34"/>
      <c r="C568" s="34"/>
      <c r="D568" s="69"/>
      <c r="F568" s="35"/>
    </row>
    <row r="569" spans="2:6" x14ac:dyDescent="0.3">
      <c r="B569" s="34"/>
      <c r="C569" s="34"/>
      <c r="D569" s="69"/>
      <c r="F569" s="35"/>
    </row>
    <row r="570" spans="2:6" x14ac:dyDescent="0.3">
      <c r="B570" s="34"/>
      <c r="C570" s="34"/>
      <c r="D570" s="69"/>
      <c r="F570" s="35"/>
    </row>
    <row r="571" spans="2:6" x14ac:dyDescent="0.3">
      <c r="B571" s="34"/>
      <c r="C571" s="34"/>
      <c r="D571" s="69"/>
      <c r="F571" s="35"/>
    </row>
    <row r="572" spans="2:6" x14ac:dyDescent="0.3">
      <c r="B572" s="34"/>
      <c r="C572" s="34"/>
      <c r="D572" s="69"/>
      <c r="F572" s="35"/>
    </row>
    <row r="573" spans="2:6" x14ac:dyDescent="0.3">
      <c r="B573" s="34"/>
      <c r="C573" s="34"/>
      <c r="D573" s="69"/>
      <c r="F573" s="35"/>
    </row>
    <row r="574" spans="2:6" x14ac:dyDescent="0.3">
      <c r="B574" s="34"/>
      <c r="C574" s="34"/>
      <c r="D574" s="69"/>
      <c r="F574" s="35"/>
    </row>
    <row r="575" spans="2:6" x14ac:dyDescent="0.3">
      <c r="B575" s="34"/>
      <c r="C575" s="34"/>
      <c r="D575" s="69"/>
      <c r="F575" s="35"/>
    </row>
    <row r="576" spans="2:6" x14ac:dyDescent="0.3">
      <c r="B576" s="34"/>
      <c r="C576" s="34"/>
      <c r="D576" s="69"/>
      <c r="F576" s="35"/>
    </row>
    <row r="577" spans="2:6" x14ac:dyDescent="0.3">
      <c r="B577" s="34"/>
      <c r="C577" s="34"/>
      <c r="D577" s="69"/>
      <c r="F577" s="35"/>
    </row>
    <row r="578" spans="2:6" x14ac:dyDescent="0.3">
      <c r="B578" s="34"/>
      <c r="C578" s="34"/>
      <c r="D578" s="69"/>
      <c r="F578" s="35"/>
    </row>
    <row r="579" spans="2:6" x14ac:dyDescent="0.3">
      <c r="B579" s="34"/>
      <c r="C579" s="34"/>
      <c r="D579" s="69"/>
      <c r="F579" s="35"/>
    </row>
    <row r="580" spans="2:6" x14ac:dyDescent="0.3">
      <c r="B580" s="34"/>
      <c r="C580" s="34"/>
      <c r="D580" s="69"/>
      <c r="F580" s="35"/>
    </row>
    <row r="581" spans="2:6" x14ac:dyDescent="0.3">
      <c r="B581" s="34"/>
      <c r="C581" s="34"/>
      <c r="D581" s="69"/>
      <c r="F581" s="35"/>
    </row>
    <row r="582" spans="2:6" x14ac:dyDescent="0.3">
      <c r="B582" s="34"/>
      <c r="C582" s="34"/>
      <c r="D582" s="69"/>
      <c r="F582" s="35"/>
    </row>
    <row r="583" spans="2:6" x14ac:dyDescent="0.3">
      <c r="B583" s="34"/>
      <c r="C583" s="34"/>
      <c r="D583" s="69"/>
      <c r="F583" s="35"/>
    </row>
    <row r="584" spans="2:6" x14ac:dyDescent="0.3">
      <c r="B584" s="34"/>
      <c r="C584" s="34"/>
      <c r="D584" s="69"/>
      <c r="F584" s="35"/>
    </row>
    <row r="585" spans="2:6" x14ac:dyDescent="0.3">
      <c r="B585" s="34"/>
      <c r="C585" s="34"/>
      <c r="D585" s="69"/>
      <c r="F585" s="35"/>
    </row>
    <row r="586" spans="2:6" x14ac:dyDescent="0.3">
      <c r="B586" s="34"/>
      <c r="C586" s="34"/>
      <c r="D586" s="69"/>
      <c r="F586" s="35"/>
    </row>
    <row r="587" spans="2:6" x14ac:dyDescent="0.3">
      <c r="B587" s="34"/>
      <c r="C587" s="34"/>
      <c r="D587" s="69"/>
      <c r="F587" s="35"/>
    </row>
    <row r="588" spans="2:6" x14ac:dyDescent="0.3">
      <c r="B588" s="34"/>
      <c r="C588" s="34"/>
      <c r="D588" s="69"/>
      <c r="F588" s="35"/>
    </row>
    <row r="589" spans="2:6" x14ac:dyDescent="0.3">
      <c r="B589" s="34"/>
      <c r="C589" s="34"/>
      <c r="D589" s="69"/>
      <c r="F589" s="35"/>
    </row>
    <row r="590" spans="2:6" x14ac:dyDescent="0.3">
      <c r="B590" s="34"/>
      <c r="C590" s="34"/>
      <c r="D590" s="69"/>
      <c r="F590" s="35"/>
    </row>
    <row r="591" spans="2:6" x14ac:dyDescent="0.3">
      <c r="B591" s="34"/>
      <c r="C591" s="34"/>
      <c r="D591" s="69"/>
      <c r="F591" s="35"/>
    </row>
    <row r="592" spans="2:6" x14ac:dyDescent="0.3">
      <c r="B592" s="34"/>
      <c r="C592" s="34"/>
      <c r="D592" s="69"/>
      <c r="F592" s="35"/>
    </row>
    <row r="593" spans="2:6" x14ac:dyDescent="0.3">
      <c r="B593" s="34"/>
      <c r="C593" s="34"/>
      <c r="D593" s="69"/>
      <c r="F593" s="35"/>
    </row>
    <row r="594" spans="2:6" x14ac:dyDescent="0.3">
      <c r="B594" s="34"/>
      <c r="C594" s="34"/>
      <c r="D594" s="69"/>
      <c r="F594" s="35"/>
    </row>
    <row r="595" spans="2:6" x14ac:dyDescent="0.3">
      <c r="B595" s="34"/>
      <c r="C595" s="34"/>
      <c r="D595" s="69"/>
      <c r="F595" s="35"/>
    </row>
    <row r="596" spans="2:6" x14ac:dyDescent="0.3">
      <c r="B596" s="34"/>
      <c r="C596" s="34"/>
      <c r="D596" s="69"/>
      <c r="F596" s="35"/>
    </row>
    <row r="597" spans="2:6" x14ac:dyDescent="0.3">
      <c r="B597" s="34"/>
      <c r="C597" s="34"/>
      <c r="D597" s="69"/>
      <c r="F597" s="35"/>
    </row>
    <row r="598" spans="2:6" x14ac:dyDescent="0.3">
      <c r="B598" s="34"/>
      <c r="C598" s="34"/>
      <c r="D598" s="69"/>
      <c r="F598" s="35"/>
    </row>
    <row r="599" spans="2:6" x14ac:dyDescent="0.3">
      <c r="B599" s="34"/>
      <c r="C599" s="34"/>
      <c r="D599" s="69"/>
      <c r="F599" s="35"/>
    </row>
    <row r="600" spans="2:6" x14ac:dyDescent="0.3">
      <c r="B600" s="34"/>
      <c r="C600" s="34"/>
      <c r="D600" s="69"/>
      <c r="F600" s="35"/>
    </row>
    <row r="601" spans="2:6" x14ac:dyDescent="0.3">
      <c r="B601" s="34"/>
      <c r="C601" s="34"/>
      <c r="D601" s="69"/>
      <c r="F601" s="35"/>
    </row>
    <row r="602" spans="2:6" x14ac:dyDescent="0.3">
      <c r="B602" s="34"/>
      <c r="C602" s="34"/>
      <c r="D602" s="69"/>
      <c r="F602" s="35"/>
    </row>
    <row r="603" spans="2:6" x14ac:dyDescent="0.3">
      <c r="B603" s="34"/>
      <c r="C603" s="34"/>
      <c r="D603" s="69"/>
      <c r="F603" s="35"/>
    </row>
    <row r="604" spans="2:6" x14ac:dyDescent="0.3">
      <c r="B604" s="34"/>
      <c r="C604" s="34"/>
      <c r="D604" s="69"/>
      <c r="F604" s="35"/>
    </row>
    <row r="605" spans="2:6" x14ac:dyDescent="0.3">
      <c r="B605" s="34"/>
      <c r="C605" s="34"/>
      <c r="D605" s="69"/>
      <c r="F605" s="35"/>
    </row>
    <row r="606" spans="2:6" x14ac:dyDescent="0.3">
      <c r="B606" s="34"/>
      <c r="C606" s="34"/>
      <c r="D606" s="69"/>
      <c r="F606" s="35"/>
    </row>
    <row r="607" spans="2:6" x14ac:dyDescent="0.3">
      <c r="B607" s="34"/>
      <c r="C607" s="34"/>
      <c r="D607" s="69"/>
      <c r="F607" s="35"/>
    </row>
    <row r="608" spans="2:6" x14ac:dyDescent="0.3">
      <c r="B608" s="34"/>
      <c r="C608" s="34"/>
      <c r="D608" s="69"/>
      <c r="F608" s="35"/>
    </row>
    <row r="609" spans="2:6" x14ac:dyDescent="0.3">
      <c r="B609" s="34"/>
      <c r="C609" s="34"/>
      <c r="D609" s="69"/>
      <c r="F609" s="35"/>
    </row>
    <row r="610" spans="2:6" x14ac:dyDescent="0.3">
      <c r="B610" s="34"/>
      <c r="C610" s="34"/>
      <c r="D610" s="69"/>
      <c r="F610" s="35"/>
    </row>
    <row r="611" spans="2:6" x14ac:dyDescent="0.3">
      <c r="B611" s="34"/>
      <c r="C611" s="34"/>
      <c r="D611" s="69"/>
      <c r="F611" s="35"/>
    </row>
    <row r="612" spans="2:6" x14ac:dyDescent="0.3">
      <c r="B612" s="34"/>
      <c r="C612" s="34"/>
      <c r="D612" s="69"/>
      <c r="F612" s="35"/>
    </row>
    <row r="613" spans="2:6" x14ac:dyDescent="0.3">
      <c r="B613" s="34"/>
      <c r="C613" s="34"/>
      <c r="D613" s="69"/>
      <c r="F613" s="35"/>
    </row>
    <row r="614" spans="2:6" x14ac:dyDescent="0.3">
      <c r="B614" s="34"/>
      <c r="C614" s="34"/>
      <c r="D614" s="69"/>
      <c r="F614" s="35"/>
    </row>
    <row r="615" spans="2:6" x14ac:dyDescent="0.3">
      <c r="B615" s="34"/>
      <c r="C615" s="34"/>
      <c r="D615" s="69"/>
      <c r="F615" s="35"/>
    </row>
    <row r="616" spans="2:6" x14ac:dyDescent="0.3">
      <c r="B616" s="34"/>
      <c r="C616" s="34"/>
      <c r="D616" s="69"/>
      <c r="F616" s="35"/>
    </row>
    <row r="617" spans="2:6" x14ac:dyDescent="0.3">
      <c r="B617" s="34"/>
      <c r="C617" s="34"/>
      <c r="D617" s="69"/>
      <c r="F617" s="35"/>
    </row>
    <row r="618" spans="2:6" x14ac:dyDescent="0.3">
      <c r="B618" s="34"/>
      <c r="C618" s="34"/>
      <c r="D618" s="69"/>
      <c r="F618" s="35"/>
    </row>
    <row r="619" spans="2:6" x14ac:dyDescent="0.3">
      <c r="B619" s="34"/>
      <c r="C619" s="34"/>
      <c r="D619" s="69"/>
      <c r="F619" s="35"/>
    </row>
    <row r="620" spans="2:6" x14ac:dyDescent="0.3">
      <c r="B620" s="34"/>
      <c r="C620" s="34"/>
      <c r="D620" s="69"/>
      <c r="F620" s="35"/>
    </row>
    <row r="621" spans="2:6" x14ac:dyDescent="0.3">
      <c r="B621" s="34"/>
      <c r="C621" s="34"/>
      <c r="D621" s="69"/>
      <c r="F621" s="35"/>
    </row>
    <row r="622" spans="2:6" x14ac:dyDescent="0.3">
      <c r="B622" s="34"/>
      <c r="C622" s="34"/>
      <c r="D622" s="69"/>
      <c r="F622" s="35"/>
    </row>
    <row r="623" spans="2:6" x14ac:dyDescent="0.3">
      <c r="B623" s="34"/>
      <c r="C623" s="34"/>
      <c r="D623" s="69"/>
      <c r="F623" s="35"/>
    </row>
    <row r="624" spans="2:6" x14ac:dyDescent="0.3">
      <c r="B624" s="34"/>
      <c r="C624" s="34"/>
      <c r="D624" s="69"/>
      <c r="F624" s="35"/>
    </row>
    <row r="625" spans="2:6" x14ac:dyDescent="0.3">
      <c r="B625" s="34"/>
      <c r="C625" s="34"/>
      <c r="D625" s="69"/>
      <c r="F625" s="35"/>
    </row>
    <row r="626" spans="2:6" x14ac:dyDescent="0.3">
      <c r="B626" s="34"/>
      <c r="C626" s="34"/>
      <c r="D626" s="69"/>
      <c r="F626" s="35"/>
    </row>
    <row r="627" spans="2:6" x14ac:dyDescent="0.3">
      <c r="B627" s="34"/>
      <c r="C627" s="34"/>
      <c r="D627" s="69"/>
      <c r="F627" s="35"/>
    </row>
    <row r="628" spans="2:6" x14ac:dyDescent="0.3">
      <c r="B628" s="34"/>
      <c r="C628" s="34"/>
      <c r="D628" s="69"/>
      <c r="F628" s="35"/>
    </row>
    <row r="629" spans="2:6" x14ac:dyDescent="0.3">
      <c r="B629" s="34"/>
      <c r="C629" s="34"/>
      <c r="D629" s="69"/>
      <c r="F629" s="35"/>
    </row>
    <row r="630" spans="2:6" x14ac:dyDescent="0.3">
      <c r="B630" s="34"/>
      <c r="C630" s="34"/>
      <c r="D630" s="69"/>
      <c r="F630" s="35"/>
    </row>
    <row r="631" spans="2:6" x14ac:dyDescent="0.3">
      <c r="B631" s="34"/>
      <c r="C631" s="34"/>
      <c r="D631" s="69"/>
      <c r="F631" s="35"/>
    </row>
    <row r="632" spans="2:6" x14ac:dyDescent="0.3">
      <c r="B632" s="34"/>
      <c r="C632" s="34"/>
      <c r="D632" s="69"/>
      <c r="F632" s="35"/>
    </row>
    <row r="633" spans="2:6" x14ac:dyDescent="0.3">
      <c r="B633" s="34"/>
      <c r="C633" s="34"/>
      <c r="D633" s="69"/>
      <c r="F633" s="35"/>
    </row>
    <row r="634" spans="2:6" x14ac:dyDescent="0.3">
      <c r="B634" s="34"/>
      <c r="C634" s="34"/>
      <c r="D634" s="69"/>
      <c r="F634" s="35"/>
    </row>
    <row r="635" spans="2:6" x14ac:dyDescent="0.3">
      <c r="B635" s="34"/>
      <c r="C635" s="34"/>
      <c r="D635" s="69"/>
      <c r="F635" s="35"/>
    </row>
    <row r="636" spans="2:6" x14ac:dyDescent="0.3">
      <c r="B636" s="34"/>
      <c r="C636" s="34"/>
      <c r="D636" s="69"/>
      <c r="F636" s="35"/>
    </row>
    <row r="637" spans="2:6" x14ac:dyDescent="0.3">
      <c r="B637" s="34"/>
      <c r="C637" s="34"/>
      <c r="D637" s="69"/>
      <c r="F637" s="35"/>
    </row>
    <row r="638" spans="2:6" x14ac:dyDescent="0.3">
      <c r="B638" s="34"/>
      <c r="C638" s="34"/>
      <c r="D638" s="69"/>
      <c r="F638" s="35"/>
    </row>
    <row r="639" spans="2:6" x14ac:dyDescent="0.3">
      <c r="B639" s="34"/>
      <c r="C639" s="34"/>
      <c r="D639" s="69"/>
      <c r="F639" s="35"/>
    </row>
    <row r="640" spans="2:6" x14ac:dyDescent="0.3">
      <c r="B640" s="34"/>
      <c r="C640" s="34"/>
      <c r="D640" s="69"/>
      <c r="F640" s="35"/>
    </row>
    <row r="641" spans="2:6" x14ac:dyDescent="0.3">
      <c r="B641" s="34"/>
      <c r="C641" s="34"/>
      <c r="D641" s="69"/>
      <c r="F641" s="35"/>
    </row>
    <row r="642" spans="2:6" x14ac:dyDescent="0.3">
      <c r="B642" s="34"/>
      <c r="C642" s="34"/>
      <c r="D642" s="69"/>
      <c r="F642" s="35"/>
    </row>
    <row r="643" spans="2:6" x14ac:dyDescent="0.3">
      <c r="B643" s="34"/>
      <c r="C643" s="34"/>
      <c r="D643" s="69"/>
      <c r="F643" s="35"/>
    </row>
    <row r="644" spans="2:6" x14ac:dyDescent="0.3">
      <c r="B644" s="34"/>
      <c r="C644" s="34"/>
      <c r="D644" s="69"/>
      <c r="F644" s="35"/>
    </row>
    <row r="645" spans="2:6" x14ac:dyDescent="0.3">
      <c r="B645" s="34"/>
      <c r="C645" s="34"/>
      <c r="D645" s="69"/>
      <c r="F645" s="35"/>
    </row>
    <row r="646" spans="2:6" x14ac:dyDescent="0.3">
      <c r="B646" s="34"/>
      <c r="C646" s="34"/>
      <c r="D646" s="69"/>
      <c r="F646" s="35"/>
    </row>
    <row r="647" spans="2:6" x14ac:dyDescent="0.3">
      <c r="B647" s="34"/>
      <c r="C647" s="34"/>
      <c r="D647" s="69"/>
      <c r="F647" s="35"/>
    </row>
    <row r="648" spans="2:6" x14ac:dyDescent="0.3">
      <c r="B648" s="34"/>
      <c r="C648" s="34"/>
      <c r="D648" s="69"/>
      <c r="F648" s="35"/>
    </row>
    <row r="649" spans="2:6" x14ac:dyDescent="0.3">
      <c r="B649" s="34"/>
      <c r="C649" s="34"/>
      <c r="D649" s="69"/>
      <c r="F649" s="35"/>
    </row>
    <row r="650" spans="2:6" x14ac:dyDescent="0.3">
      <c r="B650" s="34"/>
      <c r="C650" s="34"/>
      <c r="D650" s="69"/>
      <c r="F650" s="35"/>
    </row>
    <row r="651" spans="2:6" x14ac:dyDescent="0.3">
      <c r="B651" s="34"/>
      <c r="C651" s="34"/>
      <c r="D651" s="69"/>
      <c r="F651" s="35"/>
    </row>
    <row r="652" spans="2:6" x14ac:dyDescent="0.3">
      <c r="B652" s="34"/>
      <c r="C652" s="34"/>
      <c r="D652" s="69"/>
      <c r="F652" s="35"/>
    </row>
    <row r="653" spans="2:6" x14ac:dyDescent="0.3">
      <c r="B653" s="34"/>
      <c r="C653" s="34"/>
      <c r="D653" s="69"/>
      <c r="F653" s="35"/>
    </row>
    <row r="654" spans="2:6" x14ac:dyDescent="0.3">
      <c r="B654" s="34"/>
      <c r="C654" s="34"/>
      <c r="D654" s="69"/>
      <c r="F654" s="35"/>
    </row>
    <row r="655" spans="2:6" x14ac:dyDescent="0.3">
      <c r="B655" s="34"/>
      <c r="C655" s="34"/>
      <c r="D655" s="69"/>
      <c r="F655" s="35"/>
    </row>
    <row r="656" spans="2:6" x14ac:dyDescent="0.3">
      <c r="B656" s="34"/>
      <c r="C656" s="34"/>
      <c r="D656" s="69"/>
      <c r="F656" s="35"/>
    </row>
    <row r="657" spans="2:6" x14ac:dyDescent="0.3">
      <c r="B657" s="34"/>
      <c r="C657" s="34"/>
      <c r="D657" s="69"/>
      <c r="F657" s="35"/>
    </row>
    <row r="658" spans="2:6" x14ac:dyDescent="0.3">
      <c r="B658" s="34"/>
      <c r="C658" s="34"/>
      <c r="D658" s="69"/>
      <c r="F658" s="35"/>
    </row>
    <row r="659" spans="2:6" x14ac:dyDescent="0.3">
      <c r="B659" s="34"/>
      <c r="C659" s="34"/>
      <c r="D659" s="69"/>
      <c r="F659" s="35"/>
    </row>
    <row r="660" spans="2:6" x14ac:dyDescent="0.3">
      <c r="B660" s="34"/>
      <c r="C660" s="34"/>
      <c r="D660" s="69"/>
      <c r="F660" s="35"/>
    </row>
    <row r="661" spans="2:6" x14ac:dyDescent="0.3">
      <c r="B661" s="34"/>
      <c r="C661" s="34"/>
      <c r="D661" s="69"/>
      <c r="F661" s="35"/>
    </row>
    <row r="662" spans="2:6" x14ac:dyDescent="0.3">
      <c r="B662" s="34"/>
      <c r="C662" s="34"/>
      <c r="D662" s="69"/>
      <c r="F662" s="35"/>
    </row>
    <row r="663" spans="2:6" x14ac:dyDescent="0.3">
      <c r="B663" s="34"/>
      <c r="C663" s="34"/>
      <c r="D663" s="69"/>
      <c r="F663" s="35"/>
    </row>
    <row r="664" spans="2:6" x14ac:dyDescent="0.3">
      <c r="B664" s="34"/>
      <c r="C664" s="34"/>
      <c r="D664" s="69"/>
      <c r="F664" s="35"/>
    </row>
    <row r="665" spans="2:6" x14ac:dyDescent="0.3">
      <c r="B665" s="34"/>
      <c r="C665" s="34"/>
      <c r="D665" s="69"/>
      <c r="F665" s="35"/>
    </row>
    <row r="666" spans="2:6" x14ac:dyDescent="0.3">
      <c r="B666" s="34"/>
      <c r="C666" s="34"/>
      <c r="D666" s="69"/>
      <c r="F666" s="35"/>
    </row>
    <row r="667" spans="2:6" x14ac:dyDescent="0.3">
      <c r="B667" s="34"/>
      <c r="C667" s="34"/>
      <c r="D667" s="69"/>
      <c r="F667" s="35"/>
    </row>
    <row r="668" spans="2:6" x14ac:dyDescent="0.3">
      <c r="B668" s="34"/>
      <c r="C668" s="34"/>
      <c r="D668" s="69"/>
      <c r="F668" s="35"/>
    </row>
    <row r="669" spans="2:6" x14ac:dyDescent="0.3">
      <c r="B669" s="34"/>
      <c r="C669" s="34"/>
      <c r="D669" s="69"/>
      <c r="F669" s="35"/>
    </row>
    <row r="670" spans="2:6" x14ac:dyDescent="0.3">
      <c r="B670" s="34"/>
      <c r="C670" s="34"/>
      <c r="D670" s="69"/>
      <c r="F670" s="35"/>
    </row>
    <row r="671" spans="2:6" x14ac:dyDescent="0.3">
      <c r="B671" s="34"/>
      <c r="C671" s="34"/>
      <c r="D671" s="69"/>
      <c r="F671" s="35"/>
    </row>
    <row r="672" spans="2:6" x14ac:dyDescent="0.3">
      <c r="B672" s="34"/>
      <c r="C672" s="34"/>
      <c r="D672" s="69"/>
      <c r="F672" s="35"/>
    </row>
    <row r="673" spans="2:6" x14ac:dyDescent="0.3">
      <c r="B673" s="34"/>
      <c r="C673" s="34"/>
      <c r="D673" s="69"/>
      <c r="F673" s="35"/>
    </row>
    <row r="674" spans="2:6" x14ac:dyDescent="0.3">
      <c r="B674" s="34"/>
      <c r="C674" s="34"/>
      <c r="D674" s="69"/>
      <c r="F674" s="35"/>
    </row>
    <row r="675" spans="2:6" x14ac:dyDescent="0.3">
      <c r="B675" s="34"/>
      <c r="C675" s="34"/>
      <c r="D675" s="69"/>
      <c r="F675" s="35"/>
    </row>
    <row r="676" spans="2:6" x14ac:dyDescent="0.3">
      <c r="B676" s="34"/>
      <c r="C676" s="34"/>
      <c r="D676" s="69"/>
      <c r="F676" s="35"/>
    </row>
    <row r="677" spans="2:6" x14ac:dyDescent="0.3">
      <c r="B677" s="34"/>
      <c r="C677" s="34"/>
      <c r="D677" s="69"/>
      <c r="F677" s="35"/>
    </row>
    <row r="678" spans="2:6" x14ac:dyDescent="0.3">
      <c r="B678" s="34"/>
      <c r="C678" s="34"/>
      <c r="D678" s="69"/>
      <c r="F678" s="35"/>
    </row>
    <row r="679" spans="2:6" x14ac:dyDescent="0.3">
      <c r="B679" s="34"/>
      <c r="C679" s="34"/>
      <c r="D679" s="69"/>
      <c r="F679" s="35"/>
    </row>
    <row r="680" spans="2:6" x14ac:dyDescent="0.3">
      <c r="B680" s="34"/>
      <c r="C680" s="34"/>
      <c r="D680" s="69"/>
      <c r="F680" s="35"/>
    </row>
    <row r="681" spans="2:6" x14ac:dyDescent="0.3">
      <c r="B681" s="34"/>
      <c r="C681" s="34"/>
      <c r="D681" s="69"/>
      <c r="F681" s="35"/>
    </row>
    <row r="682" spans="2:6" x14ac:dyDescent="0.3">
      <c r="B682" s="34"/>
      <c r="C682" s="34"/>
      <c r="D682" s="69"/>
      <c r="F682" s="35"/>
    </row>
    <row r="683" spans="2:6" x14ac:dyDescent="0.3">
      <c r="B683" s="34"/>
      <c r="C683" s="34"/>
      <c r="D683" s="69"/>
      <c r="F683" s="35"/>
    </row>
    <row r="684" spans="2:6" x14ac:dyDescent="0.3">
      <c r="B684" s="34"/>
      <c r="C684" s="34"/>
      <c r="D684" s="69"/>
      <c r="F684" s="35"/>
    </row>
    <row r="685" spans="2:6" x14ac:dyDescent="0.3">
      <c r="B685" s="34"/>
      <c r="C685" s="34"/>
      <c r="D685" s="69"/>
      <c r="F685" s="35"/>
    </row>
    <row r="686" spans="2:6" x14ac:dyDescent="0.3">
      <c r="B686" s="34"/>
      <c r="C686" s="34"/>
      <c r="D686" s="69"/>
      <c r="F686" s="35"/>
    </row>
    <row r="687" spans="2:6" x14ac:dyDescent="0.3">
      <c r="B687" s="34"/>
      <c r="C687" s="34"/>
      <c r="D687" s="69"/>
      <c r="F687" s="35"/>
    </row>
    <row r="688" spans="2:6" x14ac:dyDescent="0.3">
      <c r="B688" s="34"/>
      <c r="C688" s="34"/>
      <c r="D688" s="69"/>
      <c r="F688" s="35"/>
    </row>
    <row r="689" spans="2:6" x14ac:dyDescent="0.3">
      <c r="B689" s="34"/>
      <c r="C689" s="34"/>
      <c r="D689" s="69"/>
      <c r="F689" s="35"/>
    </row>
    <row r="690" spans="2:6" x14ac:dyDescent="0.3">
      <c r="B690" s="34"/>
      <c r="C690" s="34"/>
      <c r="D690" s="69"/>
      <c r="F690" s="35"/>
    </row>
    <row r="691" spans="2:6" x14ac:dyDescent="0.3">
      <c r="B691" s="34"/>
      <c r="C691" s="34"/>
      <c r="D691" s="69"/>
      <c r="F691" s="35"/>
    </row>
    <row r="692" spans="2:6" x14ac:dyDescent="0.3">
      <c r="B692" s="34"/>
      <c r="C692" s="34"/>
      <c r="D692" s="69"/>
      <c r="F692" s="35"/>
    </row>
    <row r="693" spans="2:6" x14ac:dyDescent="0.3">
      <c r="B693" s="34"/>
      <c r="C693" s="34"/>
      <c r="D693" s="69"/>
      <c r="F693" s="35"/>
    </row>
    <row r="694" spans="2:6" x14ac:dyDescent="0.3">
      <c r="B694" s="34"/>
      <c r="C694" s="34"/>
      <c r="D694" s="69"/>
      <c r="F694" s="35"/>
    </row>
    <row r="695" spans="2:6" x14ac:dyDescent="0.3">
      <c r="B695" s="34"/>
      <c r="C695" s="34"/>
      <c r="D695" s="69"/>
      <c r="F695" s="35"/>
    </row>
    <row r="696" spans="2:6" x14ac:dyDescent="0.3">
      <c r="B696" s="34"/>
      <c r="C696" s="34"/>
      <c r="D696" s="69"/>
      <c r="F696" s="35"/>
    </row>
    <row r="697" spans="2:6" x14ac:dyDescent="0.3">
      <c r="B697" s="34"/>
      <c r="C697" s="34"/>
      <c r="D697" s="69"/>
      <c r="F697" s="35"/>
    </row>
    <row r="698" spans="2:6" x14ac:dyDescent="0.3">
      <c r="B698" s="34"/>
      <c r="C698" s="34"/>
      <c r="D698" s="69"/>
      <c r="F698" s="35"/>
    </row>
    <row r="699" spans="2:6" x14ac:dyDescent="0.3">
      <c r="B699" s="34"/>
      <c r="C699" s="34"/>
      <c r="D699" s="69"/>
      <c r="F699" s="35"/>
    </row>
    <row r="700" spans="2:6" x14ac:dyDescent="0.3">
      <c r="B700" s="34"/>
      <c r="C700" s="34"/>
      <c r="D700" s="69"/>
      <c r="F700" s="35"/>
    </row>
    <row r="701" spans="2:6" x14ac:dyDescent="0.3">
      <c r="B701" s="34"/>
      <c r="C701" s="34"/>
      <c r="D701" s="69"/>
      <c r="F701" s="35"/>
    </row>
    <row r="702" spans="2:6" x14ac:dyDescent="0.3">
      <c r="B702" s="34"/>
      <c r="C702" s="34"/>
      <c r="D702" s="69"/>
      <c r="F702" s="35"/>
    </row>
    <row r="703" spans="2:6" x14ac:dyDescent="0.3">
      <c r="B703" s="34"/>
      <c r="C703" s="34"/>
      <c r="D703" s="69"/>
      <c r="F703" s="35"/>
    </row>
    <row r="704" spans="2:6" x14ac:dyDescent="0.3">
      <c r="B704" s="34"/>
      <c r="C704" s="34"/>
      <c r="D704" s="69"/>
      <c r="F704" s="35"/>
    </row>
    <row r="705" spans="2:6" x14ac:dyDescent="0.3">
      <c r="B705" s="34"/>
      <c r="C705" s="34"/>
      <c r="D705" s="69"/>
      <c r="F705" s="35"/>
    </row>
    <row r="706" spans="2:6" x14ac:dyDescent="0.3">
      <c r="B706" s="34"/>
      <c r="C706" s="34"/>
      <c r="D706" s="69"/>
      <c r="F706" s="35"/>
    </row>
    <row r="707" spans="2:6" x14ac:dyDescent="0.3">
      <c r="B707" s="34"/>
      <c r="C707" s="34"/>
      <c r="D707" s="69"/>
      <c r="F707" s="35"/>
    </row>
    <row r="708" spans="2:6" x14ac:dyDescent="0.3">
      <c r="B708" s="34"/>
      <c r="C708" s="34"/>
      <c r="D708" s="69"/>
      <c r="F708" s="35"/>
    </row>
    <row r="709" spans="2:6" x14ac:dyDescent="0.3">
      <c r="B709" s="34"/>
      <c r="C709" s="34"/>
      <c r="D709" s="69"/>
      <c r="F709" s="35"/>
    </row>
    <row r="710" spans="2:6" x14ac:dyDescent="0.3">
      <c r="B710" s="34"/>
      <c r="C710" s="34"/>
      <c r="D710" s="69"/>
      <c r="F710" s="35"/>
    </row>
    <row r="711" spans="2:6" x14ac:dyDescent="0.3">
      <c r="B711" s="34"/>
      <c r="C711" s="34"/>
      <c r="D711" s="69"/>
      <c r="F711" s="35"/>
    </row>
    <row r="712" spans="2:6" x14ac:dyDescent="0.3">
      <c r="B712" s="34"/>
      <c r="C712" s="34"/>
      <c r="D712" s="69"/>
      <c r="F712" s="35"/>
    </row>
    <row r="713" spans="2:6" x14ac:dyDescent="0.3">
      <c r="B713" s="34"/>
      <c r="C713" s="34"/>
      <c r="D713" s="69"/>
      <c r="F713" s="35"/>
    </row>
    <row r="714" spans="2:6" x14ac:dyDescent="0.3">
      <c r="B714" s="34"/>
      <c r="C714" s="34"/>
      <c r="D714" s="69"/>
      <c r="F714" s="35"/>
    </row>
    <row r="715" spans="2:6" x14ac:dyDescent="0.3">
      <c r="B715" s="34"/>
      <c r="C715" s="34"/>
      <c r="D715" s="69"/>
      <c r="F715" s="35"/>
    </row>
    <row r="716" spans="2:6" x14ac:dyDescent="0.3">
      <c r="B716" s="34"/>
      <c r="C716" s="34"/>
      <c r="D716" s="69"/>
      <c r="F716" s="35"/>
    </row>
    <row r="717" spans="2:6" x14ac:dyDescent="0.3">
      <c r="B717" s="34"/>
      <c r="C717" s="34"/>
      <c r="D717" s="69"/>
      <c r="F717" s="35"/>
    </row>
    <row r="718" spans="2:6" x14ac:dyDescent="0.3">
      <c r="B718" s="34"/>
      <c r="C718" s="34"/>
      <c r="D718" s="69"/>
      <c r="F718" s="35"/>
    </row>
    <row r="719" spans="2:6" x14ac:dyDescent="0.3">
      <c r="B719" s="34"/>
      <c r="C719" s="34"/>
      <c r="D719" s="69"/>
      <c r="F719" s="35"/>
    </row>
    <row r="720" spans="2:6" x14ac:dyDescent="0.3">
      <c r="B720" s="34"/>
      <c r="C720" s="34"/>
      <c r="D720" s="69"/>
      <c r="F720" s="35"/>
    </row>
    <row r="721" spans="2:6" x14ac:dyDescent="0.3">
      <c r="B721" s="34"/>
      <c r="C721" s="34"/>
      <c r="D721" s="69"/>
      <c r="F721" s="35"/>
    </row>
    <row r="722" spans="2:6" x14ac:dyDescent="0.3">
      <c r="B722" s="34"/>
      <c r="C722" s="34"/>
      <c r="D722" s="69"/>
      <c r="F722" s="35"/>
    </row>
    <row r="723" spans="2:6" x14ac:dyDescent="0.3">
      <c r="B723" s="34"/>
      <c r="C723" s="34"/>
      <c r="D723" s="69"/>
      <c r="F723" s="35"/>
    </row>
    <row r="724" spans="2:6" x14ac:dyDescent="0.3">
      <c r="B724" s="34"/>
      <c r="C724" s="34"/>
      <c r="D724" s="69"/>
      <c r="F724" s="35"/>
    </row>
    <row r="725" spans="2:6" x14ac:dyDescent="0.3">
      <c r="B725" s="34"/>
      <c r="C725" s="34"/>
      <c r="D725" s="69"/>
      <c r="F725" s="35"/>
    </row>
    <row r="726" spans="2:6" x14ac:dyDescent="0.3">
      <c r="B726" s="34"/>
      <c r="C726" s="34"/>
      <c r="D726" s="69"/>
      <c r="F726" s="35"/>
    </row>
    <row r="727" spans="2:6" x14ac:dyDescent="0.3">
      <c r="B727" s="34"/>
      <c r="C727" s="34"/>
      <c r="D727" s="69"/>
      <c r="F727" s="35"/>
    </row>
    <row r="728" spans="2:6" x14ac:dyDescent="0.3">
      <c r="B728" s="34"/>
      <c r="C728" s="34"/>
      <c r="D728" s="69"/>
      <c r="F728" s="35"/>
    </row>
    <row r="729" spans="2:6" x14ac:dyDescent="0.3">
      <c r="B729" s="34"/>
      <c r="C729" s="34"/>
      <c r="D729" s="69"/>
      <c r="F729" s="35"/>
    </row>
    <row r="730" spans="2:6" x14ac:dyDescent="0.3">
      <c r="B730" s="34"/>
      <c r="C730" s="34"/>
      <c r="D730" s="69"/>
      <c r="F730" s="35"/>
    </row>
    <row r="731" spans="2:6" x14ac:dyDescent="0.3">
      <c r="B731" s="34"/>
      <c r="C731" s="34"/>
      <c r="D731" s="69"/>
      <c r="F731" s="35"/>
    </row>
    <row r="732" spans="2:6" x14ac:dyDescent="0.3">
      <c r="B732" s="34"/>
      <c r="C732" s="34"/>
      <c r="D732" s="69"/>
      <c r="F732" s="35"/>
    </row>
    <row r="733" spans="2:6" x14ac:dyDescent="0.3">
      <c r="B733" s="34"/>
      <c r="C733" s="34"/>
      <c r="D733" s="69"/>
      <c r="F733" s="35"/>
    </row>
    <row r="734" spans="2:6" x14ac:dyDescent="0.3">
      <c r="B734" s="34"/>
      <c r="C734" s="34"/>
      <c r="D734" s="69"/>
      <c r="F734" s="35"/>
    </row>
    <row r="735" spans="2:6" x14ac:dyDescent="0.3">
      <c r="B735" s="34"/>
      <c r="C735" s="34"/>
      <c r="D735" s="69"/>
      <c r="F735" s="35"/>
    </row>
    <row r="736" spans="2:6" x14ac:dyDescent="0.3">
      <c r="B736" s="34"/>
      <c r="C736" s="34"/>
      <c r="D736" s="69"/>
      <c r="F736" s="35"/>
    </row>
    <row r="737" spans="2:6" x14ac:dyDescent="0.3">
      <c r="B737" s="34"/>
      <c r="C737" s="34"/>
      <c r="D737" s="69"/>
      <c r="F737" s="35"/>
    </row>
    <row r="738" spans="2:6" x14ac:dyDescent="0.3">
      <c r="B738" s="34"/>
      <c r="C738" s="34"/>
      <c r="D738" s="69"/>
      <c r="F738" s="35"/>
    </row>
    <row r="739" spans="2:6" x14ac:dyDescent="0.3">
      <c r="B739" s="34"/>
      <c r="C739" s="34"/>
      <c r="D739" s="69"/>
      <c r="F739" s="35"/>
    </row>
    <row r="740" spans="2:6" x14ac:dyDescent="0.3">
      <c r="B740" s="34"/>
      <c r="C740" s="34"/>
      <c r="D740" s="69"/>
      <c r="F740" s="35"/>
    </row>
    <row r="741" spans="2:6" x14ac:dyDescent="0.3">
      <c r="B741" s="34"/>
      <c r="C741" s="34"/>
      <c r="D741" s="69"/>
      <c r="F741" s="35"/>
    </row>
    <row r="742" spans="2:6" x14ac:dyDescent="0.3">
      <c r="B742" s="34"/>
      <c r="C742" s="34"/>
      <c r="D742" s="69"/>
      <c r="F742" s="35"/>
    </row>
    <row r="743" spans="2:6" x14ac:dyDescent="0.3">
      <c r="B743" s="34"/>
      <c r="C743" s="34"/>
      <c r="D743" s="69"/>
      <c r="F743" s="35"/>
    </row>
    <row r="744" spans="2:6" x14ac:dyDescent="0.3">
      <c r="B744" s="34"/>
      <c r="C744" s="34"/>
      <c r="D744" s="69"/>
      <c r="F744" s="35"/>
    </row>
    <row r="745" spans="2:6" x14ac:dyDescent="0.3">
      <c r="B745" s="34"/>
      <c r="C745" s="34"/>
      <c r="D745" s="69"/>
      <c r="F745" s="35"/>
    </row>
    <row r="746" spans="2:6" x14ac:dyDescent="0.3">
      <c r="B746" s="34"/>
      <c r="C746" s="34"/>
      <c r="D746" s="69"/>
      <c r="F746" s="35"/>
    </row>
    <row r="747" spans="2:6" x14ac:dyDescent="0.3">
      <c r="B747" s="34"/>
      <c r="C747" s="34"/>
      <c r="D747" s="69"/>
      <c r="F747" s="35"/>
    </row>
    <row r="748" spans="2:6" x14ac:dyDescent="0.3">
      <c r="B748" s="34"/>
      <c r="C748" s="34"/>
      <c r="D748" s="69"/>
      <c r="F748" s="35"/>
    </row>
    <row r="749" spans="2:6" x14ac:dyDescent="0.3">
      <c r="B749" s="34"/>
      <c r="C749" s="34"/>
      <c r="D749" s="69"/>
      <c r="F749" s="35"/>
    </row>
    <row r="750" spans="2:6" x14ac:dyDescent="0.3">
      <c r="B750" s="34"/>
      <c r="C750" s="34"/>
      <c r="D750" s="69"/>
      <c r="F750" s="35"/>
    </row>
    <row r="751" spans="2:6" x14ac:dyDescent="0.3">
      <c r="B751" s="34"/>
      <c r="C751" s="34"/>
      <c r="D751" s="69"/>
      <c r="F751" s="35"/>
    </row>
    <row r="752" spans="2:6" x14ac:dyDescent="0.3">
      <c r="B752" s="34"/>
      <c r="C752" s="34"/>
      <c r="D752" s="69"/>
      <c r="F752" s="35"/>
    </row>
    <row r="753" spans="2:6" x14ac:dyDescent="0.3">
      <c r="B753" s="34"/>
      <c r="C753" s="34"/>
      <c r="D753" s="69"/>
      <c r="F753" s="35"/>
    </row>
    <row r="754" spans="2:6" x14ac:dyDescent="0.3">
      <c r="B754" s="34"/>
      <c r="C754" s="34"/>
      <c r="D754" s="69"/>
      <c r="F754" s="35"/>
    </row>
    <row r="755" spans="2:6" x14ac:dyDescent="0.3">
      <c r="B755" s="34"/>
      <c r="C755" s="34"/>
      <c r="D755" s="69"/>
      <c r="F755" s="35"/>
    </row>
    <row r="756" spans="2:6" x14ac:dyDescent="0.3">
      <c r="B756" s="34"/>
      <c r="C756" s="34"/>
      <c r="D756" s="69"/>
      <c r="F756" s="35"/>
    </row>
    <row r="757" spans="2:6" x14ac:dyDescent="0.3">
      <c r="B757" s="34"/>
      <c r="C757" s="34"/>
      <c r="D757" s="69"/>
      <c r="F757" s="35"/>
    </row>
    <row r="758" spans="2:6" x14ac:dyDescent="0.3">
      <c r="B758" s="34"/>
      <c r="C758" s="34"/>
      <c r="D758" s="69"/>
      <c r="F758" s="35"/>
    </row>
    <row r="759" spans="2:6" x14ac:dyDescent="0.3">
      <c r="B759" s="34"/>
      <c r="C759" s="34"/>
      <c r="D759" s="69"/>
      <c r="F759" s="35"/>
    </row>
    <row r="760" spans="2:6" x14ac:dyDescent="0.3">
      <c r="B760" s="34"/>
      <c r="C760" s="34"/>
      <c r="D760" s="69"/>
      <c r="F760" s="35"/>
    </row>
    <row r="761" spans="2:6" x14ac:dyDescent="0.3">
      <c r="B761" s="34"/>
      <c r="C761" s="34"/>
      <c r="D761" s="69"/>
      <c r="F761" s="35"/>
    </row>
    <row r="762" spans="2:6" x14ac:dyDescent="0.3">
      <c r="B762" s="34"/>
      <c r="C762" s="34"/>
      <c r="D762" s="69"/>
      <c r="F762" s="35"/>
    </row>
    <row r="763" spans="2:6" x14ac:dyDescent="0.3">
      <c r="B763" s="34"/>
      <c r="C763" s="34"/>
      <c r="D763" s="69"/>
      <c r="F763" s="35"/>
    </row>
    <row r="764" spans="2:6" x14ac:dyDescent="0.3">
      <c r="B764" s="34"/>
      <c r="C764" s="34"/>
      <c r="D764" s="69"/>
      <c r="F764" s="35"/>
    </row>
    <row r="765" spans="2:6" x14ac:dyDescent="0.3">
      <c r="B765" s="34"/>
      <c r="C765" s="34"/>
      <c r="D765" s="69"/>
      <c r="F765" s="35"/>
    </row>
    <row r="766" spans="2:6" x14ac:dyDescent="0.3">
      <c r="B766" s="34"/>
      <c r="C766" s="34"/>
      <c r="D766" s="69"/>
      <c r="F766" s="35"/>
    </row>
    <row r="767" spans="2:6" x14ac:dyDescent="0.3">
      <c r="B767" s="34"/>
      <c r="C767" s="34"/>
      <c r="D767" s="69"/>
      <c r="F767" s="35"/>
    </row>
    <row r="768" spans="2:6" x14ac:dyDescent="0.3">
      <c r="B768" s="34"/>
      <c r="C768" s="34"/>
      <c r="D768" s="69"/>
      <c r="F768" s="35"/>
    </row>
    <row r="769" spans="2:6" x14ac:dyDescent="0.3">
      <c r="B769" s="34"/>
      <c r="C769" s="34"/>
      <c r="D769" s="69"/>
      <c r="F769" s="35"/>
    </row>
    <row r="770" spans="2:6" x14ac:dyDescent="0.3">
      <c r="B770" s="34"/>
      <c r="C770" s="34"/>
      <c r="D770" s="69"/>
      <c r="F770" s="35"/>
    </row>
    <row r="771" spans="2:6" x14ac:dyDescent="0.3">
      <c r="B771" s="34"/>
      <c r="C771" s="34"/>
      <c r="D771" s="69"/>
      <c r="F771" s="35"/>
    </row>
    <row r="772" spans="2:6" x14ac:dyDescent="0.3">
      <c r="B772" s="34"/>
      <c r="C772" s="34"/>
      <c r="D772" s="69"/>
      <c r="F772" s="35"/>
    </row>
    <row r="773" spans="2:6" x14ac:dyDescent="0.3">
      <c r="B773" s="34"/>
      <c r="C773" s="34"/>
      <c r="D773" s="69"/>
      <c r="F773" s="35"/>
    </row>
    <row r="774" spans="2:6" x14ac:dyDescent="0.3">
      <c r="B774" s="34"/>
      <c r="C774" s="34"/>
      <c r="D774" s="69"/>
      <c r="F774" s="35"/>
    </row>
    <row r="775" spans="2:6" x14ac:dyDescent="0.3">
      <c r="B775" s="34"/>
      <c r="C775" s="34"/>
      <c r="D775" s="69"/>
      <c r="F775" s="35"/>
    </row>
    <row r="776" spans="2:6" x14ac:dyDescent="0.3">
      <c r="B776" s="34"/>
      <c r="C776" s="34"/>
      <c r="D776" s="69"/>
      <c r="F776" s="35"/>
    </row>
    <row r="777" spans="2:6" x14ac:dyDescent="0.3">
      <c r="B777" s="34"/>
      <c r="C777" s="34"/>
      <c r="D777" s="69"/>
      <c r="F777" s="35"/>
    </row>
    <row r="778" spans="2:6" x14ac:dyDescent="0.3">
      <c r="B778" s="34"/>
      <c r="C778" s="34"/>
      <c r="D778" s="69"/>
      <c r="F778" s="35"/>
    </row>
    <row r="779" spans="2:6" x14ac:dyDescent="0.3">
      <c r="B779" s="34"/>
      <c r="C779" s="34"/>
      <c r="D779" s="69"/>
      <c r="F779" s="35"/>
    </row>
    <row r="780" spans="2:6" x14ac:dyDescent="0.3">
      <c r="B780" s="34"/>
      <c r="C780" s="34"/>
      <c r="D780" s="69"/>
      <c r="F780" s="35"/>
    </row>
    <row r="781" spans="2:6" x14ac:dyDescent="0.3">
      <c r="B781" s="34"/>
      <c r="C781" s="34"/>
      <c r="D781" s="69"/>
      <c r="F781" s="35"/>
    </row>
    <row r="782" spans="2:6" x14ac:dyDescent="0.3">
      <c r="B782" s="34"/>
      <c r="C782" s="34"/>
      <c r="D782" s="69"/>
      <c r="F782" s="35"/>
    </row>
    <row r="783" spans="2:6" x14ac:dyDescent="0.3">
      <c r="B783" s="34"/>
      <c r="C783" s="34"/>
      <c r="D783" s="69"/>
      <c r="F783" s="35"/>
    </row>
    <row r="784" spans="2:6" x14ac:dyDescent="0.3">
      <c r="B784" s="34"/>
      <c r="C784" s="34"/>
      <c r="D784" s="69"/>
      <c r="F784" s="35"/>
    </row>
    <row r="785" spans="2:6" x14ac:dyDescent="0.3">
      <c r="B785" s="34"/>
      <c r="C785" s="34"/>
      <c r="D785" s="69"/>
      <c r="F785" s="35"/>
    </row>
    <row r="786" spans="2:6" x14ac:dyDescent="0.3">
      <c r="B786" s="34"/>
      <c r="C786" s="34"/>
      <c r="D786" s="69"/>
      <c r="F786" s="35"/>
    </row>
    <row r="787" spans="2:6" x14ac:dyDescent="0.3">
      <c r="B787" s="34"/>
      <c r="C787" s="34"/>
      <c r="D787" s="69"/>
      <c r="F787" s="35"/>
    </row>
    <row r="788" spans="2:6" x14ac:dyDescent="0.3">
      <c r="B788" s="34"/>
      <c r="C788" s="34"/>
      <c r="D788" s="69"/>
      <c r="F788" s="35"/>
    </row>
    <row r="789" spans="2:6" x14ac:dyDescent="0.3">
      <c r="B789" s="34"/>
      <c r="C789" s="34"/>
      <c r="D789" s="69"/>
      <c r="F789" s="35"/>
    </row>
    <row r="790" spans="2:6" x14ac:dyDescent="0.3">
      <c r="B790" s="34"/>
      <c r="C790" s="34"/>
      <c r="D790" s="69"/>
      <c r="F790" s="35"/>
    </row>
    <row r="791" spans="2:6" x14ac:dyDescent="0.3">
      <c r="B791" s="34"/>
      <c r="C791" s="34"/>
      <c r="D791" s="69"/>
      <c r="F791" s="35"/>
    </row>
    <row r="792" spans="2:6" x14ac:dyDescent="0.3">
      <c r="B792" s="34"/>
      <c r="C792" s="34"/>
      <c r="D792" s="69"/>
      <c r="F792" s="35"/>
    </row>
    <row r="793" spans="2:6" x14ac:dyDescent="0.3">
      <c r="B793" s="34"/>
      <c r="C793" s="34"/>
      <c r="D793" s="69"/>
      <c r="F793" s="35"/>
    </row>
    <row r="794" spans="2:6" x14ac:dyDescent="0.3">
      <c r="B794" s="34"/>
      <c r="C794" s="34"/>
      <c r="D794" s="69"/>
      <c r="F794" s="35"/>
    </row>
    <row r="795" spans="2:6" x14ac:dyDescent="0.3">
      <c r="B795" s="34"/>
      <c r="C795" s="34"/>
      <c r="D795" s="69"/>
      <c r="F795" s="35"/>
    </row>
    <row r="796" spans="2:6" x14ac:dyDescent="0.3">
      <c r="B796" s="34"/>
      <c r="C796" s="34"/>
      <c r="D796" s="69"/>
      <c r="F796" s="35"/>
    </row>
    <row r="797" spans="2:6" x14ac:dyDescent="0.3">
      <c r="B797" s="34"/>
      <c r="C797" s="34"/>
      <c r="D797" s="69"/>
      <c r="F797" s="35"/>
    </row>
    <row r="798" spans="2:6" x14ac:dyDescent="0.3">
      <c r="B798" s="34"/>
      <c r="C798" s="34"/>
      <c r="D798" s="69"/>
      <c r="F798" s="35"/>
    </row>
    <row r="799" spans="2:6" x14ac:dyDescent="0.3">
      <c r="B799" s="34"/>
      <c r="C799" s="34"/>
      <c r="D799" s="69"/>
      <c r="F799" s="35"/>
    </row>
    <row r="800" spans="2:6" x14ac:dyDescent="0.3">
      <c r="B800" s="34"/>
      <c r="C800" s="34"/>
      <c r="D800" s="69"/>
      <c r="F800" s="35"/>
    </row>
    <row r="801" spans="2:6" x14ac:dyDescent="0.3">
      <c r="B801" s="34"/>
      <c r="C801" s="34"/>
      <c r="D801" s="69"/>
      <c r="F801" s="35"/>
    </row>
    <row r="802" spans="2:6" x14ac:dyDescent="0.3">
      <c r="B802" s="34"/>
      <c r="C802" s="34"/>
      <c r="D802" s="69"/>
      <c r="F802" s="35"/>
    </row>
    <row r="803" spans="2:6" x14ac:dyDescent="0.3">
      <c r="B803" s="34"/>
      <c r="C803" s="34"/>
      <c r="D803" s="69"/>
      <c r="F803" s="35"/>
    </row>
    <row r="804" spans="2:6" x14ac:dyDescent="0.3">
      <c r="B804" s="34"/>
      <c r="C804" s="34"/>
      <c r="D804" s="69"/>
      <c r="F804" s="35"/>
    </row>
    <row r="805" spans="2:6" x14ac:dyDescent="0.3">
      <c r="B805" s="34"/>
      <c r="C805" s="34"/>
      <c r="D805" s="69"/>
      <c r="F805" s="35"/>
    </row>
    <row r="806" spans="2:6" x14ac:dyDescent="0.3">
      <c r="B806" s="34"/>
      <c r="C806" s="34"/>
      <c r="D806" s="69"/>
      <c r="F806" s="35"/>
    </row>
    <row r="807" spans="2:6" x14ac:dyDescent="0.3">
      <c r="B807" s="34"/>
      <c r="C807" s="34"/>
      <c r="D807" s="69"/>
      <c r="F807" s="35"/>
    </row>
    <row r="808" spans="2:6" x14ac:dyDescent="0.3">
      <c r="B808" s="34"/>
      <c r="C808" s="34"/>
      <c r="D808" s="69"/>
      <c r="F808" s="35"/>
    </row>
    <row r="809" spans="2:6" x14ac:dyDescent="0.3">
      <c r="B809" s="34"/>
      <c r="C809" s="34"/>
      <c r="D809" s="69"/>
      <c r="F809" s="35"/>
    </row>
    <row r="810" spans="2:6" x14ac:dyDescent="0.3">
      <c r="B810" s="34"/>
      <c r="C810" s="34"/>
      <c r="D810" s="69"/>
      <c r="F810" s="35"/>
    </row>
    <row r="811" spans="2:6" x14ac:dyDescent="0.3">
      <c r="B811" s="34"/>
      <c r="C811" s="34"/>
      <c r="D811" s="69"/>
      <c r="F811" s="35"/>
    </row>
    <row r="812" spans="2:6" x14ac:dyDescent="0.3">
      <c r="B812" s="34"/>
      <c r="C812" s="34"/>
      <c r="D812" s="69"/>
      <c r="F812" s="35"/>
    </row>
    <row r="813" spans="2:6" x14ac:dyDescent="0.3">
      <c r="B813" s="34"/>
      <c r="C813" s="34"/>
      <c r="D813" s="69"/>
      <c r="F813" s="35"/>
    </row>
    <row r="814" spans="2:6" x14ac:dyDescent="0.3">
      <c r="B814" s="34"/>
      <c r="C814" s="34"/>
      <c r="D814" s="69"/>
      <c r="F814" s="35"/>
    </row>
    <row r="815" spans="2:6" x14ac:dyDescent="0.3">
      <c r="B815" s="34"/>
      <c r="C815" s="34"/>
      <c r="D815" s="69"/>
      <c r="F815" s="35"/>
    </row>
    <row r="816" spans="2:6" x14ac:dyDescent="0.3">
      <c r="B816" s="34"/>
      <c r="C816" s="34"/>
      <c r="D816" s="69"/>
      <c r="F816" s="35"/>
    </row>
    <row r="817" spans="2:6" x14ac:dyDescent="0.3">
      <c r="B817" s="34"/>
      <c r="C817" s="34"/>
      <c r="D817" s="69"/>
      <c r="F817" s="35"/>
    </row>
    <row r="818" spans="2:6" x14ac:dyDescent="0.3">
      <c r="B818" s="34"/>
      <c r="C818" s="34"/>
      <c r="D818" s="69"/>
      <c r="F818" s="35"/>
    </row>
    <row r="819" spans="2:6" x14ac:dyDescent="0.3">
      <c r="B819" s="34"/>
      <c r="C819" s="34"/>
      <c r="D819" s="69"/>
      <c r="F819" s="35"/>
    </row>
    <row r="820" spans="2:6" x14ac:dyDescent="0.3">
      <c r="B820" s="34"/>
      <c r="C820" s="34"/>
      <c r="D820" s="69"/>
      <c r="F820" s="35"/>
    </row>
    <row r="821" spans="2:6" x14ac:dyDescent="0.3">
      <c r="B821" s="34"/>
      <c r="C821" s="34"/>
      <c r="D821" s="69"/>
      <c r="F821" s="35"/>
    </row>
    <row r="822" spans="2:6" x14ac:dyDescent="0.3">
      <c r="B822" s="34"/>
      <c r="C822" s="34"/>
      <c r="D822" s="69"/>
      <c r="F822" s="35"/>
    </row>
    <row r="823" spans="2:6" x14ac:dyDescent="0.3">
      <c r="B823" s="34"/>
      <c r="C823" s="34"/>
      <c r="D823" s="69"/>
      <c r="F823" s="35"/>
    </row>
    <row r="824" spans="2:6" x14ac:dyDescent="0.3">
      <c r="B824" s="34"/>
      <c r="C824" s="34"/>
      <c r="D824" s="69"/>
      <c r="F824" s="35"/>
    </row>
    <row r="825" spans="2:6" x14ac:dyDescent="0.3">
      <c r="B825" s="34"/>
      <c r="C825" s="34"/>
      <c r="D825" s="69"/>
      <c r="F825" s="35"/>
    </row>
    <row r="826" spans="2:6" x14ac:dyDescent="0.3">
      <c r="B826" s="34"/>
      <c r="C826" s="34"/>
      <c r="D826" s="69"/>
      <c r="F826" s="35"/>
    </row>
    <row r="827" spans="2:6" x14ac:dyDescent="0.3">
      <c r="B827" s="34"/>
      <c r="C827" s="34"/>
      <c r="D827" s="69"/>
      <c r="F827" s="35"/>
    </row>
    <row r="828" spans="2:6" x14ac:dyDescent="0.3">
      <c r="B828" s="34"/>
      <c r="C828" s="34"/>
      <c r="D828" s="69"/>
      <c r="F828" s="35"/>
    </row>
    <row r="829" spans="2:6" x14ac:dyDescent="0.3">
      <c r="B829" s="34"/>
      <c r="C829" s="34"/>
      <c r="D829" s="69"/>
      <c r="F829" s="35"/>
    </row>
    <row r="830" spans="2:6" x14ac:dyDescent="0.3">
      <c r="B830" s="34"/>
      <c r="C830" s="34"/>
      <c r="D830" s="69"/>
      <c r="F830" s="35"/>
    </row>
    <row r="831" spans="2:6" x14ac:dyDescent="0.3">
      <c r="B831" s="34"/>
      <c r="C831" s="34"/>
      <c r="D831" s="69"/>
      <c r="F831" s="35"/>
    </row>
    <row r="832" spans="2:6" x14ac:dyDescent="0.3">
      <c r="B832" s="34"/>
      <c r="C832" s="34"/>
      <c r="D832" s="69"/>
      <c r="F832" s="35"/>
    </row>
    <row r="833" spans="2:6" x14ac:dyDescent="0.3">
      <c r="B833" s="34"/>
      <c r="C833" s="34"/>
      <c r="D833" s="69"/>
      <c r="F833" s="35"/>
    </row>
    <row r="834" spans="2:6" x14ac:dyDescent="0.3">
      <c r="B834" s="34"/>
      <c r="C834" s="34"/>
      <c r="D834" s="69"/>
      <c r="F834" s="35"/>
    </row>
    <row r="835" spans="2:6" x14ac:dyDescent="0.3">
      <c r="B835" s="34"/>
      <c r="C835" s="34"/>
      <c r="D835" s="69"/>
      <c r="F835" s="35"/>
    </row>
    <row r="836" spans="2:6" x14ac:dyDescent="0.3">
      <c r="B836" s="34"/>
      <c r="C836" s="34"/>
      <c r="D836" s="69"/>
      <c r="F836" s="35"/>
    </row>
    <row r="837" spans="2:6" x14ac:dyDescent="0.3">
      <c r="B837" s="34"/>
      <c r="C837" s="34"/>
      <c r="D837" s="69"/>
      <c r="F837" s="35"/>
    </row>
    <row r="838" spans="2:6" x14ac:dyDescent="0.3">
      <c r="B838" s="34"/>
      <c r="C838" s="34"/>
      <c r="D838" s="69"/>
      <c r="F838" s="35"/>
    </row>
    <row r="839" spans="2:6" x14ac:dyDescent="0.3">
      <c r="B839" s="34"/>
      <c r="C839" s="34"/>
      <c r="D839" s="69"/>
      <c r="F839" s="35"/>
    </row>
    <row r="840" spans="2:6" x14ac:dyDescent="0.3">
      <c r="B840" s="34"/>
      <c r="C840" s="34"/>
      <c r="D840" s="69"/>
      <c r="F840" s="35"/>
    </row>
    <row r="841" spans="2:6" x14ac:dyDescent="0.3">
      <c r="B841" s="34"/>
      <c r="C841" s="34"/>
      <c r="D841" s="69"/>
      <c r="F841" s="35"/>
    </row>
    <row r="842" spans="2:6" x14ac:dyDescent="0.3">
      <c r="B842" s="34"/>
      <c r="C842" s="34"/>
      <c r="D842" s="69"/>
      <c r="F842" s="35"/>
    </row>
    <row r="843" spans="2:6" x14ac:dyDescent="0.3">
      <c r="B843" s="34"/>
      <c r="C843" s="34"/>
      <c r="D843" s="69"/>
      <c r="F843" s="35"/>
    </row>
    <row r="844" spans="2:6" x14ac:dyDescent="0.3">
      <c r="B844" s="34"/>
      <c r="C844" s="34"/>
      <c r="D844" s="69"/>
      <c r="F844" s="35"/>
    </row>
    <row r="845" spans="2:6" x14ac:dyDescent="0.3">
      <c r="B845" s="34"/>
      <c r="C845" s="34"/>
      <c r="D845" s="69"/>
      <c r="F845" s="35"/>
    </row>
    <row r="846" spans="2:6" x14ac:dyDescent="0.3">
      <c r="B846" s="34"/>
      <c r="C846" s="34"/>
      <c r="D846" s="69"/>
      <c r="F846" s="35"/>
    </row>
    <row r="847" spans="2:6" x14ac:dyDescent="0.3">
      <c r="B847" s="34"/>
      <c r="C847" s="34"/>
      <c r="D847" s="69"/>
      <c r="F847" s="35"/>
    </row>
    <row r="848" spans="2:6" x14ac:dyDescent="0.3">
      <c r="B848" s="34"/>
      <c r="C848" s="34"/>
      <c r="D848" s="69"/>
      <c r="F848" s="35"/>
    </row>
    <row r="849" spans="2:6" x14ac:dyDescent="0.3">
      <c r="B849" s="34"/>
      <c r="C849" s="34"/>
      <c r="D849" s="69"/>
      <c r="F849" s="35"/>
    </row>
    <row r="850" spans="2:6" x14ac:dyDescent="0.3">
      <c r="B850" s="34"/>
      <c r="C850" s="34"/>
      <c r="D850" s="69"/>
      <c r="F850" s="35"/>
    </row>
    <row r="851" spans="2:6" x14ac:dyDescent="0.3">
      <c r="B851" s="34"/>
      <c r="C851" s="34"/>
      <c r="D851" s="69"/>
      <c r="F851" s="35"/>
    </row>
    <row r="852" spans="2:6" x14ac:dyDescent="0.3">
      <c r="B852" s="34"/>
      <c r="C852" s="34"/>
      <c r="D852" s="69"/>
      <c r="F852" s="35"/>
    </row>
    <row r="853" spans="2:6" x14ac:dyDescent="0.3">
      <c r="B853" s="34"/>
      <c r="C853" s="34"/>
      <c r="D853" s="69"/>
      <c r="F853" s="35"/>
    </row>
    <row r="854" spans="2:6" x14ac:dyDescent="0.3">
      <c r="B854" s="34"/>
      <c r="C854" s="34"/>
      <c r="D854" s="69"/>
      <c r="F854" s="35"/>
    </row>
    <row r="855" spans="2:6" x14ac:dyDescent="0.3">
      <c r="B855" s="34"/>
      <c r="C855" s="34"/>
      <c r="D855" s="69"/>
      <c r="F855" s="35"/>
    </row>
    <row r="856" spans="2:6" x14ac:dyDescent="0.3">
      <c r="B856" s="34"/>
      <c r="C856" s="34"/>
      <c r="D856" s="69"/>
      <c r="F856" s="35"/>
    </row>
    <row r="857" spans="2:6" x14ac:dyDescent="0.3">
      <c r="B857" s="34"/>
      <c r="C857" s="34"/>
      <c r="D857" s="69"/>
      <c r="F857" s="35"/>
    </row>
    <row r="858" spans="2:6" x14ac:dyDescent="0.3">
      <c r="B858" s="34"/>
      <c r="C858" s="34"/>
      <c r="D858" s="69"/>
      <c r="F858" s="35"/>
    </row>
    <row r="859" spans="2:6" x14ac:dyDescent="0.3">
      <c r="B859" s="34"/>
      <c r="C859" s="34"/>
      <c r="D859" s="69"/>
      <c r="F859" s="35"/>
    </row>
    <row r="860" spans="2:6" x14ac:dyDescent="0.3">
      <c r="B860" s="34"/>
      <c r="C860" s="34"/>
      <c r="D860" s="69"/>
      <c r="F860" s="35"/>
    </row>
    <row r="861" spans="2:6" x14ac:dyDescent="0.3">
      <c r="B861" s="34"/>
      <c r="C861" s="34"/>
      <c r="D861" s="69"/>
      <c r="F861" s="35"/>
    </row>
    <row r="862" spans="2:6" x14ac:dyDescent="0.3">
      <c r="B862" s="34"/>
      <c r="C862" s="34"/>
      <c r="D862" s="69"/>
      <c r="F862" s="35"/>
    </row>
    <row r="863" spans="2:6" x14ac:dyDescent="0.3">
      <c r="B863" s="34"/>
      <c r="C863" s="34"/>
      <c r="D863" s="69"/>
      <c r="F863" s="35"/>
    </row>
    <row r="864" spans="2:6" x14ac:dyDescent="0.3">
      <c r="B864" s="34"/>
      <c r="C864" s="34"/>
      <c r="D864" s="69"/>
      <c r="F864" s="35"/>
    </row>
    <row r="865" spans="2:6" x14ac:dyDescent="0.3">
      <c r="B865" s="34"/>
      <c r="C865" s="34"/>
      <c r="D865" s="69"/>
      <c r="F865" s="35"/>
    </row>
    <row r="866" spans="2:6" x14ac:dyDescent="0.3">
      <c r="B866" s="34"/>
      <c r="C866" s="34"/>
      <c r="D866" s="69"/>
      <c r="F866" s="35"/>
    </row>
    <row r="867" spans="2:6" x14ac:dyDescent="0.3">
      <c r="B867" s="34"/>
      <c r="C867" s="34"/>
      <c r="D867" s="69"/>
      <c r="F867" s="35"/>
    </row>
    <row r="868" spans="2:6" x14ac:dyDescent="0.3">
      <c r="B868" s="34"/>
      <c r="C868" s="34"/>
      <c r="D868" s="69"/>
      <c r="F868" s="35"/>
    </row>
    <row r="869" spans="2:6" x14ac:dyDescent="0.3">
      <c r="B869" s="34"/>
      <c r="C869" s="34"/>
      <c r="D869" s="69"/>
      <c r="F869" s="35"/>
    </row>
    <row r="870" spans="2:6" x14ac:dyDescent="0.3">
      <c r="B870" s="34"/>
      <c r="C870" s="34"/>
      <c r="D870" s="69"/>
      <c r="F870" s="35"/>
    </row>
    <row r="871" spans="2:6" x14ac:dyDescent="0.3">
      <c r="B871" s="34"/>
      <c r="C871" s="34"/>
      <c r="D871" s="69"/>
      <c r="F871" s="35"/>
    </row>
    <row r="872" spans="2:6" x14ac:dyDescent="0.3">
      <c r="B872" s="34"/>
      <c r="C872" s="34"/>
      <c r="D872" s="69"/>
      <c r="F872" s="35"/>
    </row>
  </sheetData>
  <autoFilter ref="A1:J488" xr:uid="{00000000-0001-0000-0100-000000000000}"/>
  <conditionalFormatting sqref="E488:E1048576 F873:F1048576">
    <cfRule type="duplicateValues" dxfId="1" priority="4"/>
  </conditionalFormatting>
  <conditionalFormatting sqref="E1:F1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D28"/>
  <sheetViews>
    <sheetView workbookViewId="0">
      <selection activeCell="B10" sqref="B10"/>
    </sheetView>
  </sheetViews>
  <sheetFormatPr baseColWidth="10" defaultColWidth="11.44140625" defaultRowHeight="14.4" x14ac:dyDescent="0.3"/>
  <cols>
    <col min="1" max="1" width="14.5546875" style="3" bestFit="1" customWidth="1"/>
    <col min="2" max="2" width="14.5546875" style="2" bestFit="1" customWidth="1"/>
    <col min="3" max="3" width="15.6640625" style="2" bestFit="1" customWidth="1"/>
    <col min="4" max="16384" width="11.44140625" style="3"/>
  </cols>
  <sheetData>
    <row r="1" spans="1:4" x14ac:dyDescent="0.3">
      <c r="A1" s="3" t="s">
        <v>1408</v>
      </c>
      <c r="B1" s="2" t="s">
        <v>1409</v>
      </c>
      <c r="C1" s="2" t="s">
        <v>1410</v>
      </c>
      <c r="D1" s="5" t="s">
        <v>1411</v>
      </c>
    </row>
    <row r="2" spans="1:4" x14ac:dyDescent="0.3">
      <c r="A2" s="1">
        <v>44389</v>
      </c>
      <c r="B2" s="2">
        <v>0.54166666666666663</v>
      </c>
      <c r="C2" s="2">
        <v>0.875</v>
      </c>
      <c r="D2" s="5">
        <f>+C2-B2</f>
        <v>0.33333333333333337</v>
      </c>
    </row>
    <row r="3" spans="1:4" x14ac:dyDescent="0.3">
      <c r="A3" s="1">
        <v>44390</v>
      </c>
      <c r="B3" s="2">
        <v>0.29166666666666669</v>
      </c>
      <c r="C3" s="2">
        <v>0.875</v>
      </c>
      <c r="D3" s="5">
        <f t="shared" ref="D3:D27" si="0">+C3-B3</f>
        <v>0.58333333333333326</v>
      </c>
    </row>
    <row r="4" spans="1:4" x14ac:dyDescent="0.3">
      <c r="A4" s="1">
        <v>44391</v>
      </c>
      <c r="B4" s="2">
        <v>0.3125</v>
      </c>
      <c r="C4" s="2">
        <v>0.39583333333333331</v>
      </c>
      <c r="D4" s="5">
        <f t="shared" si="0"/>
        <v>8.3333333333333315E-2</v>
      </c>
    </row>
    <row r="5" spans="1:4" x14ac:dyDescent="0.3">
      <c r="A5" s="1">
        <v>44392</v>
      </c>
      <c r="B5" s="2">
        <v>0.75</v>
      </c>
      <c r="C5" s="2">
        <v>0.99998842592592585</v>
      </c>
      <c r="D5" s="5">
        <f t="shared" si="0"/>
        <v>0.24998842592592585</v>
      </c>
    </row>
    <row r="6" spans="1:4" x14ac:dyDescent="0.3">
      <c r="A6" s="1">
        <v>44393</v>
      </c>
      <c r="B6" s="2">
        <v>0</v>
      </c>
      <c r="C6" s="2">
        <v>0.75</v>
      </c>
      <c r="D6" s="5">
        <f t="shared" si="0"/>
        <v>0.75</v>
      </c>
    </row>
    <row r="7" spans="1:4" x14ac:dyDescent="0.3">
      <c r="A7" s="1">
        <v>44396</v>
      </c>
      <c r="B7" s="2">
        <v>0.83333333333333337</v>
      </c>
      <c r="C7" s="2">
        <v>0.99998842592592585</v>
      </c>
      <c r="D7" s="5">
        <f t="shared" si="0"/>
        <v>0.16665509259259248</v>
      </c>
    </row>
    <row r="8" spans="1:4" x14ac:dyDescent="0.3">
      <c r="A8" s="1">
        <v>44397</v>
      </c>
      <c r="B8" s="2">
        <v>0</v>
      </c>
      <c r="C8" s="2">
        <v>0.75</v>
      </c>
      <c r="D8" s="5">
        <f t="shared" si="0"/>
        <v>0.75</v>
      </c>
    </row>
    <row r="9" spans="1:4" x14ac:dyDescent="0.3">
      <c r="A9" s="1">
        <v>44398</v>
      </c>
      <c r="B9" s="2">
        <v>0.79166666666666663</v>
      </c>
      <c r="C9" s="2">
        <v>0.99998842592592585</v>
      </c>
      <c r="D9" s="5">
        <f t="shared" si="0"/>
        <v>0.20832175925925922</v>
      </c>
    </row>
    <row r="10" spans="1:4" x14ac:dyDescent="0.3">
      <c r="A10" s="1">
        <v>44399</v>
      </c>
      <c r="B10" s="2">
        <v>0</v>
      </c>
      <c r="C10" s="2">
        <v>0.99998842592592585</v>
      </c>
      <c r="D10" s="5">
        <f t="shared" si="0"/>
        <v>0.99998842592592585</v>
      </c>
    </row>
    <row r="11" spans="1:4" x14ac:dyDescent="0.3">
      <c r="A11" s="1">
        <v>44400</v>
      </c>
      <c r="B11" s="2">
        <v>0</v>
      </c>
      <c r="C11" s="2">
        <v>0.77083333333333337</v>
      </c>
      <c r="D11" s="5">
        <f t="shared" si="0"/>
        <v>0.77083333333333337</v>
      </c>
    </row>
    <row r="12" spans="1:4" x14ac:dyDescent="0.3">
      <c r="A12" s="1">
        <v>44401</v>
      </c>
      <c r="B12" s="2">
        <v>0.29166666666666669</v>
      </c>
      <c r="C12" s="2">
        <v>0.79166666666666663</v>
      </c>
      <c r="D12" s="5">
        <f t="shared" si="0"/>
        <v>0.49999999999999994</v>
      </c>
    </row>
    <row r="13" spans="1:4" x14ac:dyDescent="0.3">
      <c r="A13" s="1">
        <v>44402</v>
      </c>
      <c r="B13" s="2">
        <v>0.25</v>
      </c>
      <c r="C13" s="2">
        <v>0.79166666666666663</v>
      </c>
      <c r="D13" s="5">
        <f t="shared" si="0"/>
        <v>0.54166666666666663</v>
      </c>
    </row>
    <row r="14" spans="1:4" x14ac:dyDescent="0.3">
      <c r="A14" s="1">
        <v>44403</v>
      </c>
      <c r="B14" s="2">
        <v>0.25</v>
      </c>
      <c r="C14" s="2">
        <v>0.79166666666666663</v>
      </c>
      <c r="D14" s="5">
        <f t="shared" si="0"/>
        <v>0.54166666666666663</v>
      </c>
    </row>
    <row r="15" spans="1:4" x14ac:dyDescent="0.3">
      <c r="A15" s="1">
        <v>44405</v>
      </c>
      <c r="B15" s="2">
        <v>0.5</v>
      </c>
      <c r="C15" s="2">
        <v>0.79166666666666696</v>
      </c>
      <c r="D15" s="5">
        <f t="shared" si="0"/>
        <v>0.29166666666666696</v>
      </c>
    </row>
    <row r="16" spans="1:4" x14ac:dyDescent="0.3">
      <c r="A16" s="1">
        <v>44406</v>
      </c>
      <c r="B16" s="2">
        <v>0.25</v>
      </c>
      <c r="C16" s="2">
        <v>0.79166666666666696</v>
      </c>
      <c r="D16" s="5">
        <f t="shared" si="0"/>
        <v>0.54166666666666696</v>
      </c>
    </row>
    <row r="17" spans="1:4" x14ac:dyDescent="0.3">
      <c r="A17" s="1">
        <v>44407</v>
      </c>
      <c r="B17" s="2">
        <v>0.25</v>
      </c>
      <c r="C17" s="2">
        <v>0.79166666666666696</v>
      </c>
      <c r="D17" s="5">
        <f t="shared" si="0"/>
        <v>0.54166666666666696</v>
      </c>
    </row>
    <row r="18" spans="1:4" x14ac:dyDescent="0.3">
      <c r="A18" s="1">
        <v>44408</v>
      </c>
      <c r="B18" s="2">
        <v>0.25</v>
      </c>
      <c r="C18" s="2">
        <v>0.79166666666666696</v>
      </c>
      <c r="D18" s="5">
        <f t="shared" si="0"/>
        <v>0.54166666666666696</v>
      </c>
    </row>
    <row r="19" spans="1:4" x14ac:dyDescent="0.3">
      <c r="A19" s="1">
        <v>44409</v>
      </c>
      <c r="B19" s="2">
        <v>0.25</v>
      </c>
      <c r="C19" s="2">
        <v>0.79166666666666696</v>
      </c>
      <c r="D19" s="5">
        <f t="shared" si="0"/>
        <v>0.54166666666666696</v>
      </c>
    </row>
    <row r="20" spans="1:4" x14ac:dyDescent="0.3">
      <c r="A20" s="1">
        <v>44410</v>
      </c>
      <c r="B20" s="2">
        <v>0.25</v>
      </c>
      <c r="C20" s="2">
        <v>0.79166666666666696</v>
      </c>
      <c r="D20" s="5">
        <f t="shared" si="0"/>
        <v>0.54166666666666696</v>
      </c>
    </row>
    <row r="21" spans="1:4" x14ac:dyDescent="0.3">
      <c r="A21" s="1">
        <v>44411</v>
      </c>
      <c r="B21" s="2">
        <v>0.25</v>
      </c>
      <c r="C21" s="2">
        <v>0.66666666666666663</v>
      </c>
      <c r="D21" s="5">
        <f t="shared" si="0"/>
        <v>0.41666666666666663</v>
      </c>
    </row>
    <row r="22" spans="1:4" x14ac:dyDescent="0.3">
      <c r="A22" s="1">
        <v>44418</v>
      </c>
      <c r="B22" s="2">
        <v>0.64583333333333337</v>
      </c>
      <c r="C22" s="2">
        <v>0.99998842592592585</v>
      </c>
      <c r="D22" s="5">
        <f t="shared" si="0"/>
        <v>0.35415509259259248</v>
      </c>
    </row>
    <row r="23" spans="1:4" x14ac:dyDescent="0.3">
      <c r="A23" s="1">
        <v>44419</v>
      </c>
      <c r="B23" s="2">
        <v>0</v>
      </c>
      <c r="C23" s="2">
        <v>0.625</v>
      </c>
      <c r="D23" s="5">
        <f t="shared" si="0"/>
        <v>0.625</v>
      </c>
    </row>
    <row r="24" spans="1:4" x14ac:dyDescent="0.3">
      <c r="A24" s="1">
        <v>44424</v>
      </c>
      <c r="B24" s="2">
        <v>0.5</v>
      </c>
      <c r="C24" s="2">
        <v>0.54166666666666663</v>
      </c>
      <c r="D24" s="5">
        <f t="shared" si="0"/>
        <v>4.166666666666663E-2</v>
      </c>
    </row>
    <row r="25" spans="1:4" x14ac:dyDescent="0.3">
      <c r="A25" s="1">
        <v>44426</v>
      </c>
      <c r="B25" s="2">
        <v>0.75</v>
      </c>
      <c r="C25" s="2">
        <v>0.99998842592592585</v>
      </c>
      <c r="D25" s="5">
        <f t="shared" si="0"/>
        <v>0.24998842592592585</v>
      </c>
    </row>
    <row r="26" spans="1:4" x14ac:dyDescent="0.3">
      <c r="A26" s="1">
        <v>44427</v>
      </c>
      <c r="B26" s="2">
        <v>0.64583333333333337</v>
      </c>
      <c r="C26" s="2">
        <v>0.99998842592592585</v>
      </c>
      <c r="D26" s="5">
        <f t="shared" si="0"/>
        <v>0.35415509259259248</v>
      </c>
    </row>
    <row r="27" spans="1:4" x14ac:dyDescent="0.3">
      <c r="A27" s="1">
        <v>44428</v>
      </c>
      <c r="B27" s="2">
        <v>0</v>
      </c>
      <c r="C27" s="2">
        <v>0.99998842592592596</v>
      </c>
      <c r="D27" s="5">
        <f t="shared" si="0"/>
        <v>0.99998842592592596</v>
      </c>
    </row>
    <row r="28" spans="1:4" x14ac:dyDescent="0.3">
      <c r="D28" s="5">
        <f>SUM(D2:D27)</f>
        <v>12.520740740740742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Monitoring</vt:lpstr>
      <vt:lpstr>Taxonomy_UniqueValues</vt:lpstr>
      <vt:lpstr>ClassificationClasses</vt:lpstr>
      <vt:lpstr>Video_List</vt:lpstr>
      <vt:lpstr>OperationInfo</vt:lpstr>
      <vt:lpstr>Taxonomy_UniqueValues!Área_de_extracción</vt:lpstr>
      <vt:lpstr>Monitoring!Área_de_impresión</vt:lpstr>
      <vt:lpstr>Monitoring!Títulos_a_imprimir</vt:lpstr>
    </vt:vector>
  </TitlesOfParts>
  <Manager/>
  <Company>Th?nen Institut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Andres Chiavassa</dc:creator>
  <cp:keywords/>
  <dc:description/>
  <cp:lastModifiedBy>Juan Chiavassa</cp:lastModifiedBy>
  <cp:revision/>
  <dcterms:created xsi:type="dcterms:W3CDTF">2021-12-02T14:38:53Z</dcterms:created>
  <dcterms:modified xsi:type="dcterms:W3CDTF">2025-12-03T14:59:21Z</dcterms:modified>
  <cp:category/>
  <cp:contentStatus/>
</cp:coreProperties>
</file>